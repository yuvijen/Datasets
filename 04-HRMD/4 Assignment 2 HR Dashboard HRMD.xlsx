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https://d.docs.live.net/ff525616fe275280/Documents/1 Professional/3 My Books/HRMD/Data Files/"/>
    </mc:Choice>
  </mc:AlternateContent>
  <xr:revisionPtr revIDLastSave="1810" documentId="8_{60D6332B-948F-8943-8C93-D92F29E5EABF}" xr6:coauthVersionLast="47" xr6:coauthVersionMax="47" xr10:uidLastSave="{18D01EC4-8B99-BE47-B179-C9CFC1222CC7}"/>
  <bookViews>
    <workbookView xWindow="0" yWindow="500" windowWidth="28800" windowHeight="17500" xr2:uid="{58FDD918-C894-C646-AAEB-B821FDBAFA6C}"/>
  </bookViews>
  <sheets>
    <sheet name="Random Data" sheetId="1" r:id="rId1"/>
    <sheet name="sheet2" sheetId="2" r:id="rId2"/>
    <sheet name="Pivot table" sheetId="3" r:id="rId3"/>
    <sheet name="Dashboard" sheetId="6" r:id="rId4"/>
  </sheets>
  <definedNames>
    <definedName name="AbsenteeDays">'Random Data'!$M:$M</definedName>
    <definedName name="CostofEmployeeTurnover">'Random Data'!$AA:$AA</definedName>
    <definedName name="EmployeeID">'Random Data'!$A:$A</definedName>
    <definedName name="ExitDate">'Random Data'!$G:$G</definedName>
    <definedName name="Gender">'Random Data'!$N:$N</definedName>
    <definedName name="HireDate">'Random Data'!$E:$E</definedName>
    <definedName name="ID">'Random Data'!$A:$A</definedName>
    <definedName name="JobPostingDate">'Random Data'!$D:$D</definedName>
    <definedName name="JobTitle">'Random Data'!$C:$C</definedName>
    <definedName name="JoinDate">'Random Data'!$F:$F</definedName>
    <definedName name="Onboardingcost">'Random Data'!$W:$W</definedName>
    <definedName name="Pasted">#REF!</definedName>
    <definedName name="RecruitmentCost">'Random Data'!$I:$I</definedName>
    <definedName name="RecruitmentCycleTime">'Random Data'!$S:$S</definedName>
    <definedName name="Slicer_Department">#N/A</definedName>
    <definedName name="Slicer_Gender">#N/A</definedName>
    <definedName name="Slicer_Job_Title">#N/A</definedName>
    <definedName name="Slicer_Status">#N/A</definedName>
    <definedName name="Slicer_Training_Completion_Status">#N/A</definedName>
    <definedName name="Slicer_year_of_joining">#N/A</definedName>
    <definedName name="Status">'Random Data'!$H:$H</definedName>
    <definedName name="Table2">#REF!</definedName>
    <definedName name="Timetofill">'Random Data'!$P:$P</definedName>
    <definedName name="Timetoonboard">'Random Data'!$Q:$Q</definedName>
    <definedName name="TotalTenure">'Random Data'!#REF!</definedName>
    <definedName name="TotalTenureinM">'Random Data'!$R:$R</definedName>
    <definedName name="TotalWorkDays">'Random Data'!$L:$L</definedName>
    <definedName name="TrainingCompletionStatus">'Random Data'!$K:$K</definedName>
    <definedName name="TrainingCost">'Random Data'!$O:$O</definedName>
    <definedName name="TrainingProgram">'Random Data'!$J:$J</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2" i="1" l="1"/>
  <c r="W2" i="1"/>
  <c r="W237" i="1"/>
  <c r="W172" i="1"/>
  <c r="W86" i="1"/>
  <c r="W154" i="1"/>
  <c r="W56" i="1"/>
  <c r="W108" i="1"/>
  <c r="W238" i="1"/>
  <c r="W109" i="1"/>
  <c r="W210" i="1"/>
  <c r="W215" i="1"/>
  <c r="W173" i="1"/>
  <c r="W228" i="1"/>
  <c r="W184" i="1"/>
  <c r="W146" i="1"/>
  <c r="W93" i="1"/>
  <c r="W221" i="1"/>
  <c r="W30" i="1"/>
  <c r="W39" i="1"/>
  <c r="W26" i="1"/>
  <c r="W3" i="1"/>
  <c r="W147" i="1"/>
  <c r="W128" i="1"/>
  <c r="W179" i="1"/>
  <c r="W191" i="1"/>
  <c r="W4" i="1"/>
  <c r="W61" i="1"/>
  <c r="W77" i="1"/>
  <c r="W167" i="1"/>
  <c r="W135" i="1"/>
  <c r="W94" i="1"/>
  <c r="W120" i="1"/>
  <c r="W35" i="1"/>
  <c r="W185" i="1"/>
  <c r="W40" i="1"/>
  <c r="W27" i="1"/>
  <c r="W239" i="1"/>
  <c r="W244" i="1"/>
  <c r="W136" i="1"/>
  <c r="W95" i="1"/>
  <c r="W121" i="1"/>
  <c r="W211" i="1"/>
  <c r="W245" i="1"/>
  <c r="W186" i="1"/>
  <c r="W57" i="1"/>
  <c r="W13" i="1"/>
  <c r="W62" i="1"/>
  <c r="W129" i="1"/>
  <c r="W41" i="1"/>
  <c r="W203" i="1"/>
  <c r="W155" i="1"/>
  <c r="W148" i="1"/>
  <c r="W187" i="1"/>
  <c r="W5" i="1"/>
  <c r="W240" i="1"/>
  <c r="W14" i="1"/>
  <c r="W110" i="1"/>
  <c r="W192" i="1"/>
  <c r="W246" i="1"/>
  <c r="W130" i="1"/>
  <c r="W87" i="1"/>
  <c r="W174" i="1"/>
  <c r="W216" i="1"/>
  <c r="W15" i="1"/>
  <c r="W88" i="1"/>
  <c r="W6" i="1"/>
  <c r="W23" i="1"/>
  <c r="W63" i="1"/>
  <c r="W131" i="1"/>
  <c r="W111" i="1"/>
  <c r="W70" i="1"/>
  <c r="W247" i="1"/>
  <c r="W149" i="1"/>
  <c r="W112" i="1"/>
  <c r="W113" i="1"/>
  <c r="W42" i="1"/>
  <c r="W122" i="1"/>
  <c r="W43" i="1"/>
  <c r="W96" i="1"/>
  <c r="W114" i="1"/>
  <c r="W132" i="1"/>
  <c r="W232" i="1"/>
  <c r="W24" i="1"/>
  <c r="W193" i="1"/>
  <c r="W115" i="1"/>
  <c r="W156" i="1"/>
  <c r="W64" i="1"/>
  <c r="W49" i="1"/>
  <c r="W71" i="1"/>
  <c r="W194" i="1"/>
  <c r="W31" i="1"/>
  <c r="W204" i="1"/>
  <c r="W143" i="1"/>
  <c r="W133" i="1"/>
  <c r="W229" i="1"/>
  <c r="W65" i="1"/>
  <c r="W72" i="1"/>
  <c r="W157" i="1"/>
  <c r="W163" i="1"/>
  <c r="W150" i="1"/>
  <c r="W195" i="1"/>
  <c r="W248" i="1"/>
  <c r="W137" i="1"/>
  <c r="W7" i="1"/>
  <c r="W97" i="1"/>
  <c r="W164" i="1"/>
  <c r="W241" i="1"/>
  <c r="W222" i="1"/>
  <c r="W144" i="1"/>
  <c r="W16" i="1"/>
  <c r="W89" i="1"/>
  <c r="W233" i="1"/>
  <c r="W90" i="1"/>
  <c r="W196" i="1"/>
  <c r="W17" i="1"/>
  <c r="W168" i="1"/>
  <c r="W205" i="1"/>
  <c r="W123" i="1"/>
  <c r="W103" i="1"/>
  <c r="W66" i="1"/>
  <c r="W151" i="1"/>
  <c r="W50" i="1"/>
  <c r="W104" i="1"/>
  <c r="W32" i="1"/>
  <c r="W223" i="1"/>
  <c r="W200" i="1"/>
  <c r="W18" i="1"/>
  <c r="W158" i="1"/>
  <c r="W124" i="1"/>
  <c r="W175" i="1"/>
  <c r="W212" i="1"/>
  <c r="W197" i="1"/>
  <c r="W159" i="1"/>
  <c r="W249" i="1"/>
  <c r="W73" i="1"/>
  <c r="W206" i="1"/>
  <c r="W138" i="1"/>
  <c r="W105" i="1"/>
  <c r="W67" i="1"/>
  <c r="W81" i="1"/>
  <c r="W116" i="1"/>
  <c r="W139" i="1"/>
  <c r="W188" i="1"/>
  <c r="W224" i="1"/>
  <c r="W250" i="1"/>
  <c r="W140" i="1"/>
  <c r="W74" i="1"/>
  <c r="W51" i="1"/>
  <c r="W58" i="1"/>
  <c r="W78" i="1"/>
  <c r="W217" i="1"/>
  <c r="W152" i="1"/>
  <c r="W36" i="1"/>
  <c r="W44" i="1"/>
  <c r="W160" i="1"/>
  <c r="W234" i="1"/>
  <c r="W98" i="1"/>
  <c r="W52" i="1"/>
  <c r="W180" i="1"/>
  <c r="W176" i="1"/>
  <c r="W68" i="1"/>
  <c r="W141" i="1"/>
  <c r="W91" i="1"/>
  <c r="W165" i="1"/>
  <c r="W28" i="1"/>
  <c r="W230" i="1"/>
  <c r="W117" i="1"/>
  <c r="W99" i="1"/>
  <c r="W45" i="1"/>
  <c r="W189" i="1"/>
  <c r="W79" i="1"/>
  <c r="W153" i="1"/>
  <c r="W201" i="1"/>
  <c r="W198" i="1"/>
  <c r="W213" i="1"/>
  <c r="W33" i="1"/>
  <c r="W59" i="1"/>
  <c r="W19" i="1"/>
  <c r="W9" i="1"/>
  <c r="W169" i="1"/>
  <c r="W235" i="1"/>
  <c r="W177" i="1"/>
  <c r="W60" i="1"/>
  <c r="W202" i="1"/>
  <c r="W142" i="1"/>
  <c r="W242" i="1"/>
  <c r="W8" i="1"/>
  <c r="W161" i="1"/>
  <c r="W100" i="1"/>
  <c r="W10" i="1"/>
  <c r="W134" i="1"/>
  <c r="W251" i="1"/>
  <c r="W225" i="1"/>
  <c r="W46" i="1"/>
  <c r="W231" i="1"/>
  <c r="W125" i="1"/>
  <c r="W126" i="1"/>
  <c r="W20" i="1"/>
  <c r="W218" i="1"/>
  <c r="W118" i="1"/>
  <c r="W145" i="1"/>
  <c r="W236" i="1"/>
  <c r="W11" i="1"/>
  <c r="W170" i="1"/>
  <c r="W181" i="1"/>
  <c r="W75" i="1"/>
  <c r="W127" i="1"/>
  <c r="W53" i="1"/>
  <c r="W226" i="1"/>
  <c r="W182" i="1"/>
  <c r="W183" i="1"/>
  <c r="W207" i="1"/>
  <c r="W227" i="1"/>
  <c r="W80" i="1"/>
  <c r="W21" i="1"/>
  <c r="W101" i="1"/>
  <c r="W34" i="1"/>
  <c r="W82" i="1"/>
  <c r="W69" i="1"/>
  <c r="W106" i="1"/>
  <c r="W25" i="1"/>
  <c r="W83" i="1"/>
  <c r="W92" i="1"/>
  <c r="W208" i="1"/>
  <c r="W107" i="1"/>
  <c r="W243" i="1"/>
  <c r="W76" i="1"/>
  <c r="W47" i="1"/>
  <c r="W54" i="1"/>
  <c r="W29" i="1"/>
  <c r="W219" i="1"/>
  <c r="W166" i="1"/>
  <c r="W84" i="1"/>
  <c r="W190" i="1"/>
  <c r="W209" i="1"/>
  <c r="W220" i="1"/>
  <c r="W178" i="1"/>
  <c r="W171" i="1"/>
  <c r="W214" i="1"/>
  <c r="W37" i="1"/>
  <c r="W119" i="1"/>
  <c r="W55" i="1"/>
  <c r="W162" i="1"/>
  <c r="W199" i="1"/>
  <c r="W38" i="1"/>
  <c r="W12" i="1"/>
  <c r="W85" i="1"/>
  <c r="W48" i="1"/>
  <c r="W22" i="1"/>
  <c r="B86" i="1" a="1"/>
  <c r="B86" i="1" s="1"/>
  <c r="C86" i="1" s="1"/>
  <c r="O102" i="1"/>
  <c r="O2" i="1"/>
  <c r="O237" i="1"/>
  <c r="O172" i="1"/>
  <c r="O86" i="1"/>
  <c r="O154" i="1"/>
  <c r="O56" i="1"/>
  <c r="O108" i="1"/>
  <c r="O238" i="1"/>
  <c r="O109" i="1"/>
  <c r="O210" i="1"/>
  <c r="O215" i="1"/>
  <c r="O173" i="1"/>
  <c r="O228" i="1"/>
  <c r="O184" i="1"/>
  <c r="O146" i="1"/>
  <c r="O93" i="1"/>
  <c r="O221" i="1"/>
  <c r="O30" i="1"/>
  <c r="O39" i="1"/>
  <c r="O26" i="1"/>
  <c r="O3" i="1"/>
  <c r="O147" i="1"/>
  <c r="O128" i="1"/>
  <c r="O179" i="1"/>
  <c r="O191" i="1"/>
  <c r="O4" i="1"/>
  <c r="O61" i="1"/>
  <c r="O77" i="1"/>
  <c r="O167" i="1"/>
  <c r="O135" i="1"/>
  <c r="O94" i="1"/>
  <c r="O120" i="1"/>
  <c r="O35" i="1"/>
  <c r="O185" i="1"/>
  <c r="O40" i="1"/>
  <c r="O27" i="1"/>
  <c r="O239" i="1"/>
  <c r="O244" i="1"/>
  <c r="O136" i="1"/>
  <c r="O95" i="1"/>
  <c r="O121" i="1"/>
  <c r="O211" i="1"/>
  <c r="O245" i="1"/>
  <c r="O186" i="1"/>
  <c r="O57" i="1"/>
  <c r="O13" i="1"/>
  <c r="O62" i="1"/>
  <c r="O129" i="1"/>
  <c r="O41" i="1"/>
  <c r="O203" i="1"/>
  <c r="O155" i="1"/>
  <c r="O148" i="1"/>
  <c r="O187" i="1"/>
  <c r="O5" i="1"/>
  <c r="O240" i="1"/>
  <c r="O14" i="1"/>
  <c r="O110" i="1"/>
  <c r="O192" i="1"/>
  <c r="O246" i="1"/>
  <c r="O130" i="1"/>
  <c r="O87" i="1"/>
  <c r="O174" i="1"/>
  <c r="O216" i="1"/>
  <c r="O15" i="1"/>
  <c r="O88" i="1"/>
  <c r="O6" i="1"/>
  <c r="O23" i="1"/>
  <c r="O63" i="1"/>
  <c r="O131" i="1"/>
  <c r="O111" i="1"/>
  <c r="O70" i="1"/>
  <c r="O247" i="1"/>
  <c r="O149" i="1"/>
  <c r="O112" i="1"/>
  <c r="O113" i="1"/>
  <c r="O42" i="1"/>
  <c r="O122" i="1"/>
  <c r="O43" i="1"/>
  <c r="O96" i="1"/>
  <c r="O114" i="1"/>
  <c r="O132" i="1"/>
  <c r="O232" i="1"/>
  <c r="O24" i="1"/>
  <c r="O193" i="1"/>
  <c r="O115" i="1"/>
  <c r="O156" i="1"/>
  <c r="O64" i="1"/>
  <c r="O49" i="1"/>
  <c r="O71" i="1"/>
  <c r="O194" i="1"/>
  <c r="O31" i="1"/>
  <c r="O204" i="1"/>
  <c r="O143" i="1"/>
  <c r="O133" i="1"/>
  <c r="O229" i="1"/>
  <c r="O65" i="1"/>
  <c r="O72" i="1"/>
  <c r="O157" i="1"/>
  <c r="O163" i="1"/>
  <c r="O150" i="1"/>
  <c r="O195" i="1"/>
  <c r="O248" i="1"/>
  <c r="O137" i="1"/>
  <c r="O7" i="1"/>
  <c r="O97" i="1"/>
  <c r="O164" i="1"/>
  <c r="O241" i="1"/>
  <c r="O222" i="1"/>
  <c r="O144" i="1"/>
  <c r="O16" i="1"/>
  <c r="O89" i="1"/>
  <c r="O233" i="1"/>
  <c r="O90" i="1"/>
  <c r="O196" i="1"/>
  <c r="O17" i="1"/>
  <c r="O168" i="1"/>
  <c r="O205" i="1"/>
  <c r="O123" i="1"/>
  <c r="O103" i="1"/>
  <c r="O66" i="1"/>
  <c r="O151" i="1"/>
  <c r="O50" i="1"/>
  <c r="O104" i="1"/>
  <c r="O32" i="1"/>
  <c r="O223" i="1"/>
  <c r="O200" i="1"/>
  <c r="O18" i="1"/>
  <c r="O158" i="1"/>
  <c r="O124" i="1"/>
  <c r="O175" i="1"/>
  <c r="O212" i="1"/>
  <c r="O197" i="1"/>
  <c r="O159" i="1"/>
  <c r="O249" i="1"/>
  <c r="O73" i="1"/>
  <c r="O206" i="1"/>
  <c r="O138" i="1"/>
  <c r="O105" i="1"/>
  <c r="O67" i="1"/>
  <c r="O81" i="1"/>
  <c r="O116" i="1"/>
  <c r="O139" i="1"/>
  <c r="O188" i="1"/>
  <c r="O224" i="1"/>
  <c r="O250" i="1"/>
  <c r="O140" i="1"/>
  <c r="O74" i="1"/>
  <c r="O51" i="1"/>
  <c r="O58" i="1"/>
  <c r="O78" i="1"/>
  <c r="O217" i="1"/>
  <c r="O152" i="1"/>
  <c r="O36" i="1"/>
  <c r="O44" i="1"/>
  <c r="O160" i="1"/>
  <c r="O234" i="1"/>
  <c r="O98" i="1"/>
  <c r="O52" i="1"/>
  <c r="O180" i="1"/>
  <c r="O176" i="1"/>
  <c r="O68" i="1"/>
  <c r="O141" i="1"/>
  <c r="O91" i="1"/>
  <c r="O165" i="1"/>
  <c r="O28" i="1"/>
  <c r="O230" i="1"/>
  <c r="O117" i="1"/>
  <c r="O99" i="1"/>
  <c r="O45" i="1"/>
  <c r="O189" i="1"/>
  <c r="O79" i="1"/>
  <c r="O153" i="1"/>
  <c r="O201" i="1"/>
  <c r="O198" i="1"/>
  <c r="O213" i="1"/>
  <c r="O33" i="1"/>
  <c r="O59" i="1"/>
  <c r="O19" i="1"/>
  <c r="O9" i="1"/>
  <c r="O169" i="1"/>
  <c r="O235" i="1"/>
  <c r="O177" i="1"/>
  <c r="O60" i="1"/>
  <c r="O202" i="1"/>
  <c r="O142" i="1"/>
  <c r="O242" i="1"/>
  <c r="O8" i="1"/>
  <c r="O161" i="1"/>
  <c r="O100" i="1"/>
  <c r="O10" i="1"/>
  <c r="O134" i="1"/>
  <c r="O251" i="1"/>
  <c r="O225" i="1"/>
  <c r="O46" i="1"/>
  <c r="O231" i="1"/>
  <c r="O125" i="1"/>
  <c r="O126" i="1"/>
  <c r="O20" i="1"/>
  <c r="O218" i="1"/>
  <c r="O118" i="1"/>
  <c r="O145" i="1"/>
  <c r="O236" i="1"/>
  <c r="O11" i="1"/>
  <c r="O170" i="1"/>
  <c r="O181" i="1"/>
  <c r="O75" i="1"/>
  <c r="O127" i="1"/>
  <c r="O53" i="1"/>
  <c r="O226" i="1"/>
  <c r="O182" i="1"/>
  <c r="O183" i="1"/>
  <c r="O207" i="1"/>
  <c r="O227" i="1"/>
  <c r="O80" i="1"/>
  <c r="O21" i="1"/>
  <c r="O101" i="1"/>
  <c r="O34" i="1"/>
  <c r="O82" i="1"/>
  <c r="O69" i="1"/>
  <c r="O106" i="1"/>
  <c r="O25" i="1"/>
  <c r="O83" i="1"/>
  <c r="O92" i="1"/>
  <c r="O208" i="1"/>
  <c r="O107" i="1"/>
  <c r="O243" i="1"/>
  <c r="O76" i="1"/>
  <c r="O47" i="1"/>
  <c r="O54" i="1"/>
  <c r="O29" i="1"/>
  <c r="O219" i="1"/>
  <c r="O166" i="1"/>
  <c r="O84" i="1"/>
  <c r="O190" i="1"/>
  <c r="O209" i="1"/>
  <c r="O220" i="1"/>
  <c r="O178" i="1"/>
  <c r="O171" i="1"/>
  <c r="O214" i="1"/>
  <c r="O37" i="1"/>
  <c r="O119" i="1"/>
  <c r="O55" i="1"/>
  <c r="O162" i="1"/>
  <c r="O199" i="1"/>
  <c r="O38" i="1"/>
  <c r="O12" i="1"/>
  <c r="O85" i="1"/>
  <c r="O48" i="1"/>
  <c r="O22" i="1"/>
  <c r="N102" i="1"/>
  <c r="N2" i="1"/>
  <c r="N237" i="1"/>
  <c r="N172" i="1"/>
  <c r="N86" i="1"/>
  <c r="N154" i="1"/>
  <c r="N56" i="1"/>
  <c r="N108" i="1"/>
  <c r="N238" i="1"/>
  <c r="N109" i="1"/>
  <c r="N210" i="1"/>
  <c r="N215" i="1"/>
  <c r="N173" i="1"/>
  <c r="N228" i="1"/>
  <c r="N184" i="1"/>
  <c r="N146" i="1"/>
  <c r="N93" i="1"/>
  <c r="N221" i="1"/>
  <c r="N30" i="1"/>
  <c r="N39" i="1"/>
  <c r="N26" i="1"/>
  <c r="N3" i="1"/>
  <c r="N147" i="1"/>
  <c r="N128" i="1"/>
  <c r="N179" i="1"/>
  <c r="N191" i="1"/>
  <c r="N4" i="1"/>
  <c r="N61" i="1"/>
  <c r="N77" i="1"/>
  <c r="N167" i="1"/>
  <c r="N135" i="1"/>
  <c r="N94" i="1"/>
  <c r="N120" i="1"/>
  <c r="N35" i="1"/>
  <c r="N185" i="1"/>
  <c r="N40" i="1"/>
  <c r="N27" i="1"/>
  <c r="N239" i="1"/>
  <c r="N244" i="1"/>
  <c r="N136" i="1"/>
  <c r="N95" i="1"/>
  <c r="N121" i="1"/>
  <c r="N211" i="1"/>
  <c r="N245" i="1"/>
  <c r="N186" i="1"/>
  <c r="N57" i="1"/>
  <c r="N13" i="1"/>
  <c r="N62" i="1"/>
  <c r="N129" i="1"/>
  <c r="N41" i="1"/>
  <c r="N203" i="1"/>
  <c r="N155" i="1"/>
  <c r="N148" i="1"/>
  <c r="N187" i="1"/>
  <c r="N5" i="1"/>
  <c r="N240" i="1"/>
  <c r="N14" i="1"/>
  <c r="N110" i="1"/>
  <c r="N192" i="1"/>
  <c r="N246" i="1"/>
  <c r="N130" i="1"/>
  <c r="N87" i="1"/>
  <c r="N174" i="1"/>
  <c r="N216" i="1"/>
  <c r="N15" i="1"/>
  <c r="N88" i="1"/>
  <c r="N6" i="1"/>
  <c r="N23" i="1"/>
  <c r="N63" i="1"/>
  <c r="N131" i="1"/>
  <c r="N111" i="1"/>
  <c r="N70" i="1"/>
  <c r="N247" i="1"/>
  <c r="N149" i="1"/>
  <c r="N112" i="1"/>
  <c r="N113" i="1"/>
  <c r="N42" i="1"/>
  <c r="N122" i="1"/>
  <c r="N43" i="1"/>
  <c r="N96" i="1"/>
  <c r="N114" i="1"/>
  <c r="N132" i="1"/>
  <c r="N232" i="1"/>
  <c r="N24" i="1"/>
  <c r="N193" i="1"/>
  <c r="N115" i="1"/>
  <c r="N156" i="1"/>
  <c r="N64" i="1"/>
  <c r="N49" i="1"/>
  <c r="N71" i="1"/>
  <c r="N194" i="1"/>
  <c r="N31" i="1"/>
  <c r="N204" i="1"/>
  <c r="N143" i="1"/>
  <c r="N133" i="1"/>
  <c r="N229" i="1"/>
  <c r="N65" i="1"/>
  <c r="N72" i="1"/>
  <c r="N157" i="1"/>
  <c r="N163" i="1"/>
  <c r="N150" i="1"/>
  <c r="N195" i="1"/>
  <c r="N248" i="1"/>
  <c r="N137" i="1"/>
  <c r="N7" i="1"/>
  <c r="N97" i="1"/>
  <c r="N164" i="1"/>
  <c r="N241" i="1"/>
  <c r="N222" i="1"/>
  <c r="N144" i="1"/>
  <c r="N16" i="1"/>
  <c r="N89" i="1"/>
  <c r="N233" i="1"/>
  <c r="N90" i="1"/>
  <c r="N196" i="1"/>
  <c r="N17" i="1"/>
  <c r="N168" i="1"/>
  <c r="N205" i="1"/>
  <c r="N123" i="1"/>
  <c r="N103" i="1"/>
  <c r="N66" i="1"/>
  <c r="N151" i="1"/>
  <c r="N50" i="1"/>
  <c r="N104" i="1"/>
  <c r="N32" i="1"/>
  <c r="N223" i="1"/>
  <c r="N200" i="1"/>
  <c r="N18" i="1"/>
  <c r="N158" i="1"/>
  <c r="N124" i="1"/>
  <c r="N175" i="1"/>
  <c r="N212" i="1"/>
  <c r="N197" i="1"/>
  <c r="N159" i="1"/>
  <c r="N249" i="1"/>
  <c r="N73" i="1"/>
  <c r="N206" i="1"/>
  <c r="N138" i="1"/>
  <c r="N105" i="1"/>
  <c r="N67" i="1"/>
  <c r="N81" i="1"/>
  <c r="N116" i="1"/>
  <c r="N139" i="1"/>
  <c r="N188" i="1"/>
  <c r="N224" i="1"/>
  <c r="N250" i="1"/>
  <c r="N140" i="1"/>
  <c r="N74" i="1"/>
  <c r="N51" i="1"/>
  <c r="N58" i="1"/>
  <c r="N78" i="1"/>
  <c r="N217" i="1"/>
  <c r="N152" i="1"/>
  <c r="N36" i="1"/>
  <c r="N44" i="1"/>
  <c r="N160" i="1"/>
  <c r="N234" i="1"/>
  <c r="N98" i="1"/>
  <c r="N52" i="1"/>
  <c r="N180" i="1"/>
  <c r="N176" i="1"/>
  <c r="N68" i="1"/>
  <c r="N141" i="1"/>
  <c r="N91" i="1"/>
  <c r="N165" i="1"/>
  <c r="N28" i="1"/>
  <c r="N230" i="1"/>
  <c r="N117" i="1"/>
  <c r="N99" i="1"/>
  <c r="N45" i="1"/>
  <c r="N189" i="1"/>
  <c r="N79" i="1"/>
  <c r="N153" i="1"/>
  <c r="N201" i="1"/>
  <c r="N198" i="1"/>
  <c r="N213" i="1"/>
  <c r="N33" i="1"/>
  <c r="N59" i="1"/>
  <c r="N19" i="1"/>
  <c r="N9" i="1"/>
  <c r="N169" i="1"/>
  <c r="N235" i="1"/>
  <c r="N177" i="1"/>
  <c r="N60" i="1"/>
  <c r="N202" i="1"/>
  <c r="N142" i="1"/>
  <c r="N242" i="1"/>
  <c r="N8" i="1"/>
  <c r="N161" i="1"/>
  <c r="N100" i="1"/>
  <c r="N10" i="1"/>
  <c r="N134" i="1"/>
  <c r="N251" i="1"/>
  <c r="N225" i="1"/>
  <c r="N46" i="1"/>
  <c r="N231" i="1"/>
  <c r="N125" i="1"/>
  <c r="N126" i="1"/>
  <c r="N20" i="1"/>
  <c r="N218" i="1"/>
  <c r="N118" i="1"/>
  <c r="N145" i="1"/>
  <c r="N236" i="1"/>
  <c r="N11" i="1"/>
  <c r="N170" i="1"/>
  <c r="N181" i="1"/>
  <c r="N75" i="1"/>
  <c r="N127" i="1"/>
  <c r="N53" i="1"/>
  <c r="N226" i="1"/>
  <c r="N182" i="1"/>
  <c r="N183" i="1"/>
  <c r="N207" i="1"/>
  <c r="N227" i="1"/>
  <c r="N80" i="1"/>
  <c r="N21" i="1"/>
  <c r="N101" i="1"/>
  <c r="N34" i="1"/>
  <c r="N82" i="1"/>
  <c r="N69" i="1"/>
  <c r="N106" i="1"/>
  <c r="N25" i="1"/>
  <c r="N83" i="1"/>
  <c r="N92" i="1"/>
  <c r="N208" i="1"/>
  <c r="N107" i="1"/>
  <c r="N243" i="1"/>
  <c r="N76" i="1"/>
  <c r="N47" i="1"/>
  <c r="N54" i="1"/>
  <c r="N29" i="1"/>
  <c r="N219" i="1"/>
  <c r="N166" i="1"/>
  <c r="N84" i="1"/>
  <c r="N190" i="1"/>
  <c r="N209" i="1"/>
  <c r="N220" i="1"/>
  <c r="N178" i="1"/>
  <c r="N171" i="1"/>
  <c r="N214" i="1"/>
  <c r="N37" i="1"/>
  <c r="N119" i="1"/>
  <c r="N55" i="1"/>
  <c r="N162" i="1"/>
  <c r="N199" i="1"/>
  <c r="N38" i="1"/>
  <c r="N12" i="1"/>
  <c r="N85" i="1"/>
  <c r="N48" i="1"/>
  <c r="N22" i="1"/>
  <c r="M102" i="1"/>
  <c r="X102" i="1" s="1"/>
  <c r="M2" i="1"/>
  <c r="X2" i="1" s="1"/>
  <c r="M237" i="1"/>
  <c r="X237" i="1" s="1"/>
  <c r="M172" i="1"/>
  <c r="X172" i="1" s="1"/>
  <c r="M86" i="1"/>
  <c r="X86" i="1" s="1"/>
  <c r="M154" i="1"/>
  <c r="X154" i="1" s="1"/>
  <c r="M56" i="1"/>
  <c r="X56" i="1" s="1"/>
  <c r="M108" i="1"/>
  <c r="X108" i="1" s="1"/>
  <c r="M238" i="1"/>
  <c r="X238" i="1" s="1"/>
  <c r="M109" i="1"/>
  <c r="X109" i="1" s="1"/>
  <c r="M210" i="1"/>
  <c r="X210" i="1" s="1"/>
  <c r="M215" i="1"/>
  <c r="X215" i="1" s="1"/>
  <c r="M173" i="1"/>
  <c r="X173" i="1" s="1"/>
  <c r="M228" i="1"/>
  <c r="X228" i="1" s="1"/>
  <c r="M184" i="1"/>
  <c r="X184" i="1" s="1"/>
  <c r="M146" i="1"/>
  <c r="X146" i="1" s="1"/>
  <c r="M93" i="1"/>
  <c r="X93" i="1" s="1"/>
  <c r="M221" i="1"/>
  <c r="X221" i="1" s="1"/>
  <c r="M30" i="1"/>
  <c r="X30" i="1" s="1"/>
  <c r="M39" i="1"/>
  <c r="X39" i="1" s="1"/>
  <c r="M26" i="1"/>
  <c r="X26" i="1" s="1"/>
  <c r="M3" i="1"/>
  <c r="X3" i="1" s="1"/>
  <c r="M147" i="1"/>
  <c r="X147" i="1" s="1"/>
  <c r="M128" i="1"/>
  <c r="X128" i="1" s="1"/>
  <c r="M179" i="1"/>
  <c r="X179" i="1" s="1"/>
  <c r="M191" i="1"/>
  <c r="X191" i="1" s="1"/>
  <c r="M4" i="1"/>
  <c r="X4" i="1" s="1"/>
  <c r="M61" i="1"/>
  <c r="X61" i="1" s="1"/>
  <c r="M77" i="1"/>
  <c r="X77" i="1" s="1"/>
  <c r="M167" i="1"/>
  <c r="X167" i="1" s="1"/>
  <c r="M135" i="1"/>
  <c r="X135" i="1" s="1"/>
  <c r="M94" i="1"/>
  <c r="X94" i="1" s="1"/>
  <c r="M120" i="1"/>
  <c r="X120" i="1" s="1"/>
  <c r="M35" i="1"/>
  <c r="X35" i="1" s="1"/>
  <c r="M185" i="1"/>
  <c r="X185" i="1" s="1"/>
  <c r="M40" i="1"/>
  <c r="X40" i="1" s="1"/>
  <c r="M27" i="1"/>
  <c r="X27" i="1" s="1"/>
  <c r="M239" i="1"/>
  <c r="X239" i="1" s="1"/>
  <c r="M244" i="1"/>
  <c r="X244" i="1" s="1"/>
  <c r="M136" i="1"/>
  <c r="X136" i="1" s="1"/>
  <c r="M95" i="1"/>
  <c r="X95" i="1" s="1"/>
  <c r="M121" i="1"/>
  <c r="X121" i="1" s="1"/>
  <c r="M211" i="1"/>
  <c r="X211" i="1" s="1"/>
  <c r="M245" i="1"/>
  <c r="X245" i="1" s="1"/>
  <c r="M186" i="1"/>
  <c r="X186" i="1" s="1"/>
  <c r="M57" i="1"/>
  <c r="X57" i="1" s="1"/>
  <c r="M13" i="1"/>
  <c r="X13" i="1" s="1"/>
  <c r="M62" i="1"/>
  <c r="X62" i="1" s="1"/>
  <c r="M129" i="1"/>
  <c r="X129" i="1" s="1"/>
  <c r="M41" i="1"/>
  <c r="X41" i="1" s="1"/>
  <c r="M203" i="1"/>
  <c r="X203" i="1" s="1"/>
  <c r="M155" i="1"/>
  <c r="X155" i="1" s="1"/>
  <c r="M148" i="1"/>
  <c r="X148" i="1" s="1"/>
  <c r="M187" i="1"/>
  <c r="X187" i="1" s="1"/>
  <c r="M5" i="1"/>
  <c r="X5" i="1" s="1"/>
  <c r="M240" i="1"/>
  <c r="X240" i="1" s="1"/>
  <c r="M14" i="1"/>
  <c r="X14" i="1" s="1"/>
  <c r="M110" i="1"/>
  <c r="X110" i="1" s="1"/>
  <c r="M192" i="1"/>
  <c r="X192" i="1" s="1"/>
  <c r="M246" i="1"/>
  <c r="X246" i="1" s="1"/>
  <c r="M130" i="1"/>
  <c r="X130" i="1" s="1"/>
  <c r="M87" i="1"/>
  <c r="X87" i="1" s="1"/>
  <c r="M174" i="1"/>
  <c r="X174" i="1" s="1"/>
  <c r="M216" i="1"/>
  <c r="X216" i="1" s="1"/>
  <c r="M15" i="1"/>
  <c r="X15" i="1" s="1"/>
  <c r="M88" i="1"/>
  <c r="X88" i="1" s="1"/>
  <c r="M6" i="1"/>
  <c r="X6" i="1" s="1"/>
  <c r="M23" i="1"/>
  <c r="X23" i="1" s="1"/>
  <c r="M63" i="1"/>
  <c r="X63" i="1" s="1"/>
  <c r="M131" i="1"/>
  <c r="X131" i="1" s="1"/>
  <c r="M111" i="1"/>
  <c r="X111" i="1" s="1"/>
  <c r="M70" i="1"/>
  <c r="X70" i="1" s="1"/>
  <c r="M247" i="1"/>
  <c r="X247" i="1" s="1"/>
  <c r="M149" i="1"/>
  <c r="X149" i="1" s="1"/>
  <c r="M112" i="1"/>
  <c r="X112" i="1" s="1"/>
  <c r="M113" i="1"/>
  <c r="X113" i="1" s="1"/>
  <c r="M42" i="1"/>
  <c r="X42" i="1" s="1"/>
  <c r="M122" i="1"/>
  <c r="X122" i="1" s="1"/>
  <c r="M43" i="1"/>
  <c r="X43" i="1" s="1"/>
  <c r="M96" i="1"/>
  <c r="X96" i="1" s="1"/>
  <c r="M114" i="1"/>
  <c r="X114" i="1" s="1"/>
  <c r="M132" i="1"/>
  <c r="X132" i="1" s="1"/>
  <c r="M232" i="1"/>
  <c r="X232" i="1" s="1"/>
  <c r="M24" i="1"/>
  <c r="X24" i="1" s="1"/>
  <c r="M193" i="1"/>
  <c r="X193" i="1" s="1"/>
  <c r="M115" i="1"/>
  <c r="X115" i="1" s="1"/>
  <c r="M156" i="1"/>
  <c r="X156" i="1" s="1"/>
  <c r="M64" i="1"/>
  <c r="X64" i="1" s="1"/>
  <c r="M49" i="1"/>
  <c r="X49" i="1" s="1"/>
  <c r="M71" i="1"/>
  <c r="X71" i="1" s="1"/>
  <c r="M194" i="1"/>
  <c r="X194" i="1" s="1"/>
  <c r="M31" i="1"/>
  <c r="X31" i="1" s="1"/>
  <c r="M204" i="1"/>
  <c r="X204" i="1" s="1"/>
  <c r="M143" i="1"/>
  <c r="X143" i="1" s="1"/>
  <c r="M133" i="1"/>
  <c r="X133" i="1" s="1"/>
  <c r="M229" i="1"/>
  <c r="X229" i="1" s="1"/>
  <c r="M65" i="1"/>
  <c r="X65" i="1" s="1"/>
  <c r="M72" i="1"/>
  <c r="X72" i="1" s="1"/>
  <c r="M157" i="1"/>
  <c r="X157" i="1" s="1"/>
  <c r="M163" i="1"/>
  <c r="X163" i="1" s="1"/>
  <c r="M150" i="1"/>
  <c r="X150" i="1" s="1"/>
  <c r="M195" i="1"/>
  <c r="X195" i="1" s="1"/>
  <c r="M248" i="1"/>
  <c r="X248" i="1" s="1"/>
  <c r="M137" i="1"/>
  <c r="X137" i="1" s="1"/>
  <c r="M7" i="1"/>
  <c r="X7" i="1" s="1"/>
  <c r="M97" i="1"/>
  <c r="X97" i="1" s="1"/>
  <c r="M164" i="1"/>
  <c r="X164" i="1" s="1"/>
  <c r="M241" i="1"/>
  <c r="X241" i="1" s="1"/>
  <c r="M222" i="1"/>
  <c r="X222" i="1" s="1"/>
  <c r="M144" i="1"/>
  <c r="X144" i="1" s="1"/>
  <c r="M16" i="1"/>
  <c r="X16" i="1" s="1"/>
  <c r="M89" i="1"/>
  <c r="X89" i="1" s="1"/>
  <c r="M233" i="1"/>
  <c r="X233" i="1" s="1"/>
  <c r="M90" i="1"/>
  <c r="X90" i="1" s="1"/>
  <c r="M196" i="1"/>
  <c r="X196" i="1" s="1"/>
  <c r="M17" i="1"/>
  <c r="X17" i="1" s="1"/>
  <c r="M168" i="1"/>
  <c r="X168" i="1" s="1"/>
  <c r="M205" i="1"/>
  <c r="X205" i="1" s="1"/>
  <c r="M123" i="1"/>
  <c r="X123" i="1" s="1"/>
  <c r="M103" i="1"/>
  <c r="X103" i="1" s="1"/>
  <c r="M66" i="1"/>
  <c r="X66" i="1" s="1"/>
  <c r="M151" i="1"/>
  <c r="X151" i="1" s="1"/>
  <c r="M50" i="1"/>
  <c r="X50" i="1" s="1"/>
  <c r="M104" i="1"/>
  <c r="X104" i="1" s="1"/>
  <c r="M32" i="1"/>
  <c r="X32" i="1" s="1"/>
  <c r="M223" i="1"/>
  <c r="X223" i="1" s="1"/>
  <c r="M200" i="1"/>
  <c r="X200" i="1" s="1"/>
  <c r="M18" i="1"/>
  <c r="X18" i="1" s="1"/>
  <c r="M158" i="1"/>
  <c r="X158" i="1" s="1"/>
  <c r="M124" i="1"/>
  <c r="X124" i="1" s="1"/>
  <c r="M175" i="1"/>
  <c r="X175" i="1" s="1"/>
  <c r="M212" i="1"/>
  <c r="X212" i="1" s="1"/>
  <c r="M197" i="1"/>
  <c r="X197" i="1" s="1"/>
  <c r="M159" i="1"/>
  <c r="X159" i="1" s="1"/>
  <c r="M249" i="1"/>
  <c r="X249" i="1" s="1"/>
  <c r="M73" i="1"/>
  <c r="X73" i="1" s="1"/>
  <c r="M206" i="1"/>
  <c r="X206" i="1" s="1"/>
  <c r="M138" i="1"/>
  <c r="X138" i="1" s="1"/>
  <c r="M105" i="1"/>
  <c r="X105" i="1" s="1"/>
  <c r="M67" i="1"/>
  <c r="X67" i="1" s="1"/>
  <c r="M81" i="1"/>
  <c r="X81" i="1" s="1"/>
  <c r="M116" i="1"/>
  <c r="X116" i="1" s="1"/>
  <c r="M139" i="1"/>
  <c r="X139" i="1" s="1"/>
  <c r="M188" i="1"/>
  <c r="X188" i="1" s="1"/>
  <c r="M224" i="1"/>
  <c r="X224" i="1" s="1"/>
  <c r="M250" i="1"/>
  <c r="X250" i="1" s="1"/>
  <c r="M140" i="1"/>
  <c r="X140" i="1" s="1"/>
  <c r="M74" i="1"/>
  <c r="X74" i="1" s="1"/>
  <c r="M51" i="1"/>
  <c r="X51" i="1" s="1"/>
  <c r="M58" i="1"/>
  <c r="X58" i="1" s="1"/>
  <c r="M78" i="1"/>
  <c r="X78" i="1" s="1"/>
  <c r="M217" i="1"/>
  <c r="X217" i="1" s="1"/>
  <c r="M152" i="1"/>
  <c r="X152" i="1" s="1"/>
  <c r="M36" i="1"/>
  <c r="X36" i="1" s="1"/>
  <c r="M44" i="1"/>
  <c r="X44" i="1" s="1"/>
  <c r="M160" i="1"/>
  <c r="X160" i="1" s="1"/>
  <c r="M234" i="1"/>
  <c r="X234" i="1" s="1"/>
  <c r="M98" i="1"/>
  <c r="X98" i="1" s="1"/>
  <c r="M52" i="1"/>
  <c r="X52" i="1" s="1"/>
  <c r="M180" i="1"/>
  <c r="X180" i="1" s="1"/>
  <c r="M176" i="1"/>
  <c r="X176" i="1" s="1"/>
  <c r="M68" i="1"/>
  <c r="X68" i="1" s="1"/>
  <c r="M141" i="1"/>
  <c r="X141" i="1" s="1"/>
  <c r="M91" i="1"/>
  <c r="X91" i="1" s="1"/>
  <c r="M165" i="1"/>
  <c r="X165" i="1" s="1"/>
  <c r="M28" i="1"/>
  <c r="X28" i="1" s="1"/>
  <c r="M230" i="1"/>
  <c r="X230" i="1" s="1"/>
  <c r="M117" i="1"/>
  <c r="X117" i="1" s="1"/>
  <c r="M99" i="1"/>
  <c r="X99" i="1" s="1"/>
  <c r="M45" i="1"/>
  <c r="X45" i="1" s="1"/>
  <c r="M189" i="1"/>
  <c r="X189" i="1" s="1"/>
  <c r="M79" i="1"/>
  <c r="X79" i="1" s="1"/>
  <c r="M153" i="1"/>
  <c r="X153" i="1" s="1"/>
  <c r="M201" i="1"/>
  <c r="X201" i="1" s="1"/>
  <c r="M198" i="1"/>
  <c r="X198" i="1" s="1"/>
  <c r="M213" i="1"/>
  <c r="X213" i="1" s="1"/>
  <c r="M33" i="1"/>
  <c r="X33" i="1" s="1"/>
  <c r="M59" i="1"/>
  <c r="X59" i="1" s="1"/>
  <c r="M19" i="1"/>
  <c r="X19" i="1" s="1"/>
  <c r="M9" i="1"/>
  <c r="X9" i="1" s="1"/>
  <c r="M169" i="1"/>
  <c r="X169" i="1" s="1"/>
  <c r="M235" i="1"/>
  <c r="X235" i="1" s="1"/>
  <c r="M177" i="1"/>
  <c r="X177" i="1" s="1"/>
  <c r="M60" i="1"/>
  <c r="X60" i="1" s="1"/>
  <c r="M202" i="1"/>
  <c r="X202" i="1" s="1"/>
  <c r="M142" i="1"/>
  <c r="X142" i="1" s="1"/>
  <c r="M242" i="1"/>
  <c r="X242" i="1" s="1"/>
  <c r="M8" i="1"/>
  <c r="X8" i="1" s="1"/>
  <c r="M161" i="1"/>
  <c r="X161" i="1" s="1"/>
  <c r="M100" i="1"/>
  <c r="X100" i="1" s="1"/>
  <c r="M10" i="1"/>
  <c r="X10" i="1" s="1"/>
  <c r="M134" i="1"/>
  <c r="X134" i="1" s="1"/>
  <c r="M251" i="1"/>
  <c r="X251" i="1" s="1"/>
  <c r="M225" i="1"/>
  <c r="X225" i="1" s="1"/>
  <c r="M46" i="1"/>
  <c r="X46" i="1" s="1"/>
  <c r="M231" i="1"/>
  <c r="X231" i="1" s="1"/>
  <c r="M125" i="1"/>
  <c r="X125" i="1" s="1"/>
  <c r="M126" i="1"/>
  <c r="X126" i="1" s="1"/>
  <c r="M20" i="1"/>
  <c r="X20" i="1" s="1"/>
  <c r="M218" i="1"/>
  <c r="X218" i="1" s="1"/>
  <c r="M118" i="1"/>
  <c r="X118" i="1" s="1"/>
  <c r="M145" i="1"/>
  <c r="X145" i="1" s="1"/>
  <c r="M236" i="1"/>
  <c r="X236" i="1" s="1"/>
  <c r="M11" i="1"/>
  <c r="X11" i="1" s="1"/>
  <c r="M170" i="1"/>
  <c r="X170" i="1" s="1"/>
  <c r="M181" i="1"/>
  <c r="X181" i="1" s="1"/>
  <c r="M75" i="1"/>
  <c r="X75" i="1" s="1"/>
  <c r="M127" i="1"/>
  <c r="X127" i="1" s="1"/>
  <c r="M53" i="1"/>
  <c r="X53" i="1" s="1"/>
  <c r="M226" i="1"/>
  <c r="X226" i="1" s="1"/>
  <c r="M182" i="1"/>
  <c r="X182" i="1" s="1"/>
  <c r="M183" i="1"/>
  <c r="X183" i="1" s="1"/>
  <c r="M207" i="1"/>
  <c r="X207" i="1" s="1"/>
  <c r="M227" i="1"/>
  <c r="X227" i="1" s="1"/>
  <c r="M80" i="1"/>
  <c r="X80" i="1" s="1"/>
  <c r="M21" i="1"/>
  <c r="X21" i="1" s="1"/>
  <c r="M101" i="1"/>
  <c r="X101" i="1" s="1"/>
  <c r="M34" i="1"/>
  <c r="X34" i="1" s="1"/>
  <c r="M82" i="1"/>
  <c r="X82" i="1" s="1"/>
  <c r="M69" i="1"/>
  <c r="X69" i="1" s="1"/>
  <c r="M106" i="1"/>
  <c r="X106" i="1" s="1"/>
  <c r="M25" i="1"/>
  <c r="X25" i="1" s="1"/>
  <c r="M83" i="1"/>
  <c r="X83" i="1" s="1"/>
  <c r="M92" i="1"/>
  <c r="X92" i="1" s="1"/>
  <c r="M208" i="1"/>
  <c r="X208" i="1" s="1"/>
  <c r="M107" i="1"/>
  <c r="X107" i="1" s="1"/>
  <c r="M243" i="1"/>
  <c r="X243" i="1" s="1"/>
  <c r="M76" i="1"/>
  <c r="X76" i="1" s="1"/>
  <c r="M47" i="1"/>
  <c r="X47" i="1" s="1"/>
  <c r="M54" i="1"/>
  <c r="X54" i="1" s="1"/>
  <c r="M29" i="1"/>
  <c r="X29" i="1" s="1"/>
  <c r="M219" i="1"/>
  <c r="X219" i="1" s="1"/>
  <c r="M166" i="1"/>
  <c r="X166" i="1" s="1"/>
  <c r="M84" i="1"/>
  <c r="X84" i="1" s="1"/>
  <c r="M190" i="1"/>
  <c r="X190" i="1" s="1"/>
  <c r="M209" i="1"/>
  <c r="X209" i="1" s="1"/>
  <c r="M220" i="1"/>
  <c r="X220" i="1" s="1"/>
  <c r="M178" i="1"/>
  <c r="X178" i="1" s="1"/>
  <c r="M171" i="1"/>
  <c r="X171" i="1" s="1"/>
  <c r="M214" i="1"/>
  <c r="X214" i="1" s="1"/>
  <c r="M37" i="1"/>
  <c r="X37" i="1" s="1"/>
  <c r="M119" i="1"/>
  <c r="X119" i="1" s="1"/>
  <c r="M55" i="1"/>
  <c r="X55" i="1" s="1"/>
  <c r="M162" i="1"/>
  <c r="X162" i="1" s="1"/>
  <c r="M199" i="1"/>
  <c r="X199" i="1" s="1"/>
  <c r="M38" i="1"/>
  <c r="X38" i="1" s="1"/>
  <c r="M12" i="1"/>
  <c r="X12" i="1" s="1"/>
  <c r="M85" i="1"/>
  <c r="X85" i="1" s="1"/>
  <c r="M48" i="1"/>
  <c r="X48" i="1" s="1"/>
  <c r="M22" i="1"/>
  <c r="X22" i="1" s="1"/>
  <c r="K86" i="1"/>
  <c r="K2" i="1"/>
  <c r="K237" i="1"/>
  <c r="K172" i="1"/>
  <c r="B155" i="1" a="1"/>
  <c r="B155" i="1" s="1"/>
  <c r="C155" i="1" s="1"/>
  <c r="B148" i="1" a="1"/>
  <c r="B148" i="1" s="1"/>
  <c r="C148" i="1" s="1"/>
  <c r="B187" i="1" a="1"/>
  <c r="B187" i="1" s="1"/>
  <c r="C187" i="1" s="1"/>
  <c r="B5" i="1" a="1"/>
  <c r="B5" i="1" s="1"/>
  <c r="C5" i="1" s="1"/>
  <c r="B240" i="1" a="1"/>
  <c r="B240" i="1" s="1"/>
  <c r="C240" i="1" s="1"/>
  <c r="B14" i="1" a="1"/>
  <c r="B14" i="1" s="1"/>
  <c r="C14" i="1" s="1"/>
  <c r="B110" i="1" a="1"/>
  <c r="B110" i="1" s="1"/>
  <c r="C110" i="1" s="1"/>
  <c r="B192" i="1" a="1"/>
  <c r="B192" i="1" s="1"/>
  <c r="C192" i="1" s="1"/>
  <c r="B246" i="1" a="1"/>
  <c r="B246" i="1" s="1"/>
  <c r="C246" i="1" s="1"/>
  <c r="B130" i="1" a="1"/>
  <c r="B130" i="1" s="1"/>
  <c r="C130" i="1" s="1"/>
  <c r="B87" i="1" a="1"/>
  <c r="B87" i="1" s="1"/>
  <c r="C87" i="1" s="1"/>
  <c r="B174" i="1" a="1"/>
  <c r="B174" i="1" s="1"/>
  <c r="C174" i="1" s="1"/>
  <c r="B216" i="1" a="1"/>
  <c r="B216" i="1" s="1"/>
  <c r="C216" i="1" s="1"/>
  <c r="B15" i="1" a="1"/>
  <c r="B15" i="1" s="1"/>
  <c r="C15" i="1" s="1"/>
  <c r="B88" i="1" a="1"/>
  <c r="B88" i="1" s="1"/>
  <c r="C88" i="1" s="1"/>
  <c r="B6" i="1" a="1"/>
  <c r="B6" i="1" s="1"/>
  <c r="C6" i="1" s="1"/>
  <c r="B23" i="1" a="1"/>
  <c r="B23" i="1" s="1"/>
  <c r="C23" i="1" s="1"/>
  <c r="B63" i="1" a="1"/>
  <c r="B63" i="1" s="1"/>
  <c r="C63" i="1" s="1"/>
  <c r="B131" i="1" a="1"/>
  <c r="B131" i="1" s="1"/>
  <c r="C131" i="1" s="1"/>
  <c r="B111" i="1" a="1"/>
  <c r="B111" i="1" s="1"/>
  <c r="C111" i="1" s="1"/>
  <c r="B70" i="1" a="1"/>
  <c r="B70" i="1" s="1"/>
  <c r="C70" i="1" s="1"/>
  <c r="B247" i="1" a="1"/>
  <c r="B247" i="1" s="1"/>
  <c r="C247" i="1" s="1"/>
  <c r="B149" i="1" a="1"/>
  <c r="B149" i="1" s="1"/>
  <c r="C149" i="1" s="1"/>
  <c r="B112" i="1" a="1"/>
  <c r="B112" i="1" s="1"/>
  <c r="C112" i="1" s="1"/>
  <c r="B113" i="1" a="1"/>
  <c r="B113" i="1" s="1"/>
  <c r="C113" i="1" s="1"/>
  <c r="B42" i="1" a="1"/>
  <c r="B42" i="1" s="1"/>
  <c r="C42" i="1" s="1"/>
  <c r="B122" i="1" a="1"/>
  <c r="B122" i="1" s="1"/>
  <c r="C122" i="1" s="1"/>
  <c r="B43" i="1" a="1"/>
  <c r="B43" i="1" s="1"/>
  <c r="C43" i="1" s="1"/>
  <c r="B96" i="1" a="1"/>
  <c r="B96" i="1" s="1"/>
  <c r="C96" i="1" s="1"/>
  <c r="B114" i="1" a="1"/>
  <c r="B114" i="1" s="1"/>
  <c r="C114" i="1" s="1"/>
  <c r="B132" i="1" a="1"/>
  <c r="B132" i="1" s="1"/>
  <c r="C132" i="1" s="1"/>
  <c r="B232" i="1" a="1"/>
  <c r="B232" i="1" s="1"/>
  <c r="C232" i="1" s="1"/>
  <c r="B24" i="1" a="1"/>
  <c r="B24" i="1" s="1"/>
  <c r="C24" i="1" s="1"/>
  <c r="B193" i="1" a="1"/>
  <c r="B193" i="1" s="1"/>
  <c r="C193" i="1" s="1"/>
  <c r="B115" i="1" a="1"/>
  <c r="B115" i="1" s="1"/>
  <c r="C115" i="1" s="1"/>
  <c r="B156" i="1" a="1"/>
  <c r="B156" i="1" s="1"/>
  <c r="C156" i="1" s="1"/>
  <c r="B64" i="1" a="1"/>
  <c r="B64" i="1" s="1"/>
  <c r="C64" i="1" s="1"/>
  <c r="B49" i="1" a="1"/>
  <c r="B49" i="1" s="1"/>
  <c r="C49" i="1" s="1"/>
  <c r="B71" i="1" a="1"/>
  <c r="B71" i="1" s="1"/>
  <c r="C71" i="1" s="1"/>
  <c r="B194" i="1" a="1"/>
  <c r="B194" i="1" s="1"/>
  <c r="C194" i="1" s="1"/>
  <c r="B31" i="1" a="1"/>
  <c r="B31" i="1" s="1"/>
  <c r="C31" i="1" s="1"/>
  <c r="B204" i="1" a="1"/>
  <c r="B204" i="1" s="1"/>
  <c r="C204" i="1" s="1"/>
  <c r="B143" i="1" a="1"/>
  <c r="B143" i="1" s="1"/>
  <c r="C143" i="1" s="1"/>
  <c r="B133" i="1" a="1"/>
  <c r="B133" i="1" s="1"/>
  <c r="C133" i="1" s="1"/>
  <c r="B229" i="1" a="1"/>
  <c r="B229" i="1" s="1"/>
  <c r="C229" i="1" s="1"/>
  <c r="B65" i="1" a="1"/>
  <c r="B65" i="1" s="1"/>
  <c r="C65" i="1" s="1"/>
  <c r="B72" i="1" a="1"/>
  <c r="B72" i="1" s="1"/>
  <c r="C72" i="1" s="1"/>
  <c r="B157" i="1" a="1"/>
  <c r="B157" i="1" s="1"/>
  <c r="C157" i="1" s="1"/>
  <c r="B163" i="1" a="1"/>
  <c r="B163" i="1" s="1"/>
  <c r="C163" i="1" s="1"/>
  <c r="B150" i="1" a="1"/>
  <c r="B150" i="1" s="1"/>
  <c r="C150" i="1" s="1"/>
  <c r="B195" i="1" a="1"/>
  <c r="B195" i="1" s="1"/>
  <c r="C195" i="1" s="1"/>
  <c r="B248" i="1" a="1"/>
  <c r="B248" i="1" s="1"/>
  <c r="C248" i="1" s="1"/>
  <c r="B137" i="1" a="1"/>
  <c r="B137" i="1" s="1"/>
  <c r="C137" i="1" s="1"/>
  <c r="B7" i="1" a="1"/>
  <c r="B7" i="1" s="1"/>
  <c r="C7" i="1" s="1"/>
  <c r="B97" i="1" a="1"/>
  <c r="B97" i="1" s="1"/>
  <c r="C97" i="1" s="1"/>
  <c r="B164" i="1" a="1"/>
  <c r="B164" i="1" s="1"/>
  <c r="C164" i="1" s="1"/>
  <c r="B241" i="1" a="1"/>
  <c r="B241" i="1" s="1"/>
  <c r="C241" i="1" s="1"/>
  <c r="B222" i="1" a="1"/>
  <c r="B222" i="1" s="1"/>
  <c r="C222" i="1" s="1"/>
  <c r="B144" i="1" a="1"/>
  <c r="B144" i="1" s="1"/>
  <c r="C144" i="1" s="1"/>
  <c r="B16" i="1" a="1"/>
  <c r="B16" i="1" s="1"/>
  <c r="C16" i="1" s="1"/>
  <c r="B89" i="1" a="1"/>
  <c r="B89" i="1" s="1"/>
  <c r="C89" i="1" s="1"/>
  <c r="B233" i="1" a="1"/>
  <c r="B233" i="1" s="1"/>
  <c r="C233" i="1" s="1"/>
  <c r="B90" i="1" a="1"/>
  <c r="B90" i="1" s="1"/>
  <c r="C90" i="1" s="1"/>
  <c r="B196" i="1" a="1"/>
  <c r="B196" i="1" s="1"/>
  <c r="C196" i="1" s="1"/>
  <c r="B17" i="1" a="1"/>
  <c r="B17" i="1" s="1"/>
  <c r="C17" i="1" s="1"/>
  <c r="B168" i="1" a="1"/>
  <c r="B168" i="1" s="1"/>
  <c r="C168" i="1" s="1"/>
  <c r="B205" i="1" a="1"/>
  <c r="B205" i="1" s="1"/>
  <c r="C205" i="1" s="1"/>
  <c r="B123" i="1" a="1"/>
  <c r="B123" i="1" s="1"/>
  <c r="C123" i="1" s="1"/>
  <c r="B103" i="1" a="1"/>
  <c r="B103" i="1" s="1"/>
  <c r="C103" i="1" s="1"/>
  <c r="B66" i="1" a="1"/>
  <c r="B66" i="1" s="1"/>
  <c r="C66" i="1" s="1"/>
  <c r="B151" i="1" a="1"/>
  <c r="B151" i="1" s="1"/>
  <c r="C151" i="1" s="1"/>
  <c r="B50" i="1" a="1"/>
  <c r="B50" i="1" s="1"/>
  <c r="C50" i="1" s="1"/>
  <c r="B104" i="1" a="1"/>
  <c r="B104" i="1" s="1"/>
  <c r="C104" i="1" s="1"/>
  <c r="B32" i="1" a="1"/>
  <c r="B32" i="1" s="1"/>
  <c r="C32" i="1" s="1"/>
  <c r="B223" i="1" a="1"/>
  <c r="B223" i="1" s="1"/>
  <c r="C223" i="1" s="1"/>
  <c r="B200" i="1" a="1"/>
  <c r="B200" i="1" s="1"/>
  <c r="C200" i="1" s="1"/>
  <c r="B18" i="1" a="1"/>
  <c r="B18" i="1" s="1"/>
  <c r="C18" i="1" s="1"/>
  <c r="B158" i="1" a="1"/>
  <c r="B158" i="1" s="1"/>
  <c r="C158" i="1" s="1"/>
  <c r="B124" i="1" a="1"/>
  <c r="B124" i="1" s="1"/>
  <c r="C124" i="1" s="1"/>
  <c r="B175" i="1" a="1"/>
  <c r="B175" i="1" s="1"/>
  <c r="C175" i="1" s="1"/>
  <c r="B212" i="1" a="1"/>
  <c r="B212" i="1" s="1"/>
  <c r="C212" i="1" s="1"/>
  <c r="B197" i="1" a="1"/>
  <c r="B197" i="1" s="1"/>
  <c r="C197" i="1" s="1"/>
  <c r="B159" i="1" a="1"/>
  <c r="B159" i="1" s="1"/>
  <c r="C159" i="1" s="1"/>
  <c r="B249" i="1" a="1"/>
  <c r="B249" i="1" s="1"/>
  <c r="C249" i="1" s="1"/>
  <c r="B73" i="1" a="1"/>
  <c r="B73" i="1" s="1"/>
  <c r="C73" i="1" s="1"/>
  <c r="B206" i="1" a="1"/>
  <c r="B206" i="1" s="1"/>
  <c r="C206" i="1" s="1"/>
  <c r="B138" i="1" a="1"/>
  <c r="B138" i="1" s="1"/>
  <c r="C138" i="1" s="1"/>
  <c r="B105" i="1" a="1"/>
  <c r="B105" i="1" s="1"/>
  <c r="C105" i="1" s="1"/>
  <c r="B67" i="1" a="1"/>
  <c r="B67" i="1" s="1"/>
  <c r="C67" i="1" s="1"/>
  <c r="B81" i="1" a="1"/>
  <c r="B81" i="1" s="1"/>
  <c r="C81" i="1" s="1"/>
  <c r="B116" i="1" a="1"/>
  <c r="B116" i="1" s="1"/>
  <c r="C116" i="1" s="1"/>
  <c r="B139" i="1" a="1"/>
  <c r="B139" i="1" s="1"/>
  <c r="C139" i="1" s="1"/>
  <c r="B188" i="1" a="1"/>
  <c r="B188" i="1" s="1"/>
  <c r="C188" i="1" s="1"/>
  <c r="B224" i="1" a="1"/>
  <c r="B224" i="1" s="1"/>
  <c r="C224" i="1" s="1"/>
  <c r="B250" i="1" a="1"/>
  <c r="B250" i="1" s="1"/>
  <c r="C250" i="1" s="1"/>
  <c r="B140" i="1" a="1"/>
  <c r="B140" i="1" s="1"/>
  <c r="C140" i="1" s="1"/>
  <c r="B74" i="1" a="1"/>
  <c r="B74" i="1" s="1"/>
  <c r="C74" i="1" s="1"/>
  <c r="B51" i="1" a="1"/>
  <c r="B51" i="1" s="1"/>
  <c r="C51" i="1" s="1"/>
  <c r="B58" i="1" a="1"/>
  <c r="B58" i="1" s="1"/>
  <c r="C58" i="1" s="1"/>
  <c r="B78" i="1" a="1"/>
  <c r="B78" i="1" s="1"/>
  <c r="C78" i="1" s="1"/>
  <c r="B217" i="1" a="1"/>
  <c r="B217" i="1" s="1"/>
  <c r="C217" i="1" s="1"/>
  <c r="B152" i="1" a="1"/>
  <c r="B152" i="1" s="1"/>
  <c r="C152" i="1" s="1"/>
  <c r="B36" i="1" a="1"/>
  <c r="B36" i="1" s="1"/>
  <c r="C36" i="1" s="1"/>
  <c r="B44" i="1" a="1"/>
  <c r="B44" i="1" s="1"/>
  <c r="C44" i="1" s="1"/>
  <c r="B160" i="1" a="1"/>
  <c r="B160" i="1" s="1"/>
  <c r="C160" i="1" s="1"/>
  <c r="B234" i="1" a="1"/>
  <c r="B234" i="1" s="1"/>
  <c r="C234" i="1" s="1"/>
  <c r="B98" i="1" a="1"/>
  <c r="B98" i="1" s="1"/>
  <c r="C98" i="1" s="1"/>
  <c r="B52" i="1" a="1"/>
  <c r="B52" i="1" s="1"/>
  <c r="C52" i="1" s="1"/>
  <c r="B180" i="1" a="1"/>
  <c r="B180" i="1" s="1"/>
  <c r="C180" i="1" s="1"/>
  <c r="B176" i="1" a="1"/>
  <c r="B176" i="1" s="1"/>
  <c r="C176" i="1" s="1"/>
  <c r="B68" i="1" a="1"/>
  <c r="B68" i="1" s="1"/>
  <c r="C68" i="1" s="1"/>
  <c r="B141" i="1" a="1"/>
  <c r="B141" i="1" s="1"/>
  <c r="C141" i="1" s="1"/>
  <c r="B91" i="1" a="1"/>
  <c r="B91" i="1" s="1"/>
  <c r="C91" i="1" s="1"/>
  <c r="B165" i="1" a="1"/>
  <c r="B165" i="1" s="1"/>
  <c r="C165" i="1" s="1"/>
  <c r="B28" i="1" a="1"/>
  <c r="B28" i="1" s="1"/>
  <c r="C28" i="1" s="1"/>
  <c r="B230" i="1" a="1"/>
  <c r="B230" i="1" s="1"/>
  <c r="C230" i="1" s="1"/>
  <c r="B117" i="1" a="1"/>
  <c r="B117" i="1" s="1"/>
  <c r="C117" i="1" s="1"/>
  <c r="B99" i="1" a="1"/>
  <c r="B99" i="1" s="1"/>
  <c r="C99" i="1" s="1"/>
  <c r="B45" i="1" a="1"/>
  <c r="B45" i="1" s="1"/>
  <c r="C45" i="1" s="1"/>
  <c r="B189" i="1" a="1"/>
  <c r="B189" i="1" s="1"/>
  <c r="C189" i="1" s="1"/>
  <c r="B79" i="1" a="1"/>
  <c r="B79" i="1" s="1"/>
  <c r="C79" i="1" s="1"/>
  <c r="B153" i="1" a="1"/>
  <c r="B153" i="1" s="1"/>
  <c r="C153" i="1" s="1"/>
  <c r="B201" i="1" a="1"/>
  <c r="B201" i="1" s="1"/>
  <c r="C201" i="1" s="1"/>
  <c r="B198" i="1" a="1"/>
  <c r="B198" i="1" s="1"/>
  <c r="C198" i="1" s="1"/>
  <c r="B213" i="1" a="1"/>
  <c r="B213" i="1" s="1"/>
  <c r="C213" i="1" s="1"/>
  <c r="B33" i="1" a="1"/>
  <c r="B33" i="1" s="1"/>
  <c r="C33" i="1" s="1"/>
  <c r="B59" i="1" a="1"/>
  <c r="B59" i="1" s="1"/>
  <c r="C59" i="1" s="1"/>
  <c r="B19" i="1" a="1"/>
  <c r="B19" i="1" s="1"/>
  <c r="C19" i="1" s="1"/>
  <c r="B9" i="1" a="1"/>
  <c r="B9" i="1" s="1"/>
  <c r="C9" i="1" s="1"/>
  <c r="B169" i="1" a="1"/>
  <c r="B169" i="1" s="1"/>
  <c r="C169" i="1" s="1"/>
  <c r="B235" i="1" a="1"/>
  <c r="B235" i="1" s="1"/>
  <c r="C235" i="1" s="1"/>
  <c r="B177" i="1" a="1"/>
  <c r="B177" i="1" s="1"/>
  <c r="C177" i="1" s="1"/>
  <c r="B60" i="1" a="1"/>
  <c r="B60" i="1" s="1"/>
  <c r="C60" i="1" s="1"/>
  <c r="B202" i="1" a="1"/>
  <c r="B202" i="1" s="1"/>
  <c r="C202" i="1" s="1"/>
  <c r="B142" i="1" a="1"/>
  <c r="B142" i="1" s="1"/>
  <c r="C142" i="1" s="1"/>
  <c r="B242" i="1" a="1"/>
  <c r="B242" i="1" s="1"/>
  <c r="C242" i="1" s="1"/>
  <c r="B8" i="1" a="1"/>
  <c r="B8" i="1" s="1"/>
  <c r="C8" i="1" s="1"/>
  <c r="B161" i="1" a="1"/>
  <c r="B161" i="1" s="1"/>
  <c r="C161" i="1" s="1"/>
  <c r="B100" i="1" a="1"/>
  <c r="B100" i="1" s="1"/>
  <c r="C100" i="1" s="1"/>
  <c r="B10" i="1" a="1"/>
  <c r="B10" i="1" s="1"/>
  <c r="C10" i="1" s="1"/>
  <c r="B134" i="1" a="1"/>
  <c r="B134" i="1" s="1"/>
  <c r="C134" i="1" s="1"/>
  <c r="B251" i="1" a="1"/>
  <c r="B251" i="1" s="1"/>
  <c r="C251" i="1" s="1"/>
  <c r="B225" i="1" a="1"/>
  <c r="B225" i="1" s="1"/>
  <c r="C225" i="1" s="1"/>
  <c r="B46" i="1" a="1"/>
  <c r="B46" i="1" s="1"/>
  <c r="C46" i="1" s="1"/>
  <c r="B231" i="1" a="1"/>
  <c r="B231" i="1" s="1"/>
  <c r="C231" i="1" s="1"/>
  <c r="B125" i="1" a="1"/>
  <c r="B125" i="1" s="1"/>
  <c r="C125" i="1" s="1"/>
  <c r="B126" i="1" a="1"/>
  <c r="B126" i="1" s="1"/>
  <c r="C126" i="1" s="1"/>
  <c r="B20" i="1" a="1"/>
  <c r="B20" i="1" s="1"/>
  <c r="C20" i="1" s="1"/>
  <c r="B218" i="1" a="1"/>
  <c r="B218" i="1" s="1"/>
  <c r="C218" i="1" s="1"/>
  <c r="B118" i="1" a="1"/>
  <c r="B118" i="1" s="1"/>
  <c r="C118" i="1" s="1"/>
  <c r="B145" i="1" a="1"/>
  <c r="B145" i="1" s="1"/>
  <c r="C145" i="1" s="1"/>
  <c r="B236" i="1" a="1"/>
  <c r="B236" i="1" s="1"/>
  <c r="C236" i="1" s="1"/>
  <c r="B11" i="1" a="1"/>
  <c r="B11" i="1" s="1"/>
  <c r="C11" i="1" s="1"/>
  <c r="B170" i="1" a="1"/>
  <c r="B170" i="1" s="1"/>
  <c r="C170" i="1" s="1"/>
  <c r="B181" i="1" a="1"/>
  <c r="B181" i="1" s="1"/>
  <c r="C181" i="1" s="1"/>
  <c r="B75" i="1" a="1"/>
  <c r="B75" i="1" s="1"/>
  <c r="C75" i="1" s="1"/>
  <c r="B127" i="1" a="1"/>
  <c r="B127" i="1" s="1"/>
  <c r="C127" i="1" s="1"/>
  <c r="B53" i="1" a="1"/>
  <c r="B53" i="1" s="1"/>
  <c r="C53" i="1" s="1"/>
  <c r="B226" i="1" a="1"/>
  <c r="B226" i="1" s="1"/>
  <c r="C226" i="1" s="1"/>
  <c r="B182" i="1" a="1"/>
  <c r="B182" i="1" s="1"/>
  <c r="C182" i="1" s="1"/>
  <c r="B183" i="1" a="1"/>
  <c r="B183" i="1" s="1"/>
  <c r="C183" i="1" s="1"/>
  <c r="B207" i="1" a="1"/>
  <c r="B207" i="1" s="1"/>
  <c r="C207" i="1" s="1"/>
  <c r="B227" i="1" a="1"/>
  <c r="B227" i="1" s="1"/>
  <c r="C227" i="1" s="1"/>
  <c r="B80" i="1" a="1"/>
  <c r="B80" i="1" s="1"/>
  <c r="C80" i="1" s="1"/>
  <c r="B21" i="1" a="1"/>
  <c r="B21" i="1" s="1"/>
  <c r="C21" i="1" s="1"/>
  <c r="B101" i="1" a="1"/>
  <c r="B101" i="1" s="1"/>
  <c r="C101" i="1" s="1"/>
  <c r="B34" i="1" a="1"/>
  <c r="B34" i="1" s="1"/>
  <c r="C34" i="1" s="1"/>
  <c r="B82" i="1" a="1"/>
  <c r="B82" i="1" s="1"/>
  <c r="C82" i="1" s="1"/>
  <c r="B69" i="1" a="1"/>
  <c r="B69" i="1" s="1"/>
  <c r="C69" i="1" s="1"/>
  <c r="B106" i="1" a="1"/>
  <c r="B106" i="1" s="1"/>
  <c r="C106" i="1" s="1"/>
  <c r="B25" i="1" a="1"/>
  <c r="B25" i="1" s="1"/>
  <c r="C25" i="1" s="1"/>
  <c r="B83" i="1" a="1"/>
  <c r="B83" i="1" s="1"/>
  <c r="C83" i="1" s="1"/>
  <c r="B92" i="1" a="1"/>
  <c r="B92" i="1" s="1"/>
  <c r="C92" i="1" s="1"/>
  <c r="B208" i="1" a="1"/>
  <c r="B208" i="1" s="1"/>
  <c r="C208" i="1" s="1"/>
  <c r="B107" i="1" a="1"/>
  <c r="B107" i="1" s="1"/>
  <c r="C107" i="1" s="1"/>
  <c r="B243" i="1" a="1"/>
  <c r="B243" i="1" s="1"/>
  <c r="C243" i="1" s="1"/>
  <c r="B76" i="1" a="1"/>
  <c r="B76" i="1" s="1"/>
  <c r="C76" i="1" s="1"/>
  <c r="B47" i="1" a="1"/>
  <c r="B47" i="1" s="1"/>
  <c r="C47" i="1" s="1"/>
  <c r="B54" i="1" a="1"/>
  <c r="B54" i="1" s="1"/>
  <c r="C54" i="1" s="1"/>
  <c r="B29" i="1" a="1"/>
  <c r="B29" i="1" s="1"/>
  <c r="C29" i="1" s="1"/>
  <c r="B219" i="1" a="1"/>
  <c r="B219" i="1" s="1"/>
  <c r="C219" i="1" s="1"/>
  <c r="B166" i="1" a="1"/>
  <c r="B166" i="1" s="1"/>
  <c r="C166" i="1" s="1"/>
  <c r="B84" i="1" a="1"/>
  <c r="B84" i="1" s="1"/>
  <c r="C84" i="1" s="1"/>
  <c r="B190" i="1" a="1"/>
  <c r="B190" i="1" s="1"/>
  <c r="C190" i="1" s="1"/>
  <c r="B209" i="1" a="1"/>
  <c r="B209" i="1" s="1"/>
  <c r="C209" i="1" s="1"/>
  <c r="B220" i="1" a="1"/>
  <c r="B220" i="1" s="1"/>
  <c r="C220" i="1" s="1"/>
  <c r="B178" i="1" a="1"/>
  <c r="B178" i="1" s="1"/>
  <c r="C178" i="1" s="1"/>
  <c r="B171" i="1" a="1"/>
  <c r="B171" i="1" s="1"/>
  <c r="C171" i="1" s="1"/>
  <c r="B214" i="1" a="1"/>
  <c r="B214" i="1" s="1"/>
  <c r="C214" i="1" s="1"/>
  <c r="B37" i="1" a="1"/>
  <c r="B37" i="1" s="1"/>
  <c r="C37" i="1" s="1"/>
  <c r="B119" i="1" a="1"/>
  <c r="B119" i="1" s="1"/>
  <c r="C119" i="1" s="1"/>
  <c r="B55" i="1" a="1"/>
  <c r="B55" i="1" s="1"/>
  <c r="C55" i="1" s="1"/>
  <c r="B162" i="1" a="1"/>
  <c r="B162" i="1" s="1"/>
  <c r="C162" i="1" s="1"/>
  <c r="B199" i="1" a="1"/>
  <c r="B199" i="1" s="1"/>
  <c r="C199" i="1" s="1"/>
  <c r="B38" i="1" a="1"/>
  <c r="B38" i="1" s="1"/>
  <c r="C38" i="1" s="1"/>
  <c r="B12" i="1" a="1"/>
  <c r="B12" i="1" s="1"/>
  <c r="C12" i="1" s="1"/>
  <c r="B85" i="1" a="1"/>
  <c r="B85" i="1" s="1"/>
  <c r="C85" i="1" s="1"/>
  <c r="B48" i="1" a="1"/>
  <c r="B48" i="1" s="1"/>
  <c r="C48" i="1" s="1"/>
  <c r="B22" i="1" a="1"/>
  <c r="B22" i="1" s="1"/>
  <c r="C22" i="1" s="1"/>
  <c r="D155" i="1"/>
  <c r="E155" i="1" s="1"/>
  <c r="D148" i="1"/>
  <c r="E148" i="1" s="1"/>
  <c r="D187" i="1"/>
  <c r="E187" i="1" s="1"/>
  <c r="D5" i="1"/>
  <c r="E5" i="1" s="1"/>
  <c r="D240" i="1"/>
  <c r="E240" i="1" s="1"/>
  <c r="D14" i="1"/>
  <c r="E14" i="1" s="1"/>
  <c r="D110" i="1"/>
  <c r="E110" i="1" s="1"/>
  <c r="D192" i="1"/>
  <c r="E192" i="1" s="1"/>
  <c r="D246" i="1"/>
  <c r="E246" i="1" s="1"/>
  <c r="D130" i="1"/>
  <c r="E130" i="1" s="1"/>
  <c r="D87" i="1"/>
  <c r="E87" i="1" s="1"/>
  <c r="D174" i="1"/>
  <c r="E174" i="1" s="1"/>
  <c r="D216" i="1"/>
  <c r="E216" i="1" s="1"/>
  <c r="D15" i="1"/>
  <c r="E15" i="1" s="1"/>
  <c r="D88" i="1"/>
  <c r="E88" i="1" s="1"/>
  <c r="D6" i="1"/>
  <c r="E6" i="1" s="1"/>
  <c r="D23" i="1"/>
  <c r="E23" i="1" s="1"/>
  <c r="D63" i="1"/>
  <c r="E63" i="1" s="1"/>
  <c r="D131" i="1"/>
  <c r="E131" i="1" s="1"/>
  <c r="D111" i="1"/>
  <c r="E111" i="1" s="1"/>
  <c r="D70" i="1"/>
  <c r="E70" i="1" s="1"/>
  <c r="D247" i="1"/>
  <c r="E247" i="1" s="1"/>
  <c r="D149" i="1"/>
  <c r="E149" i="1" s="1"/>
  <c r="D112" i="1"/>
  <c r="E112" i="1" s="1"/>
  <c r="D113" i="1"/>
  <c r="E113" i="1" s="1"/>
  <c r="D42" i="1"/>
  <c r="E42" i="1" s="1"/>
  <c r="D122" i="1"/>
  <c r="E122" i="1" s="1"/>
  <c r="D43" i="1"/>
  <c r="E43" i="1" s="1"/>
  <c r="D96" i="1"/>
  <c r="E96" i="1" s="1"/>
  <c r="D114" i="1"/>
  <c r="E114" i="1" s="1"/>
  <c r="D132" i="1"/>
  <c r="E132" i="1" s="1"/>
  <c r="D232" i="1"/>
  <c r="E232" i="1" s="1"/>
  <c r="D24" i="1"/>
  <c r="E24" i="1" s="1"/>
  <c r="D193" i="1"/>
  <c r="E193" i="1" s="1"/>
  <c r="D115" i="1"/>
  <c r="E115" i="1" s="1"/>
  <c r="D156" i="1"/>
  <c r="E156" i="1" s="1"/>
  <c r="D64" i="1"/>
  <c r="E64" i="1" s="1"/>
  <c r="D49" i="1"/>
  <c r="E49" i="1" s="1"/>
  <c r="D71" i="1"/>
  <c r="E71" i="1" s="1"/>
  <c r="D194" i="1"/>
  <c r="E194" i="1" s="1"/>
  <c r="D31" i="1"/>
  <c r="E31" i="1" s="1"/>
  <c r="D204" i="1"/>
  <c r="E204" i="1" s="1"/>
  <c r="D143" i="1"/>
  <c r="E143" i="1" s="1"/>
  <c r="D133" i="1"/>
  <c r="E133" i="1" s="1"/>
  <c r="D229" i="1"/>
  <c r="E229" i="1" s="1"/>
  <c r="D65" i="1"/>
  <c r="E65" i="1" s="1"/>
  <c r="D72" i="1"/>
  <c r="E72" i="1" s="1"/>
  <c r="D157" i="1"/>
  <c r="E157" i="1" s="1"/>
  <c r="D163" i="1"/>
  <c r="E163" i="1" s="1"/>
  <c r="D150" i="1"/>
  <c r="E150" i="1" s="1"/>
  <c r="D195" i="1"/>
  <c r="E195" i="1" s="1"/>
  <c r="D248" i="1"/>
  <c r="E248" i="1" s="1"/>
  <c r="D137" i="1"/>
  <c r="E137" i="1" s="1"/>
  <c r="D7" i="1"/>
  <c r="E7" i="1" s="1"/>
  <c r="D97" i="1"/>
  <c r="E97" i="1" s="1"/>
  <c r="D164" i="1"/>
  <c r="E164" i="1" s="1"/>
  <c r="D241" i="1"/>
  <c r="E241" i="1" s="1"/>
  <c r="D222" i="1"/>
  <c r="E222" i="1" s="1"/>
  <c r="D144" i="1"/>
  <c r="E144" i="1" s="1"/>
  <c r="D16" i="1"/>
  <c r="E16" i="1" s="1"/>
  <c r="D89" i="1"/>
  <c r="E89" i="1" s="1"/>
  <c r="D233" i="1"/>
  <c r="E233" i="1" s="1"/>
  <c r="D90" i="1"/>
  <c r="E90" i="1" s="1"/>
  <c r="D196" i="1"/>
  <c r="E196" i="1" s="1"/>
  <c r="D17" i="1"/>
  <c r="E17" i="1" s="1"/>
  <c r="D168" i="1"/>
  <c r="E168" i="1" s="1"/>
  <c r="D205" i="1"/>
  <c r="E205" i="1" s="1"/>
  <c r="D123" i="1"/>
  <c r="E123" i="1" s="1"/>
  <c r="D103" i="1"/>
  <c r="E103" i="1" s="1"/>
  <c r="D66" i="1"/>
  <c r="E66" i="1" s="1"/>
  <c r="D151" i="1"/>
  <c r="E151" i="1" s="1"/>
  <c r="D50" i="1"/>
  <c r="E50" i="1" s="1"/>
  <c r="D104" i="1"/>
  <c r="E104" i="1" s="1"/>
  <c r="D32" i="1"/>
  <c r="E32" i="1" s="1"/>
  <c r="D223" i="1"/>
  <c r="E223" i="1" s="1"/>
  <c r="D200" i="1"/>
  <c r="E200" i="1" s="1"/>
  <c r="D18" i="1"/>
  <c r="E18" i="1" s="1"/>
  <c r="D158" i="1"/>
  <c r="E158" i="1" s="1"/>
  <c r="D124" i="1"/>
  <c r="E124" i="1" s="1"/>
  <c r="D175" i="1"/>
  <c r="E175" i="1" s="1"/>
  <c r="D212" i="1"/>
  <c r="E212" i="1" s="1"/>
  <c r="D197" i="1"/>
  <c r="E197" i="1" s="1"/>
  <c r="D159" i="1"/>
  <c r="E159" i="1" s="1"/>
  <c r="D249" i="1"/>
  <c r="E249" i="1" s="1"/>
  <c r="D73" i="1"/>
  <c r="E73" i="1" s="1"/>
  <c r="D206" i="1"/>
  <c r="E206" i="1" s="1"/>
  <c r="D138" i="1"/>
  <c r="E138" i="1" s="1"/>
  <c r="D105" i="1"/>
  <c r="E105" i="1" s="1"/>
  <c r="D67" i="1"/>
  <c r="E67" i="1" s="1"/>
  <c r="D81" i="1"/>
  <c r="E81" i="1" s="1"/>
  <c r="D116" i="1"/>
  <c r="E116" i="1" s="1"/>
  <c r="D139" i="1"/>
  <c r="E139" i="1" s="1"/>
  <c r="D188" i="1"/>
  <c r="E188" i="1" s="1"/>
  <c r="D224" i="1"/>
  <c r="E224" i="1" s="1"/>
  <c r="D250" i="1"/>
  <c r="E250" i="1" s="1"/>
  <c r="D140" i="1"/>
  <c r="E140" i="1" s="1"/>
  <c r="D74" i="1"/>
  <c r="E74" i="1" s="1"/>
  <c r="D51" i="1"/>
  <c r="E51" i="1" s="1"/>
  <c r="D58" i="1"/>
  <c r="E58" i="1" s="1"/>
  <c r="D78" i="1"/>
  <c r="E78" i="1" s="1"/>
  <c r="D217" i="1"/>
  <c r="E217" i="1" s="1"/>
  <c r="D152" i="1"/>
  <c r="E152" i="1" s="1"/>
  <c r="D36" i="1"/>
  <c r="E36" i="1" s="1"/>
  <c r="D44" i="1"/>
  <c r="E44" i="1" s="1"/>
  <c r="D160" i="1"/>
  <c r="E160" i="1" s="1"/>
  <c r="D234" i="1"/>
  <c r="E234" i="1" s="1"/>
  <c r="D98" i="1"/>
  <c r="E98" i="1" s="1"/>
  <c r="D52" i="1"/>
  <c r="E52" i="1" s="1"/>
  <c r="D180" i="1"/>
  <c r="E180" i="1" s="1"/>
  <c r="D176" i="1"/>
  <c r="E176" i="1" s="1"/>
  <c r="D68" i="1"/>
  <c r="E68" i="1" s="1"/>
  <c r="D141" i="1"/>
  <c r="E141" i="1" s="1"/>
  <c r="D91" i="1"/>
  <c r="E91" i="1" s="1"/>
  <c r="D165" i="1"/>
  <c r="E165" i="1" s="1"/>
  <c r="D28" i="1"/>
  <c r="E28" i="1" s="1"/>
  <c r="D230" i="1"/>
  <c r="E230" i="1" s="1"/>
  <c r="D117" i="1"/>
  <c r="E117" i="1" s="1"/>
  <c r="D99" i="1"/>
  <c r="E99" i="1" s="1"/>
  <c r="D45" i="1"/>
  <c r="E45" i="1" s="1"/>
  <c r="D189" i="1"/>
  <c r="E189" i="1" s="1"/>
  <c r="D79" i="1"/>
  <c r="E79" i="1" s="1"/>
  <c r="D153" i="1"/>
  <c r="E153" i="1" s="1"/>
  <c r="D201" i="1"/>
  <c r="E201" i="1" s="1"/>
  <c r="D198" i="1"/>
  <c r="E198" i="1" s="1"/>
  <c r="D213" i="1"/>
  <c r="E213" i="1" s="1"/>
  <c r="D33" i="1"/>
  <c r="E33" i="1" s="1"/>
  <c r="D59" i="1"/>
  <c r="E59" i="1" s="1"/>
  <c r="D19" i="1"/>
  <c r="E19" i="1" s="1"/>
  <c r="D9" i="1"/>
  <c r="E9" i="1" s="1"/>
  <c r="D169" i="1"/>
  <c r="E169" i="1" s="1"/>
  <c r="D235" i="1"/>
  <c r="E235" i="1" s="1"/>
  <c r="D177" i="1"/>
  <c r="E177" i="1" s="1"/>
  <c r="D60" i="1"/>
  <c r="E60" i="1" s="1"/>
  <c r="D202" i="1"/>
  <c r="E202" i="1" s="1"/>
  <c r="D142" i="1"/>
  <c r="E142" i="1" s="1"/>
  <c r="D242" i="1"/>
  <c r="E242" i="1" s="1"/>
  <c r="D8" i="1"/>
  <c r="E8" i="1" s="1"/>
  <c r="D161" i="1"/>
  <c r="E161" i="1" s="1"/>
  <c r="D100" i="1"/>
  <c r="E100" i="1" s="1"/>
  <c r="D10" i="1"/>
  <c r="E10" i="1" s="1"/>
  <c r="D134" i="1"/>
  <c r="E134" i="1" s="1"/>
  <c r="D251" i="1"/>
  <c r="E251" i="1" s="1"/>
  <c r="D225" i="1"/>
  <c r="E225" i="1" s="1"/>
  <c r="D46" i="1"/>
  <c r="E46" i="1" s="1"/>
  <c r="D231" i="1"/>
  <c r="E231" i="1" s="1"/>
  <c r="D125" i="1"/>
  <c r="E125" i="1" s="1"/>
  <c r="D126" i="1"/>
  <c r="E126" i="1" s="1"/>
  <c r="D20" i="1"/>
  <c r="E20" i="1" s="1"/>
  <c r="D218" i="1"/>
  <c r="E218" i="1" s="1"/>
  <c r="D118" i="1"/>
  <c r="E118" i="1" s="1"/>
  <c r="D145" i="1"/>
  <c r="E145" i="1" s="1"/>
  <c r="D236" i="1"/>
  <c r="E236" i="1" s="1"/>
  <c r="D11" i="1"/>
  <c r="E11" i="1" s="1"/>
  <c r="D170" i="1"/>
  <c r="E170" i="1" s="1"/>
  <c r="D181" i="1"/>
  <c r="E181" i="1" s="1"/>
  <c r="D75" i="1"/>
  <c r="E75" i="1" s="1"/>
  <c r="D127" i="1"/>
  <c r="E127" i="1" s="1"/>
  <c r="D53" i="1"/>
  <c r="E53" i="1" s="1"/>
  <c r="D226" i="1"/>
  <c r="E226" i="1" s="1"/>
  <c r="D182" i="1"/>
  <c r="E182" i="1" s="1"/>
  <c r="D183" i="1"/>
  <c r="E183" i="1" s="1"/>
  <c r="D207" i="1"/>
  <c r="E207" i="1" s="1"/>
  <c r="D227" i="1"/>
  <c r="E227" i="1" s="1"/>
  <c r="D80" i="1"/>
  <c r="E80" i="1" s="1"/>
  <c r="D21" i="1"/>
  <c r="E21" i="1" s="1"/>
  <c r="D101" i="1"/>
  <c r="E101" i="1" s="1"/>
  <c r="D34" i="1"/>
  <c r="E34" i="1" s="1"/>
  <c r="D82" i="1"/>
  <c r="E82" i="1" s="1"/>
  <c r="D69" i="1"/>
  <c r="E69" i="1" s="1"/>
  <c r="D106" i="1"/>
  <c r="E106" i="1" s="1"/>
  <c r="D25" i="1"/>
  <c r="E25" i="1" s="1"/>
  <c r="D83" i="1"/>
  <c r="E83" i="1" s="1"/>
  <c r="D92" i="1"/>
  <c r="E92" i="1" s="1"/>
  <c r="D208" i="1"/>
  <c r="E208" i="1" s="1"/>
  <c r="D107" i="1"/>
  <c r="E107" i="1" s="1"/>
  <c r="D243" i="1"/>
  <c r="E243" i="1" s="1"/>
  <c r="D76" i="1"/>
  <c r="E76" i="1" s="1"/>
  <c r="D47" i="1"/>
  <c r="E47" i="1" s="1"/>
  <c r="D54" i="1"/>
  <c r="E54" i="1" s="1"/>
  <c r="D29" i="1"/>
  <c r="E29" i="1" s="1"/>
  <c r="D219" i="1"/>
  <c r="E219" i="1" s="1"/>
  <c r="D166" i="1"/>
  <c r="E166" i="1" s="1"/>
  <c r="D84" i="1"/>
  <c r="E84" i="1" s="1"/>
  <c r="D190" i="1"/>
  <c r="E190" i="1" s="1"/>
  <c r="D209" i="1"/>
  <c r="E209" i="1" s="1"/>
  <c r="D220" i="1"/>
  <c r="E220" i="1" s="1"/>
  <c r="D178" i="1"/>
  <c r="E178" i="1" s="1"/>
  <c r="D171" i="1"/>
  <c r="E171" i="1" s="1"/>
  <c r="D214" i="1"/>
  <c r="E214" i="1" s="1"/>
  <c r="D37" i="1"/>
  <c r="E37" i="1" s="1"/>
  <c r="D119" i="1"/>
  <c r="E119" i="1" s="1"/>
  <c r="D55" i="1"/>
  <c r="E55" i="1" s="1"/>
  <c r="D162" i="1"/>
  <c r="E162" i="1" s="1"/>
  <c r="D199" i="1"/>
  <c r="E199" i="1" s="1"/>
  <c r="D38" i="1"/>
  <c r="E38" i="1" s="1"/>
  <c r="D12" i="1"/>
  <c r="E12" i="1" s="1"/>
  <c r="D85" i="1"/>
  <c r="E85" i="1" s="1"/>
  <c r="D48" i="1"/>
  <c r="E48" i="1" s="1"/>
  <c r="D22" i="1"/>
  <c r="E22" i="1" s="1"/>
  <c r="I155" i="1"/>
  <c r="I148" i="1"/>
  <c r="I187" i="1"/>
  <c r="I5" i="1"/>
  <c r="I240" i="1"/>
  <c r="I14" i="1"/>
  <c r="I110" i="1"/>
  <c r="I192" i="1"/>
  <c r="I246" i="1"/>
  <c r="I130" i="1"/>
  <c r="I87" i="1"/>
  <c r="I174" i="1"/>
  <c r="I216" i="1"/>
  <c r="I15" i="1"/>
  <c r="I88" i="1"/>
  <c r="I6" i="1"/>
  <c r="I23" i="1"/>
  <c r="I63" i="1"/>
  <c r="I131" i="1"/>
  <c r="I111" i="1"/>
  <c r="I70" i="1"/>
  <c r="I247" i="1"/>
  <c r="I149" i="1"/>
  <c r="I112" i="1"/>
  <c r="I113" i="1"/>
  <c r="I42" i="1"/>
  <c r="I122" i="1"/>
  <c r="I43" i="1"/>
  <c r="I96" i="1"/>
  <c r="I114" i="1"/>
  <c r="I132" i="1"/>
  <c r="I232" i="1"/>
  <c r="I24" i="1"/>
  <c r="I193" i="1"/>
  <c r="I115" i="1"/>
  <c r="I156" i="1"/>
  <c r="I64" i="1"/>
  <c r="I49" i="1"/>
  <c r="I71" i="1"/>
  <c r="I194" i="1"/>
  <c r="I31" i="1"/>
  <c r="I204" i="1"/>
  <c r="I143" i="1"/>
  <c r="I133" i="1"/>
  <c r="I229" i="1"/>
  <c r="I65" i="1"/>
  <c r="I72" i="1"/>
  <c r="I157" i="1"/>
  <c r="I163" i="1"/>
  <c r="I150" i="1"/>
  <c r="I195" i="1"/>
  <c r="I248" i="1"/>
  <c r="I137" i="1"/>
  <c r="I7" i="1"/>
  <c r="I97" i="1"/>
  <c r="I164" i="1"/>
  <c r="I241" i="1"/>
  <c r="I222" i="1"/>
  <c r="I144" i="1"/>
  <c r="I16" i="1"/>
  <c r="I89" i="1"/>
  <c r="I233" i="1"/>
  <c r="I90" i="1"/>
  <c r="I196" i="1"/>
  <c r="I17" i="1"/>
  <c r="I168" i="1"/>
  <c r="I205" i="1"/>
  <c r="I123" i="1"/>
  <c r="I103" i="1"/>
  <c r="I66" i="1"/>
  <c r="I151" i="1"/>
  <c r="I50" i="1"/>
  <c r="I104" i="1"/>
  <c r="I32" i="1"/>
  <c r="I223" i="1"/>
  <c r="I200" i="1"/>
  <c r="I18" i="1"/>
  <c r="I158" i="1"/>
  <c r="I124" i="1"/>
  <c r="I175" i="1"/>
  <c r="I212" i="1"/>
  <c r="I197" i="1"/>
  <c r="I159" i="1"/>
  <c r="I249" i="1"/>
  <c r="I73" i="1"/>
  <c r="I206" i="1"/>
  <c r="I138" i="1"/>
  <c r="I105" i="1"/>
  <c r="I67" i="1"/>
  <c r="I81" i="1"/>
  <c r="I116" i="1"/>
  <c r="I139" i="1"/>
  <c r="I188" i="1"/>
  <c r="I224" i="1"/>
  <c r="I250" i="1"/>
  <c r="I140" i="1"/>
  <c r="I74" i="1"/>
  <c r="I51" i="1"/>
  <c r="I58" i="1"/>
  <c r="I78" i="1"/>
  <c r="I217" i="1"/>
  <c r="I152" i="1"/>
  <c r="I36" i="1"/>
  <c r="I44" i="1"/>
  <c r="I160" i="1"/>
  <c r="I234" i="1"/>
  <c r="I98" i="1"/>
  <c r="I52" i="1"/>
  <c r="I180" i="1"/>
  <c r="I176" i="1"/>
  <c r="I68" i="1"/>
  <c r="I141" i="1"/>
  <c r="I91" i="1"/>
  <c r="I165" i="1"/>
  <c r="I28" i="1"/>
  <c r="I230" i="1"/>
  <c r="I117" i="1"/>
  <c r="I99" i="1"/>
  <c r="I45" i="1"/>
  <c r="I189" i="1"/>
  <c r="I79" i="1"/>
  <c r="I153" i="1"/>
  <c r="I201" i="1"/>
  <c r="I198" i="1"/>
  <c r="I213" i="1"/>
  <c r="I33" i="1"/>
  <c r="I59" i="1"/>
  <c r="I19" i="1"/>
  <c r="I9" i="1"/>
  <c r="I169" i="1"/>
  <c r="I235" i="1"/>
  <c r="I177" i="1"/>
  <c r="I60" i="1"/>
  <c r="I202" i="1"/>
  <c r="I142" i="1"/>
  <c r="I242" i="1"/>
  <c r="I8" i="1"/>
  <c r="I161" i="1"/>
  <c r="I100" i="1"/>
  <c r="I10" i="1"/>
  <c r="I134" i="1"/>
  <c r="I251" i="1"/>
  <c r="I225" i="1"/>
  <c r="I46" i="1"/>
  <c r="I231" i="1"/>
  <c r="I125" i="1"/>
  <c r="I126" i="1"/>
  <c r="I20" i="1"/>
  <c r="I218" i="1"/>
  <c r="I118" i="1"/>
  <c r="I145" i="1"/>
  <c r="I236" i="1"/>
  <c r="I11" i="1"/>
  <c r="I170" i="1"/>
  <c r="I181" i="1"/>
  <c r="I75" i="1"/>
  <c r="I127" i="1"/>
  <c r="I53" i="1"/>
  <c r="I226" i="1"/>
  <c r="I182" i="1"/>
  <c r="I183" i="1"/>
  <c r="I207" i="1"/>
  <c r="I227" i="1"/>
  <c r="I80" i="1"/>
  <c r="I21" i="1"/>
  <c r="I101" i="1"/>
  <c r="I34" i="1"/>
  <c r="I82" i="1"/>
  <c r="I69" i="1"/>
  <c r="I106" i="1"/>
  <c r="I25" i="1"/>
  <c r="I83" i="1"/>
  <c r="I92" i="1"/>
  <c r="I208" i="1"/>
  <c r="I107" i="1"/>
  <c r="I243" i="1"/>
  <c r="I76" i="1"/>
  <c r="I47" i="1"/>
  <c r="I54" i="1"/>
  <c r="I29" i="1"/>
  <c r="I219" i="1"/>
  <c r="I166" i="1"/>
  <c r="I84" i="1"/>
  <c r="I190" i="1"/>
  <c r="I209" i="1"/>
  <c r="I220" i="1"/>
  <c r="I178" i="1"/>
  <c r="I171" i="1"/>
  <c r="I214" i="1"/>
  <c r="I37" i="1"/>
  <c r="I119" i="1"/>
  <c r="I55" i="1"/>
  <c r="I162" i="1"/>
  <c r="I199" i="1"/>
  <c r="I38" i="1"/>
  <c r="I12" i="1"/>
  <c r="I85" i="1"/>
  <c r="I48" i="1"/>
  <c r="I22" i="1"/>
  <c r="J155" i="1" a="1"/>
  <c r="J155" i="1" s="1"/>
  <c r="J148" i="1" a="1"/>
  <c r="J148" i="1" s="1"/>
  <c r="J187" i="1" a="1"/>
  <c r="J187" i="1" s="1"/>
  <c r="J5" i="1" a="1"/>
  <c r="J5" i="1" s="1"/>
  <c r="J240" i="1" a="1"/>
  <c r="J240" i="1" s="1"/>
  <c r="J14" i="1" a="1"/>
  <c r="J14" i="1" s="1"/>
  <c r="J110" i="1" a="1"/>
  <c r="J110" i="1" s="1"/>
  <c r="J192" i="1" a="1"/>
  <c r="J192" i="1" s="1"/>
  <c r="J246" i="1" a="1"/>
  <c r="J246" i="1" s="1"/>
  <c r="J130" i="1" a="1"/>
  <c r="J130" i="1" s="1"/>
  <c r="J87" i="1" a="1"/>
  <c r="J87" i="1" s="1"/>
  <c r="J174" i="1" a="1"/>
  <c r="J174" i="1" s="1"/>
  <c r="J216" i="1" a="1"/>
  <c r="J216" i="1" s="1"/>
  <c r="J15" i="1" a="1"/>
  <c r="J15" i="1" s="1"/>
  <c r="J88" i="1" a="1"/>
  <c r="J88" i="1" s="1"/>
  <c r="J6" i="1" a="1"/>
  <c r="J6" i="1" s="1"/>
  <c r="J23" i="1" a="1"/>
  <c r="J23" i="1" s="1"/>
  <c r="J63" i="1" a="1"/>
  <c r="J63" i="1" s="1"/>
  <c r="J131" i="1" a="1"/>
  <c r="J131" i="1" s="1"/>
  <c r="J111" i="1" a="1"/>
  <c r="J111" i="1" s="1"/>
  <c r="J70" i="1" a="1"/>
  <c r="J70" i="1" s="1"/>
  <c r="J247" i="1" a="1"/>
  <c r="J247" i="1" s="1"/>
  <c r="J149" i="1" a="1"/>
  <c r="J149" i="1" s="1"/>
  <c r="J112" i="1" a="1"/>
  <c r="J112" i="1" s="1"/>
  <c r="J113" i="1" a="1"/>
  <c r="J113" i="1" s="1"/>
  <c r="J42" i="1" a="1"/>
  <c r="J42" i="1" s="1"/>
  <c r="J122" i="1" a="1"/>
  <c r="J122" i="1" s="1"/>
  <c r="J43" i="1" a="1"/>
  <c r="J43" i="1" s="1"/>
  <c r="J96" i="1" a="1"/>
  <c r="J96" i="1" s="1"/>
  <c r="J114" i="1" a="1"/>
  <c r="J114" i="1" s="1"/>
  <c r="J132" i="1" a="1"/>
  <c r="J132" i="1" s="1"/>
  <c r="J232" i="1" a="1"/>
  <c r="J232" i="1" s="1"/>
  <c r="J24" i="1" a="1"/>
  <c r="J24" i="1" s="1"/>
  <c r="J193" i="1" a="1"/>
  <c r="J193" i="1" s="1"/>
  <c r="J115" i="1" a="1"/>
  <c r="J115" i="1" s="1"/>
  <c r="J156" i="1" a="1"/>
  <c r="J156" i="1" s="1"/>
  <c r="J64" i="1" a="1"/>
  <c r="J64" i="1" s="1"/>
  <c r="J49" i="1" a="1"/>
  <c r="J49" i="1" s="1"/>
  <c r="J71" i="1" a="1"/>
  <c r="J71" i="1" s="1"/>
  <c r="J194" i="1" a="1"/>
  <c r="J194" i="1" s="1"/>
  <c r="J31" i="1" a="1"/>
  <c r="J31" i="1" s="1"/>
  <c r="J204" i="1" a="1"/>
  <c r="J204" i="1" s="1"/>
  <c r="J143" i="1" a="1"/>
  <c r="J143" i="1" s="1"/>
  <c r="J133" i="1" a="1"/>
  <c r="J133" i="1" s="1"/>
  <c r="J229" i="1" a="1"/>
  <c r="J229" i="1" s="1"/>
  <c r="J65" i="1" a="1"/>
  <c r="J65" i="1" s="1"/>
  <c r="J72" i="1" a="1"/>
  <c r="J72" i="1" s="1"/>
  <c r="J157" i="1" a="1"/>
  <c r="J157" i="1" s="1"/>
  <c r="J163" i="1" a="1"/>
  <c r="J163" i="1" s="1"/>
  <c r="J150" i="1" a="1"/>
  <c r="J150" i="1" s="1"/>
  <c r="J195" i="1" a="1"/>
  <c r="J195" i="1" s="1"/>
  <c r="J248" i="1" a="1"/>
  <c r="J248" i="1" s="1"/>
  <c r="J137" i="1" a="1"/>
  <c r="J137" i="1" s="1"/>
  <c r="J7" i="1" a="1"/>
  <c r="J7" i="1" s="1"/>
  <c r="J97" i="1" a="1"/>
  <c r="J97" i="1" s="1"/>
  <c r="J164" i="1" a="1"/>
  <c r="J164" i="1" s="1"/>
  <c r="J241" i="1" a="1"/>
  <c r="J241" i="1" s="1"/>
  <c r="J222" i="1" a="1"/>
  <c r="J222" i="1" s="1"/>
  <c r="J144" i="1" a="1"/>
  <c r="J144" i="1" s="1"/>
  <c r="J16" i="1" a="1"/>
  <c r="J16" i="1" s="1"/>
  <c r="J89" i="1" a="1"/>
  <c r="J89" i="1" s="1"/>
  <c r="J233" i="1" a="1"/>
  <c r="J233" i="1" s="1"/>
  <c r="J90" i="1" a="1"/>
  <c r="J90" i="1" s="1"/>
  <c r="J196" i="1" a="1"/>
  <c r="J196" i="1" s="1"/>
  <c r="J17" i="1" a="1"/>
  <c r="J17" i="1" s="1"/>
  <c r="J168" i="1" a="1"/>
  <c r="J168" i="1" s="1"/>
  <c r="J205" i="1" a="1"/>
  <c r="J205" i="1" s="1"/>
  <c r="J123" i="1" a="1"/>
  <c r="J123" i="1" s="1"/>
  <c r="J103" i="1" a="1"/>
  <c r="J103" i="1" s="1"/>
  <c r="J66" i="1" a="1"/>
  <c r="J66" i="1" s="1"/>
  <c r="J151" i="1" a="1"/>
  <c r="J151" i="1" s="1"/>
  <c r="J50" i="1" a="1"/>
  <c r="J50" i="1" s="1"/>
  <c r="J104" i="1" a="1"/>
  <c r="J104" i="1" s="1"/>
  <c r="J32" i="1" a="1"/>
  <c r="J32" i="1" s="1"/>
  <c r="J223" i="1" a="1"/>
  <c r="J223" i="1" s="1"/>
  <c r="J200" i="1" a="1"/>
  <c r="J200" i="1" s="1"/>
  <c r="J18" i="1" a="1"/>
  <c r="J18" i="1" s="1"/>
  <c r="J158" i="1" a="1"/>
  <c r="J158" i="1" s="1"/>
  <c r="J124" i="1" a="1"/>
  <c r="J124" i="1" s="1"/>
  <c r="J175" i="1" a="1"/>
  <c r="J175" i="1" s="1"/>
  <c r="J212" i="1" a="1"/>
  <c r="J212" i="1" s="1"/>
  <c r="J197" i="1" a="1"/>
  <c r="J197" i="1" s="1"/>
  <c r="J159" i="1" a="1"/>
  <c r="J159" i="1" s="1"/>
  <c r="J249" i="1" a="1"/>
  <c r="J249" i="1" s="1"/>
  <c r="J73" i="1" a="1"/>
  <c r="J73" i="1" s="1"/>
  <c r="J206" i="1" a="1"/>
  <c r="J206" i="1" s="1"/>
  <c r="J138" i="1" a="1"/>
  <c r="J138" i="1" s="1"/>
  <c r="J105" i="1" a="1"/>
  <c r="J105" i="1" s="1"/>
  <c r="J67" i="1" a="1"/>
  <c r="J67" i="1" s="1"/>
  <c r="J81" i="1" a="1"/>
  <c r="J81" i="1" s="1"/>
  <c r="J116" i="1" a="1"/>
  <c r="J116" i="1" s="1"/>
  <c r="J139" i="1" a="1"/>
  <c r="J139" i="1" s="1"/>
  <c r="J188" i="1" a="1"/>
  <c r="J188" i="1" s="1"/>
  <c r="J224" i="1" a="1"/>
  <c r="J224" i="1" s="1"/>
  <c r="J250" i="1" a="1"/>
  <c r="J250" i="1" s="1"/>
  <c r="J140" i="1" a="1"/>
  <c r="J140" i="1" s="1"/>
  <c r="J74" i="1" a="1"/>
  <c r="J74" i="1" s="1"/>
  <c r="J51" i="1" a="1"/>
  <c r="J51" i="1" s="1"/>
  <c r="J58" i="1" a="1"/>
  <c r="J58" i="1" s="1"/>
  <c r="J78" i="1" a="1"/>
  <c r="J78" i="1" s="1"/>
  <c r="J217" i="1" a="1"/>
  <c r="J217" i="1" s="1"/>
  <c r="J152" i="1" a="1"/>
  <c r="J152" i="1" s="1"/>
  <c r="J36" i="1" a="1"/>
  <c r="J36" i="1" s="1"/>
  <c r="J44" i="1" a="1"/>
  <c r="J44" i="1" s="1"/>
  <c r="J160" i="1" a="1"/>
  <c r="J160" i="1" s="1"/>
  <c r="J234" i="1" a="1"/>
  <c r="J234" i="1" s="1"/>
  <c r="J98" i="1" a="1"/>
  <c r="J98" i="1" s="1"/>
  <c r="J52" i="1" a="1"/>
  <c r="J52" i="1" s="1"/>
  <c r="J180" i="1" a="1"/>
  <c r="J180" i="1" s="1"/>
  <c r="J176" i="1" a="1"/>
  <c r="J176" i="1" s="1"/>
  <c r="J68" i="1" a="1"/>
  <c r="J68" i="1" s="1"/>
  <c r="J141" i="1" a="1"/>
  <c r="J141" i="1" s="1"/>
  <c r="J91" i="1" a="1"/>
  <c r="J91" i="1" s="1"/>
  <c r="J165" i="1" a="1"/>
  <c r="J165" i="1" s="1"/>
  <c r="J28" i="1" a="1"/>
  <c r="J28" i="1" s="1"/>
  <c r="J230" i="1" a="1"/>
  <c r="J230" i="1" s="1"/>
  <c r="J117" i="1" a="1"/>
  <c r="J117" i="1" s="1"/>
  <c r="J99" i="1" a="1"/>
  <c r="J99" i="1" s="1"/>
  <c r="J45" i="1" a="1"/>
  <c r="J45" i="1" s="1"/>
  <c r="J189" i="1" a="1"/>
  <c r="J189" i="1" s="1"/>
  <c r="J79" i="1" a="1"/>
  <c r="J79" i="1" s="1"/>
  <c r="J153" i="1" a="1"/>
  <c r="J153" i="1" s="1"/>
  <c r="J201" i="1" a="1"/>
  <c r="J201" i="1" s="1"/>
  <c r="J198" i="1" a="1"/>
  <c r="J198" i="1" s="1"/>
  <c r="J213" i="1" a="1"/>
  <c r="J213" i="1" s="1"/>
  <c r="J33" i="1" a="1"/>
  <c r="J33" i="1" s="1"/>
  <c r="J59" i="1" a="1"/>
  <c r="J59" i="1" s="1"/>
  <c r="J19" i="1" a="1"/>
  <c r="J19" i="1" s="1"/>
  <c r="J9" i="1" a="1"/>
  <c r="J9" i="1" s="1"/>
  <c r="J169" i="1" a="1"/>
  <c r="J169" i="1" s="1"/>
  <c r="J235" i="1" a="1"/>
  <c r="J235" i="1" s="1"/>
  <c r="J177" i="1" a="1"/>
  <c r="J177" i="1" s="1"/>
  <c r="J60" i="1" a="1"/>
  <c r="J60" i="1" s="1"/>
  <c r="J202" i="1" a="1"/>
  <c r="J202" i="1" s="1"/>
  <c r="J142" i="1" a="1"/>
  <c r="J142" i="1" s="1"/>
  <c r="J242" i="1" a="1"/>
  <c r="J242" i="1" s="1"/>
  <c r="J8" i="1" a="1"/>
  <c r="J8" i="1" s="1"/>
  <c r="J161" i="1" a="1"/>
  <c r="J161" i="1" s="1"/>
  <c r="J100" i="1" a="1"/>
  <c r="J100" i="1" s="1"/>
  <c r="J10" i="1" a="1"/>
  <c r="J10" i="1" s="1"/>
  <c r="J134" i="1" a="1"/>
  <c r="J134" i="1" s="1"/>
  <c r="J251" i="1" a="1"/>
  <c r="J251" i="1" s="1"/>
  <c r="J225" i="1" a="1"/>
  <c r="J225" i="1" s="1"/>
  <c r="J46" i="1" a="1"/>
  <c r="J46" i="1" s="1"/>
  <c r="J231" i="1" a="1"/>
  <c r="J231" i="1" s="1"/>
  <c r="J125" i="1" a="1"/>
  <c r="J125" i="1" s="1"/>
  <c r="J126" i="1" a="1"/>
  <c r="J126" i="1" s="1"/>
  <c r="J20" i="1" a="1"/>
  <c r="J20" i="1" s="1"/>
  <c r="J218" i="1" a="1"/>
  <c r="J218" i="1" s="1"/>
  <c r="J118" i="1" a="1"/>
  <c r="J118" i="1" s="1"/>
  <c r="J145" i="1" a="1"/>
  <c r="J145" i="1" s="1"/>
  <c r="J236" i="1" a="1"/>
  <c r="J236" i="1" s="1"/>
  <c r="J11" i="1" a="1"/>
  <c r="J11" i="1" s="1"/>
  <c r="J170" i="1" a="1"/>
  <c r="J170" i="1" s="1"/>
  <c r="J181" i="1" a="1"/>
  <c r="J181" i="1" s="1"/>
  <c r="J75" i="1" a="1"/>
  <c r="J75" i="1" s="1"/>
  <c r="J127" i="1" a="1"/>
  <c r="J127" i="1" s="1"/>
  <c r="J53" i="1" a="1"/>
  <c r="J53" i="1" s="1"/>
  <c r="J226" i="1" a="1"/>
  <c r="J226" i="1" s="1"/>
  <c r="J182" i="1" a="1"/>
  <c r="J182" i="1" s="1"/>
  <c r="J183" i="1" a="1"/>
  <c r="J183" i="1" s="1"/>
  <c r="J207" i="1" a="1"/>
  <c r="J207" i="1" s="1"/>
  <c r="J227" i="1" a="1"/>
  <c r="J227" i="1" s="1"/>
  <c r="J80" i="1" a="1"/>
  <c r="J80" i="1" s="1"/>
  <c r="J21" i="1" a="1"/>
  <c r="J21" i="1" s="1"/>
  <c r="J101" i="1" a="1"/>
  <c r="J101" i="1" s="1"/>
  <c r="J34" i="1" a="1"/>
  <c r="J34" i="1" s="1"/>
  <c r="J82" i="1" a="1"/>
  <c r="J82" i="1" s="1"/>
  <c r="J69" i="1" a="1"/>
  <c r="J69" i="1" s="1"/>
  <c r="J106" i="1" a="1"/>
  <c r="J106" i="1" s="1"/>
  <c r="J25" i="1" a="1"/>
  <c r="J25" i="1" s="1"/>
  <c r="J83" i="1" a="1"/>
  <c r="J83" i="1" s="1"/>
  <c r="J92" i="1" a="1"/>
  <c r="J92" i="1" s="1"/>
  <c r="J208" i="1" a="1"/>
  <c r="J208" i="1" s="1"/>
  <c r="J107" i="1" a="1"/>
  <c r="J107" i="1" s="1"/>
  <c r="J243" i="1" a="1"/>
  <c r="J243" i="1" s="1"/>
  <c r="J76" i="1" a="1"/>
  <c r="J76" i="1" s="1"/>
  <c r="J47" i="1" a="1"/>
  <c r="J47" i="1" s="1"/>
  <c r="J54" i="1" a="1"/>
  <c r="J54" i="1" s="1"/>
  <c r="J29" i="1" a="1"/>
  <c r="J29" i="1" s="1"/>
  <c r="J219" i="1" a="1"/>
  <c r="J219" i="1" s="1"/>
  <c r="J166" i="1" a="1"/>
  <c r="J166" i="1" s="1"/>
  <c r="J84" i="1" a="1"/>
  <c r="J84" i="1" s="1"/>
  <c r="J190" i="1" a="1"/>
  <c r="J190" i="1" s="1"/>
  <c r="J209" i="1" a="1"/>
  <c r="J209" i="1" s="1"/>
  <c r="J220" i="1" a="1"/>
  <c r="J220" i="1" s="1"/>
  <c r="J178" i="1" a="1"/>
  <c r="J178" i="1" s="1"/>
  <c r="J171" i="1" a="1"/>
  <c r="J171" i="1" s="1"/>
  <c r="J214" i="1" a="1"/>
  <c r="J214" i="1" s="1"/>
  <c r="J37" i="1" a="1"/>
  <c r="J37" i="1" s="1"/>
  <c r="J119" i="1" a="1"/>
  <c r="J119" i="1" s="1"/>
  <c r="J55" i="1" a="1"/>
  <c r="J55" i="1" s="1"/>
  <c r="J162" i="1" a="1"/>
  <c r="J162" i="1" s="1"/>
  <c r="J199" i="1" a="1"/>
  <c r="J199" i="1" s="1"/>
  <c r="J38" i="1" a="1"/>
  <c r="J38" i="1" s="1"/>
  <c r="J12" i="1" a="1"/>
  <c r="J12" i="1" s="1"/>
  <c r="J85" i="1" a="1"/>
  <c r="J85" i="1" s="1"/>
  <c r="J48" i="1" a="1"/>
  <c r="J48" i="1" s="1"/>
  <c r="J22" i="1" a="1"/>
  <c r="J22" i="1" s="1"/>
  <c r="K155" i="1"/>
  <c r="K148" i="1"/>
  <c r="K187" i="1"/>
  <c r="K5" i="1"/>
  <c r="K240" i="1"/>
  <c r="K14" i="1"/>
  <c r="K110" i="1"/>
  <c r="K192" i="1"/>
  <c r="K246" i="1"/>
  <c r="K130" i="1"/>
  <c r="K87" i="1"/>
  <c r="K174" i="1"/>
  <c r="K216" i="1"/>
  <c r="K15" i="1"/>
  <c r="K88" i="1"/>
  <c r="K6" i="1"/>
  <c r="K23" i="1"/>
  <c r="K63" i="1"/>
  <c r="K131" i="1"/>
  <c r="K111" i="1"/>
  <c r="K70" i="1"/>
  <c r="K247" i="1"/>
  <c r="K149" i="1"/>
  <c r="K112" i="1"/>
  <c r="K113" i="1"/>
  <c r="K42" i="1"/>
  <c r="K122" i="1"/>
  <c r="K43" i="1"/>
  <c r="K96" i="1"/>
  <c r="K114" i="1"/>
  <c r="K132" i="1"/>
  <c r="K232" i="1"/>
  <c r="K24" i="1"/>
  <c r="K193" i="1"/>
  <c r="K115" i="1"/>
  <c r="K156" i="1"/>
  <c r="K64" i="1"/>
  <c r="K49" i="1"/>
  <c r="K71" i="1"/>
  <c r="K194" i="1"/>
  <c r="K31" i="1"/>
  <c r="K204" i="1"/>
  <c r="K143" i="1"/>
  <c r="K133" i="1"/>
  <c r="K229" i="1"/>
  <c r="K65" i="1"/>
  <c r="K72" i="1"/>
  <c r="K157" i="1"/>
  <c r="K163" i="1"/>
  <c r="K150" i="1"/>
  <c r="K195" i="1"/>
  <c r="K248" i="1"/>
  <c r="K137" i="1"/>
  <c r="K7" i="1"/>
  <c r="K97" i="1"/>
  <c r="K164" i="1"/>
  <c r="K241" i="1"/>
  <c r="K222" i="1"/>
  <c r="K144" i="1"/>
  <c r="K16" i="1"/>
  <c r="K89" i="1"/>
  <c r="K233" i="1"/>
  <c r="K90" i="1"/>
  <c r="K196" i="1"/>
  <c r="K17" i="1"/>
  <c r="K168" i="1"/>
  <c r="K205" i="1"/>
  <c r="K123" i="1"/>
  <c r="K103" i="1"/>
  <c r="K66" i="1"/>
  <c r="K151" i="1"/>
  <c r="K50" i="1"/>
  <c r="K104" i="1"/>
  <c r="K32" i="1"/>
  <c r="K223" i="1"/>
  <c r="K200" i="1"/>
  <c r="K18" i="1"/>
  <c r="K158" i="1"/>
  <c r="K124" i="1"/>
  <c r="K175" i="1"/>
  <c r="K212" i="1"/>
  <c r="K197" i="1"/>
  <c r="K159" i="1"/>
  <c r="K249" i="1"/>
  <c r="K73" i="1"/>
  <c r="K206" i="1"/>
  <c r="K138" i="1"/>
  <c r="K105" i="1"/>
  <c r="K67" i="1"/>
  <c r="K81" i="1"/>
  <c r="K116" i="1"/>
  <c r="K139" i="1"/>
  <c r="K188" i="1"/>
  <c r="K224" i="1"/>
  <c r="K250" i="1"/>
  <c r="K140" i="1"/>
  <c r="K74" i="1"/>
  <c r="K51" i="1"/>
  <c r="K58" i="1"/>
  <c r="K78" i="1"/>
  <c r="K217" i="1"/>
  <c r="K152" i="1"/>
  <c r="K36" i="1"/>
  <c r="K44" i="1"/>
  <c r="K160" i="1"/>
  <c r="K234" i="1"/>
  <c r="K98" i="1"/>
  <c r="K52" i="1"/>
  <c r="K180" i="1"/>
  <c r="K176" i="1"/>
  <c r="K68" i="1"/>
  <c r="K141" i="1"/>
  <c r="K91" i="1"/>
  <c r="K165" i="1"/>
  <c r="K28" i="1"/>
  <c r="K230" i="1"/>
  <c r="K117" i="1"/>
  <c r="K99" i="1"/>
  <c r="K45" i="1"/>
  <c r="K189" i="1"/>
  <c r="K79" i="1"/>
  <c r="K153" i="1"/>
  <c r="K201" i="1"/>
  <c r="K198" i="1"/>
  <c r="K213" i="1"/>
  <c r="K33" i="1"/>
  <c r="K59" i="1"/>
  <c r="K19" i="1"/>
  <c r="K9" i="1"/>
  <c r="K169" i="1"/>
  <c r="K235" i="1"/>
  <c r="K177" i="1"/>
  <c r="K60" i="1"/>
  <c r="K202" i="1"/>
  <c r="K142" i="1"/>
  <c r="K242" i="1"/>
  <c r="K8" i="1"/>
  <c r="K161" i="1"/>
  <c r="K100" i="1"/>
  <c r="K10" i="1"/>
  <c r="K134" i="1"/>
  <c r="K251" i="1"/>
  <c r="K225" i="1"/>
  <c r="K46" i="1"/>
  <c r="K231" i="1"/>
  <c r="K125" i="1"/>
  <c r="K126" i="1"/>
  <c r="K20" i="1"/>
  <c r="K218" i="1"/>
  <c r="K118" i="1"/>
  <c r="K145" i="1"/>
  <c r="K236" i="1"/>
  <c r="K11" i="1"/>
  <c r="K170" i="1"/>
  <c r="K181" i="1"/>
  <c r="K75" i="1"/>
  <c r="K127" i="1"/>
  <c r="K53" i="1"/>
  <c r="K226" i="1"/>
  <c r="K182" i="1"/>
  <c r="K183" i="1"/>
  <c r="K207" i="1"/>
  <c r="K227" i="1"/>
  <c r="K80" i="1"/>
  <c r="K21" i="1"/>
  <c r="K101" i="1"/>
  <c r="K34" i="1"/>
  <c r="K82" i="1"/>
  <c r="K69" i="1"/>
  <c r="K106" i="1"/>
  <c r="K25" i="1"/>
  <c r="K83" i="1"/>
  <c r="K92" i="1"/>
  <c r="K208" i="1"/>
  <c r="K107" i="1"/>
  <c r="K243" i="1"/>
  <c r="K76" i="1"/>
  <c r="K47" i="1"/>
  <c r="K54" i="1"/>
  <c r="K29" i="1"/>
  <c r="K219" i="1"/>
  <c r="K166" i="1"/>
  <c r="K84" i="1"/>
  <c r="K190" i="1"/>
  <c r="K209" i="1"/>
  <c r="K220" i="1"/>
  <c r="K178" i="1"/>
  <c r="K171" i="1"/>
  <c r="K214" i="1"/>
  <c r="K37" i="1"/>
  <c r="K119" i="1"/>
  <c r="K55" i="1"/>
  <c r="K162" i="1"/>
  <c r="K199" i="1"/>
  <c r="K38" i="1"/>
  <c r="K12" i="1"/>
  <c r="K85" i="1"/>
  <c r="K48" i="1"/>
  <c r="K22" i="1"/>
  <c r="A155" i="1"/>
  <c r="A148" i="1"/>
  <c r="A187" i="1"/>
  <c r="A5" i="1"/>
  <c r="A240" i="1"/>
  <c r="A14" i="1"/>
  <c r="A110" i="1"/>
  <c r="A192" i="1"/>
  <c r="A246" i="1"/>
  <c r="A130" i="1"/>
  <c r="A87" i="1"/>
  <c r="A174" i="1"/>
  <c r="A216" i="1"/>
  <c r="A15" i="1"/>
  <c r="A88" i="1"/>
  <c r="A6" i="1"/>
  <c r="A23" i="1"/>
  <c r="A63" i="1"/>
  <c r="A131" i="1"/>
  <c r="A111" i="1"/>
  <c r="A70" i="1"/>
  <c r="A247" i="1"/>
  <c r="A149" i="1"/>
  <c r="A112" i="1"/>
  <c r="A113" i="1"/>
  <c r="A42" i="1"/>
  <c r="A122" i="1"/>
  <c r="A43" i="1"/>
  <c r="A96" i="1"/>
  <c r="A114" i="1"/>
  <c r="A132" i="1"/>
  <c r="A232" i="1"/>
  <c r="A24" i="1"/>
  <c r="A193" i="1"/>
  <c r="A115" i="1"/>
  <c r="A156" i="1"/>
  <c r="A64" i="1"/>
  <c r="A49" i="1"/>
  <c r="A71" i="1"/>
  <c r="A194" i="1"/>
  <c r="A31" i="1"/>
  <c r="A204" i="1"/>
  <c r="A143" i="1"/>
  <c r="A133" i="1"/>
  <c r="A229" i="1"/>
  <c r="A65" i="1"/>
  <c r="A72" i="1"/>
  <c r="A157" i="1"/>
  <c r="A163" i="1"/>
  <c r="A150" i="1"/>
  <c r="A195" i="1"/>
  <c r="A248" i="1"/>
  <c r="A137" i="1"/>
  <c r="A7" i="1"/>
  <c r="A97" i="1"/>
  <c r="A164" i="1"/>
  <c r="A241" i="1"/>
  <c r="A222" i="1"/>
  <c r="A144" i="1"/>
  <c r="A16" i="1"/>
  <c r="A89" i="1"/>
  <c r="A233" i="1"/>
  <c r="A90" i="1"/>
  <c r="A196" i="1"/>
  <c r="A17" i="1"/>
  <c r="A168" i="1"/>
  <c r="A205" i="1"/>
  <c r="A123" i="1"/>
  <c r="A103" i="1"/>
  <c r="A66" i="1"/>
  <c r="A151" i="1"/>
  <c r="A50" i="1"/>
  <c r="A104" i="1"/>
  <c r="A32" i="1"/>
  <c r="A223" i="1"/>
  <c r="A200" i="1"/>
  <c r="A18" i="1"/>
  <c r="A158" i="1"/>
  <c r="A124" i="1"/>
  <c r="A175" i="1"/>
  <c r="A212" i="1"/>
  <c r="A197" i="1"/>
  <c r="A159" i="1"/>
  <c r="A249" i="1"/>
  <c r="A73" i="1"/>
  <c r="A206" i="1"/>
  <c r="A138" i="1"/>
  <c r="A105" i="1"/>
  <c r="A67" i="1"/>
  <c r="A81" i="1"/>
  <c r="A116" i="1"/>
  <c r="A139" i="1"/>
  <c r="A188" i="1"/>
  <c r="A224" i="1"/>
  <c r="A250" i="1"/>
  <c r="A140" i="1"/>
  <c r="A74" i="1"/>
  <c r="A51" i="1"/>
  <c r="A58" i="1"/>
  <c r="A78" i="1"/>
  <c r="A217" i="1"/>
  <c r="A152" i="1"/>
  <c r="A36" i="1"/>
  <c r="A44" i="1"/>
  <c r="A160" i="1"/>
  <c r="A234" i="1"/>
  <c r="A98" i="1"/>
  <c r="A52" i="1"/>
  <c r="A180" i="1"/>
  <c r="A176" i="1"/>
  <c r="A68" i="1"/>
  <c r="A141" i="1"/>
  <c r="A91" i="1"/>
  <c r="A165" i="1"/>
  <c r="A28" i="1"/>
  <c r="A230" i="1"/>
  <c r="A117" i="1"/>
  <c r="A99" i="1"/>
  <c r="A45" i="1"/>
  <c r="A189" i="1"/>
  <c r="A79" i="1"/>
  <c r="A153" i="1"/>
  <c r="A201" i="1"/>
  <c r="A198" i="1"/>
  <c r="A213" i="1"/>
  <c r="A33" i="1"/>
  <c r="A59" i="1"/>
  <c r="A19" i="1"/>
  <c r="A9" i="1"/>
  <c r="A169" i="1"/>
  <c r="A235" i="1"/>
  <c r="A177" i="1"/>
  <c r="A60" i="1"/>
  <c r="A202" i="1"/>
  <c r="A142" i="1"/>
  <c r="A242" i="1"/>
  <c r="A8" i="1"/>
  <c r="A161" i="1"/>
  <c r="A100" i="1"/>
  <c r="A10" i="1"/>
  <c r="A134" i="1"/>
  <c r="A251" i="1"/>
  <c r="A225" i="1"/>
  <c r="A46" i="1"/>
  <c r="A231" i="1"/>
  <c r="A125" i="1"/>
  <c r="A126" i="1"/>
  <c r="A20" i="1"/>
  <c r="A218" i="1"/>
  <c r="A118" i="1"/>
  <c r="A145" i="1"/>
  <c r="A236" i="1"/>
  <c r="A11" i="1"/>
  <c r="A170" i="1"/>
  <c r="A181" i="1"/>
  <c r="A75" i="1"/>
  <c r="A127" i="1"/>
  <c r="A53" i="1"/>
  <c r="A226" i="1"/>
  <c r="A182" i="1"/>
  <c r="A183" i="1"/>
  <c r="A207" i="1"/>
  <c r="A227" i="1"/>
  <c r="A80" i="1"/>
  <c r="A21" i="1"/>
  <c r="A101" i="1"/>
  <c r="A34" i="1"/>
  <c r="A82" i="1"/>
  <c r="A69" i="1"/>
  <c r="A106" i="1"/>
  <c r="A25" i="1"/>
  <c r="A83" i="1"/>
  <c r="A92" i="1"/>
  <c r="A208" i="1"/>
  <c r="A107" i="1"/>
  <c r="A243" i="1"/>
  <c r="A76" i="1"/>
  <c r="A47" i="1"/>
  <c r="A54" i="1"/>
  <c r="A29" i="1"/>
  <c r="A219" i="1"/>
  <c r="A166" i="1"/>
  <c r="A84" i="1"/>
  <c r="A190" i="1"/>
  <c r="A209" i="1"/>
  <c r="A220" i="1"/>
  <c r="A178" i="1"/>
  <c r="A171" i="1"/>
  <c r="A214" i="1"/>
  <c r="A37" i="1"/>
  <c r="A119" i="1"/>
  <c r="A55" i="1"/>
  <c r="A162" i="1"/>
  <c r="A199" i="1"/>
  <c r="A38" i="1"/>
  <c r="A12" i="1"/>
  <c r="A85" i="1"/>
  <c r="A48" i="1"/>
  <c r="A22" i="1"/>
  <c r="A120" i="1"/>
  <c r="B120" i="1" a="1"/>
  <c r="B120" i="1" s="1"/>
  <c r="C120" i="1" s="1"/>
  <c r="D120" i="1"/>
  <c r="E120" i="1" s="1"/>
  <c r="I120" i="1"/>
  <c r="J120" i="1" a="1"/>
  <c r="J120" i="1" s="1"/>
  <c r="K120" i="1"/>
  <c r="A35" i="1"/>
  <c r="B35" i="1" a="1"/>
  <c r="B35" i="1" s="1"/>
  <c r="C35" i="1" s="1"/>
  <c r="D35" i="1"/>
  <c r="E35" i="1" s="1"/>
  <c r="I35" i="1"/>
  <c r="J35" i="1" a="1"/>
  <c r="J35" i="1" s="1"/>
  <c r="K35" i="1"/>
  <c r="A95" i="1"/>
  <c r="B95" i="1" a="1"/>
  <c r="B95" i="1" s="1"/>
  <c r="C95" i="1" s="1"/>
  <c r="D95" i="1"/>
  <c r="E95" i="1" s="1"/>
  <c r="I95" i="1"/>
  <c r="J95" i="1" a="1"/>
  <c r="J95" i="1" s="1"/>
  <c r="K95" i="1"/>
  <c r="A102" i="1"/>
  <c r="B102" i="1" a="1"/>
  <c r="B102" i="1" s="1"/>
  <c r="C102" i="1" s="1"/>
  <c r="D102" i="1"/>
  <c r="E102" i="1" s="1"/>
  <c r="I102" i="1"/>
  <c r="J102" i="1" a="1"/>
  <c r="J102" i="1" s="1"/>
  <c r="K102" i="1"/>
  <c r="A3" i="1"/>
  <c r="B3" i="1" a="1"/>
  <c r="B3" i="1" s="1"/>
  <c r="C3" i="1" s="1"/>
  <c r="D3" i="1"/>
  <c r="E3" i="1" s="1"/>
  <c r="I3" i="1"/>
  <c r="J3" i="1" a="1"/>
  <c r="J3" i="1" s="1"/>
  <c r="K3" i="1"/>
  <c r="A2" i="1"/>
  <c r="B2" i="1" a="1"/>
  <c r="B2" i="1" s="1"/>
  <c r="C2" i="1" s="1"/>
  <c r="D2" i="1"/>
  <c r="E2" i="1" s="1"/>
  <c r="I2" i="1"/>
  <c r="J2" i="1" a="1"/>
  <c r="J2" i="1" s="1"/>
  <c r="A147" i="1"/>
  <c r="B147" i="1" a="1"/>
  <c r="B147" i="1" s="1"/>
  <c r="C147" i="1" s="1"/>
  <c r="D147" i="1"/>
  <c r="E147" i="1" s="1"/>
  <c r="I147" i="1"/>
  <c r="J147" i="1" a="1"/>
  <c r="J147" i="1" s="1"/>
  <c r="K147" i="1"/>
  <c r="A185" i="1"/>
  <c r="B185" i="1" a="1"/>
  <c r="B185" i="1" s="1"/>
  <c r="C185" i="1" s="1"/>
  <c r="D185" i="1"/>
  <c r="E185" i="1" s="1"/>
  <c r="I185" i="1"/>
  <c r="J185" i="1" a="1"/>
  <c r="J185" i="1" s="1"/>
  <c r="K185" i="1"/>
  <c r="A237" i="1"/>
  <c r="B237" i="1" a="1"/>
  <c r="B237" i="1" s="1"/>
  <c r="C237" i="1" s="1"/>
  <c r="D237" i="1"/>
  <c r="E237" i="1" s="1"/>
  <c r="I237" i="1"/>
  <c r="J237" i="1" a="1"/>
  <c r="J237" i="1" s="1"/>
  <c r="A173" i="1"/>
  <c r="B173" i="1" a="1"/>
  <c r="B173" i="1" s="1"/>
  <c r="C173" i="1" s="1"/>
  <c r="D173" i="1"/>
  <c r="E173" i="1" s="1"/>
  <c r="I173" i="1"/>
  <c r="J173" i="1" a="1"/>
  <c r="J173" i="1" s="1"/>
  <c r="K173" i="1"/>
  <c r="A128" i="1"/>
  <c r="B128" i="1" a="1"/>
  <c r="B128" i="1" s="1"/>
  <c r="C128" i="1" s="1"/>
  <c r="D128" i="1"/>
  <c r="E128" i="1" s="1"/>
  <c r="I128" i="1"/>
  <c r="J128" i="1" a="1"/>
  <c r="J128" i="1" s="1"/>
  <c r="K128" i="1"/>
  <c r="A121" i="1"/>
  <c r="B121" i="1" a="1"/>
  <c r="B121" i="1" s="1"/>
  <c r="C121" i="1" s="1"/>
  <c r="D121" i="1"/>
  <c r="E121" i="1" s="1"/>
  <c r="I121" i="1"/>
  <c r="J121" i="1" a="1"/>
  <c r="J121" i="1" s="1"/>
  <c r="K121" i="1"/>
  <c r="A211" i="1"/>
  <c r="B211" i="1" a="1"/>
  <c r="B211" i="1" s="1"/>
  <c r="C211" i="1" s="1"/>
  <c r="D211" i="1"/>
  <c r="E211" i="1" s="1"/>
  <c r="I211" i="1"/>
  <c r="J211" i="1" a="1"/>
  <c r="J211" i="1" s="1"/>
  <c r="K211" i="1"/>
  <c r="A228" i="1"/>
  <c r="B228" i="1" a="1"/>
  <c r="B228" i="1" s="1"/>
  <c r="C228" i="1" s="1"/>
  <c r="D228" i="1"/>
  <c r="E228" i="1" s="1"/>
  <c r="I228" i="1"/>
  <c r="J228" i="1" a="1"/>
  <c r="J228" i="1" s="1"/>
  <c r="K228" i="1"/>
  <c r="A172" i="1"/>
  <c r="B172" i="1" a="1"/>
  <c r="B172" i="1" s="1"/>
  <c r="C172" i="1" s="1"/>
  <c r="D172" i="1"/>
  <c r="E172" i="1" s="1"/>
  <c r="I172" i="1"/>
  <c r="J172" i="1" a="1"/>
  <c r="J172" i="1" s="1"/>
  <c r="A86" i="1"/>
  <c r="D86" i="1"/>
  <c r="E86" i="1" s="1"/>
  <c r="I86" i="1"/>
  <c r="J86" i="1" a="1"/>
  <c r="J86" i="1" s="1"/>
  <c r="A154" i="1"/>
  <c r="B154" i="1" a="1"/>
  <c r="B154" i="1" s="1"/>
  <c r="C154" i="1" s="1"/>
  <c r="D154" i="1"/>
  <c r="E154" i="1" s="1"/>
  <c r="I154" i="1"/>
  <c r="J154" i="1" a="1"/>
  <c r="J154" i="1" s="1"/>
  <c r="K154" i="1"/>
  <c r="A184" i="1"/>
  <c r="B184" i="1" a="1"/>
  <c r="B184" i="1" s="1"/>
  <c r="C184" i="1" s="1"/>
  <c r="D184" i="1"/>
  <c r="E184" i="1" s="1"/>
  <c r="I184" i="1"/>
  <c r="J184" i="1" a="1"/>
  <c r="J184" i="1" s="1"/>
  <c r="K184" i="1"/>
  <c r="A179" i="1"/>
  <c r="B179" i="1" a="1"/>
  <c r="B179" i="1" s="1"/>
  <c r="C179" i="1" s="1"/>
  <c r="D179" i="1"/>
  <c r="E179" i="1" s="1"/>
  <c r="I179" i="1"/>
  <c r="J179" i="1" a="1"/>
  <c r="J179" i="1" s="1"/>
  <c r="K179" i="1"/>
  <c r="A245" i="1"/>
  <c r="B245" i="1" a="1"/>
  <c r="B245" i="1" s="1"/>
  <c r="C245" i="1" s="1"/>
  <c r="D245" i="1"/>
  <c r="E245" i="1" s="1"/>
  <c r="I245" i="1"/>
  <c r="J245" i="1" a="1"/>
  <c r="J245" i="1" s="1"/>
  <c r="K245" i="1"/>
  <c r="A186" i="1"/>
  <c r="B186" i="1" a="1"/>
  <c r="B186" i="1" s="1"/>
  <c r="C186" i="1" s="1"/>
  <c r="D186" i="1"/>
  <c r="E186" i="1" s="1"/>
  <c r="I186" i="1"/>
  <c r="J186" i="1" a="1"/>
  <c r="J186" i="1" s="1"/>
  <c r="K186" i="1"/>
  <c r="A56" i="1"/>
  <c r="B56" i="1" a="1"/>
  <c r="B56" i="1" s="1"/>
  <c r="C56" i="1" s="1"/>
  <c r="D56" i="1"/>
  <c r="E56" i="1" s="1"/>
  <c r="I56" i="1"/>
  <c r="J56" i="1" a="1"/>
  <c r="J56" i="1" s="1"/>
  <c r="K56" i="1"/>
  <c r="A146" i="1"/>
  <c r="B146" i="1" a="1"/>
  <c r="B146" i="1" s="1"/>
  <c r="C146" i="1" s="1"/>
  <c r="D146" i="1"/>
  <c r="E146" i="1" s="1"/>
  <c r="I146" i="1"/>
  <c r="J146" i="1" a="1"/>
  <c r="J146" i="1" s="1"/>
  <c r="K146" i="1"/>
  <c r="A93" i="1"/>
  <c r="B93" i="1" a="1"/>
  <c r="B93" i="1" s="1"/>
  <c r="C93" i="1" s="1"/>
  <c r="D93" i="1"/>
  <c r="E93" i="1" s="1"/>
  <c r="I93" i="1"/>
  <c r="J93" i="1" a="1"/>
  <c r="J93" i="1" s="1"/>
  <c r="K93" i="1"/>
  <c r="A108" i="1"/>
  <c r="B108" i="1" a="1"/>
  <c r="B108" i="1" s="1"/>
  <c r="C108" i="1" s="1"/>
  <c r="D108" i="1"/>
  <c r="E108" i="1" s="1"/>
  <c r="I108" i="1"/>
  <c r="J108" i="1" a="1"/>
  <c r="J108" i="1" s="1"/>
  <c r="K108" i="1"/>
  <c r="A57" i="1"/>
  <c r="B57" i="1" a="1"/>
  <c r="B57" i="1" s="1"/>
  <c r="C57" i="1" s="1"/>
  <c r="D57" i="1"/>
  <c r="E57" i="1" s="1"/>
  <c r="I57" i="1"/>
  <c r="J57" i="1" a="1"/>
  <c r="J57" i="1" s="1"/>
  <c r="K57" i="1"/>
  <c r="A13" i="1"/>
  <c r="B13" i="1" a="1"/>
  <c r="B13" i="1" s="1"/>
  <c r="C13" i="1" s="1"/>
  <c r="D13" i="1"/>
  <c r="E13" i="1" s="1"/>
  <c r="I13" i="1"/>
  <c r="J13" i="1" a="1"/>
  <c r="J13" i="1" s="1"/>
  <c r="K13" i="1"/>
  <c r="A191" i="1"/>
  <c r="B191" i="1" a="1"/>
  <c r="B191" i="1" s="1"/>
  <c r="C191" i="1" s="1"/>
  <c r="D191" i="1"/>
  <c r="E191" i="1" s="1"/>
  <c r="I191" i="1"/>
  <c r="J191" i="1" a="1"/>
  <c r="J191" i="1" s="1"/>
  <c r="K191" i="1"/>
  <c r="A40" i="1"/>
  <c r="B40" i="1" a="1"/>
  <c r="B40" i="1" s="1"/>
  <c r="C40" i="1" s="1"/>
  <c r="D40" i="1"/>
  <c r="E40" i="1" s="1"/>
  <c r="I40" i="1"/>
  <c r="J40" i="1" a="1"/>
  <c r="J40" i="1" s="1"/>
  <c r="K40" i="1"/>
  <c r="A221" i="1"/>
  <c r="B221" i="1" a="1"/>
  <c r="B221" i="1" s="1"/>
  <c r="C221" i="1" s="1"/>
  <c r="D221" i="1"/>
  <c r="E221" i="1" s="1"/>
  <c r="I221" i="1"/>
  <c r="J221" i="1" a="1"/>
  <c r="J221" i="1" s="1"/>
  <c r="K221" i="1"/>
  <c r="A62" i="1"/>
  <c r="B62" i="1" a="1"/>
  <c r="B62" i="1" s="1"/>
  <c r="C62" i="1" s="1"/>
  <c r="D62" i="1"/>
  <c r="E62" i="1" s="1"/>
  <c r="I62" i="1"/>
  <c r="J62" i="1" a="1"/>
  <c r="J62" i="1" s="1"/>
  <c r="K62" i="1"/>
  <c r="A238" i="1"/>
  <c r="B238" i="1" a="1"/>
  <c r="B238" i="1" s="1"/>
  <c r="C238" i="1" s="1"/>
  <c r="D238" i="1"/>
  <c r="E238" i="1" s="1"/>
  <c r="I238" i="1"/>
  <c r="J238" i="1" a="1"/>
  <c r="J238" i="1" s="1"/>
  <c r="K238" i="1"/>
  <c r="A129" i="1"/>
  <c r="B129" i="1" a="1"/>
  <c r="B129" i="1" s="1"/>
  <c r="C129" i="1" s="1"/>
  <c r="D129" i="1"/>
  <c r="E129" i="1" s="1"/>
  <c r="I129" i="1"/>
  <c r="J129" i="1" a="1"/>
  <c r="J129" i="1" s="1"/>
  <c r="K129" i="1"/>
  <c r="A4" i="1"/>
  <c r="B4" i="1" a="1"/>
  <c r="B4" i="1" s="1"/>
  <c r="C4" i="1" s="1"/>
  <c r="D4" i="1"/>
  <c r="E4" i="1" s="1"/>
  <c r="I4" i="1"/>
  <c r="J4" i="1" a="1"/>
  <c r="J4" i="1" s="1"/>
  <c r="K4" i="1"/>
  <c r="A27" i="1"/>
  <c r="B27" i="1" a="1"/>
  <c r="B27" i="1" s="1"/>
  <c r="C27" i="1" s="1"/>
  <c r="D27" i="1"/>
  <c r="E27" i="1" s="1"/>
  <c r="I27" i="1"/>
  <c r="J27" i="1" a="1"/>
  <c r="J27" i="1" s="1"/>
  <c r="K27" i="1"/>
  <c r="A109" i="1"/>
  <c r="B109" i="1" a="1"/>
  <c r="B109" i="1" s="1"/>
  <c r="C109" i="1" s="1"/>
  <c r="D109" i="1"/>
  <c r="E109" i="1" s="1"/>
  <c r="I109" i="1"/>
  <c r="J109" i="1" a="1"/>
  <c r="J109" i="1" s="1"/>
  <c r="K109" i="1"/>
  <c r="A61" i="1"/>
  <c r="B61" i="1" a="1"/>
  <c r="B61" i="1" s="1"/>
  <c r="C61" i="1" s="1"/>
  <c r="D61" i="1"/>
  <c r="E61" i="1" s="1"/>
  <c r="I61" i="1"/>
  <c r="J61" i="1" a="1"/>
  <c r="J61" i="1" s="1"/>
  <c r="K61" i="1"/>
  <c r="A210" i="1"/>
  <c r="B210" i="1" a="1"/>
  <c r="B210" i="1" s="1"/>
  <c r="C210" i="1" s="1"/>
  <c r="D210" i="1"/>
  <c r="E210" i="1" s="1"/>
  <c r="I210" i="1"/>
  <c r="J210" i="1" a="1"/>
  <c r="J210" i="1" s="1"/>
  <c r="K210" i="1"/>
  <c r="A41" i="1"/>
  <c r="B41" i="1" a="1"/>
  <c r="B41" i="1" s="1"/>
  <c r="C41" i="1" s="1"/>
  <c r="D41" i="1"/>
  <c r="E41" i="1" s="1"/>
  <c r="I41" i="1"/>
  <c r="J41" i="1" a="1"/>
  <c r="J41" i="1" s="1"/>
  <c r="K41" i="1"/>
  <c r="A215" i="1"/>
  <c r="B215" i="1" a="1"/>
  <c r="B215" i="1" s="1"/>
  <c r="C215" i="1" s="1"/>
  <c r="D215" i="1"/>
  <c r="E215" i="1" s="1"/>
  <c r="I215" i="1"/>
  <c r="J215" i="1" a="1"/>
  <c r="J215" i="1" s="1"/>
  <c r="K215" i="1"/>
  <c r="A77" i="1"/>
  <c r="B77" i="1" a="1"/>
  <c r="B77" i="1" s="1"/>
  <c r="C77" i="1" s="1"/>
  <c r="D77" i="1"/>
  <c r="E77" i="1" s="1"/>
  <c r="I77" i="1"/>
  <c r="J77" i="1" a="1"/>
  <c r="J77" i="1" s="1"/>
  <c r="K77" i="1"/>
  <c r="A30" i="1"/>
  <c r="B30" i="1" a="1"/>
  <c r="B30" i="1" s="1"/>
  <c r="C30" i="1" s="1"/>
  <c r="D30" i="1"/>
  <c r="E30" i="1" s="1"/>
  <c r="I30" i="1"/>
  <c r="J30" i="1" a="1"/>
  <c r="J30" i="1" s="1"/>
  <c r="K30" i="1"/>
  <c r="A239" i="1"/>
  <c r="B239" i="1" a="1"/>
  <c r="B239" i="1" s="1"/>
  <c r="C239" i="1" s="1"/>
  <c r="D239" i="1"/>
  <c r="E239" i="1" s="1"/>
  <c r="I239" i="1"/>
  <c r="J239" i="1" a="1"/>
  <c r="J239" i="1" s="1"/>
  <c r="K239" i="1"/>
  <c r="A167" i="1"/>
  <c r="B167" i="1" a="1"/>
  <c r="B167" i="1" s="1"/>
  <c r="C167" i="1" s="1"/>
  <c r="D167" i="1"/>
  <c r="E167" i="1" s="1"/>
  <c r="I167" i="1"/>
  <c r="J167" i="1" a="1"/>
  <c r="J167" i="1" s="1"/>
  <c r="K167" i="1"/>
  <c r="A39" i="1"/>
  <c r="B39" i="1" a="1"/>
  <c r="B39" i="1" s="1"/>
  <c r="C39" i="1" s="1"/>
  <c r="D39" i="1"/>
  <c r="E39" i="1" s="1"/>
  <c r="I39" i="1"/>
  <c r="J39" i="1" a="1"/>
  <c r="J39" i="1" s="1"/>
  <c r="K39" i="1"/>
  <c r="A203" i="1"/>
  <c r="B203" i="1" a="1"/>
  <c r="B203" i="1" s="1"/>
  <c r="C203" i="1" s="1"/>
  <c r="D203" i="1"/>
  <c r="E203" i="1" s="1"/>
  <c r="I203" i="1"/>
  <c r="J203" i="1" a="1"/>
  <c r="J203" i="1" s="1"/>
  <c r="K203" i="1"/>
  <c r="A135" i="1"/>
  <c r="B135" i="1" a="1"/>
  <c r="B135" i="1" s="1"/>
  <c r="C135" i="1" s="1"/>
  <c r="D135" i="1"/>
  <c r="E135" i="1" s="1"/>
  <c r="I135" i="1"/>
  <c r="J135" i="1" a="1"/>
  <c r="J135" i="1" s="1"/>
  <c r="K135" i="1"/>
  <c r="A244" i="1"/>
  <c r="B244" i="1" a="1"/>
  <c r="B244" i="1" s="1"/>
  <c r="C244" i="1" s="1"/>
  <c r="D244" i="1"/>
  <c r="E244" i="1" s="1"/>
  <c r="I244" i="1"/>
  <c r="J244" i="1" a="1"/>
  <c r="J244" i="1" s="1"/>
  <c r="K244" i="1"/>
  <c r="A26" i="1"/>
  <c r="B26" i="1" a="1"/>
  <c r="B26" i="1" s="1"/>
  <c r="C26" i="1" s="1"/>
  <c r="D26" i="1"/>
  <c r="E26" i="1" s="1"/>
  <c r="I26" i="1"/>
  <c r="J26" i="1" a="1"/>
  <c r="J26" i="1" s="1"/>
  <c r="K26" i="1"/>
  <c r="A94" i="1"/>
  <c r="B94" i="1" a="1"/>
  <c r="B94" i="1" s="1"/>
  <c r="C94" i="1" s="1"/>
  <c r="D94" i="1"/>
  <c r="E94" i="1" s="1"/>
  <c r="I94" i="1"/>
  <c r="J94" i="1" a="1"/>
  <c r="J94" i="1" s="1"/>
  <c r="K94" i="1"/>
  <c r="B136" i="1" a="1"/>
  <c r="B136" i="1" s="1"/>
  <c r="C136" i="1" s="1"/>
  <c r="A136" i="1"/>
  <c r="I136" i="1"/>
  <c r="D136" i="1"/>
  <c r="E136" i="1" s="1"/>
  <c r="K136" i="1"/>
  <c r="J136" i="1" a="1"/>
  <c r="J136" i="1" s="1"/>
  <c r="AD13" i="1" l="1"/>
  <c r="F80" i="1"/>
  <c r="S80" i="1"/>
  <c r="F118" i="1"/>
  <c r="Y118" i="1" s="1"/>
  <c r="S118" i="1"/>
  <c r="F161" i="1"/>
  <c r="S161" i="1"/>
  <c r="F51" i="1"/>
  <c r="S51" i="1"/>
  <c r="F150" i="1"/>
  <c r="S150" i="1"/>
  <c r="F193" i="1"/>
  <c r="S193" i="1"/>
  <c r="F111" i="1"/>
  <c r="Y111" i="1" s="1"/>
  <c r="S111" i="1"/>
  <c r="F178" i="1"/>
  <c r="S178" i="1"/>
  <c r="F84" i="1"/>
  <c r="S84" i="1"/>
  <c r="F53" i="1"/>
  <c r="S53" i="1"/>
  <c r="F125" i="1"/>
  <c r="S125" i="1"/>
  <c r="F177" i="1"/>
  <c r="S177" i="1"/>
  <c r="F45" i="1"/>
  <c r="S45" i="1"/>
  <c r="F91" i="1"/>
  <c r="S91" i="1"/>
  <c r="F188" i="1"/>
  <c r="S188" i="1"/>
  <c r="F105" i="1"/>
  <c r="S105" i="1"/>
  <c r="F18" i="1"/>
  <c r="S18" i="1"/>
  <c r="F229" i="1"/>
  <c r="S229" i="1"/>
  <c r="F64" i="1"/>
  <c r="S64" i="1"/>
  <c r="F132" i="1"/>
  <c r="S132" i="1"/>
  <c r="F113" i="1"/>
  <c r="S113" i="1"/>
  <c r="F88" i="1"/>
  <c r="S88" i="1"/>
  <c r="F246" i="1"/>
  <c r="S246" i="1"/>
  <c r="F5" i="1"/>
  <c r="S5" i="1"/>
  <c r="F135" i="1"/>
  <c r="S135" i="1"/>
  <c r="F39" i="1"/>
  <c r="S39" i="1"/>
  <c r="F30" i="1"/>
  <c r="S30" i="1"/>
  <c r="F61" i="1"/>
  <c r="S61" i="1"/>
  <c r="F191" i="1"/>
  <c r="S191" i="1"/>
  <c r="F108" i="1"/>
  <c r="S108" i="1"/>
  <c r="F146" i="1"/>
  <c r="S146" i="1"/>
  <c r="F245" i="1"/>
  <c r="S245" i="1"/>
  <c r="F172" i="1"/>
  <c r="S172" i="1"/>
  <c r="F128" i="1"/>
  <c r="S128" i="1"/>
  <c r="F2" i="1"/>
  <c r="V2" i="1" s="1"/>
  <c r="S2" i="1"/>
  <c r="F48" i="1"/>
  <c r="S48" i="1"/>
  <c r="F119" i="1"/>
  <c r="S119" i="1"/>
  <c r="F220" i="1"/>
  <c r="S220" i="1"/>
  <c r="F83" i="1"/>
  <c r="S83" i="1"/>
  <c r="F227" i="1"/>
  <c r="S227" i="1"/>
  <c r="F19" i="1"/>
  <c r="S19" i="1"/>
  <c r="F99" i="1"/>
  <c r="S99" i="1"/>
  <c r="F141" i="1"/>
  <c r="S141" i="1"/>
  <c r="F78" i="1"/>
  <c r="S78" i="1"/>
  <c r="F74" i="1"/>
  <c r="S74" i="1"/>
  <c r="F139" i="1"/>
  <c r="S139" i="1"/>
  <c r="F73" i="1"/>
  <c r="S73" i="1"/>
  <c r="F200" i="1"/>
  <c r="S200" i="1"/>
  <c r="F50" i="1"/>
  <c r="S50" i="1"/>
  <c r="F89" i="1"/>
  <c r="S89" i="1"/>
  <c r="F7" i="1"/>
  <c r="S7" i="1"/>
  <c r="F247" i="1"/>
  <c r="S247" i="1"/>
  <c r="F131" i="1"/>
  <c r="S131" i="1"/>
  <c r="F187" i="1"/>
  <c r="S187" i="1"/>
  <c r="F37" i="1"/>
  <c r="S37" i="1"/>
  <c r="F54" i="1"/>
  <c r="S54" i="1"/>
  <c r="F243" i="1"/>
  <c r="S243" i="1"/>
  <c r="F25" i="1"/>
  <c r="S25" i="1"/>
  <c r="F127" i="1"/>
  <c r="S127" i="1"/>
  <c r="F11" i="1"/>
  <c r="S11" i="1"/>
  <c r="F231" i="1"/>
  <c r="S231" i="1"/>
  <c r="F134" i="1"/>
  <c r="S134" i="1"/>
  <c r="F8" i="1"/>
  <c r="S8" i="1"/>
  <c r="F235" i="1"/>
  <c r="S235" i="1"/>
  <c r="F59" i="1"/>
  <c r="S59" i="1"/>
  <c r="F201" i="1"/>
  <c r="S201" i="1"/>
  <c r="F117" i="1"/>
  <c r="S117" i="1"/>
  <c r="F68" i="1"/>
  <c r="S68" i="1"/>
  <c r="F98" i="1"/>
  <c r="S98" i="1"/>
  <c r="F140" i="1"/>
  <c r="S140" i="1"/>
  <c r="F116" i="1"/>
  <c r="S116" i="1"/>
  <c r="F138" i="1"/>
  <c r="S138" i="1"/>
  <c r="F249" i="1"/>
  <c r="S249" i="1"/>
  <c r="F175" i="1"/>
  <c r="S175" i="1"/>
  <c r="F223" i="1"/>
  <c r="S223" i="1"/>
  <c r="F17" i="1"/>
  <c r="S17" i="1"/>
  <c r="F137" i="1"/>
  <c r="S137" i="1"/>
  <c r="F133" i="1"/>
  <c r="S133" i="1"/>
  <c r="F194" i="1"/>
  <c r="S194" i="1"/>
  <c r="F87" i="1"/>
  <c r="S87" i="1"/>
  <c r="F192" i="1"/>
  <c r="S192" i="1"/>
  <c r="F148" i="1"/>
  <c r="S148" i="1"/>
  <c r="F184" i="1"/>
  <c r="S184" i="1"/>
  <c r="F106" i="1"/>
  <c r="S106" i="1"/>
  <c r="F34" i="1"/>
  <c r="S34" i="1"/>
  <c r="F207" i="1"/>
  <c r="S207" i="1"/>
  <c r="F218" i="1"/>
  <c r="S218" i="1"/>
  <c r="F242" i="1"/>
  <c r="S242" i="1"/>
  <c r="F230" i="1"/>
  <c r="S230" i="1"/>
  <c r="F36" i="1"/>
  <c r="S36" i="1"/>
  <c r="F81" i="1"/>
  <c r="S81" i="1"/>
  <c r="F124" i="1"/>
  <c r="S124" i="1"/>
  <c r="F123" i="1"/>
  <c r="S123" i="1"/>
  <c r="F196" i="1"/>
  <c r="S196" i="1"/>
  <c r="F241" i="1"/>
  <c r="S241" i="1"/>
  <c r="F114" i="1"/>
  <c r="S114" i="1"/>
  <c r="F15" i="1"/>
  <c r="S15" i="1"/>
  <c r="F110" i="1"/>
  <c r="S110" i="1"/>
  <c r="F236" i="1"/>
  <c r="S236" i="1"/>
  <c r="F16" i="1"/>
  <c r="S16" i="1"/>
  <c r="F136" i="1"/>
  <c r="S136" i="1"/>
  <c r="F94" i="1"/>
  <c r="S94" i="1"/>
  <c r="F57" i="1"/>
  <c r="S57" i="1"/>
  <c r="F153" i="1"/>
  <c r="S153" i="1"/>
  <c r="F185" i="1"/>
  <c r="S185" i="1"/>
  <c r="F162" i="1"/>
  <c r="S162" i="1"/>
  <c r="F183" i="1"/>
  <c r="S183" i="1"/>
  <c r="F28" i="1"/>
  <c r="S28" i="1"/>
  <c r="F159" i="1"/>
  <c r="S159" i="1"/>
  <c r="F163" i="1"/>
  <c r="S163" i="1"/>
  <c r="F143" i="1"/>
  <c r="S143" i="1"/>
  <c r="F156" i="1"/>
  <c r="S156" i="1"/>
  <c r="F24" i="1"/>
  <c r="S24" i="1"/>
  <c r="F96" i="1"/>
  <c r="S96" i="1"/>
  <c r="F112" i="1"/>
  <c r="S112" i="1"/>
  <c r="F216" i="1"/>
  <c r="S216" i="1"/>
  <c r="F130" i="1"/>
  <c r="S130" i="1"/>
  <c r="F155" i="1"/>
  <c r="S155" i="1"/>
  <c r="F244" i="1"/>
  <c r="S244" i="1"/>
  <c r="F167" i="1"/>
  <c r="S167" i="1"/>
  <c r="F41" i="1"/>
  <c r="S41" i="1"/>
  <c r="F109" i="1"/>
  <c r="S109" i="1"/>
  <c r="F129" i="1"/>
  <c r="S129" i="1"/>
  <c r="F40" i="1"/>
  <c r="S40" i="1"/>
  <c r="F186" i="1"/>
  <c r="S186" i="1"/>
  <c r="F154" i="1"/>
  <c r="S154" i="1"/>
  <c r="F211" i="1"/>
  <c r="S211" i="1"/>
  <c r="F173" i="1"/>
  <c r="S173" i="1"/>
  <c r="F102" i="1"/>
  <c r="S102" i="1"/>
  <c r="F35" i="1"/>
  <c r="S35" i="1"/>
  <c r="F12" i="1"/>
  <c r="S12" i="1"/>
  <c r="F209" i="1"/>
  <c r="S209" i="1"/>
  <c r="F219" i="1"/>
  <c r="S219" i="1"/>
  <c r="F107" i="1"/>
  <c r="S107" i="1"/>
  <c r="F75" i="1"/>
  <c r="S75" i="1"/>
  <c r="F20" i="1"/>
  <c r="S20" i="1"/>
  <c r="F46" i="1"/>
  <c r="S46" i="1"/>
  <c r="F10" i="1"/>
  <c r="V10" i="1" s="1"/>
  <c r="S10" i="1"/>
  <c r="F79" i="1"/>
  <c r="S79" i="1"/>
  <c r="F180" i="1"/>
  <c r="S180" i="1"/>
  <c r="F160" i="1"/>
  <c r="S160" i="1"/>
  <c r="F217" i="1"/>
  <c r="S217" i="1"/>
  <c r="F250" i="1"/>
  <c r="S250" i="1"/>
  <c r="F67" i="1"/>
  <c r="S67" i="1"/>
  <c r="F205" i="1"/>
  <c r="S205" i="1"/>
  <c r="F90" i="1"/>
  <c r="S90" i="1"/>
  <c r="F144" i="1"/>
  <c r="S144" i="1"/>
  <c r="F157" i="1"/>
  <c r="S157" i="1"/>
  <c r="F204" i="1"/>
  <c r="S204" i="1"/>
  <c r="F71" i="1"/>
  <c r="S71" i="1"/>
  <c r="F43" i="1"/>
  <c r="S43" i="1"/>
  <c r="F70" i="1"/>
  <c r="S70" i="1"/>
  <c r="F63" i="1"/>
  <c r="S63" i="1"/>
  <c r="F14" i="1"/>
  <c r="S14" i="1"/>
  <c r="F239" i="1"/>
  <c r="S239" i="1"/>
  <c r="F62" i="1"/>
  <c r="S62" i="1"/>
  <c r="F121" i="1"/>
  <c r="S121" i="1"/>
  <c r="F199" i="1"/>
  <c r="S199" i="1"/>
  <c r="F234" i="1"/>
  <c r="S234" i="1"/>
  <c r="F85" i="1"/>
  <c r="S85" i="1"/>
  <c r="F101" i="1"/>
  <c r="S101" i="1"/>
  <c r="F142" i="1"/>
  <c r="S142" i="1"/>
  <c r="F152" i="1"/>
  <c r="S152" i="1"/>
  <c r="F151" i="1"/>
  <c r="S151" i="1"/>
  <c r="F120" i="1"/>
  <c r="S120" i="1"/>
  <c r="F76" i="1"/>
  <c r="S76" i="1"/>
  <c r="F208" i="1"/>
  <c r="S208" i="1"/>
  <c r="F21" i="1"/>
  <c r="S21" i="1"/>
  <c r="F182" i="1"/>
  <c r="S182" i="1"/>
  <c r="F181" i="1"/>
  <c r="S181" i="1"/>
  <c r="F145" i="1"/>
  <c r="S145" i="1"/>
  <c r="F225" i="1"/>
  <c r="S225" i="1"/>
  <c r="F202" i="1"/>
  <c r="S202" i="1"/>
  <c r="F169" i="1"/>
  <c r="S169" i="1"/>
  <c r="F213" i="1"/>
  <c r="S213" i="1"/>
  <c r="F189" i="1"/>
  <c r="S189" i="1"/>
  <c r="F44" i="1"/>
  <c r="S44" i="1"/>
  <c r="F224" i="1"/>
  <c r="S224" i="1"/>
  <c r="F206" i="1"/>
  <c r="S206" i="1"/>
  <c r="F197" i="1"/>
  <c r="S197" i="1"/>
  <c r="F158" i="1"/>
  <c r="S158" i="1"/>
  <c r="F104" i="1"/>
  <c r="S104" i="1"/>
  <c r="F66" i="1"/>
  <c r="S66" i="1"/>
  <c r="F168" i="1"/>
  <c r="S168" i="1"/>
  <c r="F164" i="1"/>
  <c r="S164" i="1"/>
  <c r="F248" i="1"/>
  <c r="S248" i="1"/>
  <c r="F72" i="1"/>
  <c r="S72" i="1"/>
  <c r="F31" i="1"/>
  <c r="S31" i="1"/>
  <c r="F49" i="1"/>
  <c r="S49" i="1"/>
  <c r="F115" i="1"/>
  <c r="S115" i="1"/>
  <c r="F122" i="1"/>
  <c r="S122" i="1"/>
  <c r="F149" i="1"/>
  <c r="S149" i="1"/>
  <c r="F23" i="1"/>
  <c r="S23" i="1"/>
  <c r="F240" i="1"/>
  <c r="S240" i="1"/>
  <c r="F237" i="1"/>
  <c r="S237" i="1"/>
  <c r="F147" i="1"/>
  <c r="S147" i="1"/>
  <c r="F27" i="1"/>
  <c r="S27" i="1"/>
  <c r="F93" i="1"/>
  <c r="S93" i="1"/>
  <c r="F214" i="1"/>
  <c r="S214" i="1"/>
  <c r="F47" i="1"/>
  <c r="S47" i="1"/>
  <c r="F86" i="1"/>
  <c r="S86" i="1"/>
  <c r="F166" i="1"/>
  <c r="S166" i="1"/>
  <c r="F69" i="1"/>
  <c r="S69" i="1"/>
  <c r="F33" i="1"/>
  <c r="S33" i="1"/>
  <c r="F176" i="1"/>
  <c r="S176" i="1"/>
  <c r="F58" i="1"/>
  <c r="S58" i="1"/>
  <c r="F32" i="1"/>
  <c r="S32" i="1"/>
  <c r="F26" i="1"/>
  <c r="S26" i="1"/>
  <c r="F203" i="1"/>
  <c r="S203" i="1"/>
  <c r="F77" i="1"/>
  <c r="S77" i="1"/>
  <c r="F215" i="1"/>
  <c r="S215" i="1"/>
  <c r="F210" i="1"/>
  <c r="S210" i="1"/>
  <c r="F4" i="1"/>
  <c r="S4" i="1"/>
  <c r="F238" i="1"/>
  <c r="S238" i="1"/>
  <c r="F221" i="1"/>
  <c r="S221" i="1"/>
  <c r="F13" i="1"/>
  <c r="S13" i="1"/>
  <c r="F56" i="1"/>
  <c r="S56" i="1"/>
  <c r="F179" i="1"/>
  <c r="S179" i="1"/>
  <c r="F228" i="1"/>
  <c r="S228" i="1"/>
  <c r="F3" i="1"/>
  <c r="S3" i="1"/>
  <c r="F95" i="1"/>
  <c r="S95" i="1"/>
  <c r="F22" i="1"/>
  <c r="S22" i="1"/>
  <c r="F38" i="1"/>
  <c r="S38" i="1"/>
  <c r="F55" i="1"/>
  <c r="S55" i="1"/>
  <c r="F171" i="1"/>
  <c r="S171" i="1"/>
  <c r="F190" i="1"/>
  <c r="S190" i="1"/>
  <c r="F29" i="1"/>
  <c r="S29" i="1"/>
  <c r="F92" i="1"/>
  <c r="S92" i="1"/>
  <c r="F82" i="1"/>
  <c r="S82" i="1"/>
  <c r="F226" i="1"/>
  <c r="S226" i="1"/>
  <c r="F170" i="1"/>
  <c r="S170" i="1"/>
  <c r="F126" i="1"/>
  <c r="S126" i="1"/>
  <c r="F251" i="1"/>
  <c r="S251" i="1"/>
  <c r="F100" i="1"/>
  <c r="S100" i="1"/>
  <c r="F60" i="1"/>
  <c r="S60" i="1"/>
  <c r="F9" i="1"/>
  <c r="S9" i="1"/>
  <c r="F198" i="1"/>
  <c r="S198" i="1"/>
  <c r="F165" i="1"/>
  <c r="S165" i="1"/>
  <c r="F52" i="1"/>
  <c r="S52" i="1"/>
  <c r="F212" i="1"/>
  <c r="S212" i="1"/>
  <c r="F103" i="1"/>
  <c r="S103" i="1"/>
  <c r="F233" i="1"/>
  <c r="S233" i="1"/>
  <c r="F222" i="1"/>
  <c r="S222" i="1"/>
  <c r="F97" i="1"/>
  <c r="S97" i="1"/>
  <c r="F195" i="1"/>
  <c r="S195" i="1"/>
  <c r="F65" i="1"/>
  <c r="S65" i="1"/>
  <c r="F232" i="1"/>
  <c r="S232" i="1"/>
  <c r="F42" i="1"/>
  <c r="S42" i="1"/>
  <c r="F6" i="1"/>
  <c r="S6" i="1"/>
  <c r="F174" i="1"/>
  <c r="S174" i="1"/>
  <c r="AF6" i="1"/>
  <c r="P86" i="1"/>
  <c r="P37" i="1"/>
  <c r="P54" i="1"/>
  <c r="P243" i="1"/>
  <c r="P25" i="1"/>
  <c r="P127" i="1"/>
  <c r="P11" i="1"/>
  <c r="P231" i="1"/>
  <c r="P134" i="1"/>
  <c r="P8" i="1"/>
  <c r="P235" i="1"/>
  <c r="P59" i="1"/>
  <c r="P201" i="1"/>
  <c r="P117" i="1"/>
  <c r="P68" i="1"/>
  <c r="P98" i="1"/>
  <c r="P140" i="1"/>
  <c r="P116" i="1"/>
  <c r="P138" i="1"/>
  <c r="P249" i="1"/>
  <c r="P175" i="1"/>
  <c r="P223" i="1"/>
  <c r="P17" i="1"/>
  <c r="P137" i="1"/>
  <c r="P133" i="1"/>
  <c r="P194" i="1"/>
  <c r="P87" i="1"/>
  <c r="P192" i="1"/>
  <c r="P148" i="1"/>
  <c r="P136" i="1"/>
  <c r="P135" i="1"/>
  <c r="P199" i="1"/>
  <c r="P214" i="1"/>
  <c r="P47" i="1"/>
  <c r="P106" i="1"/>
  <c r="P34" i="1"/>
  <c r="P207" i="1"/>
  <c r="P218" i="1"/>
  <c r="P242" i="1"/>
  <c r="P153" i="1"/>
  <c r="P230" i="1"/>
  <c r="P234" i="1"/>
  <c r="P36" i="1"/>
  <c r="P81" i="1"/>
  <c r="P124" i="1"/>
  <c r="P123" i="1"/>
  <c r="P196" i="1"/>
  <c r="P241" i="1"/>
  <c r="P114" i="1"/>
  <c r="P15" i="1"/>
  <c r="P110" i="1"/>
  <c r="P129" i="1"/>
  <c r="P211" i="1"/>
  <c r="P244" i="1"/>
  <c r="P191" i="1"/>
  <c r="P93" i="1"/>
  <c r="P172" i="1"/>
  <c r="P85" i="1"/>
  <c r="P162" i="1"/>
  <c r="P166" i="1"/>
  <c r="P69" i="1"/>
  <c r="P101" i="1"/>
  <c r="P183" i="1"/>
  <c r="P236" i="1"/>
  <c r="P142" i="1"/>
  <c r="P33" i="1"/>
  <c r="P28" i="1"/>
  <c r="P176" i="1"/>
  <c r="P152" i="1"/>
  <c r="P58" i="1"/>
  <c r="P159" i="1"/>
  <c r="P32" i="1"/>
  <c r="P151" i="1"/>
  <c r="P16" i="1"/>
  <c r="P163" i="1"/>
  <c r="P143" i="1"/>
  <c r="P156" i="1"/>
  <c r="P24" i="1"/>
  <c r="P96" i="1"/>
  <c r="P112" i="1"/>
  <c r="P216" i="1"/>
  <c r="P130" i="1"/>
  <c r="P155" i="1"/>
  <c r="P121" i="1"/>
  <c r="P239" i="1"/>
  <c r="P185" i="1"/>
  <c r="P167" i="1"/>
  <c r="P147" i="1"/>
  <c r="P39" i="1"/>
  <c r="P146" i="1"/>
  <c r="P215" i="1"/>
  <c r="P237" i="1"/>
  <c r="P12" i="1"/>
  <c r="P209" i="1"/>
  <c r="P219" i="1"/>
  <c r="P107" i="1"/>
  <c r="P75" i="1"/>
  <c r="P20" i="1"/>
  <c r="P46" i="1"/>
  <c r="P10" i="1"/>
  <c r="P79" i="1"/>
  <c r="P180" i="1"/>
  <c r="P160" i="1"/>
  <c r="P217" i="1"/>
  <c r="P250" i="1"/>
  <c r="P67" i="1"/>
  <c r="P205" i="1"/>
  <c r="P90" i="1"/>
  <c r="P144" i="1"/>
  <c r="P157" i="1"/>
  <c r="P204" i="1"/>
  <c r="P71" i="1"/>
  <c r="P43" i="1"/>
  <c r="P70" i="1"/>
  <c r="P63" i="1"/>
  <c r="P14" i="1"/>
  <c r="P62" i="1"/>
  <c r="P77" i="1"/>
  <c r="P3" i="1"/>
  <c r="P30" i="1"/>
  <c r="P108" i="1"/>
  <c r="P76" i="1"/>
  <c r="P208" i="1"/>
  <c r="P21" i="1"/>
  <c r="P182" i="1"/>
  <c r="P181" i="1"/>
  <c r="P145" i="1"/>
  <c r="P225" i="1"/>
  <c r="P202" i="1"/>
  <c r="P169" i="1"/>
  <c r="P213" i="1"/>
  <c r="P189" i="1"/>
  <c r="P44" i="1"/>
  <c r="P224" i="1"/>
  <c r="P206" i="1"/>
  <c r="P197" i="1"/>
  <c r="P158" i="1"/>
  <c r="P104" i="1"/>
  <c r="P66" i="1"/>
  <c r="P168" i="1"/>
  <c r="P164" i="1"/>
  <c r="P248" i="1"/>
  <c r="P72" i="1"/>
  <c r="P31" i="1"/>
  <c r="P49" i="1"/>
  <c r="P115" i="1"/>
  <c r="P122" i="1"/>
  <c r="P149" i="1"/>
  <c r="P23" i="1"/>
  <c r="P240" i="1"/>
  <c r="P13" i="1"/>
  <c r="P35" i="1"/>
  <c r="P61" i="1"/>
  <c r="P184" i="1"/>
  <c r="P210" i="1"/>
  <c r="P56" i="1"/>
  <c r="P2" i="1"/>
  <c r="P22" i="1"/>
  <c r="P38" i="1"/>
  <c r="P55" i="1"/>
  <c r="P171" i="1"/>
  <c r="P190" i="1"/>
  <c r="P29" i="1"/>
  <c r="P92" i="1"/>
  <c r="P82" i="1"/>
  <c r="P226" i="1"/>
  <c r="P170" i="1"/>
  <c r="P126" i="1"/>
  <c r="P251" i="1"/>
  <c r="P100" i="1"/>
  <c r="P60" i="1"/>
  <c r="P9" i="1"/>
  <c r="P198" i="1"/>
  <c r="P165" i="1"/>
  <c r="P52" i="1"/>
  <c r="P212" i="1"/>
  <c r="P103" i="1"/>
  <c r="P233" i="1"/>
  <c r="P222" i="1"/>
  <c r="P97" i="1"/>
  <c r="P195" i="1"/>
  <c r="P65" i="1"/>
  <c r="P232" i="1"/>
  <c r="P42" i="1"/>
  <c r="P6" i="1"/>
  <c r="P174" i="1"/>
  <c r="P203" i="1"/>
  <c r="P57" i="1"/>
  <c r="P95" i="1"/>
  <c r="P27" i="1"/>
  <c r="P120" i="1"/>
  <c r="P179" i="1"/>
  <c r="P228" i="1"/>
  <c r="P109" i="1"/>
  <c r="P178" i="1"/>
  <c r="P84" i="1"/>
  <c r="P80" i="1"/>
  <c r="P53" i="1"/>
  <c r="P118" i="1"/>
  <c r="P125" i="1"/>
  <c r="P161" i="1"/>
  <c r="P177" i="1"/>
  <c r="P45" i="1"/>
  <c r="P91" i="1"/>
  <c r="P51" i="1"/>
  <c r="P188" i="1"/>
  <c r="P105" i="1"/>
  <c r="P18" i="1"/>
  <c r="P150" i="1"/>
  <c r="P229" i="1"/>
  <c r="P64" i="1"/>
  <c r="P193" i="1"/>
  <c r="P132" i="1"/>
  <c r="P113" i="1"/>
  <c r="P111" i="1"/>
  <c r="P88" i="1"/>
  <c r="P246" i="1"/>
  <c r="P5" i="1"/>
  <c r="P41" i="1"/>
  <c r="P186" i="1"/>
  <c r="P40" i="1"/>
  <c r="P4" i="1"/>
  <c r="P173" i="1"/>
  <c r="P154" i="1"/>
  <c r="P102" i="1"/>
  <c r="P48" i="1"/>
  <c r="P119" i="1"/>
  <c r="P220" i="1"/>
  <c r="P83" i="1"/>
  <c r="P227" i="1"/>
  <c r="P19" i="1"/>
  <c r="P99" i="1"/>
  <c r="P141" i="1"/>
  <c r="P78" i="1"/>
  <c r="P74" i="1"/>
  <c r="P139" i="1"/>
  <c r="P73" i="1"/>
  <c r="P200" i="1"/>
  <c r="P50" i="1"/>
  <c r="P89" i="1"/>
  <c r="P7" i="1"/>
  <c r="P247" i="1"/>
  <c r="P131" i="1"/>
  <c r="P187" i="1"/>
  <c r="P245" i="1"/>
  <c r="P94" i="1"/>
  <c r="P128" i="1"/>
  <c r="P26" i="1"/>
  <c r="P221" i="1"/>
  <c r="P238" i="1"/>
  <c r="V6" i="1" l="1"/>
  <c r="Y6" i="1"/>
  <c r="V232" i="1"/>
  <c r="Y232" i="1"/>
  <c r="V65" i="1"/>
  <c r="Y65" i="1"/>
  <c r="V233" i="1"/>
  <c r="Y233" i="1"/>
  <c r="V52" i="1"/>
  <c r="Y52" i="1"/>
  <c r="V9" i="1"/>
  <c r="Y9" i="1"/>
  <c r="V126" i="1"/>
  <c r="Y126" i="1"/>
  <c r="V29" i="1"/>
  <c r="Y29" i="1"/>
  <c r="V55" i="1"/>
  <c r="Y55" i="1"/>
  <c r="V3" i="1"/>
  <c r="Y3" i="1"/>
  <c r="V4" i="1"/>
  <c r="Y4" i="1"/>
  <c r="V77" i="1"/>
  <c r="Y77" i="1"/>
  <c r="V176" i="1"/>
  <c r="Y176" i="1"/>
  <c r="V69" i="1"/>
  <c r="Y69" i="1"/>
  <c r="V93" i="1"/>
  <c r="Y93" i="1"/>
  <c r="V149" i="1"/>
  <c r="Y149" i="1"/>
  <c r="V49" i="1"/>
  <c r="Y49" i="1"/>
  <c r="V164" i="1"/>
  <c r="Y164" i="1"/>
  <c r="V66" i="1"/>
  <c r="Y66" i="1"/>
  <c r="V206" i="1"/>
  <c r="Y206" i="1"/>
  <c r="V189" i="1"/>
  <c r="Y189" i="1"/>
  <c r="V181" i="1"/>
  <c r="Y181" i="1"/>
  <c r="V208" i="1"/>
  <c r="Y208" i="1"/>
  <c r="V151" i="1"/>
  <c r="Y151" i="1"/>
  <c r="V142" i="1"/>
  <c r="Y142" i="1"/>
  <c r="V199" i="1"/>
  <c r="Y199" i="1"/>
  <c r="V62" i="1"/>
  <c r="Y62" i="1"/>
  <c r="V71" i="1"/>
  <c r="Y71" i="1"/>
  <c r="V217" i="1"/>
  <c r="Y217" i="1"/>
  <c r="V79" i="1"/>
  <c r="Y79" i="1"/>
  <c r="Y10" i="1"/>
  <c r="V75" i="1"/>
  <c r="Y75" i="1"/>
  <c r="V107" i="1"/>
  <c r="Y107" i="1"/>
  <c r="V35" i="1"/>
  <c r="Y35" i="1"/>
  <c r="V154" i="1"/>
  <c r="Y154" i="1"/>
  <c r="V129" i="1"/>
  <c r="Y129" i="1"/>
  <c r="V216" i="1"/>
  <c r="Y216" i="1"/>
  <c r="V24" i="1"/>
  <c r="Y24" i="1"/>
  <c r="V163" i="1"/>
  <c r="Y163" i="1"/>
  <c r="V183" i="1"/>
  <c r="Y183" i="1"/>
  <c r="V136" i="1"/>
  <c r="Y136" i="1"/>
  <c r="V196" i="1"/>
  <c r="Y196" i="1"/>
  <c r="V124" i="1"/>
  <c r="Y124" i="1"/>
  <c r="V207" i="1"/>
  <c r="Y207" i="1"/>
  <c r="V184" i="1"/>
  <c r="Y184" i="1"/>
  <c r="V133" i="1"/>
  <c r="Y133" i="1"/>
  <c r="V223" i="1"/>
  <c r="Y223" i="1"/>
  <c r="V116" i="1"/>
  <c r="Y116" i="1"/>
  <c r="V98" i="1"/>
  <c r="Y98" i="1"/>
  <c r="V59" i="1"/>
  <c r="Y59" i="1"/>
  <c r="V231" i="1"/>
  <c r="Y231" i="1"/>
  <c r="V54" i="1"/>
  <c r="Y54" i="1"/>
  <c r="V37" i="1"/>
  <c r="Y37" i="1"/>
  <c r="V247" i="1"/>
  <c r="Y247" i="1"/>
  <c r="V7" i="1"/>
  <c r="Y7" i="1"/>
  <c r="V73" i="1"/>
  <c r="Y73" i="1"/>
  <c r="V78" i="1"/>
  <c r="Y78" i="1"/>
  <c r="V99" i="1"/>
  <c r="Y99" i="1"/>
  <c r="V83" i="1"/>
  <c r="Y83" i="1"/>
  <c r="V220" i="1"/>
  <c r="Y220" i="1"/>
  <c r="V48" i="1"/>
  <c r="Y48" i="1"/>
  <c r="V172" i="1"/>
  <c r="Y172" i="1"/>
  <c r="V146" i="1"/>
  <c r="Y146" i="1"/>
  <c r="V135" i="1"/>
  <c r="Y135" i="1"/>
  <c r="V246" i="1"/>
  <c r="Y246" i="1"/>
  <c r="V113" i="1"/>
  <c r="Y113" i="1"/>
  <c r="V229" i="1"/>
  <c r="Y229" i="1"/>
  <c r="V188" i="1"/>
  <c r="Y188" i="1"/>
  <c r="V45" i="1"/>
  <c r="Y45" i="1"/>
  <c r="V125" i="1"/>
  <c r="Y125" i="1"/>
  <c r="V193" i="1"/>
  <c r="Y193" i="1"/>
  <c r="V161" i="1"/>
  <c r="Y161" i="1"/>
  <c r="V195" i="1"/>
  <c r="Y195" i="1"/>
  <c r="V212" i="1"/>
  <c r="Y212" i="1"/>
  <c r="V165" i="1"/>
  <c r="Y165" i="1"/>
  <c r="V60" i="1"/>
  <c r="Y60" i="1"/>
  <c r="V82" i="1"/>
  <c r="Y82" i="1"/>
  <c r="V190" i="1"/>
  <c r="Y190" i="1"/>
  <c r="V38" i="1"/>
  <c r="Y38" i="1"/>
  <c r="V179" i="1"/>
  <c r="Y179" i="1"/>
  <c r="V13" i="1"/>
  <c r="Y13" i="1"/>
  <c r="V32" i="1"/>
  <c r="Y32" i="1"/>
  <c r="V33" i="1"/>
  <c r="Y33" i="1"/>
  <c r="V166" i="1"/>
  <c r="Y166" i="1"/>
  <c r="V47" i="1"/>
  <c r="Y47" i="1"/>
  <c r="V147" i="1"/>
  <c r="Y147" i="1"/>
  <c r="V122" i="1"/>
  <c r="Y122" i="1"/>
  <c r="V31" i="1"/>
  <c r="Y31" i="1"/>
  <c r="V104" i="1"/>
  <c r="Y104" i="1"/>
  <c r="V44" i="1"/>
  <c r="Y44" i="1"/>
  <c r="V213" i="1"/>
  <c r="Y213" i="1"/>
  <c r="V225" i="1"/>
  <c r="Y225" i="1"/>
  <c r="V182" i="1"/>
  <c r="Y182" i="1"/>
  <c r="V76" i="1"/>
  <c r="Y76" i="1"/>
  <c r="V120" i="1"/>
  <c r="Y120" i="1"/>
  <c r="V85" i="1"/>
  <c r="Y85" i="1"/>
  <c r="V121" i="1"/>
  <c r="Y121" i="1"/>
  <c r="V43" i="1"/>
  <c r="Y43" i="1"/>
  <c r="V204" i="1"/>
  <c r="Y204" i="1"/>
  <c r="V144" i="1"/>
  <c r="Y144" i="1"/>
  <c r="V67" i="1"/>
  <c r="Y67" i="1"/>
  <c r="V160" i="1"/>
  <c r="Y160" i="1"/>
  <c r="V46" i="1"/>
  <c r="Y46" i="1"/>
  <c r="V102" i="1"/>
  <c r="Y102" i="1"/>
  <c r="V109" i="1"/>
  <c r="Y109" i="1"/>
  <c r="V167" i="1"/>
  <c r="Y167" i="1"/>
  <c r="V155" i="1"/>
  <c r="Y155" i="1"/>
  <c r="V156" i="1"/>
  <c r="Y156" i="1"/>
  <c r="V28" i="1"/>
  <c r="Y28" i="1"/>
  <c r="V110" i="1"/>
  <c r="Y110" i="1"/>
  <c r="V123" i="1"/>
  <c r="Y123" i="1"/>
  <c r="V218" i="1"/>
  <c r="Y218" i="1"/>
  <c r="V34" i="1"/>
  <c r="Y34" i="1"/>
  <c r="V148" i="1"/>
  <c r="Y148" i="1"/>
  <c r="V17" i="1"/>
  <c r="Y17" i="1"/>
  <c r="V175" i="1"/>
  <c r="Y175" i="1"/>
  <c r="V140" i="1"/>
  <c r="Y140" i="1"/>
  <c r="V68" i="1"/>
  <c r="Y68" i="1"/>
  <c r="V235" i="1"/>
  <c r="Y235" i="1"/>
  <c r="V50" i="1"/>
  <c r="Y50" i="1"/>
  <c r="V108" i="1"/>
  <c r="Y108" i="1"/>
  <c r="V132" i="1"/>
  <c r="Y132" i="1"/>
  <c r="V18" i="1"/>
  <c r="Y18" i="1"/>
  <c r="V150" i="1"/>
  <c r="Y150" i="1"/>
  <c r="V51" i="1"/>
  <c r="Y51" i="1"/>
  <c r="V97" i="1"/>
  <c r="Y97" i="1"/>
  <c r="V103" i="1"/>
  <c r="Y103" i="1"/>
  <c r="V100" i="1"/>
  <c r="Y100" i="1"/>
  <c r="V170" i="1"/>
  <c r="Y170" i="1"/>
  <c r="V92" i="1"/>
  <c r="Y92" i="1"/>
  <c r="V22" i="1"/>
  <c r="Y22" i="1"/>
  <c r="V228" i="1"/>
  <c r="Y228" i="1"/>
  <c r="V56" i="1"/>
  <c r="Y56" i="1"/>
  <c r="V221" i="1"/>
  <c r="Y221" i="1"/>
  <c r="V210" i="1"/>
  <c r="Y210" i="1"/>
  <c r="V203" i="1"/>
  <c r="Y203" i="1"/>
  <c r="V214" i="1"/>
  <c r="Y214" i="1"/>
  <c r="V237" i="1"/>
  <c r="Y237" i="1"/>
  <c r="V23" i="1"/>
  <c r="Y23" i="1"/>
  <c r="V72" i="1"/>
  <c r="Y72" i="1"/>
  <c r="V158" i="1"/>
  <c r="Y158" i="1"/>
  <c r="V224" i="1"/>
  <c r="Y224" i="1"/>
  <c r="V169" i="1"/>
  <c r="Y169" i="1"/>
  <c r="V21" i="1"/>
  <c r="Y21" i="1"/>
  <c r="V152" i="1"/>
  <c r="Y152" i="1"/>
  <c r="V101" i="1"/>
  <c r="Y101" i="1"/>
  <c r="V234" i="1"/>
  <c r="Y234" i="1"/>
  <c r="V239" i="1"/>
  <c r="Y239" i="1"/>
  <c r="V63" i="1"/>
  <c r="Y63" i="1"/>
  <c r="V157" i="1"/>
  <c r="Y157" i="1"/>
  <c r="V90" i="1"/>
  <c r="Y90" i="1"/>
  <c r="V250" i="1"/>
  <c r="Y250" i="1"/>
  <c r="V180" i="1"/>
  <c r="Y180" i="1"/>
  <c r="V20" i="1"/>
  <c r="Y20" i="1"/>
  <c r="V219" i="1"/>
  <c r="Y219" i="1"/>
  <c r="V173" i="1"/>
  <c r="Y173" i="1"/>
  <c r="V186" i="1"/>
  <c r="Y186" i="1"/>
  <c r="V40" i="1"/>
  <c r="Y40" i="1"/>
  <c r="V112" i="1"/>
  <c r="Y112" i="1"/>
  <c r="V159" i="1"/>
  <c r="Y159" i="1"/>
  <c r="V185" i="1"/>
  <c r="Y185" i="1"/>
  <c r="V16" i="1"/>
  <c r="Y16" i="1"/>
  <c r="V241" i="1"/>
  <c r="Y241" i="1"/>
  <c r="V36" i="1"/>
  <c r="Y36" i="1"/>
  <c r="V242" i="1"/>
  <c r="Y242" i="1"/>
  <c r="V106" i="1"/>
  <c r="Y106" i="1"/>
  <c r="V192" i="1"/>
  <c r="Y192" i="1"/>
  <c r="V137" i="1"/>
  <c r="Y137" i="1"/>
  <c r="V249" i="1"/>
  <c r="Y249" i="1"/>
  <c r="V117" i="1"/>
  <c r="Y117" i="1"/>
  <c r="V8" i="1"/>
  <c r="Y8" i="1"/>
  <c r="V11" i="1"/>
  <c r="Y11" i="1"/>
  <c r="V25" i="1"/>
  <c r="Y25" i="1"/>
  <c r="V89" i="1"/>
  <c r="Y89" i="1"/>
  <c r="V200" i="1"/>
  <c r="Y200" i="1"/>
  <c r="V139" i="1"/>
  <c r="Y139" i="1"/>
  <c r="V19" i="1"/>
  <c r="Y19" i="1"/>
  <c r="V227" i="1"/>
  <c r="Y227" i="1"/>
  <c r="V119" i="1"/>
  <c r="Y119" i="1"/>
  <c r="Y2" i="1"/>
  <c r="V30" i="1"/>
  <c r="Y30" i="1"/>
  <c r="V88" i="1"/>
  <c r="Y88" i="1"/>
  <c r="V64" i="1"/>
  <c r="Y64" i="1"/>
  <c r="V177" i="1"/>
  <c r="Y177" i="1"/>
  <c r="V53" i="1"/>
  <c r="Y53" i="1"/>
  <c r="V84" i="1"/>
  <c r="Y84" i="1"/>
  <c r="V80" i="1"/>
  <c r="Y80" i="1"/>
  <c r="V174" i="1"/>
  <c r="Y174" i="1"/>
  <c r="V42" i="1"/>
  <c r="Y42" i="1"/>
  <c r="V222" i="1"/>
  <c r="Y222" i="1"/>
  <c r="V198" i="1"/>
  <c r="Y198" i="1"/>
  <c r="V251" i="1"/>
  <c r="Y251" i="1"/>
  <c r="V226" i="1"/>
  <c r="Y226" i="1"/>
  <c r="V171" i="1"/>
  <c r="Y171" i="1"/>
  <c r="V95" i="1"/>
  <c r="Y95" i="1"/>
  <c r="V238" i="1"/>
  <c r="Y238" i="1"/>
  <c r="V215" i="1"/>
  <c r="Y215" i="1"/>
  <c r="V26" i="1"/>
  <c r="Y26" i="1"/>
  <c r="V58" i="1"/>
  <c r="Y58" i="1"/>
  <c r="V86" i="1"/>
  <c r="Y86" i="1"/>
  <c r="V27" i="1"/>
  <c r="Y27" i="1"/>
  <c r="V240" i="1"/>
  <c r="Y240" i="1"/>
  <c r="V115" i="1"/>
  <c r="Y115" i="1"/>
  <c r="V248" i="1"/>
  <c r="Y248" i="1"/>
  <c r="V168" i="1"/>
  <c r="Y168" i="1"/>
  <c r="V197" i="1"/>
  <c r="Y197" i="1"/>
  <c r="V202" i="1"/>
  <c r="Y202" i="1"/>
  <c r="V145" i="1"/>
  <c r="Y145" i="1"/>
  <c r="V14" i="1"/>
  <c r="Y14" i="1"/>
  <c r="V70" i="1"/>
  <c r="Y70" i="1"/>
  <c r="V205" i="1"/>
  <c r="Y205" i="1"/>
  <c r="V209" i="1"/>
  <c r="Y209" i="1"/>
  <c r="V12" i="1"/>
  <c r="Y12" i="1"/>
  <c r="V211" i="1"/>
  <c r="Y211" i="1"/>
  <c r="V41" i="1"/>
  <c r="Y41" i="1"/>
  <c r="V244" i="1"/>
  <c r="Y244" i="1"/>
  <c r="V130" i="1"/>
  <c r="Y130" i="1"/>
  <c r="V96" i="1"/>
  <c r="Y96" i="1"/>
  <c r="V143" i="1"/>
  <c r="Y143" i="1"/>
  <c r="V162" i="1"/>
  <c r="Y162" i="1"/>
  <c r="V153" i="1"/>
  <c r="Y153" i="1"/>
  <c r="V57" i="1"/>
  <c r="Y57" i="1"/>
  <c r="V94" i="1"/>
  <c r="Y94" i="1"/>
  <c r="V236" i="1"/>
  <c r="Y236" i="1"/>
  <c r="V15" i="1"/>
  <c r="Y15" i="1"/>
  <c r="V114" i="1"/>
  <c r="Y114" i="1"/>
  <c r="V81" i="1"/>
  <c r="Y81" i="1"/>
  <c r="V230" i="1"/>
  <c r="Y230" i="1"/>
  <c r="V87" i="1"/>
  <c r="Y87" i="1"/>
  <c r="V194" i="1"/>
  <c r="Y194" i="1"/>
  <c r="V138" i="1"/>
  <c r="Y138" i="1"/>
  <c r="V201" i="1"/>
  <c r="Y201" i="1"/>
  <c r="V134" i="1"/>
  <c r="Y134" i="1"/>
  <c r="V127" i="1"/>
  <c r="Y127" i="1"/>
  <c r="V243" i="1"/>
  <c r="Y243" i="1"/>
  <c r="V187" i="1"/>
  <c r="Y187" i="1"/>
  <c r="V131" i="1"/>
  <c r="Y131" i="1"/>
  <c r="V74" i="1"/>
  <c r="Y74" i="1"/>
  <c r="V141" i="1"/>
  <c r="Y141" i="1"/>
  <c r="V128" i="1"/>
  <c r="Y128" i="1"/>
  <c r="V245" i="1"/>
  <c r="Y245" i="1"/>
  <c r="V191" i="1"/>
  <c r="Y191" i="1"/>
  <c r="V61" i="1"/>
  <c r="Y61" i="1"/>
  <c r="V39" i="1"/>
  <c r="Y39" i="1"/>
  <c r="V5" i="1"/>
  <c r="Y5" i="1"/>
  <c r="V105" i="1"/>
  <c r="Y105" i="1"/>
  <c r="V91" i="1"/>
  <c r="Y91" i="1"/>
  <c r="V178" i="1"/>
  <c r="Y178" i="1"/>
  <c r="Q118" i="1"/>
  <c r="U118" i="1" s="1"/>
  <c r="V118" i="1"/>
  <c r="G111" i="1"/>
  <c r="V111" i="1"/>
  <c r="G6" i="1"/>
  <c r="G65" i="1"/>
  <c r="G233" i="1"/>
  <c r="Q103" i="1"/>
  <c r="T103" i="1" s="1"/>
  <c r="G52" i="1"/>
  <c r="G9" i="1"/>
  <c r="Q100" i="1"/>
  <c r="U100" i="1" s="1"/>
  <c r="Q126" i="1"/>
  <c r="U126" i="1" s="1"/>
  <c r="G170" i="1"/>
  <c r="Q92" i="1"/>
  <c r="U92" i="1" s="1"/>
  <c r="Q29" i="1"/>
  <c r="T29" i="1" s="1"/>
  <c r="Q55" i="1"/>
  <c r="T55" i="1" s="1"/>
  <c r="Q22" i="1"/>
  <c r="T22" i="1" s="1"/>
  <c r="G3" i="1"/>
  <c r="G228" i="1"/>
  <c r="G56" i="1"/>
  <c r="G221" i="1"/>
  <c r="Q4" i="1"/>
  <c r="T4" i="1" s="1"/>
  <c r="G210" i="1"/>
  <c r="G77" i="1"/>
  <c r="H77" i="1" s="1"/>
  <c r="AA77" i="1" s="1"/>
  <c r="G203" i="1"/>
  <c r="G176" i="1"/>
  <c r="G69" i="1"/>
  <c r="G214" i="1"/>
  <c r="G93" i="1"/>
  <c r="Q237" i="1"/>
  <c r="U237" i="1" s="1"/>
  <c r="G23" i="1"/>
  <c r="G49" i="1"/>
  <c r="G72" i="1"/>
  <c r="G164" i="1"/>
  <c r="H164" i="1" s="1"/>
  <c r="AA164" i="1" s="1"/>
  <c r="G66" i="1"/>
  <c r="G158" i="1"/>
  <c r="G206" i="1"/>
  <c r="Q224" i="1"/>
  <c r="U224" i="1" s="1"/>
  <c r="G189" i="1"/>
  <c r="G181" i="1"/>
  <c r="G21" i="1"/>
  <c r="G208" i="1"/>
  <c r="G151" i="1"/>
  <c r="G142" i="1"/>
  <c r="G101" i="1"/>
  <c r="G234" i="1"/>
  <c r="G199" i="1"/>
  <c r="G62" i="1"/>
  <c r="H62" i="1" s="1"/>
  <c r="AA62" i="1" s="1"/>
  <c r="G239" i="1"/>
  <c r="G63" i="1"/>
  <c r="G71" i="1"/>
  <c r="G157" i="1"/>
  <c r="G90" i="1"/>
  <c r="G250" i="1"/>
  <c r="G217" i="1"/>
  <c r="G180" i="1"/>
  <c r="G79" i="1"/>
  <c r="G10" i="1"/>
  <c r="G20" i="1"/>
  <c r="G75" i="1"/>
  <c r="G107" i="1"/>
  <c r="G219" i="1"/>
  <c r="G35" i="1"/>
  <c r="G173" i="1"/>
  <c r="G154" i="1"/>
  <c r="Q186" i="1"/>
  <c r="U186" i="1" s="1"/>
  <c r="Q40" i="1"/>
  <c r="T40" i="1" s="1"/>
  <c r="G129" i="1"/>
  <c r="G216" i="1"/>
  <c r="G112" i="1"/>
  <c r="G24" i="1"/>
  <c r="G163" i="1"/>
  <c r="G159" i="1"/>
  <c r="G183" i="1"/>
  <c r="G185" i="1"/>
  <c r="G136" i="1"/>
  <c r="G16" i="1"/>
  <c r="G241" i="1"/>
  <c r="G124" i="1"/>
  <c r="G36" i="1"/>
  <c r="G242" i="1"/>
  <c r="G207" i="1"/>
  <c r="G106" i="1"/>
  <c r="Q184" i="1"/>
  <c r="T184" i="1" s="1"/>
  <c r="G192" i="1"/>
  <c r="Q133" i="1"/>
  <c r="U133" i="1" s="1"/>
  <c r="G137" i="1"/>
  <c r="G223" i="1"/>
  <c r="G249" i="1"/>
  <c r="Q116" i="1"/>
  <c r="T116" i="1" s="1"/>
  <c r="G98" i="1"/>
  <c r="G117" i="1"/>
  <c r="G59" i="1"/>
  <c r="G8" i="1"/>
  <c r="G231" i="1"/>
  <c r="G11" i="1"/>
  <c r="G25" i="1"/>
  <c r="G54" i="1"/>
  <c r="G37" i="1"/>
  <c r="G247" i="1"/>
  <c r="G7" i="1"/>
  <c r="Q89" i="1"/>
  <c r="U89" i="1" s="1"/>
  <c r="G73" i="1"/>
  <c r="G139" i="1"/>
  <c r="Q78" i="1"/>
  <c r="U78" i="1" s="1"/>
  <c r="Q99" i="1"/>
  <c r="T99" i="1" s="1"/>
  <c r="Q19" i="1"/>
  <c r="U19" i="1" s="1"/>
  <c r="Q227" i="1"/>
  <c r="T227" i="1" s="1"/>
  <c r="G83" i="1"/>
  <c r="G220" i="1"/>
  <c r="G119" i="1"/>
  <c r="G48" i="1"/>
  <c r="G2" i="1"/>
  <c r="G172" i="1"/>
  <c r="G146" i="1"/>
  <c r="G30" i="1"/>
  <c r="Q135" i="1"/>
  <c r="T135" i="1" s="1"/>
  <c r="Q246" i="1"/>
  <c r="U246" i="1" s="1"/>
  <c r="G88" i="1"/>
  <c r="Q64" i="1"/>
  <c r="T64" i="1" s="1"/>
  <c r="G229" i="1"/>
  <c r="G188" i="1"/>
  <c r="G45" i="1"/>
  <c r="G177" i="1"/>
  <c r="G125" i="1"/>
  <c r="G53" i="1"/>
  <c r="G84" i="1"/>
  <c r="G193" i="1"/>
  <c r="G161" i="1"/>
  <c r="G80" i="1"/>
  <c r="Q174" i="1"/>
  <c r="U174" i="1" s="1"/>
  <c r="Q42" i="1"/>
  <c r="T42" i="1" s="1"/>
  <c r="G195" i="1"/>
  <c r="G222" i="1"/>
  <c r="G212" i="1"/>
  <c r="G165" i="1"/>
  <c r="G198" i="1"/>
  <c r="G60" i="1"/>
  <c r="G251" i="1"/>
  <c r="G226" i="1"/>
  <c r="G82" i="1"/>
  <c r="G190" i="1"/>
  <c r="G171" i="1"/>
  <c r="G38" i="1"/>
  <c r="G95" i="1"/>
  <c r="Q179" i="1"/>
  <c r="T179" i="1" s="1"/>
  <c r="G13" i="1"/>
  <c r="G238" i="1"/>
  <c r="G215" i="1"/>
  <c r="Q26" i="1"/>
  <c r="U26" i="1" s="1"/>
  <c r="G32" i="1"/>
  <c r="G58" i="1"/>
  <c r="G33" i="1"/>
  <c r="G166" i="1"/>
  <c r="G86" i="1"/>
  <c r="G47" i="1"/>
  <c r="Q27" i="1"/>
  <c r="U27" i="1" s="1"/>
  <c r="G147" i="1"/>
  <c r="G122" i="1"/>
  <c r="G115" i="1"/>
  <c r="G31" i="1"/>
  <c r="G248" i="1"/>
  <c r="Q168" i="1"/>
  <c r="T168" i="1" s="1"/>
  <c r="G104" i="1"/>
  <c r="G197" i="1"/>
  <c r="G44" i="1"/>
  <c r="G213" i="1"/>
  <c r="G202" i="1"/>
  <c r="Q225" i="1"/>
  <c r="T225" i="1" s="1"/>
  <c r="G145" i="1"/>
  <c r="G182" i="1"/>
  <c r="G76" i="1"/>
  <c r="G85" i="1"/>
  <c r="Q121" i="1"/>
  <c r="U121" i="1" s="1"/>
  <c r="G14" i="1"/>
  <c r="G70" i="1"/>
  <c r="G43" i="1"/>
  <c r="G204" i="1"/>
  <c r="G144" i="1"/>
  <c r="G205" i="1"/>
  <c r="G160" i="1"/>
  <c r="G46" i="1"/>
  <c r="G12" i="1"/>
  <c r="Q102" i="1"/>
  <c r="T102" i="1" s="1"/>
  <c r="G211" i="1"/>
  <c r="G109" i="1"/>
  <c r="Q41" i="1"/>
  <c r="U41" i="1" s="1"/>
  <c r="G167" i="1"/>
  <c r="G244" i="1"/>
  <c r="G130" i="1"/>
  <c r="G96" i="1"/>
  <c r="G156" i="1"/>
  <c r="G143" i="1"/>
  <c r="G28" i="1"/>
  <c r="G162" i="1"/>
  <c r="G57" i="1"/>
  <c r="Q94" i="1"/>
  <c r="U94" i="1" s="1"/>
  <c r="G236" i="1"/>
  <c r="G110" i="1"/>
  <c r="G15" i="1"/>
  <c r="G114" i="1"/>
  <c r="G123" i="1"/>
  <c r="G81" i="1"/>
  <c r="G230" i="1"/>
  <c r="G34" i="1"/>
  <c r="G148" i="1"/>
  <c r="G87" i="1"/>
  <c r="Q194" i="1"/>
  <c r="U194" i="1" s="1"/>
  <c r="Q17" i="1"/>
  <c r="T17" i="1" s="1"/>
  <c r="G175" i="1"/>
  <c r="Q140" i="1"/>
  <c r="U140" i="1" s="1"/>
  <c r="G68" i="1"/>
  <c r="G235" i="1"/>
  <c r="Q134" i="1"/>
  <c r="T134" i="1" s="1"/>
  <c r="G243" i="1"/>
  <c r="Q187" i="1"/>
  <c r="U187" i="1" s="1"/>
  <c r="G131" i="1"/>
  <c r="G50" i="1"/>
  <c r="G74" i="1"/>
  <c r="G128" i="1"/>
  <c r="G245" i="1"/>
  <c r="G108" i="1"/>
  <c r="Q191" i="1"/>
  <c r="U191" i="1" s="1"/>
  <c r="G61" i="1"/>
  <c r="Q39" i="1"/>
  <c r="T39" i="1" s="1"/>
  <c r="G5" i="1"/>
  <c r="Q132" i="1"/>
  <c r="T132" i="1" s="1"/>
  <c r="Q18" i="1"/>
  <c r="U18" i="1" s="1"/>
  <c r="G105" i="1"/>
  <c r="G91" i="1"/>
  <c r="G178" i="1"/>
  <c r="Q111" i="1"/>
  <c r="U111" i="1" s="1"/>
  <c r="G150" i="1"/>
  <c r="G51" i="1"/>
  <c r="G118" i="1"/>
  <c r="T126" i="1"/>
  <c r="Q161" i="1"/>
  <c r="Q51" i="1"/>
  <c r="G132" i="1"/>
  <c r="G39" i="1"/>
  <c r="Q150" i="1"/>
  <c r="Q193" i="1"/>
  <c r="G179" i="1"/>
  <c r="G168" i="1"/>
  <c r="Q125" i="1"/>
  <c r="Q91" i="1"/>
  <c r="Q53" i="1"/>
  <c r="Q84" i="1"/>
  <c r="G19" i="1"/>
  <c r="G191" i="1"/>
  <c r="G100" i="1"/>
  <c r="Q88" i="1"/>
  <c r="Q30" i="1"/>
  <c r="G237" i="1"/>
  <c r="Q61" i="1"/>
  <c r="G64" i="1"/>
  <c r="G116" i="1"/>
  <c r="Q73" i="1"/>
  <c r="Q15" i="1"/>
  <c r="Q2" i="1"/>
  <c r="G89" i="1"/>
  <c r="Q177" i="1"/>
  <c r="G17" i="1"/>
  <c r="G29" i="1"/>
  <c r="G246" i="1"/>
  <c r="G78" i="1"/>
  <c r="G92" i="1"/>
  <c r="Q217" i="1"/>
  <c r="G94" i="1"/>
  <c r="Q137" i="1"/>
  <c r="Q62" i="1"/>
  <c r="G135" i="1"/>
  <c r="G26" i="1"/>
  <c r="Q245" i="1"/>
  <c r="Q5" i="1"/>
  <c r="G18" i="1"/>
  <c r="G134" i="1"/>
  <c r="G133" i="1"/>
  <c r="G224" i="1"/>
  <c r="Q154" i="1"/>
  <c r="Q117" i="1"/>
  <c r="Q45" i="1"/>
  <c r="Q195" i="1"/>
  <c r="G227" i="1"/>
  <c r="G225" i="1"/>
  <c r="G42" i="1"/>
  <c r="Q173" i="1"/>
  <c r="Q222" i="1"/>
  <c r="Q131" i="1"/>
  <c r="Q250" i="1"/>
  <c r="G187" i="1"/>
  <c r="Q248" i="1"/>
  <c r="Q229" i="1"/>
  <c r="Q180" i="1"/>
  <c r="Q219" i="1"/>
  <c r="Q114" i="1"/>
  <c r="Q119" i="1"/>
  <c r="Q105" i="1"/>
  <c r="Q74" i="1"/>
  <c r="Q139" i="1"/>
  <c r="Q81" i="1"/>
  <c r="G22" i="1"/>
  <c r="Q185" i="1"/>
  <c r="Q213" i="1"/>
  <c r="Q123" i="1"/>
  <c r="Q183" i="1"/>
  <c r="Q146" i="1"/>
  <c r="Q230" i="1"/>
  <c r="Q83" i="1"/>
  <c r="G103" i="1"/>
  <c r="G27" i="1"/>
  <c r="Q238" i="1"/>
  <c r="Q171" i="1"/>
  <c r="Q136" i="1"/>
  <c r="Q243" i="1"/>
  <c r="Q35" i="1"/>
  <c r="Q199" i="1"/>
  <c r="Q90" i="1"/>
  <c r="Q34" i="1"/>
  <c r="Q37" i="1"/>
  <c r="Q50" i="1"/>
  <c r="G55" i="1"/>
  <c r="Q172" i="1"/>
  <c r="Q202" i="1"/>
  <c r="Q163" i="1"/>
  <c r="Q249" i="1"/>
  <c r="Q205" i="1"/>
  <c r="Q148" i="1"/>
  <c r="Q167" i="1"/>
  <c r="Q95" i="1"/>
  <c r="Q49" i="1"/>
  <c r="Q223" i="1"/>
  <c r="Q235" i="1"/>
  <c r="Q214" i="1"/>
  <c r="Q181" i="1"/>
  <c r="Q122" i="1"/>
  <c r="Q151" i="1"/>
  <c r="G99" i="1"/>
  <c r="G102" i="1"/>
  <c r="Q124" i="1"/>
  <c r="Q197" i="1"/>
  <c r="Q47" i="1"/>
  <c r="Q24" i="1"/>
  <c r="Q57" i="1"/>
  <c r="Q54" i="1"/>
  <c r="Q36" i="1"/>
  <c r="Q144" i="1"/>
  <c r="G184" i="1"/>
  <c r="Q52" i="1"/>
  <c r="G4" i="1"/>
  <c r="Q226" i="1"/>
  <c r="Q79" i="1"/>
  <c r="Q108" i="1"/>
  <c r="Q87" i="1"/>
  <c r="Q23" i="1"/>
  <c r="Q128" i="1"/>
  <c r="Q143" i="1"/>
  <c r="G41" i="1"/>
  <c r="G140" i="1"/>
  <c r="G121" i="1"/>
  <c r="G174" i="1"/>
  <c r="Q77" i="1"/>
  <c r="Q28" i="1"/>
  <c r="Q7" i="1"/>
  <c r="Q236" i="1"/>
  <c r="Q3" i="1"/>
  <c r="Q216" i="1"/>
  <c r="Q228" i="1"/>
  <c r="Q56" i="1"/>
  <c r="Q101" i="1"/>
  <c r="Q234" i="1"/>
  <c r="G240" i="1"/>
  <c r="Q240" i="1"/>
  <c r="G209" i="1"/>
  <c r="Q209" i="1"/>
  <c r="G153" i="1"/>
  <c r="Q153" i="1"/>
  <c r="G138" i="1"/>
  <c r="Q138" i="1"/>
  <c r="G201" i="1"/>
  <c r="Q201" i="1"/>
  <c r="G127" i="1"/>
  <c r="Q127" i="1"/>
  <c r="Q13" i="1"/>
  <c r="Q221" i="1"/>
  <c r="Q203" i="1"/>
  <c r="Q170" i="1"/>
  <c r="Q31" i="1"/>
  <c r="Q204" i="1"/>
  <c r="Q72" i="1"/>
  <c r="Q220" i="1"/>
  <c r="Q107" i="1"/>
  <c r="Q176" i="1"/>
  <c r="Q241" i="1"/>
  <c r="Q109" i="1"/>
  <c r="Q59" i="1"/>
  <c r="Q76" i="1"/>
  <c r="Q58" i="1"/>
  <c r="Q210" i="1"/>
  <c r="Q129" i="1"/>
  <c r="Q33" i="1"/>
  <c r="G232" i="1"/>
  <c r="Q232" i="1"/>
  <c r="G113" i="1"/>
  <c r="Q113" i="1"/>
  <c r="G149" i="1"/>
  <c r="Q149" i="1"/>
  <c r="G196" i="1"/>
  <c r="Q196" i="1"/>
  <c r="Q93" i="1"/>
  <c r="Q211" i="1"/>
  <c r="Q244" i="1"/>
  <c r="Q6" i="1"/>
  <c r="Q198" i="1"/>
  <c r="Q159" i="1"/>
  <c r="Q66" i="1"/>
  <c r="Q157" i="1"/>
  <c r="Q75" i="1"/>
  <c r="Q158" i="1"/>
  <c r="Q130" i="1"/>
  <c r="Q86" i="1"/>
  <c r="Q68" i="1"/>
  <c r="Q142" i="1"/>
  <c r="Q98" i="1"/>
  <c r="Q164" i="1"/>
  <c r="Q63" i="1"/>
  <c r="Q14" i="1"/>
  <c r="Q215" i="1"/>
  <c r="Q96" i="1"/>
  <c r="Q85" i="1"/>
  <c r="G40" i="1"/>
  <c r="G186" i="1"/>
  <c r="G126" i="1"/>
  <c r="G120" i="1"/>
  <c r="Q120" i="1"/>
  <c r="G67" i="1"/>
  <c r="Q67" i="1"/>
  <c r="G155" i="1"/>
  <c r="Q155" i="1"/>
  <c r="G218" i="1"/>
  <c r="Q218" i="1"/>
  <c r="Q65" i="1"/>
  <c r="Q82" i="1"/>
  <c r="Q60" i="1"/>
  <c r="Q44" i="1"/>
  <c r="Q247" i="1"/>
  <c r="Q104" i="1"/>
  <c r="Q156" i="1"/>
  <c r="Q46" i="1"/>
  <c r="Q110" i="1"/>
  <c r="Q192" i="1"/>
  <c r="Q9" i="1"/>
  <c r="G97" i="1"/>
  <c r="Q97" i="1"/>
  <c r="G200" i="1"/>
  <c r="Q200" i="1"/>
  <c r="Q239" i="1"/>
  <c r="Q147" i="1"/>
  <c r="Q233" i="1"/>
  <c r="Q71" i="1"/>
  <c r="Q38" i="1"/>
  <c r="Q21" i="1"/>
  <c r="Q145" i="1"/>
  <c r="Q160" i="1"/>
  <c r="Q16" i="1"/>
  <c r="Q175" i="1"/>
  <c r="Q70" i="1"/>
  <c r="Q182" i="1"/>
  <c r="Q20" i="1"/>
  <c r="Q162" i="1"/>
  <c r="Q43" i="1"/>
  <c r="Q112" i="1"/>
  <c r="Q115" i="1"/>
  <c r="G194" i="1"/>
  <c r="G169" i="1"/>
  <c r="Q169" i="1"/>
  <c r="G152" i="1"/>
  <c r="Q152" i="1"/>
  <c r="G141" i="1"/>
  <c r="Q141" i="1"/>
  <c r="AG6" i="1"/>
  <c r="H111" i="1"/>
  <c r="AA111" i="1" s="1"/>
  <c r="H65" i="1"/>
  <c r="AA65" i="1" s="1"/>
  <c r="Q48" i="1"/>
  <c r="Q10" i="1"/>
  <c r="Q189" i="1"/>
  <c r="Q206" i="1"/>
  <c r="Q12" i="1"/>
  <c r="Q178" i="1"/>
  <c r="Q11" i="1"/>
  <c r="Q190" i="1"/>
  <c r="Q165" i="1"/>
  <c r="Q212" i="1"/>
  <c r="Q231" i="1"/>
  <c r="Q207" i="1"/>
  <c r="Q8" i="1"/>
  <c r="T8" i="1" s="1"/>
  <c r="Q166" i="1"/>
  <c r="Q69" i="1"/>
  <c r="Q208" i="1"/>
  <c r="Q25" i="1"/>
  <c r="Q242" i="1"/>
  <c r="Q32" i="1"/>
  <c r="Q80" i="1"/>
  <c r="Q188" i="1"/>
  <c r="Q106" i="1"/>
  <c r="Q251" i="1"/>
  <c r="T118" i="1" l="1"/>
  <c r="Z164" i="1"/>
  <c r="Z65" i="1"/>
  <c r="Z77" i="1"/>
  <c r="Z62" i="1"/>
  <c r="Z111" i="1"/>
  <c r="R62" i="1"/>
  <c r="R164" i="1"/>
  <c r="R65" i="1"/>
  <c r="R111" i="1"/>
  <c r="R77" i="1"/>
  <c r="H227" i="1"/>
  <c r="AA227" i="1" s="1"/>
  <c r="H182" i="1"/>
  <c r="AA182" i="1" s="1"/>
  <c r="H122" i="1"/>
  <c r="AA122" i="1" s="1"/>
  <c r="H86" i="1"/>
  <c r="AA86" i="1" s="1"/>
  <c r="H215" i="1"/>
  <c r="AA215" i="1" s="1"/>
  <c r="H95" i="1"/>
  <c r="AA95" i="1" s="1"/>
  <c r="H251" i="1"/>
  <c r="AA251" i="1" s="1"/>
  <c r="H177" i="1"/>
  <c r="AA177" i="1" s="1"/>
  <c r="H220" i="1"/>
  <c r="AA220" i="1" s="1"/>
  <c r="H25" i="1"/>
  <c r="AA25" i="1" s="1"/>
  <c r="H241" i="1"/>
  <c r="AA241" i="1" s="1"/>
  <c r="H16" i="1"/>
  <c r="AA16" i="1" s="1"/>
  <c r="H112" i="1"/>
  <c r="AA112" i="1" s="1"/>
  <c r="H75" i="1"/>
  <c r="AA75" i="1" s="1"/>
  <c r="H63" i="1"/>
  <c r="AA63" i="1" s="1"/>
  <c r="H234" i="1"/>
  <c r="AA234" i="1" s="1"/>
  <c r="H49" i="1"/>
  <c r="AA49" i="1" s="1"/>
  <c r="H214" i="1"/>
  <c r="AA214" i="1" s="1"/>
  <c r="H3" i="1"/>
  <c r="AA3" i="1" s="1"/>
  <c r="H99" i="1"/>
  <c r="AA99" i="1" s="1"/>
  <c r="H22" i="1"/>
  <c r="AA22" i="1" s="1"/>
  <c r="H134" i="1"/>
  <c r="AA134" i="1" s="1"/>
  <c r="H92" i="1"/>
  <c r="AA92" i="1" s="1"/>
  <c r="H132" i="1"/>
  <c r="AA132" i="1" s="1"/>
  <c r="H178" i="1"/>
  <c r="AA178" i="1" s="1"/>
  <c r="H105" i="1"/>
  <c r="AA105" i="1" s="1"/>
  <c r="H5" i="1"/>
  <c r="AA5" i="1" s="1"/>
  <c r="H123" i="1"/>
  <c r="AA123" i="1" s="1"/>
  <c r="H244" i="1"/>
  <c r="AA244" i="1" s="1"/>
  <c r="H211" i="1"/>
  <c r="AA211" i="1" s="1"/>
  <c r="H46" i="1"/>
  <c r="AA46" i="1" s="1"/>
  <c r="H144" i="1"/>
  <c r="AA144" i="1" s="1"/>
  <c r="H145" i="1"/>
  <c r="AA145" i="1" s="1"/>
  <c r="H197" i="1"/>
  <c r="AA197" i="1" s="1"/>
  <c r="H166" i="1"/>
  <c r="AA166" i="1" s="1"/>
  <c r="H38" i="1"/>
  <c r="AA38" i="1" s="1"/>
  <c r="H60" i="1"/>
  <c r="AA60" i="1" s="1"/>
  <c r="H193" i="1"/>
  <c r="AA193" i="1" s="1"/>
  <c r="H45" i="1"/>
  <c r="AA45" i="1" s="1"/>
  <c r="H88" i="1"/>
  <c r="AA88" i="1" s="1"/>
  <c r="H247" i="1"/>
  <c r="AA247" i="1" s="1"/>
  <c r="H242" i="1"/>
  <c r="AA242" i="1" s="1"/>
  <c r="H136" i="1"/>
  <c r="AA136" i="1" s="1"/>
  <c r="H216" i="1"/>
  <c r="AA216" i="1" s="1"/>
  <c r="H154" i="1"/>
  <c r="AA154" i="1" s="1"/>
  <c r="H20" i="1"/>
  <c r="AA20" i="1" s="1"/>
  <c r="H210" i="1"/>
  <c r="AA210" i="1" s="1"/>
  <c r="H196" i="1"/>
  <c r="AA196" i="1" s="1"/>
  <c r="H102" i="1"/>
  <c r="AA102" i="1" s="1"/>
  <c r="H18" i="1"/>
  <c r="AA18" i="1" s="1"/>
  <c r="H26" i="1"/>
  <c r="AA26" i="1" s="1"/>
  <c r="H128" i="1"/>
  <c r="AA128" i="1" s="1"/>
  <c r="H50" i="1"/>
  <c r="AA50" i="1" s="1"/>
  <c r="H235" i="1"/>
  <c r="AA235" i="1" s="1"/>
  <c r="H167" i="1"/>
  <c r="AA167" i="1" s="1"/>
  <c r="H104" i="1"/>
  <c r="AA104" i="1" s="1"/>
  <c r="H238" i="1"/>
  <c r="AA238" i="1" s="1"/>
  <c r="H171" i="1"/>
  <c r="AA171" i="1" s="1"/>
  <c r="H198" i="1"/>
  <c r="AA198" i="1" s="1"/>
  <c r="H222" i="1"/>
  <c r="AA222" i="1" s="1"/>
  <c r="H146" i="1"/>
  <c r="AA146" i="1" s="1"/>
  <c r="H83" i="1"/>
  <c r="AA83" i="1" s="1"/>
  <c r="H139" i="1"/>
  <c r="AA139" i="1" s="1"/>
  <c r="H11" i="1"/>
  <c r="AA11" i="1" s="1"/>
  <c r="H249" i="1"/>
  <c r="AA249" i="1" s="1"/>
  <c r="H159" i="1"/>
  <c r="AA159" i="1" s="1"/>
  <c r="H173" i="1"/>
  <c r="AA173" i="1" s="1"/>
  <c r="H10" i="1"/>
  <c r="AA10" i="1" s="1"/>
  <c r="H90" i="1"/>
  <c r="AA90" i="1" s="1"/>
  <c r="H101" i="1"/>
  <c r="AA101" i="1" s="1"/>
  <c r="H208" i="1"/>
  <c r="AA208" i="1" s="1"/>
  <c r="H206" i="1"/>
  <c r="AA206" i="1" s="1"/>
  <c r="H23" i="1"/>
  <c r="AA23" i="1" s="1"/>
  <c r="H69" i="1"/>
  <c r="AA69" i="1" s="1"/>
  <c r="H9" i="1"/>
  <c r="AA9" i="1" s="1"/>
  <c r="H233" i="1"/>
  <c r="AA233" i="1" s="1"/>
  <c r="H245" i="1"/>
  <c r="AA245" i="1" s="1"/>
  <c r="H131" i="1"/>
  <c r="AA131" i="1" s="1"/>
  <c r="H34" i="1"/>
  <c r="AA34" i="1" s="1"/>
  <c r="H232" i="1"/>
  <c r="AA232" i="1" s="1"/>
  <c r="H138" i="1"/>
  <c r="AA138" i="1" s="1"/>
  <c r="H121" i="1"/>
  <c r="AA121" i="1" s="1"/>
  <c r="H27" i="1"/>
  <c r="AA27" i="1" s="1"/>
  <c r="H29" i="1"/>
  <c r="AA29" i="1" s="1"/>
  <c r="H17" i="1"/>
  <c r="AA17" i="1" s="1"/>
  <c r="H68" i="1"/>
  <c r="AA68" i="1" s="1"/>
  <c r="H57" i="1"/>
  <c r="AA57" i="1" s="1"/>
  <c r="H12" i="1"/>
  <c r="AA12" i="1" s="1"/>
  <c r="H204" i="1"/>
  <c r="AA204" i="1" s="1"/>
  <c r="H202" i="1"/>
  <c r="AA202" i="1" s="1"/>
  <c r="H147" i="1"/>
  <c r="AA147" i="1" s="1"/>
  <c r="H33" i="1"/>
  <c r="AA33" i="1" s="1"/>
  <c r="H13" i="1"/>
  <c r="AA13" i="1" s="1"/>
  <c r="H190" i="1"/>
  <c r="AA190" i="1" s="1"/>
  <c r="H165" i="1"/>
  <c r="AA165" i="1" s="1"/>
  <c r="H195" i="1"/>
  <c r="AA195" i="1" s="1"/>
  <c r="H188" i="1"/>
  <c r="AA188" i="1" s="1"/>
  <c r="H73" i="1"/>
  <c r="AA73" i="1" s="1"/>
  <c r="H231" i="1"/>
  <c r="AA231" i="1" s="1"/>
  <c r="H223" i="1"/>
  <c r="AA223" i="1" s="1"/>
  <c r="H192" i="1"/>
  <c r="AA192" i="1" s="1"/>
  <c r="H36" i="1"/>
  <c r="AA36" i="1" s="1"/>
  <c r="H35" i="1"/>
  <c r="AA35" i="1" s="1"/>
  <c r="H142" i="1"/>
  <c r="AA142" i="1" s="1"/>
  <c r="H21" i="1"/>
  <c r="AA21" i="1" s="1"/>
  <c r="H158" i="1"/>
  <c r="AA158" i="1" s="1"/>
  <c r="H221" i="1"/>
  <c r="AA221" i="1" s="1"/>
  <c r="H28" i="1"/>
  <c r="AA28" i="1" s="1"/>
  <c r="H116" i="1"/>
  <c r="AA116" i="1" s="1"/>
  <c r="H153" i="1"/>
  <c r="AA153" i="1" s="1"/>
  <c r="H240" i="1"/>
  <c r="AA240" i="1" s="1"/>
  <c r="H41" i="1"/>
  <c r="AA41" i="1" s="1"/>
  <c r="H103" i="1"/>
  <c r="AA103" i="1" s="1"/>
  <c r="H187" i="1"/>
  <c r="AA187" i="1" s="1"/>
  <c r="H64" i="1"/>
  <c r="AA64" i="1" s="1"/>
  <c r="H191" i="1"/>
  <c r="AA191" i="1" s="1"/>
  <c r="H51" i="1"/>
  <c r="AA51" i="1" s="1"/>
  <c r="H61" i="1"/>
  <c r="AA61" i="1" s="1"/>
  <c r="H230" i="1"/>
  <c r="AA230" i="1" s="1"/>
  <c r="H143" i="1"/>
  <c r="AA143" i="1" s="1"/>
  <c r="H109" i="1"/>
  <c r="AA109" i="1" s="1"/>
  <c r="H213" i="1"/>
  <c r="AA213" i="1" s="1"/>
  <c r="H58" i="1"/>
  <c r="AA58" i="1" s="1"/>
  <c r="H80" i="1"/>
  <c r="AA80" i="1" s="1"/>
  <c r="H84" i="1"/>
  <c r="AA84" i="1" s="1"/>
  <c r="H172" i="1"/>
  <c r="AA172" i="1" s="1"/>
  <c r="H8" i="1"/>
  <c r="AA8" i="1" s="1"/>
  <c r="H79" i="1"/>
  <c r="AA79" i="1" s="1"/>
  <c r="H157" i="1"/>
  <c r="AA157" i="1" s="1"/>
  <c r="H239" i="1"/>
  <c r="AA239" i="1" s="1"/>
  <c r="H151" i="1"/>
  <c r="AA151" i="1" s="1"/>
  <c r="H181" i="1"/>
  <c r="AA181" i="1" s="1"/>
  <c r="H66" i="1"/>
  <c r="AA66" i="1" s="1"/>
  <c r="H176" i="1"/>
  <c r="AA176" i="1" s="1"/>
  <c r="H52" i="1"/>
  <c r="AA52" i="1" s="1"/>
  <c r="H130" i="1"/>
  <c r="AA130" i="1" s="1"/>
  <c r="H14" i="1"/>
  <c r="AA14" i="1" s="1"/>
  <c r="H200" i="1"/>
  <c r="AA200" i="1" s="1"/>
  <c r="H149" i="1"/>
  <c r="AA149" i="1" s="1"/>
  <c r="H184" i="1"/>
  <c r="AA184" i="1" s="1"/>
  <c r="H97" i="1"/>
  <c r="AA97" i="1" s="1"/>
  <c r="H140" i="1"/>
  <c r="AA140" i="1" s="1"/>
  <c r="H135" i="1"/>
  <c r="AA135" i="1" s="1"/>
  <c r="H100" i="1"/>
  <c r="AA100" i="1" s="1"/>
  <c r="H118" i="1"/>
  <c r="AA118" i="1" s="1"/>
  <c r="H169" i="1"/>
  <c r="AA169" i="1" s="1"/>
  <c r="H218" i="1"/>
  <c r="AA218" i="1" s="1"/>
  <c r="H120" i="1"/>
  <c r="AA120" i="1" s="1"/>
  <c r="H126" i="1"/>
  <c r="AA126" i="1" s="1"/>
  <c r="H55" i="1"/>
  <c r="AA55" i="1" s="1"/>
  <c r="H42" i="1"/>
  <c r="AA42" i="1" s="1"/>
  <c r="H19" i="1"/>
  <c r="AA19" i="1" s="1"/>
  <c r="H168" i="1"/>
  <c r="AA168" i="1" s="1"/>
  <c r="H87" i="1"/>
  <c r="AA87" i="1" s="1"/>
  <c r="H114" i="1"/>
  <c r="AA114" i="1" s="1"/>
  <c r="H162" i="1"/>
  <c r="AA162" i="1" s="1"/>
  <c r="H156" i="1"/>
  <c r="AA156" i="1" s="1"/>
  <c r="H160" i="1"/>
  <c r="AA160" i="1" s="1"/>
  <c r="H43" i="1"/>
  <c r="AA43" i="1" s="1"/>
  <c r="H248" i="1"/>
  <c r="AA248" i="1" s="1"/>
  <c r="H32" i="1"/>
  <c r="AA32" i="1" s="1"/>
  <c r="H82" i="1"/>
  <c r="AA82" i="1" s="1"/>
  <c r="H161" i="1"/>
  <c r="AA161" i="1" s="1"/>
  <c r="H30" i="1"/>
  <c r="AA30" i="1" s="1"/>
  <c r="H2" i="1"/>
  <c r="H7" i="1"/>
  <c r="AA7" i="1" s="1"/>
  <c r="H37" i="1"/>
  <c r="AA37" i="1" s="1"/>
  <c r="H59" i="1"/>
  <c r="AA59" i="1" s="1"/>
  <c r="H137" i="1"/>
  <c r="AA137" i="1" s="1"/>
  <c r="H106" i="1"/>
  <c r="AA106" i="1" s="1"/>
  <c r="H185" i="1"/>
  <c r="AA185" i="1" s="1"/>
  <c r="H163" i="1"/>
  <c r="AA163" i="1" s="1"/>
  <c r="H129" i="1"/>
  <c r="AA129" i="1" s="1"/>
  <c r="H219" i="1"/>
  <c r="AA219" i="1" s="1"/>
  <c r="H180" i="1"/>
  <c r="AA180" i="1" s="1"/>
  <c r="H71" i="1"/>
  <c r="AA71" i="1" s="1"/>
  <c r="H56" i="1"/>
  <c r="AA56" i="1" s="1"/>
  <c r="H155" i="1"/>
  <c r="AA155" i="1" s="1"/>
  <c r="H201" i="1"/>
  <c r="AA201" i="1" s="1"/>
  <c r="H133" i="1"/>
  <c r="AA133" i="1" s="1"/>
  <c r="H152" i="1"/>
  <c r="AA152" i="1" s="1"/>
  <c r="H141" i="1"/>
  <c r="AA141" i="1" s="1"/>
  <c r="H186" i="1"/>
  <c r="AA186" i="1" s="1"/>
  <c r="H150" i="1"/>
  <c r="AA150" i="1" s="1"/>
  <c r="H76" i="1"/>
  <c r="AA76" i="1" s="1"/>
  <c r="H44" i="1"/>
  <c r="AA44" i="1" s="1"/>
  <c r="H31" i="1"/>
  <c r="AA31" i="1" s="1"/>
  <c r="H226" i="1"/>
  <c r="AA226" i="1" s="1"/>
  <c r="H53" i="1"/>
  <c r="AA53" i="1" s="1"/>
  <c r="H48" i="1"/>
  <c r="AA48" i="1" s="1"/>
  <c r="H117" i="1"/>
  <c r="AA117" i="1" s="1"/>
  <c r="H207" i="1"/>
  <c r="AA207" i="1" s="1"/>
  <c r="H124" i="1"/>
  <c r="AA124" i="1" s="1"/>
  <c r="H107" i="1"/>
  <c r="AA107" i="1" s="1"/>
  <c r="H217" i="1"/>
  <c r="AA217" i="1" s="1"/>
  <c r="H6" i="1"/>
  <c r="AA6" i="1" s="1"/>
  <c r="H236" i="1"/>
  <c r="AA236" i="1" s="1"/>
  <c r="H205" i="1"/>
  <c r="AA205" i="1" s="1"/>
  <c r="H174" i="1"/>
  <c r="AA174" i="1" s="1"/>
  <c r="H67" i="1"/>
  <c r="AA67" i="1" s="1"/>
  <c r="H113" i="1"/>
  <c r="AA113" i="1" s="1"/>
  <c r="H127" i="1"/>
  <c r="AA127" i="1" s="1"/>
  <c r="H209" i="1"/>
  <c r="AA209" i="1" s="1"/>
  <c r="H78" i="1"/>
  <c r="AA78" i="1" s="1"/>
  <c r="H89" i="1"/>
  <c r="AA89" i="1" s="1"/>
  <c r="H237" i="1"/>
  <c r="AA237" i="1" s="1"/>
  <c r="H179" i="1"/>
  <c r="AA179" i="1" s="1"/>
  <c r="H39" i="1"/>
  <c r="AA39" i="1" s="1"/>
  <c r="H243" i="1"/>
  <c r="AA243" i="1" s="1"/>
  <c r="H175" i="1"/>
  <c r="AA175" i="1" s="1"/>
  <c r="H148" i="1"/>
  <c r="AA148" i="1" s="1"/>
  <c r="H81" i="1"/>
  <c r="AA81" i="1" s="1"/>
  <c r="H15" i="1"/>
  <c r="AA15" i="1" s="1"/>
  <c r="H96" i="1"/>
  <c r="AA96" i="1" s="1"/>
  <c r="H70" i="1"/>
  <c r="AA70" i="1" s="1"/>
  <c r="H194" i="1"/>
  <c r="AA194" i="1" s="1"/>
  <c r="H40" i="1"/>
  <c r="AA40" i="1" s="1"/>
  <c r="H4" i="1"/>
  <c r="AA4" i="1" s="1"/>
  <c r="H225" i="1"/>
  <c r="AA225" i="1" s="1"/>
  <c r="H224" i="1"/>
  <c r="AA224" i="1" s="1"/>
  <c r="H94" i="1"/>
  <c r="AA94" i="1" s="1"/>
  <c r="H246" i="1"/>
  <c r="AA246" i="1" s="1"/>
  <c r="H91" i="1"/>
  <c r="AA91" i="1" s="1"/>
  <c r="H108" i="1"/>
  <c r="AA108" i="1" s="1"/>
  <c r="H74" i="1"/>
  <c r="AA74" i="1" s="1"/>
  <c r="H110" i="1"/>
  <c r="AA110" i="1" s="1"/>
  <c r="H85" i="1"/>
  <c r="AA85" i="1" s="1"/>
  <c r="H115" i="1"/>
  <c r="AA115" i="1" s="1"/>
  <c r="H47" i="1"/>
  <c r="AA47" i="1" s="1"/>
  <c r="H212" i="1"/>
  <c r="AA212" i="1" s="1"/>
  <c r="H125" i="1"/>
  <c r="AA125" i="1" s="1"/>
  <c r="H229" i="1"/>
  <c r="AA229" i="1" s="1"/>
  <c r="H119" i="1"/>
  <c r="AA119" i="1" s="1"/>
  <c r="H54" i="1"/>
  <c r="AA54" i="1" s="1"/>
  <c r="H98" i="1"/>
  <c r="AA98" i="1" s="1"/>
  <c r="H183" i="1"/>
  <c r="AA183" i="1" s="1"/>
  <c r="H24" i="1"/>
  <c r="AA24" i="1" s="1"/>
  <c r="H250" i="1"/>
  <c r="AA250" i="1" s="1"/>
  <c r="H199" i="1"/>
  <c r="AA199" i="1" s="1"/>
  <c r="H189" i="1"/>
  <c r="AA189" i="1" s="1"/>
  <c r="H72" i="1"/>
  <c r="AA72" i="1" s="1"/>
  <c r="H93" i="1"/>
  <c r="AA93" i="1" s="1"/>
  <c r="H203" i="1"/>
  <c r="AA203" i="1" s="1"/>
  <c r="H228" i="1"/>
  <c r="AA228" i="1" s="1"/>
  <c r="H170" i="1"/>
  <c r="AA170" i="1" s="1"/>
  <c r="U55" i="1"/>
  <c r="U4" i="1"/>
  <c r="T100" i="1"/>
  <c r="U29" i="1"/>
  <c r="T237" i="1"/>
  <c r="U22" i="1"/>
  <c r="T92" i="1"/>
  <c r="U103" i="1"/>
  <c r="U17" i="1"/>
  <c r="T140" i="1"/>
  <c r="T27" i="1"/>
  <c r="U168" i="1"/>
  <c r="T78" i="1"/>
  <c r="U225" i="1"/>
  <c r="U116" i="1"/>
  <c r="U64" i="1"/>
  <c r="U135" i="1"/>
  <c r="T41" i="1"/>
  <c r="T191" i="1"/>
  <c r="U179" i="1"/>
  <c r="T133" i="1"/>
  <c r="U102" i="1"/>
  <c r="T174" i="1"/>
  <c r="T246" i="1"/>
  <c r="T111" i="1"/>
  <c r="T121" i="1"/>
  <c r="U132" i="1"/>
  <c r="U184" i="1"/>
  <c r="T186" i="1"/>
  <c r="U39" i="1"/>
  <c r="T194" i="1"/>
  <c r="T18" i="1"/>
  <c r="U227" i="1"/>
  <c r="U40" i="1"/>
  <c r="T89" i="1"/>
  <c r="U99" i="1"/>
  <c r="T26" i="1"/>
  <c r="T19" i="1"/>
  <c r="U134" i="1"/>
  <c r="U42" i="1"/>
  <c r="T224" i="1"/>
  <c r="T187" i="1"/>
  <c r="T94" i="1"/>
  <c r="T190" i="1"/>
  <c r="U190" i="1"/>
  <c r="T9" i="1"/>
  <c r="U9" i="1"/>
  <c r="T247" i="1"/>
  <c r="U247" i="1"/>
  <c r="T129" i="1"/>
  <c r="U129" i="1"/>
  <c r="T58" i="1"/>
  <c r="U58" i="1"/>
  <c r="T220" i="1"/>
  <c r="U220" i="1"/>
  <c r="T203" i="1"/>
  <c r="U203" i="1"/>
  <c r="T101" i="1"/>
  <c r="U101" i="1"/>
  <c r="T7" i="1"/>
  <c r="U7" i="1"/>
  <c r="T143" i="1"/>
  <c r="U143" i="1"/>
  <c r="T36" i="1"/>
  <c r="U36" i="1"/>
  <c r="T24" i="1"/>
  <c r="U24" i="1"/>
  <c r="T124" i="1"/>
  <c r="U124" i="1"/>
  <c r="T181" i="1"/>
  <c r="U181" i="1"/>
  <c r="T49" i="1"/>
  <c r="U49" i="1"/>
  <c r="T163" i="1"/>
  <c r="U163" i="1"/>
  <c r="T50" i="1"/>
  <c r="U50" i="1"/>
  <c r="T34" i="1"/>
  <c r="U34" i="1"/>
  <c r="T199" i="1"/>
  <c r="U199" i="1"/>
  <c r="T243" i="1"/>
  <c r="U243" i="1"/>
  <c r="T83" i="1"/>
  <c r="U83" i="1"/>
  <c r="T183" i="1"/>
  <c r="U183" i="1"/>
  <c r="T213" i="1"/>
  <c r="U213" i="1"/>
  <c r="T74" i="1"/>
  <c r="U74" i="1"/>
  <c r="T250" i="1"/>
  <c r="U250" i="1"/>
  <c r="T195" i="1"/>
  <c r="U195" i="1"/>
  <c r="T73" i="1"/>
  <c r="U73" i="1"/>
  <c r="T88" i="1"/>
  <c r="U88" i="1"/>
  <c r="T84" i="1"/>
  <c r="U84" i="1"/>
  <c r="T125" i="1"/>
  <c r="U125" i="1"/>
  <c r="T193" i="1"/>
  <c r="U193" i="1"/>
  <c r="T51" i="1"/>
  <c r="U51" i="1"/>
  <c r="T25" i="1"/>
  <c r="U25" i="1"/>
  <c r="T166" i="1"/>
  <c r="U166" i="1"/>
  <c r="T75" i="1"/>
  <c r="U75" i="1"/>
  <c r="T198" i="1"/>
  <c r="U198" i="1"/>
  <c r="T93" i="1"/>
  <c r="U93" i="1"/>
  <c r="T208" i="1"/>
  <c r="U208" i="1"/>
  <c r="T11" i="1"/>
  <c r="U11" i="1"/>
  <c r="T10" i="1"/>
  <c r="U10" i="1"/>
  <c r="T169" i="1"/>
  <c r="U169" i="1"/>
  <c r="T20" i="1"/>
  <c r="U20" i="1"/>
  <c r="T70" i="1"/>
  <c r="U70" i="1"/>
  <c r="T233" i="1"/>
  <c r="U233" i="1"/>
  <c r="T192" i="1"/>
  <c r="U192" i="1"/>
  <c r="T110" i="1"/>
  <c r="U110" i="1"/>
  <c r="T156" i="1"/>
  <c r="U156" i="1"/>
  <c r="T82" i="1"/>
  <c r="U82" i="1"/>
  <c r="T218" i="1"/>
  <c r="U218" i="1"/>
  <c r="T155" i="1"/>
  <c r="U155" i="1"/>
  <c r="T120" i="1"/>
  <c r="U120" i="1"/>
  <c r="T215" i="1"/>
  <c r="U215" i="1"/>
  <c r="T164" i="1"/>
  <c r="U164" i="1"/>
  <c r="T68" i="1"/>
  <c r="U68" i="1"/>
  <c r="T157" i="1"/>
  <c r="U157" i="1"/>
  <c r="T66" i="1"/>
  <c r="U66" i="1"/>
  <c r="T6" i="1"/>
  <c r="U6" i="1"/>
  <c r="T196" i="1"/>
  <c r="U196" i="1"/>
  <c r="T76" i="1"/>
  <c r="U76" i="1"/>
  <c r="T109" i="1"/>
  <c r="U109" i="1"/>
  <c r="T176" i="1"/>
  <c r="U176" i="1"/>
  <c r="T221" i="1"/>
  <c r="U221" i="1"/>
  <c r="T201" i="1"/>
  <c r="U201" i="1"/>
  <c r="T153" i="1"/>
  <c r="U153" i="1"/>
  <c r="T240" i="1"/>
  <c r="U240" i="1"/>
  <c r="T56" i="1"/>
  <c r="U56" i="1"/>
  <c r="T216" i="1"/>
  <c r="U216" i="1"/>
  <c r="T77" i="1"/>
  <c r="U77" i="1"/>
  <c r="T128" i="1"/>
  <c r="U128" i="1"/>
  <c r="T54" i="1"/>
  <c r="U54" i="1"/>
  <c r="T167" i="1"/>
  <c r="U167" i="1"/>
  <c r="T205" i="1"/>
  <c r="U205" i="1"/>
  <c r="T90" i="1"/>
  <c r="U90" i="1"/>
  <c r="T185" i="1"/>
  <c r="U185" i="1"/>
  <c r="T81" i="1"/>
  <c r="U81" i="1"/>
  <c r="T105" i="1"/>
  <c r="U105" i="1"/>
  <c r="T114" i="1"/>
  <c r="U114" i="1"/>
  <c r="T180" i="1"/>
  <c r="U180" i="1"/>
  <c r="T222" i="1"/>
  <c r="U222" i="1"/>
  <c r="T154" i="1"/>
  <c r="U154" i="1"/>
  <c r="T2" i="1"/>
  <c r="U2" i="1"/>
  <c r="T30" i="1"/>
  <c r="U30" i="1"/>
  <c r="T53" i="1"/>
  <c r="U53" i="1"/>
  <c r="T162" i="1"/>
  <c r="U162" i="1"/>
  <c r="T160" i="1"/>
  <c r="U160" i="1"/>
  <c r="T239" i="1"/>
  <c r="U239" i="1"/>
  <c r="T97" i="1"/>
  <c r="U97" i="1"/>
  <c r="T46" i="1"/>
  <c r="U46" i="1"/>
  <c r="T60" i="1"/>
  <c r="U60" i="1"/>
  <c r="T188" i="1"/>
  <c r="U188" i="1"/>
  <c r="T85" i="1"/>
  <c r="U85" i="1"/>
  <c r="T14" i="1"/>
  <c r="U14" i="1"/>
  <c r="T86" i="1"/>
  <c r="U86" i="1"/>
  <c r="T130" i="1"/>
  <c r="U130" i="1"/>
  <c r="T159" i="1"/>
  <c r="U159" i="1"/>
  <c r="T244" i="1"/>
  <c r="U244" i="1"/>
  <c r="T33" i="1"/>
  <c r="U33" i="1"/>
  <c r="T210" i="1"/>
  <c r="U210" i="1"/>
  <c r="T59" i="1"/>
  <c r="U59" i="1"/>
  <c r="T107" i="1"/>
  <c r="U107" i="1"/>
  <c r="T204" i="1"/>
  <c r="U204" i="1"/>
  <c r="T170" i="1"/>
  <c r="U170" i="1"/>
  <c r="T13" i="1"/>
  <c r="U13" i="1"/>
  <c r="T228" i="1"/>
  <c r="U228" i="1"/>
  <c r="T3" i="1"/>
  <c r="U3" i="1"/>
  <c r="T236" i="1"/>
  <c r="U236" i="1"/>
  <c r="T23" i="1"/>
  <c r="U23" i="1"/>
  <c r="T226" i="1"/>
  <c r="U226" i="1"/>
  <c r="T52" i="1"/>
  <c r="U52" i="1"/>
  <c r="T144" i="1"/>
  <c r="U144" i="1"/>
  <c r="T57" i="1"/>
  <c r="U57" i="1"/>
  <c r="T47" i="1"/>
  <c r="U47" i="1"/>
  <c r="T151" i="1"/>
  <c r="U151" i="1"/>
  <c r="T214" i="1"/>
  <c r="U214" i="1"/>
  <c r="T235" i="1"/>
  <c r="U235" i="1"/>
  <c r="T148" i="1"/>
  <c r="U148" i="1"/>
  <c r="T172" i="1"/>
  <c r="U172" i="1"/>
  <c r="T37" i="1"/>
  <c r="U37" i="1"/>
  <c r="T35" i="1"/>
  <c r="U35" i="1"/>
  <c r="T171" i="1"/>
  <c r="U171" i="1"/>
  <c r="T230" i="1"/>
  <c r="U230" i="1"/>
  <c r="T119" i="1"/>
  <c r="U119" i="1"/>
  <c r="T219" i="1"/>
  <c r="U219" i="1"/>
  <c r="T229" i="1"/>
  <c r="U229" i="1"/>
  <c r="T131" i="1"/>
  <c r="U131" i="1"/>
  <c r="T173" i="1"/>
  <c r="U173" i="1"/>
  <c r="T45" i="1"/>
  <c r="U45" i="1"/>
  <c r="T5" i="1"/>
  <c r="U5" i="1"/>
  <c r="T62" i="1"/>
  <c r="U62" i="1"/>
  <c r="T217" i="1"/>
  <c r="U217" i="1"/>
  <c r="T177" i="1"/>
  <c r="U177" i="1"/>
  <c r="T15" i="1"/>
  <c r="U15" i="1"/>
  <c r="T150" i="1"/>
  <c r="U150" i="1"/>
  <c r="T106" i="1"/>
  <c r="U106" i="1"/>
  <c r="T207" i="1"/>
  <c r="U207" i="1"/>
  <c r="T12" i="1"/>
  <c r="U12" i="1"/>
  <c r="T48" i="1"/>
  <c r="U48" i="1"/>
  <c r="T71" i="1"/>
  <c r="U71" i="1"/>
  <c r="T251" i="1"/>
  <c r="U251" i="1"/>
  <c r="T32" i="1"/>
  <c r="U32" i="1"/>
  <c r="T69" i="1"/>
  <c r="U69" i="1"/>
  <c r="T231" i="1"/>
  <c r="U231" i="1"/>
  <c r="T212" i="1"/>
  <c r="U212" i="1"/>
  <c r="T206" i="1"/>
  <c r="U206" i="1"/>
  <c r="T115" i="1"/>
  <c r="U115" i="1"/>
  <c r="T43" i="1"/>
  <c r="U43" i="1"/>
  <c r="T182" i="1"/>
  <c r="U182" i="1"/>
  <c r="T175" i="1"/>
  <c r="U175" i="1"/>
  <c r="T16" i="1"/>
  <c r="U16" i="1"/>
  <c r="T145" i="1"/>
  <c r="U145" i="1"/>
  <c r="T200" i="1"/>
  <c r="U200" i="1"/>
  <c r="T44" i="1"/>
  <c r="U44" i="1"/>
  <c r="T80" i="1"/>
  <c r="U80" i="1"/>
  <c r="T242" i="1"/>
  <c r="U242" i="1"/>
  <c r="U8" i="1"/>
  <c r="T165" i="1"/>
  <c r="U165" i="1"/>
  <c r="T178" i="1"/>
  <c r="U178" i="1"/>
  <c r="T189" i="1"/>
  <c r="U189" i="1"/>
  <c r="T141" i="1"/>
  <c r="U141" i="1"/>
  <c r="T152" i="1"/>
  <c r="U152" i="1"/>
  <c r="T112" i="1"/>
  <c r="U112" i="1"/>
  <c r="T21" i="1"/>
  <c r="U21" i="1"/>
  <c r="T38" i="1"/>
  <c r="U38" i="1"/>
  <c r="T147" i="1"/>
  <c r="U147" i="1"/>
  <c r="T104" i="1"/>
  <c r="U104" i="1"/>
  <c r="T65" i="1"/>
  <c r="U65" i="1"/>
  <c r="T67" i="1"/>
  <c r="U67" i="1"/>
  <c r="T96" i="1"/>
  <c r="U96" i="1"/>
  <c r="T63" i="1"/>
  <c r="U63" i="1"/>
  <c r="T98" i="1"/>
  <c r="U98" i="1"/>
  <c r="T142" i="1"/>
  <c r="U142" i="1"/>
  <c r="T158" i="1"/>
  <c r="U158" i="1"/>
  <c r="T211" i="1"/>
  <c r="U211" i="1"/>
  <c r="T149" i="1"/>
  <c r="U149" i="1"/>
  <c r="T113" i="1"/>
  <c r="U113" i="1"/>
  <c r="T232" i="1"/>
  <c r="U232" i="1"/>
  <c r="T241" i="1"/>
  <c r="U241" i="1"/>
  <c r="T72" i="1"/>
  <c r="U72" i="1"/>
  <c r="T31" i="1"/>
  <c r="U31" i="1"/>
  <c r="T127" i="1"/>
  <c r="U127" i="1"/>
  <c r="T138" i="1"/>
  <c r="U138" i="1"/>
  <c r="T209" i="1"/>
  <c r="U209" i="1"/>
  <c r="T234" i="1"/>
  <c r="U234" i="1"/>
  <c r="T28" i="1"/>
  <c r="U28" i="1"/>
  <c r="T87" i="1"/>
  <c r="U87" i="1"/>
  <c r="T108" i="1"/>
  <c r="U108" i="1"/>
  <c r="T79" i="1"/>
  <c r="U79" i="1"/>
  <c r="T197" i="1"/>
  <c r="U197" i="1"/>
  <c r="T122" i="1"/>
  <c r="U122" i="1"/>
  <c r="T223" i="1"/>
  <c r="U223" i="1"/>
  <c r="T95" i="1"/>
  <c r="U95" i="1"/>
  <c r="T249" i="1"/>
  <c r="U249" i="1"/>
  <c r="T202" i="1"/>
  <c r="U202" i="1"/>
  <c r="T136" i="1"/>
  <c r="U136" i="1"/>
  <c r="T238" i="1"/>
  <c r="U238" i="1"/>
  <c r="T146" i="1"/>
  <c r="U146" i="1"/>
  <c r="T123" i="1"/>
  <c r="U123" i="1"/>
  <c r="T139" i="1"/>
  <c r="U139" i="1"/>
  <c r="T248" i="1"/>
  <c r="U248" i="1"/>
  <c r="T117" i="1"/>
  <c r="U117" i="1"/>
  <c r="T245" i="1"/>
  <c r="U245" i="1"/>
  <c r="T137" i="1"/>
  <c r="U137" i="1"/>
  <c r="T61" i="1"/>
  <c r="U61" i="1"/>
  <c r="T91" i="1"/>
  <c r="U91" i="1"/>
  <c r="T161" i="1"/>
  <c r="U161" i="1"/>
  <c r="AA2" i="1" l="1"/>
  <c r="R2" i="1"/>
  <c r="Z203" i="1"/>
  <c r="Z98" i="1"/>
  <c r="Z6" i="1"/>
  <c r="Z217" i="1"/>
  <c r="Z201" i="1"/>
  <c r="Z185" i="1"/>
  <c r="Z82" i="1"/>
  <c r="Z42" i="1"/>
  <c r="Z135" i="1"/>
  <c r="Z149" i="1"/>
  <c r="Z151" i="1"/>
  <c r="Z80" i="1"/>
  <c r="Z230" i="1"/>
  <c r="Z51" i="1"/>
  <c r="Z153" i="1"/>
  <c r="Z158" i="1"/>
  <c r="Z13" i="1"/>
  <c r="Z12" i="1"/>
  <c r="Z138" i="1"/>
  <c r="Z23" i="1"/>
  <c r="Z159" i="1"/>
  <c r="Z83" i="1"/>
  <c r="Z238" i="1"/>
  <c r="Z167" i="1"/>
  <c r="Z26" i="1"/>
  <c r="Z136" i="1"/>
  <c r="Z45" i="1"/>
  <c r="Z244" i="1"/>
  <c r="Z16" i="1"/>
  <c r="Z122" i="1"/>
  <c r="Z93" i="1"/>
  <c r="Z54" i="1"/>
  <c r="Z212" i="1"/>
  <c r="Z85" i="1"/>
  <c r="Z91" i="1"/>
  <c r="Z40" i="1"/>
  <c r="Z15" i="1"/>
  <c r="Z107" i="1"/>
  <c r="Z155" i="1"/>
  <c r="Z2" i="1"/>
  <c r="Z32" i="1"/>
  <c r="Z156" i="1"/>
  <c r="Z218" i="1"/>
  <c r="Z200" i="1"/>
  <c r="Z239" i="1"/>
  <c r="Z21" i="1"/>
  <c r="Z33" i="1"/>
  <c r="Z232" i="1"/>
  <c r="Z245" i="1"/>
  <c r="Z206" i="1"/>
  <c r="Z146" i="1"/>
  <c r="Z18" i="1"/>
  <c r="Z193" i="1"/>
  <c r="Z197" i="1"/>
  <c r="Z5" i="1"/>
  <c r="Z22" i="1"/>
  <c r="Z241" i="1"/>
  <c r="Z177" i="1"/>
  <c r="Z182" i="1"/>
  <c r="Z24" i="1"/>
  <c r="Z81" i="1"/>
  <c r="Z209" i="1"/>
  <c r="Z67" i="1"/>
  <c r="Z48" i="1"/>
  <c r="Z31" i="1"/>
  <c r="Z186" i="1"/>
  <c r="Z30" i="1"/>
  <c r="Z162" i="1"/>
  <c r="Z169" i="1"/>
  <c r="Z14" i="1"/>
  <c r="Z157" i="1"/>
  <c r="Z191" i="1"/>
  <c r="Z28" i="1"/>
  <c r="Z142" i="1"/>
  <c r="Z36" i="1"/>
  <c r="Z188" i="1"/>
  <c r="Z147" i="1"/>
  <c r="Z57" i="1"/>
  <c r="Z17" i="1"/>
  <c r="Z208" i="1"/>
  <c r="Z102" i="1"/>
  <c r="Z242" i="1"/>
  <c r="Z145" i="1"/>
  <c r="Z123" i="1"/>
  <c r="Z105" i="1"/>
  <c r="Z99" i="1"/>
  <c r="Z234" i="1"/>
  <c r="Z72" i="1"/>
  <c r="Z39" i="1"/>
  <c r="Z189" i="1"/>
  <c r="Z183" i="1"/>
  <c r="Z119" i="1"/>
  <c r="Z246" i="1"/>
  <c r="Z194" i="1"/>
  <c r="Z148" i="1"/>
  <c r="Z179" i="1"/>
  <c r="Z127" i="1"/>
  <c r="Z44" i="1"/>
  <c r="Z141" i="1"/>
  <c r="Z71" i="1"/>
  <c r="Z106" i="1"/>
  <c r="Z248" i="1"/>
  <c r="Z114" i="1"/>
  <c r="Z55" i="1"/>
  <c r="Z130" i="1"/>
  <c r="Z79" i="1"/>
  <c r="Z8" i="1"/>
  <c r="Z64" i="1"/>
  <c r="Z192" i="1"/>
  <c r="Z202" i="1"/>
  <c r="Z101" i="1"/>
  <c r="Z104" i="1"/>
  <c r="Z178" i="1"/>
  <c r="Z63" i="1"/>
  <c r="Z175" i="1"/>
  <c r="Z180" i="1"/>
  <c r="Z126" i="1"/>
  <c r="Z140" i="1"/>
  <c r="Z52" i="1"/>
  <c r="Z109" i="1"/>
  <c r="Z187" i="1"/>
  <c r="Z223" i="1"/>
  <c r="Z29" i="1"/>
  <c r="Z34" i="1"/>
  <c r="Z90" i="1"/>
  <c r="Z249" i="1"/>
  <c r="Z235" i="1"/>
  <c r="Z20" i="1"/>
  <c r="Z60" i="1"/>
  <c r="Z251" i="1"/>
  <c r="Z227" i="1"/>
  <c r="Z94" i="1"/>
  <c r="Z174" i="1"/>
  <c r="Z199" i="1"/>
  <c r="Z229" i="1"/>
  <c r="Z47" i="1"/>
  <c r="Z74" i="1"/>
  <c r="Z224" i="1"/>
  <c r="Z70" i="1"/>
  <c r="Z243" i="1"/>
  <c r="Z89" i="1"/>
  <c r="Z205" i="1"/>
  <c r="Z124" i="1"/>
  <c r="Z56" i="1"/>
  <c r="Z219" i="1"/>
  <c r="Z59" i="1"/>
  <c r="Z161" i="1"/>
  <c r="Z43" i="1"/>
  <c r="Z87" i="1"/>
  <c r="Z118" i="1"/>
  <c r="Z97" i="1"/>
  <c r="Z176" i="1"/>
  <c r="Z58" i="1"/>
  <c r="Z143" i="1"/>
  <c r="Z103" i="1"/>
  <c r="Z221" i="1"/>
  <c r="Z35" i="1"/>
  <c r="Z231" i="1"/>
  <c r="Z195" i="1"/>
  <c r="Z27" i="1"/>
  <c r="Z233" i="1"/>
  <c r="Z10" i="1"/>
  <c r="Z11" i="1"/>
  <c r="Z222" i="1"/>
  <c r="Z50" i="1"/>
  <c r="Z196" i="1"/>
  <c r="Z154" i="1"/>
  <c r="Z247" i="1"/>
  <c r="Z38" i="1"/>
  <c r="Z144" i="1"/>
  <c r="Z132" i="1"/>
  <c r="Z3" i="1"/>
  <c r="Z75" i="1"/>
  <c r="Z25" i="1"/>
  <c r="Z95" i="1"/>
  <c r="Z113" i="1"/>
  <c r="Z76" i="1"/>
  <c r="Z170" i="1"/>
  <c r="Z125" i="1"/>
  <c r="Z115" i="1"/>
  <c r="Z225" i="1"/>
  <c r="Z78" i="1"/>
  <c r="Z236" i="1"/>
  <c r="Z207" i="1"/>
  <c r="Z129" i="1"/>
  <c r="Z37" i="1"/>
  <c r="Z160" i="1"/>
  <c r="Z168" i="1"/>
  <c r="Z100" i="1"/>
  <c r="Z66" i="1"/>
  <c r="Z172" i="1"/>
  <c r="Z61" i="1"/>
  <c r="Z41" i="1"/>
  <c r="Z116" i="1"/>
  <c r="Z165" i="1"/>
  <c r="Z204" i="1"/>
  <c r="Z68" i="1"/>
  <c r="Z121" i="1"/>
  <c r="Z131" i="1"/>
  <c r="Z9" i="1"/>
  <c r="Z173" i="1"/>
  <c r="Z198" i="1"/>
  <c r="Z210" i="1"/>
  <c r="Z216" i="1"/>
  <c r="Z46" i="1"/>
  <c r="Z92" i="1"/>
  <c r="Z214" i="1"/>
  <c r="Z112" i="1"/>
  <c r="Z215" i="1"/>
  <c r="Z237" i="1"/>
  <c r="Z53" i="1"/>
  <c r="Z152" i="1"/>
  <c r="Z137" i="1"/>
  <c r="Z228" i="1"/>
  <c r="Z250" i="1"/>
  <c r="Z110" i="1"/>
  <c r="Z108" i="1"/>
  <c r="Z4" i="1"/>
  <c r="Z96" i="1"/>
  <c r="Z117" i="1"/>
  <c r="Z226" i="1"/>
  <c r="Z150" i="1"/>
  <c r="Z133" i="1"/>
  <c r="Z163" i="1"/>
  <c r="Z7" i="1"/>
  <c r="Z19" i="1"/>
  <c r="Z120" i="1"/>
  <c r="Z184" i="1"/>
  <c r="Z181" i="1"/>
  <c r="Z84" i="1"/>
  <c r="Z213" i="1"/>
  <c r="Z240" i="1"/>
  <c r="Z73" i="1"/>
  <c r="Z190" i="1"/>
  <c r="Z69" i="1"/>
  <c r="Z139" i="1"/>
  <c r="Z171" i="1"/>
  <c r="Z128" i="1"/>
  <c r="Z88" i="1"/>
  <c r="Z166" i="1"/>
  <c r="Z211" i="1"/>
  <c r="Z134" i="1"/>
  <c r="Z49" i="1"/>
  <c r="Z220" i="1"/>
  <c r="Z86" i="1"/>
  <c r="R203" i="1"/>
  <c r="R98" i="1"/>
  <c r="R6" i="1"/>
  <c r="R217" i="1"/>
  <c r="R201" i="1"/>
  <c r="R185" i="1"/>
  <c r="R82" i="1"/>
  <c r="R42" i="1"/>
  <c r="R135" i="1"/>
  <c r="R149" i="1"/>
  <c r="R151" i="1"/>
  <c r="R80" i="1"/>
  <c r="R230" i="1"/>
  <c r="R51" i="1"/>
  <c r="R153" i="1"/>
  <c r="R158" i="1"/>
  <c r="R13" i="1"/>
  <c r="R12" i="1"/>
  <c r="R138" i="1"/>
  <c r="R23" i="1"/>
  <c r="R159" i="1"/>
  <c r="R83" i="1"/>
  <c r="R238" i="1"/>
  <c r="R167" i="1"/>
  <c r="R26" i="1"/>
  <c r="R136" i="1"/>
  <c r="R45" i="1"/>
  <c r="R244" i="1"/>
  <c r="R16" i="1"/>
  <c r="R122" i="1"/>
  <c r="R93" i="1"/>
  <c r="R54" i="1"/>
  <c r="R212" i="1"/>
  <c r="R85" i="1"/>
  <c r="R91" i="1"/>
  <c r="R40" i="1"/>
  <c r="R15" i="1"/>
  <c r="R107" i="1"/>
  <c r="R155" i="1"/>
  <c r="R32" i="1"/>
  <c r="R156" i="1"/>
  <c r="R218" i="1"/>
  <c r="R200" i="1"/>
  <c r="R239" i="1"/>
  <c r="R21" i="1"/>
  <c r="R33" i="1"/>
  <c r="R232" i="1"/>
  <c r="R245" i="1"/>
  <c r="R206" i="1"/>
  <c r="R146" i="1"/>
  <c r="R18" i="1"/>
  <c r="R193" i="1"/>
  <c r="R197" i="1"/>
  <c r="R5" i="1"/>
  <c r="R22" i="1"/>
  <c r="R241" i="1"/>
  <c r="R177" i="1"/>
  <c r="R182" i="1"/>
  <c r="R72" i="1"/>
  <c r="R24" i="1"/>
  <c r="R81" i="1"/>
  <c r="R39" i="1"/>
  <c r="R209" i="1"/>
  <c r="R67" i="1"/>
  <c r="R48" i="1"/>
  <c r="R31" i="1"/>
  <c r="R186" i="1"/>
  <c r="R30" i="1"/>
  <c r="R162" i="1"/>
  <c r="R169" i="1"/>
  <c r="R14" i="1"/>
  <c r="R157" i="1"/>
  <c r="R191" i="1"/>
  <c r="R28" i="1"/>
  <c r="R142" i="1"/>
  <c r="R36" i="1"/>
  <c r="R188" i="1"/>
  <c r="R147" i="1"/>
  <c r="R57" i="1"/>
  <c r="R17" i="1"/>
  <c r="R208" i="1"/>
  <c r="R102" i="1"/>
  <c r="R242" i="1"/>
  <c r="R145" i="1"/>
  <c r="R123" i="1"/>
  <c r="R105" i="1"/>
  <c r="R99" i="1"/>
  <c r="R234" i="1"/>
  <c r="R189" i="1"/>
  <c r="R183" i="1"/>
  <c r="R119" i="1"/>
  <c r="R246" i="1"/>
  <c r="R194" i="1"/>
  <c r="R148" i="1"/>
  <c r="R179" i="1"/>
  <c r="R127" i="1"/>
  <c r="R44" i="1"/>
  <c r="R141" i="1"/>
  <c r="R71" i="1"/>
  <c r="R106" i="1"/>
  <c r="R248" i="1"/>
  <c r="R114" i="1"/>
  <c r="R55" i="1"/>
  <c r="R130" i="1"/>
  <c r="R79" i="1"/>
  <c r="R8" i="1"/>
  <c r="R64" i="1"/>
  <c r="R192" i="1"/>
  <c r="R202" i="1"/>
  <c r="R101" i="1"/>
  <c r="R104" i="1"/>
  <c r="R178" i="1"/>
  <c r="R63" i="1"/>
  <c r="R94" i="1"/>
  <c r="R175" i="1"/>
  <c r="R237" i="1"/>
  <c r="R113" i="1"/>
  <c r="R174" i="1"/>
  <c r="R53" i="1"/>
  <c r="R76" i="1"/>
  <c r="R152" i="1"/>
  <c r="R180" i="1"/>
  <c r="R137" i="1"/>
  <c r="R126" i="1"/>
  <c r="R140" i="1"/>
  <c r="R52" i="1"/>
  <c r="R109" i="1"/>
  <c r="R187" i="1"/>
  <c r="R223" i="1"/>
  <c r="R29" i="1"/>
  <c r="R34" i="1"/>
  <c r="R90" i="1"/>
  <c r="R249" i="1"/>
  <c r="R235" i="1"/>
  <c r="R20" i="1"/>
  <c r="R60" i="1"/>
  <c r="R251" i="1"/>
  <c r="R227" i="1"/>
  <c r="R199" i="1"/>
  <c r="R229" i="1"/>
  <c r="R47" i="1"/>
  <c r="R74" i="1"/>
  <c r="R224" i="1"/>
  <c r="R70" i="1"/>
  <c r="R243" i="1"/>
  <c r="R89" i="1"/>
  <c r="R205" i="1"/>
  <c r="R124" i="1"/>
  <c r="R56" i="1"/>
  <c r="R219" i="1"/>
  <c r="R59" i="1"/>
  <c r="R161" i="1"/>
  <c r="R43" i="1"/>
  <c r="R87" i="1"/>
  <c r="R118" i="1"/>
  <c r="R97" i="1"/>
  <c r="R176" i="1"/>
  <c r="R58" i="1"/>
  <c r="R143" i="1"/>
  <c r="R103" i="1"/>
  <c r="R221" i="1"/>
  <c r="R35" i="1"/>
  <c r="R231" i="1"/>
  <c r="R195" i="1"/>
  <c r="R27" i="1"/>
  <c r="R233" i="1"/>
  <c r="R10" i="1"/>
  <c r="R222" i="1"/>
  <c r="R50" i="1"/>
  <c r="R196" i="1"/>
  <c r="R154" i="1"/>
  <c r="R247" i="1"/>
  <c r="R38" i="1"/>
  <c r="R144" i="1"/>
  <c r="R132" i="1"/>
  <c r="R3" i="1"/>
  <c r="R75" i="1"/>
  <c r="R25" i="1"/>
  <c r="R95" i="1"/>
  <c r="R170" i="1"/>
  <c r="R125" i="1"/>
  <c r="R115" i="1"/>
  <c r="R225" i="1"/>
  <c r="R78" i="1"/>
  <c r="R236" i="1"/>
  <c r="R207" i="1"/>
  <c r="R129" i="1"/>
  <c r="R37" i="1"/>
  <c r="R160" i="1"/>
  <c r="R168" i="1"/>
  <c r="R100" i="1"/>
  <c r="R66" i="1"/>
  <c r="R172" i="1"/>
  <c r="R61" i="1"/>
  <c r="R41" i="1"/>
  <c r="R116" i="1"/>
  <c r="R165" i="1"/>
  <c r="R204" i="1"/>
  <c r="R68" i="1"/>
  <c r="R121" i="1"/>
  <c r="R131" i="1"/>
  <c r="R9" i="1"/>
  <c r="R173" i="1"/>
  <c r="R198" i="1"/>
  <c r="R210" i="1"/>
  <c r="R216" i="1"/>
  <c r="R46" i="1"/>
  <c r="R92" i="1"/>
  <c r="R214" i="1"/>
  <c r="R112" i="1"/>
  <c r="R215" i="1"/>
  <c r="R228" i="1"/>
  <c r="R250" i="1"/>
  <c r="R110" i="1"/>
  <c r="R108" i="1"/>
  <c r="R4" i="1"/>
  <c r="R96" i="1"/>
  <c r="R117" i="1"/>
  <c r="R226" i="1"/>
  <c r="R150" i="1"/>
  <c r="R133" i="1"/>
  <c r="R163" i="1"/>
  <c r="R7" i="1"/>
  <c r="R19" i="1"/>
  <c r="R120" i="1"/>
  <c r="R184" i="1"/>
  <c r="R181" i="1"/>
  <c r="R84" i="1"/>
  <c r="R213" i="1"/>
  <c r="R240" i="1"/>
  <c r="R73" i="1"/>
  <c r="R190" i="1"/>
  <c r="R69" i="1"/>
  <c r="R139" i="1"/>
  <c r="R171" i="1"/>
  <c r="R128" i="1"/>
  <c r="R88" i="1"/>
  <c r="R166" i="1"/>
  <c r="R211" i="1"/>
  <c r="R134" i="1"/>
  <c r="R49" i="1"/>
  <c r="R220" i="1"/>
  <c r="R86" i="1"/>
  <c r="AD10" i="1"/>
  <c r="AF13" i="1" l="1"/>
  <c r="AH10" i="1"/>
  <c r="AE6" i="1"/>
  <c r="AH6" i="1"/>
  <c r="AF10" i="1"/>
  <c r="AD6" i="1"/>
  <c r="AG1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<sst xmlns="http://schemas.openxmlformats.org/spreadsheetml/2006/main" count="124" uniqueCount="70">
  <si>
    <t>Employee ID</t>
  </si>
  <si>
    <t>Department</t>
  </si>
  <si>
    <t>Job Title</t>
  </si>
  <si>
    <t>Job Posting Date</t>
  </si>
  <si>
    <t>Hire Date</t>
  </si>
  <si>
    <t>Join Date</t>
  </si>
  <si>
    <t>Exit Date</t>
  </si>
  <si>
    <t>Status</t>
  </si>
  <si>
    <t>Recruitment Cost</t>
  </si>
  <si>
    <t>Training Program</t>
  </si>
  <si>
    <t>Training Completion Status</t>
  </si>
  <si>
    <t>Total Work Days</t>
  </si>
  <si>
    <t>Absentee Days</t>
  </si>
  <si>
    <t>Gender</t>
  </si>
  <si>
    <t>Training Cost</t>
  </si>
  <si>
    <t>Time to Fill</t>
  </si>
  <si>
    <t>Time to Onboard</t>
  </si>
  <si>
    <t>Total Tenure in M</t>
  </si>
  <si>
    <t>Recruitment Cycle Time</t>
  </si>
  <si>
    <t>Onboarding Efficiency Rate</t>
  </si>
  <si>
    <t>Individual Onboard Efficiency Rate</t>
  </si>
  <si>
    <t>Recruitment Lag</t>
  </si>
  <si>
    <t>Onboarding Cost</t>
  </si>
  <si>
    <t>Absenteeism Rate</t>
  </si>
  <si>
    <t>Year of Joining</t>
  </si>
  <si>
    <t>Retention Status</t>
  </si>
  <si>
    <t>Cost of Employee Turnover</t>
  </si>
  <si>
    <t>Column1</t>
  </si>
  <si>
    <t>Turnover Rate</t>
  </si>
  <si>
    <t>Retention Rate</t>
  </si>
  <si>
    <t>Training completion rate</t>
  </si>
  <si>
    <t>Average time to fill</t>
  </si>
  <si>
    <t>Average employee tenure</t>
  </si>
  <si>
    <t>Overall Onboarding Efficiency Rate</t>
  </si>
  <si>
    <t>exit to onboard</t>
  </si>
  <si>
    <t>worforce stability index</t>
  </si>
  <si>
    <t>Turnover cost estimate</t>
  </si>
  <si>
    <t>Gender diversity Rate</t>
  </si>
  <si>
    <t>Cost of employee turnover</t>
  </si>
  <si>
    <t>Traning program</t>
  </si>
  <si>
    <t>IT</t>
  </si>
  <si>
    <t>Software Engineer</t>
  </si>
  <si>
    <t>Leadership Development</t>
  </si>
  <si>
    <t>HR</t>
  </si>
  <si>
    <t>HR Manager</t>
  </si>
  <si>
    <t>Advanced Excel Skills </t>
  </si>
  <si>
    <t>Sales</t>
  </si>
  <si>
    <t>Marketing Manager</t>
  </si>
  <si>
    <t>Conflict Resolution</t>
  </si>
  <si>
    <t>Finance</t>
  </si>
  <si>
    <t>Finance Manager</t>
  </si>
  <si>
    <t>Communication Skills</t>
  </si>
  <si>
    <t>Analytics</t>
  </si>
  <si>
    <t>Data Analyst</t>
  </si>
  <si>
    <t>Ethics and Responsibilities</t>
  </si>
  <si>
    <t>Row Labels</t>
  </si>
  <si>
    <t>Average of Time to onboard</t>
  </si>
  <si>
    <t>Grand Total</t>
  </si>
  <si>
    <t>Average of Recruitment Cycle Time</t>
  </si>
  <si>
    <t>Average of Time to fill</t>
  </si>
  <si>
    <t>Sum of Total Tenure in M</t>
  </si>
  <si>
    <t>Sum of Retention Status</t>
  </si>
  <si>
    <t>Average of Total Tenure in M</t>
  </si>
  <si>
    <t>Count of Employee ID</t>
  </si>
  <si>
    <t>Column Labels</t>
  </si>
  <si>
    <t>Female</t>
  </si>
  <si>
    <t>Male</t>
  </si>
  <si>
    <t>Other</t>
  </si>
  <si>
    <t>Average of Absenteeism Rate</t>
  </si>
  <si>
    <t>Average of Cost of Employee Turnover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</si>
</sst>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_([$$-409]* \(#,##0\);_([$$-409]* &quot;-&quot;_);_(@_)"/>
    <numFmt numFmtId="165" formatCode="_(&quot;₹&quot;* #,##0_);_(&quot;₹&quot;* \(#,##0\);_(&quot;₹&quot;* &quot;-&quot;??_);_(@_)"/>
  </numFmts>
  <fonts count="6" x14ac:knownFonts="1">
    <font>
      <sz val="12"/>
      <color theme="1"/>
      <name val="Aptos Narrow"/>
      <family val="2"/>
      <scheme val="minor"/>
    </font>
    <font>
      <sz val="12"/>
      <color rgb="FF000000"/>
      <name val="Helvetica Neue"/>
      <family val="2"/>
    </font>
    <font>
      <b/>
      <sz val="12"/>
      <color theme="1"/>
      <name val="Aptos Narrow"/>
      <scheme val="minor"/>
    </font>
    <font>
      <sz val="12"/>
      <name val="Aptos Narrow"/>
      <family val="2"/>
      <scheme val="minor"/>
    </font>
    <font>
      <sz val="8"/>
      <name val="Aptos Narrow"/>
      <family val="2"/>
      <scheme val="minor"/>
    </font>
    <font>
      <sz val="12"/>
      <color rgb="FF7030A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1" fillId="0" borderId="0" xfId="0" applyFont="1"/>
    <xf numFmtId="0" fontId="2" fillId="0" borderId="0" xfId="0" applyFont="1"/>
    <xf numFmtId="0" fontId="0" fillId="2" borderId="0" xfId="0" applyFill="1"/>
    <xf numFmtId="164" fontId="0" fillId="0" borderId="0" xfId="0" applyNumberFormat="1"/>
    <xf numFmtId="165" fontId="0" fillId="0" borderId="0" xfId="0" applyNumberFormat="1"/>
    <xf numFmtId="1" fontId="0" fillId="0" borderId="0" xfId="0" applyNumberFormat="1"/>
    <xf numFmtId="2" fontId="0" fillId="0" borderId="0" xfId="0" applyNumberFormat="1"/>
    <xf numFmtId="2" fontId="0" fillId="2" borderId="0" xfId="0" applyNumberFormat="1" applyFill="1"/>
    <xf numFmtId="0" fontId="3" fillId="2" borderId="0" xfId="0" applyFont="1" applyFill="1"/>
    <xf numFmtId="0" fontId="0" fillId="0" borderId="0" xfId="0" pivotButton="1"/>
    <xf numFmtId="0" fontId="0" fillId="0" borderId="0" xfId="0" applyAlignment="1">
      <alignment horizontal="left"/>
    </xf>
    <xf numFmtId="0" fontId="5" fillId="0" borderId="0" xfId="0" applyFont="1"/>
  </cellXfs>
  <cellStyles count="1">
    <cellStyle name="Normal" xfId="0" builtinId="0"/>
  </cellStyles>
  <dxfs count="29">
    <dxf>
      <numFmt numFmtId="2" formatCode="0.00"/>
    </dxf>
    <dxf>
      <numFmt numFmtId="2" formatCode="0.00"/>
    </dxf>
    <dxf>
      <numFmt numFmtId="2" formatCode="0.00"/>
    </dxf>
    <dxf>
      <numFmt numFmtId="1" formatCode="0"/>
    </dxf>
    <dxf>
      <numFmt numFmtId="2" formatCode="0.00"/>
    </dxf>
    <dxf>
      <numFmt numFmtId="2" formatCode="0.0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165" formatCode="_(&quot;₹&quot;* #,##0_);_(&quot;₹&quot;* \(#,##0\);_(&quot;₹&quot;* &quot;-&quot;??_);_(@_)"/>
    </dxf>
    <dxf>
      <numFmt numFmtId="0" formatCode="General"/>
    </dxf>
    <dxf>
      <numFmt numFmtId="0" formatCode="General"/>
    </dxf>
    <dxf>
      <numFmt numFmtId="164" formatCode="_([$$-409]* #,##0_);_([$$-409]* \(#,##0\);_([$$-409]* &quot;-&quot;_);_(@_)"/>
    </dxf>
    <dxf>
      <numFmt numFmtId="0" formatCode="General"/>
    </dxf>
    <dxf>
      <numFmt numFmtId="19" formatCode="dd/mm/yy"/>
    </dxf>
    <dxf>
      <numFmt numFmtId="19" formatCode="dd/mm/yy"/>
    </dxf>
    <dxf>
      <numFmt numFmtId="19" formatCode="dd/mm/yy"/>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[4 Assignment 2 HR Dashboard HRMD.xlsx]Pivot table!PivotTable1</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Time to Onboard by Department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table'!$A$4:$A$9</c:f>
              <c:strCache>
                <c:ptCount val="5"/>
                <c:pt idx="0">
                  <c:v>Analytics</c:v>
                </c:pt>
                <c:pt idx="1">
                  <c:v>Finance</c:v>
                </c:pt>
                <c:pt idx="2">
                  <c:v>HR</c:v>
                </c:pt>
                <c:pt idx="3">
                  <c:v>IT</c:v>
                </c:pt>
                <c:pt idx="4">
                  <c:v>Sales</c:v>
                </c:pt>
              </c:strCache>
            </c:strRef>
          </c:cat>
          <c:val>
            <c:numRef>
              <c:f>'Pivot table'!$B$4:$B$9</c:f>
              <c:numCache>
                <c:formatCode>0.00</c:formatCode>
                <c:ptCount val="5"/>
                <c:pt idx="0">
                  <c:v>7.9622641509433958</c:v>
                </c:pt>
                <c:pt idx="1">
                  <c:v>6.98</c:v>
                </c:pt>
                <c:pt idx="2">
                  <c:v>8.4897959183673475</c:v>
                </c:pt>
                <c:pt idx="3">
                  <c:v>6.98</c:v>
                </c:pt>
                <c:pt idx="4">
                  <c:v>8.7083333333333339</c:v>
                </c:pt>
              </c:numCache>
            </c:numRef>
          </c:val>
          <c:extLst>
            <c:ext xmlns:c16="http://schemas.microsoft.com/office/drawing/2014/chart" uri="{C3380CC4-5D6E-409C-BE32-E72D297353CC}">
              <c16:uniqueId val="{00000000-8EF7-2642-BD74-9CEABB7D7EBC}"/>
            </c:ext>
          </c:extLst>
        </c:ser>
        <c:dLbls>
          <c:dLblPos val="inEnd"/>
          <c:showLegendKey val="0"/>
          <c:showVal val="1"/>
          <c:showCatName val="0"/>
          <c:showSerName val="0"/>
          <c:showPercent val="0"/>
          <c:showBubbleSize val="0"/>
        </c:dLbls>
        <c:gapWidth val="41"/>
        <c:axId val="1962304240"/>
        <c:axId val="433429216"/>
      </c:barChart>
      <c:catAx>
        <c:axId val="1962304240"/>
        <c:scaling>
          <c:orientation val="minMax"/>
        </c:scaling>
        <c:delete val="0"/>
        <c:axPos val="b"/>
        <c:title>
          <c:tx>
            <c:rich>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GB">
                    <a:solidFill>
                      <a:srgbClr val="7030A0"/>
                    </a:solidFill>
                  </a:rPr>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33429216"/>
        <c:crosses val="autoZero"/>
        <c:auto val="1"/>
        <c:lblAlgn val="ctr"/>
        <c:lblOffset val="100"/>
        <c:noMultiLvlLbl val="0"/>
      </c:catAx>
      <c:valAx>
        <c:axId val="433429216"/>
        <c:scaling>
          <c:orientation val="minMax"/>
        </c:scaling>
        <c:delete val="1"/>
        <c:axPos val="l"/>
        <c:title>
          <c:tx>
            <c:rich>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Average Time to Onboard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0.00" sourceLinked="1"/>
        <c:majorTickMark val="none"/>
        <c:minorTickMark val="none"/>
        <c:tickLblPos val="nextTo"/>
        <c:crossAx val="196230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[4 Assignment 2 HR Dashboard HRMD.xlsx]Pivot table!PivotTable3</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Recruitment Cycle Time by Job Title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Data Analyst</c:v>
                </c:pt>
                <c:pt idx="1">
                  <c:v>Finance Manager</c:v>
                </c:pt>
                <c:pt idx="2">
                  <c:v>HR Manager</c:v>
                </c:pt>
                <c:pt idx="3">
                  <c:v>Marketing Manager</c:v>
                </c:pt>
                <c:pt idx="4">
                  <c:v>Software Engineer</c:v>
                </c:pt>
              </c:strCache>
            </c:strRef>
          </c:cat>
          <c:val>
            <c:numRef>
              <c:f>'Pivot table'!$B$21:$B$26</c:f>
              <c:numCache>
                <c:formatCode>0.00</c:formatCode>
                <c:ptCount val="5"/>
                <c:pt idx="0">
                  <c:v>51.679245283018865</c:v>
                </c:pt>
                <c:pt idx="1">
                  <c:v>54.04</c:v>
                </c:pt>
                <c:pt idx="2">
                  <c:v>50.918367346938773</c:v>
                </c:pt>
                <c:pt idx="3">
                  <c:v>55.833333333333336</c:v>
                </c:pt>
                <c:pt idx="4">
                  <c:v>57.1</c:v>
                </c:pt>
              </c:numCache>
            </c:numRef>
          </c:val>
          <c:extLst>
            <c:ext xmlns:c16="http://schemas.microsoft.com/office/drawing/2014/chart" uri="{C3380CC4-5D6E-409C-BE32-E72D297353CC}">
              <c16:uniqueId val="{00000000-5D9F-2E42-98F0-9C714BF6560B}"/>
            </c:ext>
          </c:extLst>
        </c:ser>
        <c:dLbls>
          <c:dLblPos val="inEnd"/>
          <c:showLegendKey val="0"/>
          <c:showVal val="1"/>
          <c:showCatName val="0"/>
          <c:showSerName val="0"/>
          <c:showPercent val="0"/>
          <c:showBubbleSize val="0"/>
        </c:dLbls>
        <c:gapWidth val="41"/>
        <c:axId val="2006790176"/>
        <c:axId val="2004236912"/>
      </c:barChart>
      <c:catAx>
        <c:axId val="2006790176"/>
        <c:scaling>
          <c:orientation val="minMax"/>
        </c:scaling>
        <c:delete val="0"/>
        <c:axPos val="b"/>
        <c:title>
          <c:tx>
            <c:rich>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Job Title</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04236912"/>
        <c:crosses val="autoZero"/>
        <c:auto val="1"/>
        <c:lblAlgn val="ctr"/>
        <c:lblOffset val="100"/>
        <c:noMultiLvlLbl val="0"/>
      </c:catAx>
      <c:valAx>
        <c:axId val="2004236912"/>
        <c:scaling>
          <c:orientation val="minMax"/>
        </c:scaling>
        <c:delete val="1"/>
        <c:axPos val="l"/>
        <c:title>
          <c:tx>
            <c:rich>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Average Recruitment Cycle Time (in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0.00" sourceLinked="1"/>
        <c:majorTickMark val="out"/>
        <c:minorTickMark val="none"/>
        <c:tickLblPos val="nextTo"/>
        <c:crossAx val="200679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[4 Assignment 2 HR Dashboard HRMD.xlsx]Pivot table!PivotTable2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b="0" i="0" u="none" strike="noStrike" kern="1200" baseline="0">
                <a:solidFill>
                  <a:sysClr val="windowText" lastClr="000000">
                    <a:lumMod val="65000"/>
                    <a:lumOff val="35000"/>
                  </a:sysClr>
                </a:solidFill>
                <a:effectLst/>
                <a:latin typeface="+mn-lt"/>
                <a:ea typeface="+mn-ea"/>
                <a:cs typeface="+mn-cs"/>
              </a:defRPr>
            </a:pPr>
            <a:r>
              <a:rPr lang="en-IN">
                <a:effectLst/>
              </a:rPr>
              <a:t>Average Time to Fill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b="0" i="0" u="none" strike="noStrike" kern="120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table'!$A$41:$A$46</c:f>
              <c:strCache>
                <c:ptCount val="5"/>
                <c:pt idx="0">
                  <c:v>Analytics</c:v>
                </c:pt>
                <c:pt idx="1">
                  <c:v>Finance</c:v>
                </c:pt>
                <c:pt idx="2">
                  <c:v>HR</c:v>
                </c:pt>
                <c:pt idx="3">
                  <c:v>IT</c:v>
                </c:pt>
                <c:pt idx="4">
                  <c:v>Sales</c:v>
                </c:pt>
              </c:strCache>
            </c:strRef>
          </c:cat>
          <c:val>
            <c:numRef>
              <c:f>'Pivot table'!$B$41:$B$46</c:f>
              <c:numCache>
                <c:formatCode>0.00</c:formatCode>
                <c:ptCount val="5"/>
                <c:pt idx="0">
                  <c:v>51.679245283018865</c:v>
                </c:pt>
                <c:pt idx="1">
                  <c:v>54.04</c:v>
                </c:pt>
                <c:pt idx="2">
                  <c:v>50.918367346938773</c:v>
                </c:pt>
                <c:pt idx="3">
                  <c:v>57.1</c:v>
                </c:pt>
                <c:pt idx="4">
                  <c:v>55.833333333333336</c:v>
                </c:pt>
              </c:numCache>
            </c:numRef>
          </c:val>
          <c:extLst>
            <c:ext xmlns:c16="http://schemas.microsoft.com/office/drawing/2014/chart" uri="{C3380CC4-5D6E-409C-BE32-E72D297353CC}">
              <c16:uniqueId val="{00000000-CD5C-5F45-A249-B6D1570006EF}"/>
            </c:ext>
          </c:extLst>
        </c:ser>
        <c:dLbls>
          <c:dLblPos val="inEnd"/>
          <c:showLegendKey val="0"/>
          <c:showVal val="1"/>
          <c:showCatName val="0"/>
          <c:showSerName val="0"/>
          <c:showPercent val="0"/>
          <c:showBubbleSize val="0"/>
        </c:dLbls>
        <c:gapWidth val="41"/>
        <c:axId val="1691980448"/>
        <c:axId val="76279071"/>
      </c:barChart>
      <c:catAx>
        <c:axId val="16919804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r>
                  <a:rPr lang="en-GB">
                    <a:solidFill>
                      <a:schemeClr val="accent5">
                        <a:lumMod val="50000"/>
                      </a:schemeClr>
                    </a:solidFill>
                  </a:rPr>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6279071"/>
        <c:crosses val="autoZero"/>
        <c:auto val="1"/>
        <c:lblAlgn val="ctr"/>
        <c:lblOffset val="100"/>
        <c:noMultiLvlLbl val="0"/>
      </c:catAx>
      <c:valAx>
        <c:axId val="76279071"/>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r>
                  <a:rPr lang="en-IN">
                    <a:solidFill>
                      <a:schemeClr val="accent5">
                        <a:lumMod val="50000"/>
                      </a:schemeClr>
                    </a:solidFill>
                    <a:effectLst/>
                  </a:rPr>
                  <a:t>Average Time to Fill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title>
        <c:numFmt formatCode="0.00" sourceLinked="1"/>
        <c:majorTickMark val="none"/>
        <c:minorTickMark val="none"/>
        <c:tickLblPos val="nextTo"/>
        <c:crossAx val="169198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[4 Assignment 2 HR Dashboard HRMD.xlsx]Pivot table!PivotTable6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Tenure by Year of Joining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table'!$A$56:$A$62</c:f>
              <c:strCache>
                <c:ptCount val="6"/>
                <c:pt idx="0">
                  <c:v>2018</c:v>
                </c:pt>
                <c:pt idx="1">
                  <c:v>2019</c:v>
                </c:pt>
                <c:pt idx="2">
                  <c:v>2020</c:v>
                </c:pt>
                <c:pt idx="3">
                  <c:v>2021</c:v>
                </c:pt>
                <c:pt idx="4">
                  <c:v>2022</c:v>
                </c:pt>
                <c:pt idx="5">
                  <c:v>2023</c:v>
                </c:pt>
              </c:strCache>
            </c:strRef>
          </c:cat>
          <c:val>
            <c:numRef>
              <c:f>'Pivot table'!$B$56:$B$62</c:f>
              <c:numCache>
                <c:formatCode>0.00</c:formatCode>
                <c:ptCount val="6"/>
                <c:pt idx="0">
                  <c:v>2122.7666666666669</c:v>
                </c:pt>
                <c:pt idx="1">
                  <c:v>2138.666666666667</c:v>
                </c:pt>
                <c:pt idx="2">
                  <c:v>2155.9666666666672</c:v>
                </c:pt>
                <c:pt idx="3">
                  <c:v>1368.3333333333328</c:v>
                </c:pt>
                <c:pt idx="4">
                  <c:v>1333.333333333333</c:v>
                </c:pt>
                <c:pt idx="5">
                  <c:v>131.56666666666666</c:v>
                </c:pt>
              </c:numCache>
            </c:numRef>
          </c:val>
          <c:smooth val="0"/>
          <c:extLst>
            <c:ext xmlns:c16="http://schemas.microsoft.com/office/drawing/2014/chart" uri="{C3380CC4-5D6E-409C-BE32-E72D297353CC}">
              <c16:uniqueId val="{00000003-80BA-5A4D-9598-80F7F744FE7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3832751"/>
        <c:axId val="404778639"/>
      </c:lineChart>
      <c:catAx>
        <c:axId val="103832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effectLst/>
                  </a:rPr>
                  <a:t>Year of Joining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04778639"/>
        <c:crosses val="autoZero"/>
        <c:auto val="1"/>
        <c:lblAlgn val="ctr"/>
        <c:lblOffset val="100"/>
        <c:noMultiLvlLbl val="0"/>
      </c:catAx>
      <c:valAx>
        <c:axId val="40477863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kern="1200" baseline="0">
                    <a:solidFill>
                      <a:sysClr val="window" lastClr="FFFFFF"/>
                    </a:solidFill>
                    <a:effectLst/>
                  </a:rPr>
                  <a:t>Total Tenure (Months)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383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[4 Assignment 2 HR Dashboard HRMD.xlsx]Pivot table!PivotTable7</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Employee Retention by Department</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63500" sx="102000" sy="102000" algn="ctr" rotWithShape="0">
              <a:prstClr val="black">
                <a:alpha val="20000"/>
              </a:prstClr>
            </a:outerShdw>
          </a:effectLst>
        </c:spPr>
      </c:pivotFmt>
      <c:pivotFmt>
        <c:idx val="2"/>
        <c:spPr>
          <a:solidFill>
            <a:schemeClr val="accent1">
              <a:shade val="76000"/>
            </a:schemeClr>
          </a:solidFill>
          <a:ln>
            <a:noFill/>
          </a:ln>
          <a:effectLst>
            <a:outerShdw blurRad="63500" sx="102000" sy="102000" algn="ctr" rotWithShape="0">
              <a:prstClr val="black">
                <a:alpha val="20000"/>
              </a:prstClr>
            </a:outerShdw>
          </a:effectLst>
        </c:spPr>
      </c:pivotFmt>
      <c:pivotFmt>
        <c:idx val="3"/>
        <c:spPr>
          <a:solidFill>
            <a:schemeClr val="accent1"/>
          </a:solidFill>
          <a:ln>
            <a:noFill/>
          </a:ln>
          <a:effectLst>
            <a:outerShdw blurRad="63500" sx="102000" sy="102000" algn="ctr" rotWithShape="0">
              <a:prstClr val="black">
                <a:alpha val="20000"/>
              </a:prstClr>
            </a:outerShdw>
          </a:effectLst>
        </c:spPr>
      </c:pivotFmt>
      <c:pivotFmt>
        <c:idx val="4"/>
        <c:spPr>
          <a:solidFill>
            <a:schemeClr val="accent1">
              <a:tint val="77000"/>
            </a:schemeClr>
          </a:solidFill>
          <a:ln>
            <a:noFill/>
          </a:ln>
          <a:effectLst>
            <a:outerShdw blurRad="63500" sx="102000" sy="102000" algn="ctr" rotWithShape="0">
              <a:prstClr val="black">
                <a:alpha val="20000"/>
              </a:prstClr>
            </a:outerShdw>
          </a:effectLst>
        </c:spPr>
      </c:pivotFmt>
      <c:pivotFmt>
        <c:idx val="5"/>
        <c:spPr>
          <a:solidFill>
            <a:schemeClr val="accent1">
              <a:tint val="54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table'!$B$68</c:f>
              <c:strCache>
                <c:ptCount val="1"/>
                <c:pt idx="0">
                  <c:v>Total</c:v>
                </c:pt>
              </c:strCache>
            </c:strRef>
          </c:tx>
          <c:dPt>
            <c:idx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9DF9-524F-A50E-3F438F5A195D}"/>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DF9-524F-A50E-3F438F5A195D}"/>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9DF9-524F-A50E-3F438F5A195D}"/>
              </c:ext>
            </c:extLst>
          </c:dPt>
          <c:dPt>
            <c:idx val="3"/>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DF9-524F-A50E-3F438F5A195D}"/>
              </c:ext>
            </c:extLst>
          </c:dPt>
          <c:dPt>
            <c:idx val="4"/>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9DF9-524F-A50E-3F438F5A195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table'!$A$69:$A$74</c:f>
              <c:strCache>
                <c:ptCount val="5"/>
                <c:pt idx="0">
                  <c:v>Analytics</c:v>
                </c:pt>
                <c:pt idx="1">
                  <c:v>Finance</c:v>
                </c:pt>
                <c:pt idx="2">
                  <c:v>HR</c:v>
                </c:pt>
                <c:pt idx="3">
                  <c:v>IT</c:v>
                </c:pt>
                <c:pt idx="4">
                  <c:v>Sales</c:v>
                </c:pt>
              </c:strCache>
            </c:strRef>
          </c:cat>
          <c:val>
            <c:numRef>
              <c:f>'Pivot table'!$B$69:$B$74</c:f>
              <c:numCache>
                <c:formatCode>General</c:formatCode>
                <c:ptCount val="5"/>
                <c:pt idx="0">
                  <c:v>18</c:v>
                </c:pt>
                <c:pt idx="1">
                  <c:v>21</c:v>
                </c:pt>
                <c:pt idx="2">
                  <c:v>25</c:v>
                </c:pt>
                <c:pt idx="3">
                  <c:v>22</c:v>
                </c:pt>
                <c:pt idx="4">
                  <c:v>27</c:v>
                </c:pt>
              </c:numCache>
            </c:numRef>
          </c:val>
          <c:extLst>
            <c:ext xmlns:c16="http://schemas.microsoft.com/office/drawing/2014/chart" uri="{C3380CC4-5D6E-409C-BE32-E72D297353CC}">
              <c16:uniqueId val="{00000000-9DF9-524F-A50E-3F438F5A195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[4 Assignment 2 HR Dashboard HRMD.xlsx]Pivot table!PivotTable8</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Retention Period by Department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table'!$A$83:$A$88</c:f>
              <c:strCache>
                <c:ptCount val="5"/>
                <c:pt idx="0">
                  <c:v>Analytics</c:v>
                </c:pt>
                <c:pt idx="1">
                  <c:v>Finance</c:v>
                </c:pt>
                <c:pt idx="2">
                  <c:v>HR</c:v>
                </c:pt>
                <c:pt idx="3">
                  <c:v>IT</c:v>
                </c:pt>
                <c:pt idx="4">
                  <c:v>Sales</c:v>
                </c:pt>
              </c:strCache>
            </c:strRef>
          </c:cat>
          <c:val>
            <c:numRef>
              <c:f>'Pivot table'!$B$83:$B$88</c:f>
              <c:numCache>
                <c:formatCode>0.00</c:formatCode>
                <c:ptCount val="5"/>
                <c:pt idx="0">
                  <c:v>32.216981132075475</c:v>
                </c:pt>
                <c:pt idx="1">
                  <c:v>41.065306122448973</c:v>
                </c:pt>
                <c:pt idx="2">
                  <c:v>40.458503401360538</c:v>
                </c:pt>
                <c:pt idx="3">
                  <c:v>36.227999999999994</c:v>
                </c:pt>
                <c:pt idx="4">
                  <c:v>36.18888888888889</c:v>
                </c:pt>
              </c:numCache>
            </c:numRef>
          </c:val>
          <c:extLst>
            <c:ext xmlns:c16="http://schemas.microsoft.com/office/drawing/2014/chart" uri="{C3380CC4-5D6E-409C-BE32-E72D297353CC}">
              <c16:uniqueId val="{00000000-737F-0B46-8D06-8B31FD6665C2}"/>
            </c:ext>
          </c:extLst>
        </c:ser>
        <c:dLbls>
          <c:dLblPos val="inEnd"/>
          <c:showLegendKey val="0"/>
          <c:showVal val="1"/>
          <c:showCatName val="0"/>
          <c:showSerName val="0"/>
          <c:showPercent val="0"/>
          <c:showBubbleSize val="0"/>
        </c:dLbls>
        <c:gapWidth val="41"/>
        <c:axId val="410508543"/>
        <c:axId val="1818561024"/>
      </c:barChart>
      <c:catAx>
        <c:axId val="4105085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Departiment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18561024"/>
        <c:crosses val="autoZero"/>
        <c:auto val="1"/>
        <c:lblAlgn val="ctr"/>
        <c:lblOffset val="100"/>
        <c:noMultiLvlLbl val="0"/>
      </c:catAx>
      <c:valAx>
        <c:axId val="1818561024"/>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Average of Total Tenure in 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crossAx val="41050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[4 Assignment 2 HR Dashboard HRMD.xlsx]Pivot table!PivotTable9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effectLst/>
              </a:rPr>
              <a:t>Gender Diversity by Job</a:t>
            </a:r>
            <a:r>
              <a:rPr lang="en-IN" baseline="0">
                <a:effectLst/>
              </a:rPr>
              <a:t> Title</a:t>
            </a:r>
            <a:endParaRPr lang="en-IN">
              <a:effectLs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table'!$B$98:$B$99</c:f>
              <c:strCache>
                <c:ptCount val="1"/>
                <c:pt idx="0">
                  <c:v>Female</c:v>
                </c:pt>
              </c:strCache>
            </c:strRef>
          </c:tx>
          <c:spPr>
            <a:solidFill>
              <a:schemeClr val="accent1">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table'!$B$100:$B$105</c:f>
              <c:numCache>
                <c:formatCode>General</c:formatCode>
                <c:ptCount val="5"/>
                <c:pt idx="0">
                  <c:v>18</c:v>
                </c:pt>
                <c:pt idx="1">
                  <c:v>17</c:v>
                </c:pt>
                <c:pt idx="2">
                  <c:v>12</c:v>
                </c:pt>
                <c:pt idx="3">
                  <c:v>13</c:v>
                </c:pt>
                <c:pt idx="4">
                  <c:v>14</c:v>
                </c:pt>
              </c:numCache>
            </c:numRef>
          </c:val>
          <c:extLst>
            <c:ext xmlns:c16="http://schemas.microsoft.com/office/drawing/2014/chart" uri="{C3380CC4-5D6E-409C-BE32-E72D297353CC}">
              <c16:uniqueId val="{00000000-56E3-6A47-8EDE-9F5B335F7ED5}"/>
            </c:ext>
          </c:extLst>
        </c:ser>
        <c:ser>
          <c:idx val="1"/>
          <c:order val="1"/>
          <c:tx>
            <c:strRef>
              <c:f>'Pivot table'!$C$98:$C$99</c:f>
              <c:strCache>
                <c:ptCount val="1"/>
                <c:pt idx="0">
                  <c:v>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table'!$C$100:$C$105</c:f>
              <c:numCache>
                <c:formatCode>General</c:formatCode>
                <c:ptCount val="5"/>
                <c:pt idx="0">
                  <c:v>15</c:v>
                </c:pt>
                <c:pt idx="1">
                  <c:v>17</c:v>
                </c:pt>
                <c:pt idx="2">
                  <c:v>15</c:v>
                </c:pt>
                <c:pt idx="3">
                  <c:v>23</c:v>
                </c:pt>
                <c:pt idx="4">
                  <c:v>13</c:v>
                </c:pt>
              </c:numCache>
            </c:numRef>
          </c:val>
          <c:extLst>
            <c:ext xmlns:c16="http://schemas.microsoft.com/office/drawing/2014/chart" uri="{C3380CC4-5D6E-409C-BE32-E72D297353CC}">
              <c16:uniqueId val="{00000000-DB34-C640-BB00-F3E708F86B85}"/>
            </c:ext>
          </c:extLst>
        </c:ser>
        <c:ser>
          <c:idx val="2"/>
          <c:order val="2"/>
          <c:tx>
            <c:strRef>
              <c:f>'Pivot table'!$D$98:$D$99</c:f>
              <c:strCache>
                <c:ptCount val="1"/>
                <c:pt idx="0">
                  <c:v>Other</c:v>
                </c:pt>
              </c:strCache>
            </c:strRef>
          </c:tx>
          <c:spPr>
            <a:solidFill>
              <a:schemeClr val="accent1">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table'!$D$100:$D$105</c:f>
              <c:numCache>
                <c:formatCode>General</c:formatCode>
                <c:ptCount val="5"/>
                <c:pt idx="0">
                  <c:v>20</c:v>
                </c:pt>
                <c:pt idx="1">
                  <c:v>16</c:v>
                </c:pt>
                <c:pt idx="2">
                  <c:v>22</c:v>
                </c:pt>
                <c:pt idx="3">
                  <c:v>12</c:v>
                </c:pt>
                <c:pt idx="4">
                  <c:v>23</c:v>
                </c:pt>
              </c:numCache>
            </c:numRef>
          </c:val>
          <c:extLst>
            <c:ext xmlns:c16="http://schemas.microsoft.com/office/drawing/2014/chart" uri="{C3380CC4-5D6E-409C-BE32-E72D297353CC}">
              <c16:uniqueId val="{00000001-DB34-C640-BB00-F3E708F86B85}"/>
            </c:ext>
          </c:extLst>
        </c:ser>
        <c:dLbls>
          <c:dLblPos val="ctr"/>
          <c:showLegendKey val="0"/>
          <c:showVal val="1"/>
          <c:showCatName val="0"/>
          <c:showSerName val="0"/>
          <c:showPercent val="0"/>
          <c:showBubbleSize val="0"/>
        </c:dLbls>
        <c:gapWidth val="150"/>
        <c:overlap val="100"/>
        <c:axId val="977126271"/>
        <c:axId val="1128376239"/>
      </c:barChart>
      <c:catAx>
        <c:axId val="9771262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8376239"/>
        <c:crosses val="autoZero"/>
        <c:auto val="1"/>
        <c:lblAlgn val="ctr"/>
        <c:lblOffset val="100"/>
        <c:noMultiLvlLbl val="0"/>
      </c:catAx>
      <c:valAx>
        <c:axId val="1128376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No.</a:t>
                </a:r>
                <a:r>
                  <a:rPr lang="en-GB" baseline="0"/>
                  <a:t> of Employees</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977126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[4 Assignment 2 HR Dashboard HRMD.xlsx]Pivot table!PivotTable10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1">
                <a:effectLst/>
              </a:rPr>
              <a:t>Absenteeism Rate</a:t>
            </a:r>
            <a:endParaRPr lang="en-IN">
              <a:effectLs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254000" sx="102000" sy="102000" algn="ctr" rotWithShape="0">
              <a:prstClr val="black">
                <a:alpha val="20000"/>
              </a:prstClr>
            </a:outerShdw>
          </a:effectLst>
        </c:spPr>
      </c:pivotFmt>
      <c:pivotFmt>
        <c:idx val="2"/>
        <c:spPr>
          <a:solidFill>
            <a:schemeClr val="accent1">
              <a:shade val="76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tint val="77000"/>
            </a:schemeClr>
          </a:solidFill>
          <a:ln>
            <a:noFill/>
          </a:ln>
          <a:effectLst>
            <a:outerShdw blurRad="254000" sx="102000" sy="102000" algn="ctr" rotWithShape="0">
              <a:prstClr val="black">
                <a:alpha val="20000"/>
              </a:prstClr>
            </a:outerShdw>
          </a:effectLst>
        </c:spPr>
      </c:pivotFmt>
      <c:pivotFmt>
        <c:idx val="5"/>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table'!$B$120</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0B-FD45-9D21-3F40124C8AB3}"/>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0B-FD45-9D21-3F40124C8AB3}"/>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D0B-FD45-9D21-3F40124C8AB3}"/>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D0B-FD45-9D21-3F40124C8AB3}"/>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D0B-FD45-9D21-3F40124C8A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table'!$A$121:$A$126</c:f>
              <c:strCache>
                <c:ptCount val="5"/>
                <c:pt idx="0">
                  <c:v>Analytics</c:v>
                </c:pt>
                <c:pt idx="1">
                  <c:v>Finance</c:v>
                </c:pt>
                <c:pt idx="2">
                  <c:v>HR</c:v>
                </c:pt>
                <c:pt idx="3">
                  <c:v>IT</c:v>
                </c:pt>
                <c:pt idx="4">
                  <c:v>Sales</c:v>
                </c:pt>
              </c:strCache>
            </c:strRef>
          </c:cat>
          <c:val>
            <c:numRef>
              <c:f>'Pivot table'!$B$121:$B$126</c:f>
              <c:numCache>
                <c:formatCode>General</c:formatCode>
                <c:ptCount val="5"/>
                <c:pt idx="0">
                  <c:v>3.9404934687953563</c:v>
                </c:pt>
                <c:pt idx="1">
                  <c:v>4.2000000000000011</c:v>
                </c:pt>
                <c:pt idx="2">
                  <c:v>4.0659340659340666</c:v>
                </c:pt>
                <c:pt idx="3">
                  <c:v>3.2846153846153858</c:v>
                </c:pt>
                <c:pt idx="4">
                  <c:v>3.9022435897435908</c:v>
                </c:pt>
              </c:numCache>
            </c:numRef>
          </c:val>
          <c:extLst>
            <c:ext xmlns:c16="http://schemas.microsoft.com/office/drawing/2014/chart" uri="{C3380CC4-5D6E-409C-BE32-E72D297353CC}">
              <c16:uniqueId val="{00000000-C8E4-0A44-904B-61A9ED7BA1B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[4 Assignment 2 HR Dashboard HRMD.xlsx]Pivot table!PivotTable11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b="1">
                <a:effectLst/>
              </a:rPr>
              <a:t>Employee Turnover cost</a:t>
            </a:r>
            <a:endParaRPr lang="en-IN">
              <a:effectLst/>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table'!$A$138:$A$144</c:f>
              <c:strCache>
                <c:ptCount val="6"/>
                <c:pt idx="0">
                  <c:v>2018</c:v>
                </c:pt>
                <c:pt idx="1">
                  <c:v>2019</c:v>
                </c:pt>
                <c:pt idx="2">
                  <c:v>2020</c:v>
                </c:pt>
                <c:pt idx="3">
                  <c:v>2021</c:v>
                </c:pt>
                <c:pt idx="4">
                  <c:v>2022</c:v>
                </c:pt>
                <c:pt idx="5">
                  <c:v>2023</c:v>
                </c:pt>
              </c:strCache>
            </c:strRef>
          </c:cat>
          <c:val>
            <c:numRef>
              <c:f>'Pivot table'!$B$138:$B$144</c:f>
              <c:numCache>
                <c:formatCode>0</c:formatCode>
                <c:ptCount val="6"/>
                <c:pt idx="0">
                  <c:v>3158.7619047619046</c:v>
                </c:pt>
                <c:pt idx="1">
                  <c:v>2793.1904761904761</c:v>
                </c:pt>
                <c:pt idx="2">
                  <c:v>3295.5689655172414</c:v>
                </c:pt>
                <c:pt idx="3">
                  <c:v>2723</c:v>
                </c:pt>
                <c:pt idx="4">
                  <c:v>2149.2456140350878</c:v>
                </c:pt>
                <c:pt idx="5">
                  <c:v>3463.5</c:v>
                </c:pt>
              </c:numCache>
            </c:numRef>
          </c:val>
          <c:smooth val="0"/>
          <c:extLst>
            <c:ext xmlns:c16="http://schemas.microsoft.com/office/drawing/2014/chart" uri="{C3380CC4-5D6E-409C-BE32-E72D297353CC}">
              <c16:uniqueId val="{00000000-8627-BA4C-8579-9E1AF1EA4C5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6689999"/>
        <c:axId val="1183603999"/>
      </c:lineChart>
      <c:catAx>
        <c:axId val="1066899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83603999"/>
        <c:crosses val="autoZero"/>
        <c:auto val="1"/>
        <c:lblAlgn val="ctr"/>
        <c:lblOffset val="100"/>
        <c:noMultiLvlLbl val="0"/>
      </c:catAx>
      <c:valAx>
        <c:axId val="118360399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Average of Cost of Employee Turnover($)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668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[4 Assignment 2 HR Dashboard HRMD.xlsx]Pivot table!PivotTable1</c:name>
    <c:fmtId val="2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Time to Onboard by Department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table'!$A$4:$A$9</c:f>
              <c:strCache>
                <c:ptCount val="5"/>
                <c:pt idx="0">
                  <c:v>Analytics</c:v>
                </c:pt>
                <c:pt idx="1">
                  <c:v>Finance</c:v>
                </c:pt>
                <c:pt idx="2">
                  <c:v>HR</c:v>
                </c:pt>
                <c:pt idx="3">
                  <c:v>IT</c:v>
                </c:pt>
                <c:pt idx="4">
                  <c:v>Sales</c:v>
                </c:pt>
              </c:strCache>
            </c:strRef>
          </c:cat>
          <c:val>
            <c:numRef>
              <c:f>'Pivot table'!$B$4:$B$9</c:f>
              <c:numCache>
                <c:formatCode>0.00</c:formatCode>
                <c:ptCount val="5"/>
                <c:pt idx="0">
                  <c:v>7.9622641509433958</c:v>
                </c:pt>
                <c:pt idx="1">
                  <c:v>6.98</c:v>
                </c:pt>
                <c:pt idx="2">
                  <c:v>8.4897959183673475</c:v>
                </c:pt>
                <c:pt idx="3">
                  <c:v>6.98</c:v>
                </c:pt>
                <c:pt idx="4">
                  <c:v>8.7083333333333339</c:v>
                </c:pt>
              </c:numCache>
            </c:numRef>
          </c:val>
          <c:extLst>
            <c:ext xmlns:c16="http://schemas.microsoft.com/office/drawing/2014/chart" uri="{C3380CC4-5D6E-409C-BE32-E72D297353CC}">
              <c16:uniqueId val="{00000000-5384-B846-A543-324F6FE3086B}"/>
            </c:ext>
          </c:extLst>
        </c:ser>
        <c:dLbls>
          <c:dLblPos val="inEnd"/>
          <c:showLegendKey val="0"/>
          <c:showVal val="1"/>
          <c:showCatName val="0"/>
          <c:showSerName val="0"/>
          <c:showPercent val="0"/>
          <c:showBubbleSize val="0"/>
        </c:dLbls>
        <c:gapWidth val="41"/>
        <c:axId val="1962304240"/>
        <c:axId val="433429216"/>
      </c:barChart>
      <c:catAx>
        <c:axId val="1962304240"/>
        <c:scaling>
          <c:orientation val="minMax"/>
        </c:scaling>
        <c:delete val="0"/>
        <c:axPos val="b"/>
        <c:title>
          <c:tx>
            <c:rich>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GB">
                    <a:solidFill>
                      <a:srgbClr val="7030A0"/>
                    </a:solidFill>
                  </a:rPr>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33429216"/>
        <c:crosses val="autoZero"/>
        <c:auto val="1"/>
        <c:lblAlgn val="ctr"/>
        <c:lblOffset val="100"/>
        <c:noMultiLvlLbl val="0"/>
      </c:catAx>
      <c:valAx>
        <c:axId val="433429216"/>
        <c:scaling>
          <c:orientation val="minMax"/>
        </c:scaling>
        <c:delete val="1"/>
        <c:axPos val="l"/>
        <c:title>
          <c:tx>
            <c:rich>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Average Time to Onboard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0.00" sourceLinked="1"/>
        <c:majorTickMark val="none"/>
        <c:minorTickMark val="none"/>
        <c:tickLblPos val="nextTo"/>
        <c:crossAx val="196230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[4 Assignment 2 HR Dashboard HRMD.xlsx]Pivot table!PivotTable3</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Recruitment Cycle Time by Job Title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Data Analyst</c:v>
                </c:pt>
                <c:pt idx="1">
                  <c:v>Finance Manager</c:v>
                </c:pt>
                <c:pt idx="2">
                  <c:v>HR Manager</c:v>
                </c:pt>
                <c:pt idx="3">
                  <c:v>Marketing Manager</c:v>
                </c:pt>
                <c:pt idx="4">
                  <c:v>Software Engineer</c:v>
                </c:pt>
              </c:strCache>
            </c:strRef>
          </c:cat>
          <c:val>
            <c:numRef>
              <c:f>'Pivot table'!$B$21:$B$26</c:f>
              <c:numCache>
                <c:formatCode>0.00</c:formatCode>
                <c:ptCount val="5"/>
                <c:pt idx="0">
                  <c:v>51.679245283018865</c:v>
                </c:pt>
                <c:pt idx="1">
                  <c:v>54.04</c:v>
                </c:pt>
                <c:pt idx="2">
                  <c:v>50.918367346938773</c:v>
                </c:pt>
                <c:pt idx="3">
                  <c:v>55.833333333333336</c:v>
                </c:pt>
                <c:pt idx="4">
                  <c:v>57.1</c:v>
                </c:pt>
              </c:numCache>
            </c:numRef>
          </c:val>
          <c:extLst>
            <c:ext xmlns:c16="http://schemas.microsoft.com/office/drawing/2014/chart" uri="{C3380CC4-5D6E-409C-BE32-E72D297353CC}">
              <c16:uniqueId val="{00000000-F816-6A40-B795-A666689405D3}"/>
            </c:ext>
          </c:extLst>
        </c:ser>
        <c:dLbls>
          <c:dLblPos val="inEnd"/>
          <c:showLegendKey val="0"/>
          <c:showVal val="1"/>
          <c:showCatName val="0"/>
          <c:showSerName val="0"/>
          <c:showPercent val="0"/>
          <c:showBubbleSize val="0"/>
        </c:dLbls>
        <c:gapWidth val="41"/>
        <c:axId val="2006790176"/>
        <c:axId val="2004236912"/>
      </c:barChart>
      <c:catAx>
        <c:axId val="2006790176"/>
        <c:scaling>
          <c:orientation val="minMax"/>
        </c:scaling>
        <c:delete val="0"/>
        <c:axPos val="b"/>
        <c:title>
          <c:tx>
            <c:rich>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Job Title</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04236912"/>
        <c:crosses val="autoZero"/>
        <c:auto val="1"/>
        <c:lblAlgn val="ctr"/>
        <c:lblOffset val="100"/>
        <c:noMultiLvlLbl val="0"/>
      </c:catAx>
      <c:valAx>
        <c:axId val="2004236912"/>
        <c:scaling>
          <c:orientation val="minMax"/>
        </c:scaling>
        <c:delete val="1"/>
        <c:axPos val="l"/>
        <c:title>
          <c:tx>
            <c:rich>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Average Recruitment Cycle Time (in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0.00" sourceLinked="1"/>
        <c:majorTickMark val="out"/>
        <c:minorTickMark val="none"/>
        <c:tickLblPos val="nextTo"/>
        <c:crossAx val="200679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[4 Assignment 2 HR Dashboard HRMD.xlsx]Pivot table!PivotTable6</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Tenure by Year of Joining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table'!$A$56:$A$62</c:f>
              <c:strCache>
                <c:ptCount val="6"/>
                <c:pt idx="0">
                  <c:v>2018</c:v>
                </c:pt>
                <c:pt idx="1">
                  <c:v>2019</c:v>
                </c:pt>
                <c:pt idx="2">
                  <c:v>2020</c:v>
                </c:pt>
                <c:pt idx="3">
                  <c:v>2021</c:v>
                </c:pt>
                <c:pt idx="4">
                  <c:v>2022</c:v>
                </c:pt>
                <c:pt idx="5">
                  <c:v>2023</c:v>
                </c:pt>
              </c:strCache>
            </c:strRef>
          </c:cat>
          <c:val>
            <c:numRef>
              <c:f>'Pivot table'!$B$56:$B$62</c:f>
              <c:numCache>
                <c:formatCode>0.00</c:formatCode>
                <c:ptCount val="6"/>
                <c:pt idx="0">
                  <c:v>2122.7666666666669</c:v>
                </c:pt>
                <c:pt idx="1">
                  <c:v>2138.666666666667</c:v>
                </c:pt>
                <c:pt idx="2">
                  <c:v>2155.9666666666672</c:v>
                </c:pt>
                <c:pt idx="3">
                  <c:v>1368.3333333333328</c:v>
                </c:pt>
                <c:pt idx="4">
                  <c:v>1333.333333333333</c:v>
                </c:pt>
                <c:pt idx="5">
                  <c:v>131.56666666666666</c:v>
                </c:pt>
              </c:numCache>
            </c:numRef>
          </c:val>
          <c:smooth val="0"/>
          <c:extLst>
            <c:ext xmlns:c16="http://schemas.microsoft.com/office/drawing/2014/chart" uri="{C3380CC4-5D6E-409C-BE32-E72D297353CC}">
              <c16:uniqueId val="{00000000-0675-EF4B-A2CC-7045977D5A0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3832751"/>
        <c:axId val="404778639"/>
      </c:lineChart>
      <c:catAx>
        <c:axId val="103832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effectLst/>
                  </a:rPr>
                  <a:t>Year of Joining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04778639"/>
        <c:crosses val="autoZero"/>
        <c:auto val="1"/>
        <c:lblAlgn val="ctr"/>
        <c:lblOffset val="100"/>
        <c:noMultiLvlLbl val="0"/>
      </c:catAx>
      <c:valAx>
        <c:axId val="40477863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kern="1200" baseline="0">
                    <a:solidFill>
                      <a:sysClr val="window" lastClr="FFFFFF"/>
                    </a:solidFill>
                    <a:effectLst/>
                  </a:rPr>
                  <a:t>Total Tenure (Months)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383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[4 Assignment 2 HR Dashboard HRMD.xlsx]Pivot table!PivotTable7</c:name>
    <c:fmtId val="1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b="1">
                <a:effectLst/>
              </a:rPr>
              <a:t>Employee Retention by Department</a:t>
            </a:r>
            <a:endParaRPr lang="en-IN">
              <a:effectLst/>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hade val="5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tint val="54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hade val="5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tint val="54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table'!$B$68</c:f>
              <c:strCache>
                <c:ptCount val="1"/>
                <c:pt idx="0">
                  <c:v>Total</c:v>
                </c:pt>
              </c:strCache>
            </c:strRef>
          </c:tx>
          <c:dPt>
            <c:idx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75A-9240-B022-FBCA4E26ADD7}"/>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75A-9240-B022-FBCA4E26ADD7}"/>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75A-9240-B022-FBCA4E26ADD7}"/>
              </c:ext>
            </c:extLst>
          </c:dPt>
          <c:dPt>
            <c:idx val="3"/>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75A-9240-B022-FBCA4E26ADD7}"/>
              </c:ext>
            </c:extLst>
          </c:dPt>
          <c:dPt>
            <c:idx val="4"/>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475A-9240-B022-FBCA4E26ADD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75A-9240-B022-FBCA4E26ADD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75A-9240-B022-FBCA4E26ADD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475A-9240-B022-FBCA4E26ADD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475A-9240-B022-FBCA4E26ADD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475A-9240-B022-FBCA4E26ADD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table'!$A$69:$A$74</c:f>
              <c:strCache>
                <c:ptCount val="5"/>
                <c:pt idx="0">
                  <c:v>Analytics</c:v>
                </c:pt>
                <c:pt idx="1">
                  <c:v>Finance</c:v>
                </c:pt>
                <c:pt idx="2">
                  <c:v>HR</c:v>
                </c:pt>
                <c:pt idx="3">
                  <c:v>IT</c:v>
                </c:pt>
                <c:pt idx="4">
                  <c:v>Sales</c:v>
                </c:pt>
              </c:strCache>
            </c:strRef>
          </c:cat>
          <c:val>
            <c:numRef>
              <c:f>'Pivot table'!$B$69:$B$74</c:f>
              <c:numCache>
                <c:formatCode>General</c:formatCode>
                <c:ptCount val="5"/>
                <c:pt idx="0">
                  <c:v>18</c:v>
                </c:pt>
                <c:pt idx="1">
                  <c:v>21</c:v>
                </c:pt>
                <c:pt idx="2">
                  <c:v>25</c:v>
                </c:pt>
                <c:pt idx="3">
                  <c:v>22</c:v>
                </c:pt>
                <c:pt idx="4">
                  <c:v>27</c:v>
                </c:pt>
              </c:numCache>
            </c:numRef>
          </c:val>
          <c:extLst>
            <c:ext xmlns:c16="http://schemas.microsoft.com/office/drawing/2014/chart" uri="{C3380CC4-5D6E-409C-BE32-E72D297353CC}">
              <c16:uniqueId val="{0000000A-475A-9240-B022-FBCA4E26ADD7}"/>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[4 Assignment 2 HR Dashboard HRMD.xlsx]Pivot table!PivotTable8</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Retention Period by Department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table'!$A$83:$A$88</c:f>
              <c:strCache>
                <c:ptCount val="5"/>
                <c:pt idx="0">
                  <c:v>Analytics</c:v>
                </c:pt>
                <c:pt idx="1">
                  <c:v>Finance</c:v>
                </c:pt>
                <c:pt idx="2">
                  <c:v>HR</c:v>
                </c:pt>
                <c:pt idx="3">
                  <c:v>IT</c:v>
                </c:pt>
                <c:pt idx="4">
                  <c:v>Sales</c:v>
                </c:pt>
              </c:strCache>
            </c:strRef>
          </c:cat>
          <c:val>
            <c:numRef>
              <c:f>'Pivot table'!$B$83:$B$88</c:f>
              <c:numCache>
                <c:formatCode>0.00</c:formatCode>
                <c:ptCount val="5"/>
                <c:pt idx="0">
                  <c:v>32.216981132075475</c:v>
                </c:pt>
                <c:pt idx="1">
                  <c:v>41.065306122448973</c:v>
                </c:pt>
                <c:pt idx="2">
                  <c:v>40.458503401360538</c:v>
                </c:pt>
                <c:pt idx="3">
                  <c:v>36.227999999999994</c:v>
                </c:pt>
                <c:pt idx="4">
                  <c:v>36.18888888888889</c:v>
                </c:pt>
              </c:numCache>
            </c:numRef>
          </c:val>
          <c:extLst>
            <c:ext xmlns:c16="http://schemas.microsoft.com/office/drawing/2014/chart" uri="{C3380CC4-5D6E-409C-BE32-E72D297353CC}">
              <c16:uniqueId val="{00000000-A393-B54B-827E-8FE012F76926}"/>
            </c:ext>
          </c:extLst>
        </c:ser>
        <c:dLbls>
          <c:dLblPos val="inEnd"/>
          <c:showLegendKey val="0"/>
          <c:showVal val="1"/>
          <c:showCatName val="0"/>
          <c:showSerName val="0"/>
          <c:showPercent val="0"/>
          <c:showBubbleSize val="0"/>
        </c:dLbls>
        <c:gapWidth val="41"/>
        <c:axId val="410508543"/>
        <c:axId val="1818561024"/>
      </c:barChart>
      <c:catAx>
        <c:axId val="4105085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Departiment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18561024"/>
        <c:crosses val="autoZero"/>
        <c:auto val="1"/>
        <c:lblAlgn val="ctr"/>
        <c:lblOffset val="100"/>
        <c:noMultiLvlLbl val="0"/>
      </c:catAx>
      <c:valAx>
        <c:axId val="1818561024"/>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Average of Total Tenure in 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crossAx val="41050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[4 Assignment 2 HR Dashboard HRMD.xlsx]Pivot table!PivotTable9</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effectLst/>
              </a:rPr>
              <a:t>Gender Diversity by Job</a:t>
            </a:r>
            <a:r>
              <a:rPr lang="en-IN" baseline="0">
                <a:effectLst/>
              </a:rPr>
              <a:t> Title</a:t>
            </a:r>
            <a:endParaRPr lang="en-IN">
              <a:effectLs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table'!$B$98:$B$99</c:f>
              <c:strCache>
                <c:ptCount val="1"/>
                <c:pt idx="0">
                  <c:v>Female</c:v>
                </c:pt>
              </c:strCache>
            </c:strRef>
          </c:tx>
          <c:spPr>
            <a:solidFill>
              <a:schemeClr val="accent1">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table'!$B$100:$B$105</c:f>
              <c:numCache>
                <c:formatCode>General</c:formatCode>
                <c:ptCount val="5"/>
                <c:pt idx="0">
                  <c:v>18</c:v>
                </c:pt>
                <c:pt idx="1">
                  <c:v>17</c:v>
                </c:pt>
                <c:pt idx="2">
                  <c:v>12</c:v>
                </c:pt>
                <c:pt idx="3">
                  <c:v>13</c:v>
                </c:pt>
                <c:pt idx="4">
                  <c:v>14</c:v>
                </c:pt>
              </c:numCache>
            </c:numRef>
          </c:val>
          <c:extLst>
            <c:ext xmlns:c16="http://schemas.microsoft.com/office/drawing/2014/chart" uri="{C3380CC4-5D6E-409C-BE32-E72D297353CC}">
              <c16:uniqueId val="{00000000-73D7-864D-9063-817A13A5EB27}"/>
            </c:ext>
          </c:extLst>
        </c:ser>
        <c:ser>
          <c:idx val="1"/>
          <c:order val="1"/>
          <c:tx>
            <c:strRef>
              <c:f>'Pivot table'!$C$98:$C$99</c:f>
              <c:strCache>
                <c:ptCount val="1"/>
                <c:pt idx="0">
                  <c:v>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table'!$C$100:$C$105</c:f>
              <c:numCache>
                <c:formatCode>General</c:formatCode>
                <c:ptCount val="5"/>
                <c:pt idx="0">
                  <c:v>15</c:v>
                </c:pt>
                <c:pt idx="1">
                  <c:v>17</c:v>
                </c:pt>
                <c:pt idx="2">
                  <c:v>15</c:v>
                </c:pt>
                <c:pt idx="3">
                  <c:v>23</c:v>
                </c:pt>
                <c:pt idx="4">
                  <c:v>13</c:v>
                </c:pt>
              </c:numCache>
            </c:numRef>
          </c:val>
          <c:extLst>
            <c:ext xmlns:c16="http://schemas.microsoft.com/office/drawing/2014/chart" uri="{C3380CC4-5D6E-409C-BE32-E72D297353CC}">
              <c16:uniqueId val="{00000001-B11A-F74A-80B7-E985785A4D22}"/>
            </c:ext>
          </c:extLst>
        </c:ser>
        <c:ser>
          <c:idx val="2"/>
          <c:order val="2"/>
          <c:tx>
            <c:strRef>
              <c:f>'Pivot table'!$D$98:$D$99</c:f>
              <c:strCache>
                <c:ptCount val="1"/>
                <c:pt idx="0">
                  <c:v>Other</c:v>
                </c:pt>
              </c:strCache>
            </c:strRef>
          </c:tx>
          <c:spPr>
            <a:solidFill>
              <a:schemeClr val="accent1">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table'!$D$100:$D$105</c:f>
              <c:numCache>
                <c:formatCode>General</c:formatCode>
                <c:ptCount val="5"/>
                <c:pt idx="0">
                  <c:v>20</c:v>
                </c:pt>
                <c:pt idx="1">
                  <c:v>16</c:v>
                </c:pt>
                <c:pt idx="2">
                  <c:v>22</c:v>
                </c:pt>
                <c:pt idx="3">
                  <c:v>12</c:v>
                </c:pt>
                <c:pt idx="4">
                  <c:v>23</c:v>
                </c:pt>
              </c:numCache>
            </c:numRef>
          </c:val>
          <c:extLst>
            <c:ext xmlns:c16="http://schemas.microsoft.com/office/drawing/2014/chart" uri="{C3380CC4-5D6E-409C-BE32-E72D297353CC}">
              <c16:uniqueId val="{00000002-B11A-F74A-80B7-E985785A4D22}"/>
            </c:ext>
          </c:extLst>
        </c:ser>
        <c:dLbls>
          <c:dLblPos val="ctr"/>
          <c:showLegendKey val="0"/>
          <c:showVal val="1"/>
          <c:showCatName val="0"/>
          <c:showSerName val="0"/>
          <c:showPercent val="0"/>
          <c:showBubbleSize val="0"/>
        </c:dLbls>
        <c:gapWidth val="150"/>
        <c:axId val="977126271"/>
        <c:axId val="1128376239"/>
      </c:barChart>
      <c:catAx>
        <c:axId val="9771262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8376239"/>
        <c:crosses val="autoZero"/>
        <c:auto val="1"/>
        <c:lblAlgn val="ctr"/>
        <c:lblOffset val="100"/>
        <c:noMultiLvlLbl val="0"/>
      </c:catAx>
      <c:valAx>
        <c:axId val="1128376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No.</a:t>
                </a:r>
                <a:r>
                  <a:rPr lang="en-GB" baseline="0"/>
                  <a:t> of Employees</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977126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[4 Assignment 2 HR Dashboard HRMD.xlsx]Pivot table!PivotTable10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1">
                <a:effectLst/>
              </a:rPr>
              <a:t>Absenteeism Rate</a:t>
            </a:r>
            <a:endParaRPr lang="en-IN">
              <a:effectLs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53000"/>
            </a:schemeClr>
          </a:solidFill>
          <a:ln>
            <a:noFill/>
          </a:ln>
          <a:effectLst>
            <a:outerShdw blurRad="254000" sx="102000" sy="102000" algn="ctr" rotWithShape="0">
              <a:prstClr val="black">
                <a:alpha val="20000"/>
              </a:prstClr>
            </a:outerShdw>
          </a:effectLst>
        </c:spPr>
      </c:pivotFmt>
      <c:pivotFmt>
        <c:idx val="3"/>
        <c:spPr>
          <a:solidFill>
            <a:schemeClr val="accent1">
              <a:shade val="76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77000"/>
            </a:schemeClr>
          </a:solidFill>
          <a:ln>
            <a:noFill/>
          </a:ln>
          <a:effectLst>
            <a:outerShdw blurRad="254000" sx="102000" sy="102000" algn="ctr" rotWithShape="0">
              <a:prstClr val="black">
                <a:alpha val="20000"/>
              </a:prstClr>
            </a:outerShdw>
          </a:effectLst>
        </c:spPr>
      </c:pivotFmt>
      <c:pivotFmt>
        <c:idx val="6"/>
        <c:spPr>
          <a:solidFill>
            <a:schemeClr val="accent1">
              <a:tint val="54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outerShdw blurRad="254000" sx="102000" sy="102000" algn="ctr" rotWithShape="0">
              <a:prstClr val="black">
                <a:alpha val="20000"/>
              </a:prstClr>
            </a:outerShdw>
          </a:effectLst>
        </c:spPr>
      </c:pivotFmt>
      <c:pivotFmt>
        <c:idx val="9"/>
        <c:spPr>
          <a:solidFill>
            <a:schemeClr val="accent1">
              <a:shade val="76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tint val="77000"/>
            </a:schemeClr>
          </a:solidFill>
          <a:ln>
            <a:noFill/>
          </a:ln>
          <a:effectLst>
            <a:outerShdw blurRad="254000" sx="102000" sy="102000" algn="ctr" rotWithShape="0">
              <a:prstClr val="black">
                <a:alpha val="20000"/>
              </a:prstClr>
            </a:outerShdw>
          </a:effectLst>
        </c:spPr>
      </c:pivotFmt>
      <c:pivotFmt>
        <c:idx val="12"/>
        <c:spPr>
          <a:solidFill>
            <a:schemeClr val="accent1">
              <a:tint val="54000"/>
            </a:schemeClr>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53000"/>
            </a:schemeClr>
          </a:solidFill>
          <a:ln>
            <a:noFill/>
          </a:ln>
          <a:effectLst>
            <a:outerShdw blurRad="254000" sx="102000" sy="102000" algn="ctr" rotWithShape="0">
              <a:prstClr val="black">
                <a:alpha val="20000"/>
              </a:prstClr>
            </a:outerShdw>
          </a:effectLst>
        </c:spPr>
      </c:pivotFmt>
      <c:pivotFmt>
        <c:idx val="15"/>
        <c:spPr>
          <a:solidFill>
            <a:schemeClr val="accent1">
              <a:shade val="76000"/>
            </a:schemeClr>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tint val="77000"/>
            </a:schemeClr>
          </a:solidFill>
          <a:ln>
            <a:noFill/>
          </a:ln>
          <a:effectLst>
            <a:outerShdw blurRad="254000" sx="102000" sy="102000" algn="ctr" rotWithShape="0">
              <a:prstClr val="black">
                <a:alpha val="20000"/>
              </a:prstClr>
            </a:outerShdw>
          </a:effectLst>
        </c:spPr>
      </c:pivotFmt>
      <c:pivotFmt>
        <c:idx val="18"/>
        <c:spPr>
          <a:solidFill>
            <a:schemeClr val="accent1">
              <a:tint val="54000"/>
            </a:schemeClr>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hade val="53000"/>
            </a:schemeClr>
          </a:solidFill>
          <a:ln>
            <a:noFill/>
          </a:ln>
          <a:effectLst>
            <a:outerShdw blurRad="254000" sx="102000" sy="102000" algn="ctr" rotWithShape="0">
              <a:prstClr val="black">
                <a:alpha val="20000"/>
              </a:prstClr>
            </a:outerShdw>
          </a:effectLst>
        </c:spPr>
      </c:pivotFmt>
      <c:pivotFmt>
        <c:idx val="21"/>
        <c:spPr>
          <a:solidFill>
            <a:schemeClr val="accent1">
              <a:shade val="76000"/>
            </a:schemeClr>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tint val="77000"/>
            </a:schemeClr>
          </a:solidFill>
          <a:ln>
            <a:noFill/>
          </a:ln>
          <a:effectLst>
            <a:outerShdw blurRad="254000" sx="102000" sy="102000" algn="ctr" rotWithShape="0">
              <a:prstClr val="black">
                <a:alpha val="20000"/>
              </a:prstClr>
            </a:outerShdw>
          </a:effectLst>
        </c:spPr>
      </c:pivotFmt>
      <c:pivotFmt>
        <c:idx val="24"/>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table'!$B$120</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E9-7644-A466-B3435BB6EAC3}"/>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E9-7644-A466-B3435BB6EAC3}"/>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E9-7644-A466-B3435BB6EAC3}"/>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EE9-7644-A466-B3435BB6EAC3}"/>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EE9-7644-A466-B3435BB6EA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table'!$A$121:$A$126</c:f>
              <c:strCache>
                <c:ptCount val="5"/>
                <c:pt idx="0">
                  <c:v>Analytics</c:v>
                </c:pt>
                <c:pt idx="1">
                  <c:v>Finance</c:v>
                </c:pt>
                <c:pt idx="2">
                  <c:v>HR</c:v>
                </c:pt>
                <c:pt idx="3">
                  <c:v>IT</c:v>
                </c:pt>
                <c:pt idx="4">
                  <c:v>Sales</c:v>
                </c:pt>
              </c:strCache>
            </c:strRef>
          </c:cat>
          <c:val>
            <c:numRef>
              <c:f>'Pivot table'!$B$121:$B$126</c:f>
              <c:numCache>
                <c:formatCode>General</c:formatCode>
                <c:ptCount val="5"/>
                <c:pt idx="0">
                  <c:v>3.9404934687953563</c:v>
                </c:pt>
                <c:pt idx="1">
                  <c:v>4.2000000000000011</c:v>
                </c:pt>
                <c:pt idx="2">
                  <c:v>4.0659340659340666</c:v>
                </c:pt>
                <c:pt idx="3">
                  <c:v>3.2846153846153858</c:v>
                </c:pt>
                <c:pt idx="4">
                  <c:v>3.9022435897435908</c:v>
                </c:pt>
              </c:numCache>
            </c:numRef>
          </c:val>
          <c:extLst>
            <c:ext xmlns:c16="http://schemas.microsoft.com/office/drawing/2014/chart" uri="{C3380CC4-5D6E-409C-BE32-E72D297353CC}">
              <c16:uniqueId val="{0000000A-2EE9-7644-A466-B3435BB6EA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[4 Assignment 2 HR Dashboard HRMD.xlsx]Pivot table!PivotTable11</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b="1">
                <a:effectLst/>
              </a:rPr>
              <a:t>Employee Turnover cost</a:t>
            </a:r>
            <a:endParaRPr lang="en-IN">
              <a:effectLst/>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table'!$A$138:$A$144</c:f>
              <c:strCache>
                <c:ptCount val="6"/>
                <c:pt idx="0">
                  <c:v>2018</c:v>
                </c:pt>
                <c:pt idx="1">
                  <c:v>2019</c:v>
                </c:pt>
                <c:pt idx="2">
                  <c:v>2020</c:v>
                </c:pt>
                <c:pt idx="3">
                  <c:v>2021</c:v>
                </c:pt>
                <c:pt idx="4">
                  <c:v>2022</c:v>
                </c:pt>
                <c:pt idx="5">
                  <c:v>2023</c:v>
                </c:pt>
              </c:strCache>
            </c:strRef>
          </c:cat>
          <c:val>
            <c:numRef>
              <c:f>'Pivot table'!$B$138:$B$144</c:f>
              <c:numCache>
                <c:formatCode>0</c:formatCode>
                <c:ptCount val="6"/>
                <c:pt idx="0">
                  <c:v>3158.7619047619046</c:v>
                </c:pt>
                <c:pt idx="1">
                  <c:v>2793.1904761904761</c:v>
                </c:pt>
                <c:pt idx="2">
                  <c:v>3295.5689655172414</c:v>
                </c:pt>
                <c:pt idx="3">
                  <c:v>2723</c:v>
                </c:pt>
                <c:pt idx="4">
                  <c:v>2149.2456140350878</c:v>
                </c:pt>
                <c:pt idx="5">
                  <c:v>3463.5</c:v>
                </c:pt>
              </c:numCache>
            </c:numRef>
          </c:val>
          <c:smooth val="0"/>
          <c:extLst>
            <c:ext xmlns:c16="http://schemas.microsoft.com/office/drawing/2014/chart" uri="{C3380CC4-5D6E-409C-BE32-E72D297353CC}">
              <c16:uniqueId val="{00000000-DB10-2C4E-9A0D-35D6E567283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6689999"/>
        <c:axId val="1183603999"/>
      </c:lineChart>
      <c:catAx>
        <c:axId val="1066899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83603999"/>
        <c:crosses val="autoZero"/>
        <c:auto val="1"/>
        <c:lblAlgn val="ctr"/>
        <c:lblOffset val="100"/>
        <c:noMultiLvlLbl val="0"/>
      </c:catAx>
      <c:valAx>
        <c:axId val="118360399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Average of Cost of Employee Turnover($)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668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 lag by Time</a:t>
            </a:r>
            <a:r>
              <a:rPr lang="en-US" baseline="0"/>
              <a:t> to Fill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'Random Data'!$V$1</c:f>
              <c:strCache>
                <c:ptCount val="1"/>
                <c:pt idx="0">
                  <c:v>Recruitment Lag</c:v>
                </c:pt>
              </c:strCache>
            </c:strRef>
          </c:tx>
          <c:spPr>
            <a:ln w="38100" cap="rnd">
              <a:noFill/>
              <a:round/>
            </a:ln>
            <a:effectLst/>
          </c:spPr>
          <c:marker>
            <c:symbol val="circle"/>
            <c:size val="5"/>
            <c:spPr>
              <a:solidFill>
                <a:schemeClr val="accent2"/>
              </a:solidFill>
              <a:ln w="9525">
                <a:solidFill>
                  <a:schemeClr val="accent2"/>
                </a:solidFill>
              </a:ln>
              <a:effectLst/>
            </c:spPr>
          </c:marker>
          <c:xVal>
            <c:numRef>
              <c:f>'Random Data'!$P$2:$P$251</c:f>
              <c:numCache>
                <c:formatCode>General</c:formatCode>
                <c:ptCount val="250"/>
                <c:pt idx="0">
                  <c:v>28</c:v>
                </c:pt>
                <c:pt idx="1">
                  <c:v>77</c:v>
                </c:pt>
                <c:pt idx="2">
                  <c:v>32</c:v>
                </c:pt>
                <c:pt idx="3">
                  <c:v>77</c:v>
                </c:pt>
                <c:pt idx="4">
                  <c:v>59</c:v>
                </c:pt>
                <c:pt idx="5">
                  <c:v>38</c:v>
                </c:pt>
                <c:pt idx="6">
                  <c:v>58</c:v>
                </c:pt>
                <c:pt idx="7">
                  <c:v>89</c:v>
                </c:pt>
                <c:pt idx="8">
                  <c:v>84</c:v>
                </c:pt>
                <c:pt idx="9">
                  <c:v>67</c:v>
                </c:pt>
                <c:pt idx="10">
                  <c:v>69</c:v>
                </c:pt>
                <c:pt idx="11">
                  <c:v>89</c:v>
                </c:pt>
                <c:pt idx="12">
                  <c:v>89</c:v>
                </c:pt>
                <c:pt idx="13">
                  <c:v>53</c:v>
                </c:pt>
                <c:pt idx="14">
                  <c:v>66</c:v>
                </c:pt>
                <c:pt idx="15">
                  <c:v>66</c:v>
                </c:pt>
                <c:pt idx="16">
                  <c:v>41</c:v>
                </c:pt>
                <c:pt idx="17">
                  <c:v>42</c:v>
                </c:pt>
                <c:pt idx="18">
                  <c:v>70</c:v>
                </c:pt>
                <c:pt idx="19">
                  <c:v>64</c:v>
                </c:pt>
                <c:pt idx="20">
                  <c:v>48</c:v>
                </c:pt>
                <c:pt idx="21">
                  <c:v>60</c:v>
                </c:pt>
                <c:pt idx="22">
                  <c:v>26</c:v>
                </c:pt>
                <c:pt idx="23">
                  <c:v>17</c:v>
                </c:pt>
                <c:pt idx="24">
                  <c:v>31</c:v>
                </c:pt>
                <c:pt idx="25">
                  <c:v>53</c:v>
                </c:pt>
                <c:pt idx="26">
                  <c:v>58</c:v>
                </c:pt>
                <c:pt idx="27">
                  <c:v>81</c:v>
                </c:pt>
                <c:pt idx="28">
                  <c:v>52</c:v>
                </c:pt>
                <c:pt idx="29">
                  <c:v>62</c:v>
                </c:pt>
                <c:pt idx="30">
                  <c:v>61</c:v>
                </c:pt>
                <c:pt idx="31">
                  <c:v>82</c:v>
                </c:pt>
                <c:pt idx="32">
                  <c:v>41</c:v>
                </c:pt>
                <c:pt idx="33">
                  <c:v>50</c:v>
                </c:pt>
                <c:pt idx="34">
                  <c:v>18</c:v>
                </c:pt>
                <c:pt idx="35">
                  <c:v>23</c:v>
                </c:pt>
                <c:pt idx="36">
                  <c:v>31</c:v>
                </c:pt>
                <c:pt idx="37">
                  <c:v>49</c:v>
                </c:pt>
                <c:pt idx="38">
                  <c:v>30</c:v>
                </c:pt>
                <c:pt idx="39">
                  <c:v>65</c:v>
                </c:pt>
                <c:pt idx="40">
                  <c:v>87</c:v>
                </c:pt>
                <c:pt idx="41">
                  <c:v>26</c:v>
                </c:pt>
                <c:pt idx="42">
                  <c:v>83</c:v>
                </c:pt>
                <c:pt idx="43">
                  <c:v>56</c:v>
                </c:pt>
                <c:pt idx="44">
                  <c:v>31</c:v>
                </c:pt>
                <c:pt idx="45">
                  <c:v>51</c:v>
                </c:pt>
                <c:pt idx="46">
                  <c:v>53</c:v>
                </c:pt>
                <c:pt idx="47">
                  <c:v>72</c:v>
                </c:pt>
                <c:pt idx="48">
                  <c:v>85</c:v>
                </c:pt>
                <c:pt idx="49">
                  <c:v>43</c:v>
                </c:pt>
                <c:pt idx="50">
                  <c:v>64</c:v>
                </c:pt>
                <c:pt idx="51">
                  <c:v>70</c:v>
                </c:pt>
                <c:pt idx="52">
                  <c:v>64</c:v>
                </c:pt>
                <c:pt idx="53">
                  <c:v>86</c:v>
                </c:pt>
                <c:pt idx="54">
                  <c:v>16</c:v>
                </c:pt>
                <c:pt idx="55">
                  <c:v>16</c:v>
                </c:pt>
                <c:pt idx="56">
                  <c:v>28</c:v>
                </c:pt>
                <c:pt idx="57">
                  <c:v>16</c:v>
                </c:pt>
                <c:pt idx="58">
                  <c:v>57</c:v>
                </c:pt>
                <c:pt idx="59">
                  <c:v>82</c:v>
                </c:pt>
                <c:pt idx="60">
                  <c:v>79</c:v>
                </c:pt>
                <c:pt idx="61">
                  <c:v>83</c:v>
                </c:pt>
                <c:pt idx="62">
                  <c:v>30</c:v>
                </c:pt>
                <c:pt idx="63">
                  <c:v>58</c:v>
                </c:pt>
                <c:pt idx="64">
                  <c:v>86</c:v>
                </c:pt>
                <c:pt idx="65">
                  <c:v>68</c:v>
                </c:pt>
                <c:pt idx="66">
                  <c:v>74</c:v>
                </c:pt>
                <c:pt idx="67">
                  <c:v>48</c:v>
                </c:pt>
                <c:pt idx="68">
                  <c:v>45</c:v>
                </c:pt>
                <c:pt idx="69">
                  <c:v>75</c:v>
                </c:pt>
                <c:pt idx="70">
                  <c:v>44</c:v>
                </c:pt>
                <c:pt idx="71">
                  <c:v>79</c:v>
                </c:pt>
                <c:pt idx="72">
                  <c:v>60</c:v>
                </c:pt>
                <c:pt idx="73">
                  <c:v>29</c:v>
                </c:pt>
                <c:pt idx="74">
                  <c:v>21</c:v>
                </c:pt>
                <c:pt idx="75">
                  <c:v>23</c:v>
                </c:pt>
                <c:pt idx="76">
                  <c:v>68</c:v>
                </c:pt>
                <c:pt idx="77">
                  <c:v>17</c:v>
                </c:pt>
                <c:pt idx="78">
                  <c:v>23</c:v>
                </c:pt>
                <c:pt idx="79">
                  <c:v>65</c:v>
                </c:pt>
                <c:pt idx="80">
                  <c:v>44</c:v>
                </c:pt>
                <c:pt idx="81">
                  <c:v>89</c:v>
                </c:pt>
                <c:pt idx="82">
                  <c:v>72</c:v>
                </c:pt>
                <c:pt idx="83">
                  <c:v>88</c:v>
                </c:pt>
                <c:pt idx="84">
                  <c:v>23</c:v>
                </c:pt>
                <c:pt idx="85">
                  <c:v>53</c:v>
                </c:pt>
                <c:pt idx="86">
                  <c:v>31</c:v>
                </c:pt>
                <c:pt idx="87">
                  <c:v>17</c:v>
                </c:pt>
                <c:pt idx="88">
                  <c:v>40</c:v>
                </c:pt>
                <c:pt idx="89">
                  <c:v>33</c:v>
                </c:pt>
                <c:pt idx="90">
                  <c:v>35</c:v>
                </c:pt>
                <c:pt idx="91">
                  <c:v>27</c:v>
                </c:pt>
                <c:pt idx="92">
                  <c:v>23</c:v>
                </c:pt>
                <c:pt idx="93">
                  <c:v>36</c:v>
                </c:pt>
                <c:pt idx="94">
                  <c:v>21</c:v>
                </c:pt>
                <c:pt idx="95">
                  <c:v>86</c:v>
                </c:pt>
                <c:pt idx="96">
                  <c:v>76</c:v>
                </c:pt>
                <c:pt idx="97">
                  <c:v>60</c:v>
                </c:pt>
                <c:pt idx="98">
                  <c:v>37</c:v>
                </c:pt>
                <c:pt idx="99">
                  <c:v>47</c:v>
                </c:pt>
                <c:pt idx="100">
                  <c:v>34</c:v>
                </c:pt>
                <c:pt idx="101">
                  <c:v>51</c:v>
                </c:pt>
                <c:pt idx="102">
                  <c:v>66</c:v>
                </c:pt>
                <c:pt idx="103">
                  <c:v>59</c:v>
                </c:pt>
                <c:pt idx="104">
                  <c:v>63</c:v>
                </c:pt>
                <c:pt idx="105">
                  <c:v>84</c:v>
                </c:pt>
                <c:pt idx="106">
                  <c:v>68</c:v>
                </c:pt>
                <c:pt idx="107">
                  <c:v>84</c:v>
                </c:pt>
                <c:pt idx="108">
                  <c:v>85</c:v>
                </c:pt>
                <c:pt idx="109">
                  <c:v>40</c:v>
                </c:pt>
                <c:pt idx="110">
                  <c:v>72</c:v>
                </c:pt>
                <c:pt idx="111">
                  <c:v>70</c:v>
                </c:pt>
                <c:pt idx="112">
                  <c:v>67</c:v>
                </c:pt>
                <c:pt idx="113">
                  <c:v>21</c:v>
                </c:pt>
                <c:pt idx="114">
                  <c:v>79</c:v>
                </c:pt>
                <c:pt idx="115">
                  <c:v>76</c:v>
                </c:pt>
                <c:pt idx="116">
                  <c:v>87</c:v>
                </c:pt>
                <c:pt idx="117">
                  <c:v>49</c:v>
                </c:pt>
                <c:pt idx="118">
                  <c:v>63</c:v>
                </c:pt>
                <c:pt idx="119">
                  <c:v>90</c:v>
                </c:pt>
                <c:pt idx="120">
                  <c:v>77</c:v>
                </c:pt>
                <c:pt idx="121">
                  <c:v>48</c:v>
                </c:pt>
                <c:pt idx="122">
                  <c:v>37</c:v>
                </c:pt>
                <c:pt idx="123">
                  <c:v>82</c:v>
                </c:pt>
                <c:pt idx="124">
                  <c:v>22</c:v>
                </c:pt>
                <c:pt idx="125">
                  <c:v>35</c:v>
                </c:pt>
                <c:pt idx="126">
                  <c:v>48</c:v>
                </c:pt>
                <c:pt idx="127">
                  <c:v>62</c:v>
                </c:pt>
                <c:pt idx="128">
                  <c:v>63</c:v>
                </c:pt>
                <c:pt idx="129">
                  <c:v>16</c:v>
                </c:pt>
                <c:pt idx="130">
                  <c:v>25</c:v>
                </c:pt>
                <c:pt idx="131">
                  <c:v>73</c:v>
                </c:pt>
                <c:pt idx="132">
                  <c:v>51</c:v>
                </c:pt>
                <c:pt idx="133">
                  <c:v>84</c:v>
                </c:pt>
                <c:pt idx="134">
                  <c:v>16</c:v>
                </c:pt>
                <c:pt idx="135">
                  <c:v>71</c:v>
                </c:pt>
                <c:pt idx="136">
                  <c:v>75</c:v>
                </c:pt>
                <c:pt idx="137">
                  <c:v>62</c:v>
                </c:pt>
                <c:pt idx="138">
                  <c:v>84</c:v>
                </c:pt>
                <c:pt idx="139">
                  <c:v>70</c:v>
                </c:pt>
                <c:pt idx="140">
                  <c:v>87</c:v>
                </c:pt>
                <c:pt idx="141">
                  <c:v>87</c:v>
                </c:pt>
                <c:pt idx="142">
                  <c:v>55</c:v>
                </c:pt>
                <c:pt idx="143">
                  <c:v>60</c:v>
                </c:pt>
                <c:pt idx="144">
                  <c:v>84</c:v>
                </c:pt>
                <c:pt idx="145">
                  <c:v>88</c:v>
                </c:pt>
                <c:pt idx="146">
                  <c:v>33</c:v>
                </c:pt>
                <c:pt idx="147">
                  <c:v>73</c:v>
                </c:pt>
                <c:pt idx="148">
                  <c:v>81</c:v>
                </c:pt>
                <c:pt idx="149">
                  <c:v>18</c:v>
                </c:pt>
                <c:pt idx="150">
                  <c:v>36</c:v>
                </c:pt>
                <c:pt idx="151">
                  <c:v>21</c:v>
                </c:pt>
                <c:pt idx="152">
                  <c:v>64</c:v>
                </c:pt>
                <c:pt idx="153">
                  <c:v>29</c:v>
                </c:pt>
                <c:pt idx="154">
                  <c:v>15</c:v>
                </c:pt>
                <c:pt idx="155">
                  <c:v>75</c:v>
                </c:pt>
                <c:pt idx="156">
                  <c:v>82</c:v>
                </c:pt>
                <c:pt idx="157">
                  <c:v>20</c:v>
                </c:pt>
                <c:pt idx="158">
                  <c:v>55</c:v>
                </c:pt>
                <c:pt idx="159">
                  <c:v>50</c:v>
                </c:pt>
                <c:pt idx="160">
                  <c:v>70</c:v>
                </c:pt>
                <c:pt idx="161">
                  <c:v>16</c:v>
                </c:pt>
                <c:pt idx="162">
                  <c:v>48</c:v>
                </c:pt>
                <c:pt idx="163">
                  <c:v>40</c:v>
                </c:pt>
                <c:pt idx="164">
                  <c:v>37</c:v>
                </c:pt>
                <c:pt idx="165">
                  <c:v>74</c:v>
                </c:pt>
                <c:pt idx="166">
                  <c:v>53</c:v>
                </c:pt>
                <c:pt idx="167">
                  <c:v>69</c:v>
                </c:pt>
                <c:pt idx="168">
                  <c:v>59</c:v>
                </c:pt>
                <c:pt idx="169">
                  <c:v>49</c:v>
                </c:pt>
                <c:pt idx="170">
                  <c:v>62</c:v>
                </c:pt>
                <c:pt idx="171">
                  <c:v>86</c:v>
                </c:pt>
                <c:pt idx="172">
                  <c:v>77</c:v>
                </c:pt>
                <c:pt idx="173">
                  <c:v>49</c:v>
                </c:pt>
                <c:pt idx="174">
                  <c:v>44</c:v>
                </c:pt>
                <c:pt idx="175">
                  <c:v>24</c:v>
                </c:pt>
                <c:pt idx="176">
                  <c:v>75</c:v>
                </c:pt>
                <c:pt idx="177">
                  <c:v>16</c:v>
                </c:pt>
                <c:pt idx="178">
                  <c:v>65</c:v>
                </c:pt>
                <c:pt idx="179">
                  <c:v>74</c:v>
                </c:pt>
                <c:pt idx="180">
                  <c:v>37</c:v>
                </c:pt>
                <c:pt idx="181">
                  <c:v>17</c:v>
                </c:pt>
                <c:pt idx="182">
                  <c:v>45</c:v>
                </c:pt>
                <c:pt idx="183">
                  <c:v>63</c:v>
                </c:pt>
                <c:pt idx="184">
                  <c:v>75</c:v>
                </c:pt>
                <c:pt idx="185">
                  <c:v>82</c:v>
                </c:pt>
                <c:pt idx="186">
                  <c:v>74</c:v>
                </c:pt>
                <c:pt idx="187">
                  <c:v>82</c:v>
                </c:pt>
                <c:pt idx="188">
                  <c:v>38</c:v>
                </c:pt>
                <c:pt idx="189">
                  <c:v>22</c:v>
                </c:pt>
                <c:pt idx="190">
                  <c:v>32</c:v>
                </c:pt>
                <c:pt idx="191">
                  <c:v>22</c:v>
                </c:pt>
                <c:pt idx="192">
                  <c:v>40</c:v>
                </c:pt>
                <c:pt idx="193">
                  <c:v>72</c:v>
                </c:pt>
                <c:pt idx="194">
                  <c:v>25</c:v>
                </c:pt>
                <c:pt idx="195">
                  <c:v>88</c:v>
                </c:pt>
                <c:pt idx="196">
                  <c:v>87</c:v>
                </c:pt>
                <c:pt idx="197">
                  <c:v>38</c:v>
                </c:pt>
                <c:pt idx="198">
                  <c:v>30</c:v>
                </c:pt>
                <c:pt idx="199">
                  <c:v>62</c:v>
                </c:pt>
                <c:pt idx="200">
                  <c:v>86</c:v>
                </c:pt>
                <c:pt idx="201">
                  <c:v>57</c:v>
                </c:pt>
                <c:pt idx="202">
                  <c:v>63</c:v>
                </c:pt>
                <c:pt idx="203">
                  <c:v>84</c:v>
                </c:pt>
                <c:pt idx="204">
                  <c:v>37</c:v>
                </c:pt>
                <c:pt idx="205">
                  <c:v>66</c:v>
                </c:pt>
                <c:pt idx="206">
                  <c:v>70</c:v>
                </c:pt>
                <c:pt idx="207">
                  <c:v>44</c:v>
                </c:pt>
                <c:pt idx="208">
                  <c:v>19</c:v>
                </c:pt>
                <c:pt idx="209">
                  <c:v>33</c:v>
                </c:pt>
                <c:pt idx="210">
                  <c:v>34</c:v>
                </c:pt>
                <c:pt idx="211">
                  <c:v>71</c:v>
                </c:pt>
                <c:pt idx="212">
                  <c:v>17</c:v>
                </c:pt>
                <c:pt idx="213">
                  <c:v>71</c:v>
                </c:pt>
                <c:pt idx="214">
                  <c:v>84</c:v>
                </c:pt>
                <c:pt idx="215">
                  <c:v>90</c:v>
                </c:pt>
                <c:pt idx="216">
                  <c:v>54</c:v>
                </c:pt>
                <c:pt idx="217">
                  <c:v>51</c:v>
                </c:pt>
                <c:pt idx="218">
                  <c:v>50</c:v>
                </c:pt>
                <c:pt idx="219">
                  <c:v>43</c:v>
                </c:pt>
                <c:pt idx="220">
                  <c:v>25</c:v>
                </c:pt>
                <c:pt idx="221">
                  <c:v>19</c:v>
                </c:pt>
                <c:pt idx="222">
                  <c:v>64</c:v>
                </c:pt>
                <c:pt idx="223">
                  <c:v>83</c:v>
                </c:pt>
                <c:pt idx="224">
                  <c:v>57</c:v>
                </c:pt>
                <c:pt idx="225">
                  <c:v>34</c:v>
                </c:pt>
                <c:pt idx="226">
                  <c:v>87</c:v>
                </c:pt>
                <c:pt idx="227">
                  <c:v>71</c:v>
                </c:pt>
                <c:pt idx="228">
                  <c:v>83</c:v>
                </c:pt>
                <c:pt idx="229">
                  <c:v>82</c:v>
                </c:pt>
                <c:pt idx="230">
                  <c:v>80</c:v>
                </c:pt>
                <c:pt idx="231">
                  <c:v>67</c:v>
                </c:pt>
                <c:pt idx="232">
                  <c:v>52</c:v>
                </c:pt>
                <c:pt idx="233">
                  <c:v>68</c:v>
                </c:pt>
                <c:pt idx="234">
                  <c:v>46</c:v>
                </c:pt>
                <c:pt idx="235">
                  <c:v>77</c:v>
                </c:pt>
                <c:pt idx="236">
                  <c:v>55</c:v>
                </c:pt>
                <c:pt idx="237">
                  <c:v>83</c:v>
                </c:pt>
                <c:pt idx="238">
                  <c:v>88</c:v>
                </c:pt>
                <c:pt idx="239">
                  <c:v>40</c:v>
                </c:pt>
                <c:pt idx="240">
                  <c:v>54</c:v>
                </c:pt>
                <c:pt idx="241">
                  <c:v>29</c:v>
                </c:pt>
                <c:pt idx="242">
                  <c:v>60</c:v>
                </c:pt>
                <c:pt idx="243">
                  <c:v>62</c:v>
                </c:pt>
                <c:pt idx="244">
                  <c:v>24</c:v>
                </c:pt>
                <c:pt idx="245">
                  <c:v>33</c:v>
                </c:pt>
                <c:pt idx="246">
                  <c:v>69</c:v>
                </c:pt>
                <c:pt idx="247">
                  <c:v>61</c:v>
                </c:pt>
                <c:pt idx="248">
                  <c:v>66</c:v>
                </c:pt>
                <c:pt idx="249">
                  <c:v>61</c:v>
                </c:pt>
              </c:numCache>
            </c:numRef>
          </c:xVal>
          <c:yVal>
            <c:numRef>
              <c:f>'Random Data'!$V$2:$V$251</c:f>
              <c:numCache>
                <c:formatCode>General</c:formatCode>
                <c:ptCount val="250"/>
                <c:pt idx="0">
                  <c:v>33</c:v>
                </c:pt>
                <c:pt idx="1">
                  <c:v>78</c:v>
                </c:pt>
                <c:pt idx="2">
                  <c:v>38</c:v>
                </c:pt>
                <c:pt idx="3">
                  <c:v>85</c:v>
                </c:pt>
                <c:pt idx="4">
                  <c:v>62</c:v>
                </c:pt>
                <c:pt idx="5">
                  <c:v>53</c:v>
                </c:pt>
                <c:pt idx="6">
                  <c:v>68</c:v>
                </c:pt>
                <c:pt idx="7">
                  <c:v>99</c:v>
                </c:pt>
                <c:pt idx="8">
                  <c:v>92</c:v>
                </c:pt>
                <c:pt idx="9">
                  <c:v>78</c:v>
                </c:pt>
                <c:pt idx="10">
                  <c:v>80</c:v>
                </c:pt>
                <c:pt idx="11">
                  <c:v>99</c:v>
                </c:pt>
                <c:pt idx="12">
                  <c:v>99</c:v>
                </c:pt>
                <c:pt idx="13">
                  <c:v>56</c:v>
                </c:pt>
                <c:pt idx="14">
                  <c:v>80</c:v>
                </c:pt>
                <c:pt idx="15">
                  <c:v>81</c:v>
                </c:pt>
                <c:pt idx="16">
                  <c:v>51</c:v>
                </c:pt>
                <c:pt idx="17">
                  <c:v>51</c:v>
                </c:pt>
                <c:pt idx="18">
                  <c:v>72</c:v>
                </c:pt>
                <c:pt idx="19">
                  <c:v>67</c:v>
                </c:pt>
                <c:pt idx="20">
                  <c:v>62</c:v>
                </c:pt>
                <c:pt idx="21">
                  <c:v>72</c:v>
                </c:pt>
                <c:pt idx="22">
                  <c:v>28</c:v>
                </c:pt>
                <c:pt idx="23">
                  <c:v>32</c:v>
                </c:pt>
                <c:pt idx="24">
                  <c:v>46</c:v>
                </c:pt>
                <c:pt idx="25">
                  <c:v>62</c:v>
                </c:pt>
                <c:pt idx="26">
                  <c:v>60</c:v>
                </c:pt>
                <c:pt idx="27">
                  <c:v>92</c:v>
                </c:pt>
                <c:pt idx="28">
                  <c:v>61</c:v>
                </c:pt>
                <c:pt idx="29">
                  <c:v>65</c:v>
                </c:pt>
                <c:pt idx="30">
                  <c:v>69</c:v>
                </c:pt>
                <c:pt idx="31">
                  <c:v>84</c:v>
                </c:pt>
                <c:pt idx="32">
                  <c:v>42</c:v>
                </c:pt>
                <c:pt idx="33">
                  <c:v>59</c:v>
                </c:pt>
                <c:pt idx="34">
                  <c:v>20</c:v>
                </c:pt>
                <c:pt idx="35">
                  <c:v>30</c:v>
                </c:pt>
                <c:pt idx="36">
                  <c:v>37</c:v>
                </c:pt>
                <c:pt idx="37">
                  <c:v>56</c:v>
                </c:pt>
                <c:pt idx="38">
                  <c:v>39</c:v>
                </c:pt>
                <c:pt idx="39">
                  <c:v>70</c:v>
                </c:pt>
                <c:pt idx="40">
                  <c:v>94</c:v>
                </c:pt>
                <c:pt idx="41">
                  <c:v>33</c:v>
                </c:pt>
                <c:pt idx="42">
                  <c:v>92</c:v>
                </c:pt>
                <c:pt idx="43">
                  <c:v>57</c:v>
                </c:pt>
                <c:pt idx="44">
                  <c:v>39</c:v>
                </c:pt>
                <c:pt idx="45">
                  <c:v>56</c:v>
                </c:pt>
                <c:pt idx="46">
                  <c:v>63</c:v>
                </c:pt>
                <c:pt idx="47">
                  <c:v>85</c:v>
                </c:pt>
                <c:pt idx="48">
                  <c:v>96</c:v>
                </c:pt>
                <c:pt idx="49">
                  <c:v>54</c:v>
                </c:pt>
                <c:pt idx="50">
                  <c:v>75</c:v>
                </c:pt>
                <c:pt idx="51">
                  <c:v>80</c:v>
                </c:pt>
                <c:pt idx="52">
                  <c:v>79</c:v>
                </c:pt>
                <c:pt idx="53">
                  <c:v>87</c:v>
                </c:pt>
                <c:pt idx="54">
                  <c:v>28</c:v>
                </c:pt>
                <c:pt idx="55">
                  <c:v>21</c:v>
                </c:pt>
                <c:pt idx="56">
                  <c:v>31</c:v>
                </c:pt>
                <c:pt idx="57">
                  <c:v>19</c:v>
                </c:pt>
                <c:pt idx="58">
                  <c:v>62</c:v>
                </c:pt>
                <c:pt idx="59">
                  <c:v>90</c:v>
                </c:pt>
                <c:pt idx="60">
                  <c:v>83</c:v>
                </c:pt>
                <c:pt idx="61">
                  <c:v>92</c:v>
                </c:pt>
                <c:pt idx="62">
                  <c:v>31</c:v>
                </c:pt>
                <c:pt idx="63">
                  <c:v>71</c:v>
                </c:pt>
                <c:pt idx="64">
                  <c:v>100</c:v>
                </c:pt>
                <c:pt idx="65">
                  <c:v>78</c:v>
                </c:pt>
                <c:pt idx="66">
                  <c:v>86</c:v>
                </c:pt>
                <c:pt idx="67">
                  <c:v>61</c:v>
                </c:pt>
                <c:pt idx="68">
                  <c:v>50</c:v>
                </c:pt>
                <c:pt idx="69">
                  <c:v>89</c:v>
                </c:pt>
                <c:pt idx="70">
                  <c:v>49</c:v>
                </c:pt>
                <c:pt idx="71">
                  <c:v>90</c:v>
                </c:pt>
                <c:pt idx="72">
                  <c:v>74</c:v>
                </c:pt>
                <c:pt idx="73">
                  <c:v>39</c:v>
                </c:pt>
                <c:pt idx="74">
                  <c:v>32</c:v>
                </c:pt>
                <c:pt idx="75">
                  <c:v>29</c:v>
                </c:pt>
                <c:pt idx="76">
                  <c:v>80</c:v>
                </c:pt>
                <c:pt idx="77">
                  <c:v>30</c:v>
                </c:pt>
                <c:pt idx="78">
                  <c:v>33</c:v>
                </c:pt>
                <c:pt idx="79">
                  <c:v>79</c:v>
                </c:pt>
                <c:pt idx="80">
                  <c:v>52</c:v>
                </c:pt>
                <c:pt idx="81">
                  <c:v>90</c:v>
                </c:pt>
                <c:pt idx="82">
                  <c:v>73</c:v>
                </c:pt>
                <c:pt idx="83">
                  <c:v>99</c:v>
                </c:pt>
                <c:pt idx="84">
                  <c:v>26</c:v>
                </c:pt>
                <c:pt idx="85">
                  <c:v>57</c:v>
                </c:pt>
                <c:pt idx="86">
                  <c:v>36</c:v>
                </c:pt>
                <c:pt idx="87">
                  <c:v>22</c:v>
                </c:pt>
                <c:pt idx="88">
                  <c:v>44</c:v>
                </c:pt>
                <c:pt idx="89">
                  <c:v>46</c:v>
                </c:pt>
                <c:pt idx="90">
                  <c:v>38</c:v>
                </c:pt>
                <c:pt idx="91">
                  <c:v>29</c:v>
                </c:pt>
                <c:pt idx="92">
                  <c:v>34</c:v>
                </c:pt>
                <c:pt idx="93">
                  <c:v>47</c:v>
                </c:pt>
                <c:pt idx="94">
                  <c:v>27</c:v>
                </c:pt>
                <c:pt idx="95">
                  <c:v>92</c:v>
                </c:pt>
                <c:pt idx="96">
                  <c:v>79</c:v>
                </c:pt>
                <c:pt idx="97">
                  <c:v>64</c:v>
                </c:pt>
                <c:pt idx="98">
                  <c:v>42</c:v>
                </c:pt>
                <c:pt idx="99">
                  <c:v>56</c:v>
                </c:pt>
                <c:pt idx="100">
                  <c:v>36</c:v>
                </c:pt>
                <c:pt idx="101">
                  <c:v>62</c:v>
                </c:pt>
                <c:pt idx="102">
                  <c:v>69</c:v>
                </c:pt>
                <c:pt idx="103">
                  <c:v>72</c:v>
                </c:pt>
                <c:pt idx="104">
                  <c:v>68</c:v>
                </c:pt>
                <c:pt idx="105">
                  <c:v>96</c:v>
                </c:pt>
                <c:pt idx="106">
                  <c:v>78</c:v>
                </c:pt>
                <c:pt idx="107">
                  <c:v>92</c:v>
                </c:pt>
                <c:pt idx="108">
                  <c:v>93</c:v>
                </c:pt>
                <c:pt idx="109">
                  <c:v>50</c:v>
                </c:pt>
                <c:pt idx="110">
                  <c:v>82</c:v>
                </c:pt>
                <c:pt idx="111">
                  <c:v>81</c:v>
                </c:pt>
                <c:pt idx="112">
                  <c:v>79</c:v>
                </c:pt>
                <c:pt idx="113">
                  <c:v>25</c:v>
                </c:pt>
                <c:pt idx="114">
                  <c:v>94</c:v>
                </c:pt>
                <c:pt idx="115">
                  <c:v>88</c:v>
                </c:pt>
                <c:pt idx="116">
                  <c:v>91</c:v>
                </c:pt>
                <c:pt idx="117">
                  <c:v>63</c:v>
                </c:pt>
                <c:pt idx="118">
                  <c:v>67</c:v>
                </c:pt>
                <c:pt idx="119">
                  <c:v>103</c:v>
                </c:pt>
                <c:pt idx="120">
                  <c:v>85</c:v>
                </c:pt>
                <c:pt idx="121">
                  <c:v>52</c:v>
                </c:pt>
                <c:pt idx="122">
                  <c:v>52</c:v>
                </c:pt>
                <c:pt idx="123">
                  <c:v>95</c:v>
                </c:pt>
                <c:pt idx="124">
                  <c:v>27</c:v>
                </c:pt>
                <c:pt idx="125">
                  <c:v>43</c:v>
                </c:pt>
                <c:pt idx="126">
                  <c:v>57</c:v>
                </c:pt>
                <c:pt idx="127">
                  <c:v>73</c:v>
                </c:pt>
                <c:pt idx="128">
                  <c:v>78</c:v>
                </c:pt>
                <c:pt idx="129">
                  <c:v>31</c:v>
                </c:pt>
                <c:pt idx="130">
                  <c:v>32</c:v>
                </c:pt>
                <c:pt idx="131">
                  <c:v>86</c:v>
                </c:pt>
                <c:pt idx="132">
                  <c:v>59</c:v>
                </c:pt>
                <c:pt idx="133">
                  <c:v>92</c:v>
                </c:pt>
                <c:pt idx="134">
                  <c:v>17</c:v>
                </c:pt>
                <c:pt idx="135">
                  <c:v>85</c:v>
                </c:pt>
                <c:pt idx="136">
                  <c:v>86</c:v>
                </c:pt>
                <c:pt idx="137">
                  <c:v>63</c:v>
                </c:pt>
                <c:pt idx="138">
                  <c:v>91</c:v>
                </c:pt>
                <c:pt idx="139">
                  <c:v>77</c:v>
                </c:pt>
                <c:pt idx="140">
                  <c:v>101</c:v>
                </c:pt>
                <c:pt idx="141">
                  <c:v>97</c:v>
                </c:pt>
                <c:pt idx="142">
                  <c:v>63</c:v>
                </c:pt>
                <c:pt idx="143">
                  <c:v>64</c:v>
                </c:pt>
                <c:pt idx="144">
                  <c:v>85</c:v>
                </c:pt>
                <c:pt idx="145">
                  <c:v>94</c:v>
                </c:pt>
                <c:pt idx="146">
                  <c:v>48</c:v>
                </c:pt>
                <c:pt idx="147">
                  <c:v>79</c:v>
                </c:pt>
                <c:pt idx="148">
                  <c:v>93</c:v>
                </c:pt>
                <c:pt idx="149">
                  <c:v>27</c:v>
                </c:pt>
                <c:pt idx="150">
                  <c:v>38</c:v>
                </c:pt>
                <c:pt idx="151">
                  <c:v>32</c:v>
                </c:pt>
                <c:pt idx="152">
                  <c:v>76</c:v>
                </c:pt>
                <c:pt idx="153">
                  <c:v>41</c:v>
                </c:pt>
                <c:pt idx="154">
                  <c:v>30</c:v>
                </c:pt>
                <c:pt idx="155">
                  <c:v>83</c:v>
                </c:pt>
                <c:pt idx="156">
                  <c:v>94</c:v>
                </c:pt>
                <c:pt idx="157">
                  <c:v>27</c:v>
                </c:pt>
                <c:pt idx="158">
                  <c:v>66</c:v>
                </c:pt>
                <c:pt idx="159">
                  <c:v>53</c:v>
                </c:pt>
                <c:pt idx="160">
                  <c:v>75</c:v>
                </c:pt>
                <c:pt idx="161">
                  <c:v>18</c:v>
                </c:pt>
                <c:pt idx="162">
                  <c:v>61</c:v>
                </c:pt>
                <c:pt idx="163">
                  <c:v>47</c:v>
                </c:pt>
                <c:pt idx="164">
                  <c:v>49</c:v>
                </c:pt>
                <c:pt idx="165">
                  <c:v>79</c:v>
                </c:pt>
                <c:pt idx="166">
                  <c:v>59</c:v>
                </c:pt>
                <c:pt idx="167">
                  <c:v>80</c:v>
                </c:pt>
                <c:pt idx="168">
                  <c:v>64</c:v>
                </c:pt>
                <c:pt idx="169">
                  <c:v>53</c:v>
                </c:pt>
                <c:pt idx="170">
                  <c:v>75</c:v>
                </c:pt>
                <c:pt idx="171">
                  <c:v>97</c:v>
                </c:pt>
                <c:pt idx="172">
                  <c:v>79</c:v>
                </c:pt>
                <c:pt idx="173">
                  <c:v>61</c:v>
                </c:pt>
                <c:pt idx="174">
                  <c:v>59</c:v>
                </c:pt>
                <c:pt idx="175">
                  <c:v>35</c:v>
                </c:pt>
                <c:pt idx="176">
                  <c:v>87</c:v>
                </c:pt>
                <c:pt idx="177">
                  <c:v>21</c:v>
                </c:pt>
                <c:pt idx="178">
                  <c:v>67</c:v>
                </c:pt>
                <c:pt idx="179">
                  <c:v>75</c:v>
                </c:pt>
                <c:pt idx="180">
                  <c:v>47</c:v>
                </c:pt>
                <c:pt idx="181">
                  <c:v>18</c:v>
                </c:pt>
                <c:pt idx="182">
                  <c:v>49</c:v>
                </c:pt>
                <c:pt idx="183">
                  <c:v>72</c:v>
                </c:pt>
                <c:pt idx="184">
                  <c:v>88</c:v>
                </c:pt>
                <c:pt idx="185">
                  <c:v>94</c:v>
                </c:pt>
                <c:pt idx="186">
                  <c:v>88</c:v>
                </c:pt>
                <c:pt idx="187">
                  <c:v>91</c:v>
                </c:pt>
                <c:pt idx="188">
                  <c:v>47</c:v>
                </c:pt>
                <c:pt idx="189">
                  <c:v>36</c:v>
                </c:pt>
                <c:pt idx="190">
                  <c:v>37</c:v>
                </c:pt>
                <c:pt idx="191">
                  <c:v>23</c:v>
                </c:pt>
                <c:pt idx="192">
                  <c:v>45</c:v>
                </c:pt>
                <c:pt idx="193">
                  <c:v>85</c:v>
                </c:pt>
                <c:pt idx="194">
                  <c:v>26</c:v>
                </c:pt>
                <c:pt idx="195">
                  <c:v>96</c:v>
                </c:pt>
                <c:pt idx="196">
                  <c:v>91</c:v>
                </c:pt>
                <c:pt idx="197">
                  <c:v>39</c:v>
                </c:pt>
                <c:pt idx="198">
                  <c:v>40</c:v>
                </c:pt>
                <c:pt idx="199">
                  <c:v>63</c:v>
                </c:pt>
                <c:pt idx="200">
                  <c:v>88</c:v>
                </c:pt>
                <c:pt idx="201">
                  <c:v>72</c:v>
                </c:pt>
                <c:pt idx="202">
                  <c:v>65</c:v>
                </c:pt>
                <c:pt idx="203">
                  <c:v>92</c:v>
                </c:pt>
                <c:pt idx="204">
                  <c:v>40</c:v>
                </c:pt>
                <c:pt idx="205">
                  <c:v>81</c:v>
                </c:pt>
                <c:pt idx="206">
                  <c:v>82</c:v>
                </c:pt>
                <c:pt idx="207">
                  <c:v>45</c:v>
                </c:pt>
                <c:pt idx="208">
                  <c:v>22</c:v>
                </c:pt>
                <c:pt idx="209">
                  <c:v>44</c:v>
                </c:pt>
                <c:pt idx="210">
                  <c:v>47</c:v>
                </c:pt>
                <c:pt idx="211">
                  <c:v>86</c:v>
                </c:pt>
                <c:pt idx="212">
                  <c:v>22</c:v>
                </c:pt>
                <c:pt idx="213">
                  <c:v>75</c:v>
                </c:pt>
                <c:pt idx="214">
                  <c:v>89</c:v>
                </c:pt>
                <c:pt idx="215">
                  <c:v>96</c:v>
                </c:pt>
                <c:pt idx="216">
                  <c:v>57</c:v>
                </c:pt>
                <c:pt idx="217">
                  <c:v>66</c:v>
                </c:pt>
                <c:pt idx="218">
                  <c:v>63</c:v>
                </c:pt>
                <c:pt idx="219">
                  <c:v>58</c:v>
                </c:pt>
                <c:pt idx="220">
                  <c:v>35</c:v>
                </c:pt>
                <c:pt idx="221">
                  <c:v>29</c:v>
                </c:pt>
                <c:pt idx="222">
                  <c:v>69</c:v>
                </c:pt>
                <c:pt idx="223">
                  <c:v>93</c:v>
                </c:pt>
                <c:pt idx="224">
                  <c:v>68</c:v>
                </c:pt>
                <c:pt idx="225">
                  <c:v>44</c:v>
                </c:pt>
                <c:pt idx="226">
                  <c:v>98</c:v>
                </c:pt>
                <c:pt idx="227">
                  <c:v>77</c:v>
                </c:pt>
                <c:pt idx="228">
                  <c:v>96</c:v>
                </c:pt>
                <c:pt idx="229">
                  <c:v>89</c:v>
                </c:pt>
                <c:pt idx="230">
                  <c:v>89</c:v>
                </c:pt>
                <c:pt idx="231">
                  <c:v>72</c:v>
                </c:pt>
                <c:pt idx="232">
                  <c:v>55</c:v>
                </c:pt>
                <c:pt idx="233">
                  <c:v>74</c:v>
                </c:pt>
                <c:pt idx="234">
                  <c:v>56</c:v>
                </c:pt>
                <c:pt idx="235">
                  <c:v>86</c:v>
                </c:pt>
                <c:pt idx="236">
                  <c:v>56</c:v>
                </c:pt>
                <c:pt idx="237">
                  <c:v>98</c:v>
                </c:pt>
                <c:pt idx="238">
                  <c:v>103</c:v>
                </c:pt>
                <c:pt idx="239">
                  <c:v>41</c:v>
                </c:pt>
                <c:pt idx="240">
                  <c:v>65</c:v>
                </c:pt>
                <c:pt idx="241">
                  <c:v>39</c:v>
                </c:pt>
                <c:pt idx="242">
                  <c:v>75</c:v>
                </c:pt>
                <c:pt idx="243">
                  <c:v>77</c:v>
                </c:pt>
                <c:pt idx="244">
                  <c:v>33</c:v>
                </c:pt>
                <c:pt idx="245">
                  <c:v>43</c:v>
                </c:pt>
                <c:pt idx="246">
                  <c:v>75</c:v>
                </c:pt>
                <c:pt idx="247">
                  <c:v>68</c:v>
                </c:pt>
                <c:pt idx="248">
                  <c:v>73</c:v>
                </c:pt>
                <c:pt idx="249">
                  <c:v>67</c:v>
                </c:pt>
              </c:numCache>
            </c:numRef>
          </c:yVal>
          <c:smooth val="0"/>
          <c:extLst>
            <c:ext xmlns:c16="http://schemas.microsoft.com/office/drawing/2014/chart" uri="{C3380CC4-5D6E-409C-BE32-E72D297353CC}">
              <c16:uniqueId val="{00000000-8FE4-994B-8C7A-3733A18C0394}"/>
            </c:ext>
          </c:extLst>
        </c:ser>
        <c:dLbls>
          <c:showLegendKey val="0"/>
          <c:showVal val="0"/>
          <c:showCatName val="0"/>
          <c:showSerName val="0"/>
          <c:showPercent val="0"/>
          <c:showBubbleSize val="0"/>
        </c:dLbls>
        <c:axId val="1388029151"/>
        <c:axId val="1445803503"/>
      </c:scatterChart>
      <c:valAx>
        <c:axId val="1388029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to Fill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03503"/>
        <c:crosses val="autoZero"/>
        <c:crossBetween val="midCat"/>
      </c:valAx>
      <c:valAx>
        <c:axId val="1445803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Recruitment Lag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291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196850</xdr:rowOff>
    </xdr:from>
    <xdr:to>
      <xdr:col>9</xdr:col>
      <xdr:colOff>0</xdr:colOff>
      <xdr:row>15</xdr:row>
      <xdr:rowOff>95250</xdr:rowOff>
    </xdr:to>
    <xdr:graphicFrame macro="">
      <xdr:nvGraphicFramePr>
        <xdr:cNvPr id="3" name="Chart 2">
          <a:extLst>
            <a:ext uri="{FF2B5EF4-FFF2-40B4-BE49-F238E27FC236}">
              <a16:creationId xmlns:a16="http://schemas.microsoft.com/office/drawing/2014/main" id="{5626E6EC-3746-4643-CF3C-17A7ECD63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774700</xdr:colOff>
      <xdr:row>17</xdr:row>
      <xdr:rowOff>101600</xdr:rowOff>
    </xdr:from>
    <xdr:to>
      <xdr:col>8</xdr:col>
      <xdr:colOff>1168400</xdr:colOff>
      <xdr:row>33</xdr:row>
      <xdr:rowOff>146050</xdr:rowOff>
    </xdr:to>
    <xdr:graphicFrame macro="">
      <xdr:nvGraphicFramePr>
        <xdr:cNvPr id="6" name="Chart 5">
          <a:extLst>
            <a:ext uri="{FF2B5EF4-FFF2-40B4-BE49-F238E27FC236}">
              <a16:creationId xmlns:a16="http://schemas.microsoft.com/office/drawing/2014/main" id="{AC64E6A8-5AF1-324C-9E19-0EC58301A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787400</xdr:colOff>
      <xdr:row>36</xdr:row>
      <xdr:rowOff>69850</xdr:rowOff>
    </xdr:from>
    <xdr:to>
      <xdr:col>8</xdr:col>
      <xdr:colOff>1155700</xdr:colOff>
      <xdr:row>49</xdr:row>
      <xdr:rowOff>171450</xdr:rowOff>
    </xdr:to>
    <xdr:graphicFrame macro="">
      <xdr:nvGraphicFramePr>
        <xdr:cNvPr id="12" name="Chart 11">
          <a:extLst>
            <a:ext uri="{FF2B5EF4-FFF2-40B4-BE49-F238E27FC236}">
              <a16:creationId xmlns:a16="http://schemas.microsoft.com/office/drawing/2014/main" id="{188E9C32-A1B2-E21A-E791-14E0303EB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139700</xdr:colOff>
      <xdr:row>50</xdr:row>
      <xdr:rowOff>31750</xdr:rowOff>
    </xdr:from>
    <xdr:to>
      <xdr:col>8</xdr:col>
      <xdr:colOff>1155700</xdr:colOff>
      <xdr:row>63</xdr:row>
      <xdr:rowOff>133350</xdr:rowOff>
    </xdr:to>
    <xdr:graphicFrame macro="">
      <xdr:nvGraphicFramePr>
        <xdr:cNvPr id="14" name="Chart 13">
          <a:extLst>
            <a:ext uri="{FF2B5EF4-FFF2-40B4-BE49-F238E27FC236}">
              <a16:creationId xmlns:a16="http://schemas.microsoft.com/office/drawing/2014/main" id="{100A5728-8BDC-7164-A455-84D414AAC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114300</xdr:colOff>
      <xdr:row>65</xdr:row>
      <xdr:rowOff>6350</xdr:rowOff>
    </xdr:from>
    <xdr:to>
      <xdr:col>7</xdr:col>
      <xdr:colOff>1028700</xdr:colOff>
      <xdr:row>78</xdr:row>
      <xdr:rowOff>107950</xdr:rowOff>
    </xdr:to>
    <xdr:graphicFrame macro="">
      <xdr:nvGraphicFramePr>
        <xdr:cNvPr id="15" name="Chart 14">
          <a:extLst>
            <a:ext uri="{FF2B5EF4-FFF2-40B4-BE49-F238E27FC236}">
              <a16:creationId xmlns:a16="http://schemas.microsoft.com/office/drawing/2014/main" id="{67126A4D-8D74-CACC-1F59-E1F8DE944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12700</xdr:colOff>
      <xdr:row>81</xdr:row>
      <xdr:rowOff>31750</xdr:rowOff>
    </xdr:from>
    <xdr:to>
      <xdr:col>7</xdr:col>
      <xdr:colOff>927100</xdr:colOff>
      <xdr:row>94</xdr:row>
      <xdr:rowOff>133350</xdr:rowOff>
    </xdr:to>
    <xdr:graphicFrame macro="">
      <xdr:nvGraphicFramePr>
        <xdr:cNvPr id="16" name="Chart 15">
          <a:extLst>
            <a:ext uri="{FF2B5EF4-FFF2-40B4-BE49-F238E27FC236}">
              <a16:creationId xmlns:a16="http://schemas.microsoft.com/office/drawing/2014/main" id="{D931832B-10F4-487C-D9F6-9461262E1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965200</xdr:colOff>
      <xdr:row>96</xdr:row>
      <xdr:rowOff>184150</xdr:rowOff>
    </xdr:from>
    <xdr:to>
      <xdr:col>9</xdr:col>
      <xdr:colOff>1079500</xdr:colOff>
      <xdr:row>113</xdr:row>
      <xdr:rowOff>152400</xdr:rowOff>
    </xdr:to>
    <xdr:graphicFrame macro="">
      <xdr:nvGraphicFramePr>
        <xdr:cNvPr id="17" name="Chart 16">
          <a:extLst>
            <a:ext uri="{FF2B5EF4-FFF2-40B4-BE49-F238E27FC236}">
              <a16:creationId xmlns:a16="http://schemas.microsoft.com/office/drawing/2014/main" id="{8BD28EEB-B3CA-0CE3-EF4D-311F583D1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990600</xdr:colOff>
      <xdr:row>117</xdr:row>
      <xdr:rowOff>19050</xdr:rowOff>
    </xdr:from>
    <xdr:to>
      <xdr:col>9</xdr:col>
      <xdr:colOff>1104900</xdr:colOff>
      <xdr:row>130</xdr:row>
      <xdr:rowOff>120650</xdr:rowOff>
    </xdr:to>
    <xdr:graphicFrame macro="">
      <xdr:nvGraphicFramePr>
        <xdr:cNvPr id="18" name="Chart 17">
          <a:extLst>
            <a:ext uri="{FF2B5EF4-FFF2-40B4-BE49-F238E27FC236}">
              <a16:creationId xmlns:a16="http://schemas.microsoft.com/office/drawing/2014/main" id="{50CEDD92-42E5-217F-DFE6-C5A132354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12700</xdr:colOff>
      <xdr:row>131</xdr:row>
      <xdr:rowOff>184150</xdr:rowOff>
    </xdr:from>
    <xdr:to>
      <xdr:col>12</xdr:col>
      <xdr:colOff>660400</xdr:colOff>
      <xdr:row>152</xdr:row>
      <xdr:rowOff>165100</xdr:rowOff>
    </xdr:to>
    <xdr:graphicFrame macro="">
      <xdr:nvGraphicFramePr>
        <xdr:cNvPr id="19" name="Chart 18">
          <a:extLst>
            <a:ext uri="{FF2B5EF4-FFF2-40B4-BE49-F238E27FC236}">
              <a16:creationId xmlns:a16="http://schemas.microsoft.com/office/drawing/2014/main" id="{A3C332B4-B889-37C2-35B0-E5A2F9301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246946</xdr:colOff>
      <xdr:row>65</xdr:row>
      <xdr:rowOff>0</xdr:rowOff>
    </xdr:to>
    <xdr:grpSp>
      <xdr:nvGrpSpPr>
        <xdr:cNvPr id="17" name="Group 16">
          <a:extLst>
            <a:ext uri="{FF2B5EF4-FFF2-40B4-BE49-F238E27FC236}">
              <a16:creationId xmlns:a16="http://schemas.microsoft.com/office/drawing/2014/main" id="{086A5C33-1EDB-80C8-D201-377269A0DD39}"/>
            </a:ext>
          </a:extLst>
        </xdr:cNvPr>
        <xdr:cNvGrpSpPr/>
      </xdr:nvGrpSpPr>
      <xdr:grpSpPr>
        <a:xfrm>
          <a:off x="0" y="0"/>
          <a:ext cx="19442089" cy="12972143"/>
          <a:chOff x="-28223" y="0"/>
          <a:chExt cx="19233446" cy="13391446"/>
        </a:xfrm>
      </xdr:grpSpPr>
      <xdr:graphicFrame macro="">
        <xdr:nvGraphicFramePr>
          <xdr:cNvPr id="2" name="Chart 1">
            <a:extLst>
              <a:ext uri="{FF2B5EF4-FFF2-40B4-BE49-F238E27FC236}">
                <a16:creationId xmlns:a16="http://schemas.microsoft.com/office/drawing/2014/main" id="{089BB278-D62C-9249-A483-9AECA7CA2A6E}"/>
              </a:ext>
            </a:extLst>
          </xdr:cNvPr>
          <xdr:cNvGraphicFramePr>
            <a:graphicFrameLocks/>
          </xdr:cNvGraphicFramePr>
        </xdr:nvGraphicFramePr>
        <xdr:xfrm>
          <a:off x="-28223" y="1030112"/>
          <a:ext cx="5778500" cy="412044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DF529FFE-A392-2643-A3C1-92DD14343A78}"/>
              </a:ext>
            </a:extLst>
          </xdr:cNvPr>
          <xdr:cNvGraphicFramePr>
            <a:graphicFrameLocks/>
          </xdr:cNvGraphicFramePr>
        </xdr:nvGraphicFramePr>
        <xdr:xfrm>
          <a:off x="5750277" y="1030111"/>
          <a:ext cx="5778501" cy="4120445"/>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5" name="Status 1">
                <a:extLst>
                  <a:ext uri="{FF2B5EF4-FFF2-40B4-BE49-F238E27FC236}">
                    <a16:creationId xmlns:a16="http://schemas.microsoft.com/office/drawing/2014/main" id="{F4D7B206-F8FE-734A-9ADC-E2675DB3605A}"/>
                  </a:ext>
                </a:extLst>
              </xdr:cNvPr>
              <xdr:cNvGraphicFramePr/>
            </xdr:nvGraphicFramePr>
            <xdr:xfrm>
              <a:off x="17293166" y="9271001"/>
              <a:ext cx="1842911" cy="2266245"/>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7321389" y="9144000"/>
                <a:ext cx="1842911" cy="2235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3E9BEE31-2691-A944-A8FC-563AE404EECE}"/>
                  </a:ext>
                </a:extLst>
              </xdr:cNvPr>
              <xdr:cNvGraphicFramePr/>
            </xdr:nvGraphicFramePr>
            <xdr:xfrm>
              <a:off x="17319979" y="1030112"/>
              <a:ext cx="1885244" cy="1442155"/>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348202" y="1016001"/>
                <a:ext cx="1885244" cy="1422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7" name="Chart 6">
            <a:extLst>
              <a:ext uri="{FF2B5EF4-FFF2-40B4-BE49-F238E27FC236}">
                <a16:creationId xmlns:a16="http://schemas.microsoft.com/office/drawing/2014/main" id="{F317B5AC-C590-B64F-93CF-AF4FC3E8B31C}"/>
              </a:ext>
            </a:extLst>
          </xdr:cNvPr>
          <xdr:cNvGraphicFramePr>
            <a:graphicFrameLocks/>
          </xdr:cNvGraphicFramePr>
        </xdr:nvGraphicFramePr>
        <xdr:xfrm>
          <a:off x="-28223" y="5159024"/>
          <a:ext cx="5778500" cy="4111978"/>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8" name="year of joining 1">
                <a:extLst>
                  <a:ext uri="{FF2B5EF4-FFF2-40B4-BE49-F238E27FC236}">
                    <a16:creationId xmlns:a16="http://schemas.microsoft.com/office/drawing/2014/main" id="{8A309812-D730-1248-83B9-8A0F07B7C3C7}"/>
                  </a:ext>
                </a:extLst>
              </xdr:cNvPr>
              <xdr:cNvGraphicFramePr/>
            </xdr:nvGraphicFramePr>
            <xdr:xfrm>
              <a:off x="17319979" y="2472267"/>
              <a:ext cx="1842911" cy="2678288"/>
            </xdr:xfrm>
            <a:graphic>
              <a:graphicData uri="http://schemas.microsoft.com/office/drawing/2010/slicer">
                <sle:slicer xmlns:sle="http://schemas.microsoft.com/office/drawing/2010/slicer" name="year of joining 1"/>
              </a:graphicData>
            </a:graphic>
          </xdr:graphicFrame>
        </mc:Choice>
        <mc:Fallback xmlns="">
          <xdr:sp macro="" textlink="">
            <xdr:nvSpPr>
              <xdr:cNvPr id="0" name=""/>
              <xdr:cNvSpPr>
                <a:spLocks noTextEdit="1"/>
              </xdr:cNvSpPr>
            </xdr:nvSpPr>
            <xdr:spPr>
              <a:xfrm>
                <a:off x="17348202" y="2438400"/>
                <a:ext cx="1842911" cy="2641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 name="Chart 8">
            <a:extLst>
              <a:ext uri="{FF2B5EF4-FFF2-40B4-BE49-F238E27FC236}">
                <a16:creationId xmlns:a16="http://schemas.microsoft.com/office/drawing/2014/main" id="{8ACE235B-B571-5A44-B50C-E9DA86C5DD97}"/>
              </a:ext>
            </a:extLst>
          </xdr:cNvPr>
          <xdr:cNvGraphicFramePr>
            <a:graphicFrameLocks/>
          </xdr:cNvGraphicFramePr>
        </xdr:nvGraphicFramePr>
        <xdr:xfrm>
          <a:off x="5750278" y="5159024"/>
          <a:ext cx="5778500" cy="411197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BDBED5B1-08B4-6D48-A65E-C26CE94D7B92}"/>
              </a:ext>
            </a:extLst>
          </xdr:cNvPr>
          <xdr:cNvGraphicFramePr>
            <a:graphicFrameLocks/>
          </xdr:cNvGraphicFramePr>
        </xdr:nvGraphicFramePr>
        <xdr:xfrm>
          <a:off x="11528778" y="5159024"/>
          <a:ext cx="5778499" cy="411197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10">
            <a:extLst>
              <a:ext uri="{FF2B5EF4-FFF2-40B4-BE49-F238E27FC236}">
                <a16:creationId xmlns:a16="http://schemas.microsoft.com/office/drawing/2014/main" id="{F490230D-F66A-3A46-AD99-F2C0AE1A46F0}"/>
              </a:ext>
            </a:extLst>
          </xdr:cNvPr>
          <xdr:cNvGraphicFramePr>
            <a:graphicFrameLocks/>
          </xdr:cNvGraphicFramePr>
        </xdr:nvGraphicFramePr>
        <xdr:xfrm>
          <a:off x="-28223" y="9271001"/>
          <a:ext cx="5778500" cy="412044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2" name="Chart 11">
            <a:extLst>
              <a:ext uri="{FF2B5EF4-FFF2-40B4-BE49-F238E27FC236}">
                <a16:creationId xmlns:a16="http://schemas.microsoft.com/office/drawing/2014/main" id="{73836380-F883-B744-B5F0-87DBD85C9D99}"/>
              </a:ext>
            </a:extLst>
          </xdr:cNvPr>
          <xdr:cNvGraphicFramePr>
            <a:graphicFrameLocks/>
          </xdr:cNvGraphicFramePr>
        </xdr:nvGraphicFramePr>
        <xdr:xfrm>
          <a:off x="5750278" y="9271001"/>
          <a:ext cx="5778500" cy="412044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 name="Chart 12">
            <a:extLst>
              <a:ext uri="{FF2B5EF4-FFF2-40B4-BE49-F238E27FC236}">
                <a16:creationId xmlns:a16="http://schemas.microsoft.com/office/drawing/2014/main" id="{45909889-7961-A349-BF72-5711ABB49BCA}"/>
              </a:ext>
            </a:extLst>
          </xdr:cNvPr>
          <xdr:cNvGraphicFramePr>
            <a:graphicFrameLocks/>
          </xdr:cNvGraphicFramePr>
        </xdr:nvGraphicFramePr>
        <xdr:xfrm>
          <a:off x="11528778" y="9271001"/>
          <a:ext cx="5778499" cy="4120445"/>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6C0C90D9-6C9A-2E43-A945-1FD868857126}"/>
                  </a:ext>
                </a:extLst>
              </xdr:cNvPr>
              <xdr:cNvGraphicFramePr/>
            </xdr:nvGraphicFramePr>
            <xdr:xfrm>
              <a:off x="17321388" y="7236182"/>
              <a:ext cx="1828800" cy="2034819"/>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349611" y="7137055"/>
                <a:ext cx="1828800" cy="20069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Job Title 1">
                <a:extLst>
                  <a:ext uri="{FF2B5EF4-FFF2-40B4-BE49-F238E27FC236}">
                    <a16:creationId xmlns:a16="http://schemas.microsoft.com/office/drawing/2014/main" id="{6E9E1917-DF35-9042-AEAA-F71450562948}"/>
                  </a:ext>
                </a:extLst>
              </xdr:cNvPr>
              <xdr:cNvGraphicFramePr/>
            </xdr:nvGraphicFramePr>
            <xdr:xfrm>
              <a:off x="17307277" y="5159024"/>
              <a:ext cx="1828800" cy="2077158"/>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17335500" y="5088352"/>
                <a:ext cx="1828800" cy="20487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6" name="Rounded Rectangle 15">
            <a:extLst>
              <a:ext uri="{FF2B5EF4-FFF2-40B4-BE49-F238E27FC236}">
                <a16:creationId xmlns:a16="http://schemas.microsoft.com/office/drawing/2014/main" id="{526FD958-733F-C742-9439-1C66EEB64C8E}"/>
              </a:ext>
            </a:extLst>
          </xdr:cNvPr>
          <xdr:cNvSpPr/>
        </xdr:nvSpPr>
        <xdr:spPr>
          <a:xfrm>
            <a:off x="0" y="0"/>
            <a:ext cx="19205223" cy="1030111"/>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400" kern="1200">
                <a:solidFill>
                  <a:schemeClr val="accent4">
                    <a:lumMod val="50000"/>
                  </a:schemeClr>
                </a:solidFill>
                <a:latin typeface="ADLaM Display" panose="020F0502020204030204" pitchFamily="34" charset="0"/>
                <a:cs typeface="ADLaM Display" panose="020F0502020204030204" pitchFamily="34" charset="0"/>
              </a:rPr>
              <a:t>HR</a:t>
            </a:r>
            <a:r>
              <a:rPr lang="en-GB" sz="4400" kern="1200" baseline="0">
                <a:solidFill>
                  <a:schemeClr val="accent4">
                    <a:lumMod val="50000"/>
                  </a:schemeClr>
                </a:solidFill>
                <a:latin typeface="ADLaM Display" panose="020F0502020204030204" pitchFamily="34" charset="0"/>
                <a:cs typeface="ADLaM Display" panose="020F0502020204030204" pitchFamily="34" charset="0"/>
              </a:rPr>
              <a:t> DASHBOARD (Recruitment, Retention, Diversity, and Costs)</a:t>
            </a:r>
            <a:endParaRPr lang="en-GB" sz="4400" kern="1200">
              <a:solidFill>
                <a:schemeClr val="accent4">
                  <a:lumMod val="50000"/>
                </a:schemeClr>
              </a:solidFill>
              <a:latin typeface="ADLaM Display" panose="020F0502020204030204" pitchFamily="34" charset="0"/>
              <a:cs typeface="ADLaM Display" panose="020F0502020204030204" pitchFamily="34" charset="0"/>
            </a:endParaRPr>
          </a:p>
        </xdr:txBody>
      </xdr:sp>
    </xdr:grpSp>
    <xdr:clientData/>
  </xdr:twoCellAnchor>
  <xdr:twoCellAnchor editAs="oneCell">
    <xdr:from>
      <xdr:col>21</xdr:col>
      <xdr:colOff>0</xdr:colOff>
      <xdr:row>56</xdr:row>
      <xdr:rowOff>0</xdr:rowOff>
    </xdr:from>
    <xdr:to>
      <xdr:col>23</xdr:col>
      <xdr:colOff>177800</xdr:colOff>
      <xdr:row>65</xdr:row>
      <xdr:rowOff>0</xdr:rowOff>
    </xdr:to>
    <mc:AlternateContent xmlns:mc="http://schemas.openxmlformats.org/markup-compatibility/2006" xmlns:a14="http://schemas.microsoft.com/office/drawing/2010/main">
      <mc:Choice Requires="a14">
        <xdr:graphicFrame macro="">
          <xdr:nvGraphicFramePr>
            <xdr:cNvPr id="18" name="Training Completion Status">
              <a:extLst>
                <a:ext uri="{FF2B5EF4-FFF2-40B4-BE49-F238E27FC236}">
                  <a16:creationId xmlns:a16="http://schemas.microsoft.com/office/drawing/2014/main" id="{C9156489-E9CC-A1A3-6EB8-142C482D089C}"/>
                </a:ext>
              </a:extLst>
            </xdr:cNvPr>
            <xdr:cNvGraphicFramePr/>
          </xdr:nvGraphicFramePr>
          <xdr:xfrm>
            <a:off x="0" y="0"/>
            <a:ext cx="0" cy="0"/>
          </xdr:xfrm>
          <a:graphic>
            <a:graphicData uri="http://schemas.microsoft.com/office/drawing/2010/slicer">
              <sle:slicer xmlns:sle="http://schemas.microsoft.com/office/drawing/2010/slicer" name="Training Completion Status"/>
            </a:graphicData>
          </a:graphic>
        </xdr:graphicFrame>
      </mc:Choice>
      <mc:Fallback xmlns="">
        <xdr:sp macro="" textlink="">
          <xdr:nvSpPr>
            <xdr:cNvPr id="0" name=""/>
            <xdr:cNvSpPr>
              <a:spLocks noTextEdit="1"/>
            </xdr:cNvSpPr>
          </xdr:nvSpPr>
          <xdr:spPr>
            <a:xfrm>
              <a:off x="17335500" y="11379200"/>
              <a:ext cx="1828800" cy="1828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12700</xdr:colOff>
      <xdr:row>5</xdr:row>
      <xdr:rowOff>12700</xdr:rowOff>
    </xdr:from>
    <xdr:to>
      <xdr:col>21</xdr:col>
      <xdr:colOff>12700</xdr:colOff>
      <xdr:row>25</xdr:row>
      <xdr:rowOff>0</xdr:rowOff>
    </xdr:to>
    <xdr:graphicFrame macro="">
      <xdr:nvGraphicFramePr>
        <xdr:cNvPr id="19" name="Chart 18">
          <a:extLst>
            <a:ext uri="{FF2B5EF4-FFF2-40B4-BE49-F238E27FC236}">
              <a16:creationId xmlns:a16="http://schemas.microsoft.com/office/drawing/2014/main" id="{45C36804-05DB-654A-9577-194E4648C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thmika" refreshedDate="45645.58544560185" createdVersion="8" refreshedVersion="8" minRefreshableVersion="3" recordCount="250" xr:uid="{9F0AE66C-492E-AA42-A256-9314821604D8}">
  <cacheSource type="worksheet">
    <worksheetSource name="Table1"/>
  </cacheSource>
  <cacheFields count="28">
    <cacheField name="Employee ID" numFmtId="0">
      <sharedItems/>
    </cacheField>
    <cacheField name="Department" numFmtId="0">
      <sharedItems count="5">
        <s v="HR"/>
        <s v="Sales"/>
        <s v="Analytics"/>
        <s v="IT"/>
        <s v="Finance"/>
      </sharedItems>
    </cacheField>
    <cacheField name="Job Title" numFmtId="0">
      <sharedItems count="5">
        <s v="HR Manager"/>
        <s v="Marketing Manager"/>
        <s v="Data Analyst"/>
        <s v="Software Engineer"/>
        <s v="Finance Manager"/>
      </sharedItems>
    </cacheField>
    <cacheField name="Job Posting Date" numFmtId="14">
      <sharedItems containsSemiMixedTypes="0" containsNonDate="0" containsDate="1" containsString="0" minDate="2018-01-01T00:00:00" maxDate="2022-12-22T00:00:00"/>
    </cacheField>
    <cacheField name="Hire Date" numFmtId="14">
      <sharedItems containsSemiMixedTypes="0" containsNonDate="0" containsDate="1" containsString="0" minDate="2018-01-23T00:00:00" maxDate="2023-02-05T00:00:00"/>
    </cacheField>
    <cacheField name="Join Date" numFmtId="14">
      <sharedItems containsSemiMixedTypes="0" containsNonDate="0" containsDate="1" containsString="0" minDate="2018-01-30T00:00:00" maxDate="2023-02-13T00:00:00"/>
    </cacheField>
    <cacheField name="Exit Date" numFmtId="14">
      <sharedItems containsNonDate="0" containsDate="1" containsMixedTypes="1" minDate="2018-10-12T00:00:00" maxDate="2024-12-20T00:00:00"/>
    </cacheField>
    <cacheField name="Status" numFmtId="0">
      <sharedItems count="2">
        <s v="Active"/>
        <s v="Exited"/>
      </sharedItems>
    </cacheField>
    <cacheField name="Recruitment Cost" numFmtId="164">
      <sharedItems containsSemiMixedTypes="0" containsString="0" containsNumber="1" containsInteger="1" minValue="1521" maxValue="4990"/>
    </cacheField>
    <cacheField name="Training Program" numFmtId="0">
      <sharedItems/>
    </cacheField>
    <cacheField name="Training Completion Status" numFmtId="0">
      <sharedItems count="2">
        <s v="Completed"/>
        <s v="Not Completed"/>
      </sharedItems>
    </cacheField>
    <cacheField name="Total Work Days" numFmtId="0">
      <sharedItems containsSemiMixedTypes="0" containsString="0" containsNumber="1" containsInteger="1" minValue="260" maxValue="260"/>
    </cacheField>
    <cacheField name="Absentee Days" numFmtId="0">
      <sharedItems containsSemiMixedTypes="0" containsString="0" containsNumber="1" containsInteger="1" minValue="0" maxValue="20"/>
    </cacheField>
    <cacheField name="Gender" numFmtId="0">
      <sharedItems count="3">
        <s v="Male"/>
        <s v="Other"/>
        <s v="Female"/>
      </sharedItems>
    </cacheField>
    <cacheField name="Training Cost" numFmtId="165">
      <sharedItems containsSemiMixedTypes="0" containsString="0" containsNumber="1" containsInteger="1" minValue="1201" maxValue="2497"/>
    </cacheField>
    <cacheField name="Time to Fill" numFmtId="0">
      <sharedItems containsSemiMixedTypes="0" containsString="0" containsNumber="1" containsInteger="1" minValue="15" maxValue="90"/>
    </cacheField>
    <cacheField name="Time to Onboard" numFmtId="1">
      <sharedItems containsSemiMixedTypes="0" containsString="0" containsNumber="1" containsInteger="1" minValue="1" maxValue="15"/>
    </cacheField>
    <cacheField name="Total Tenure in M" numFmtId="2">
      <sharedItems containsString="0" containsBlank="1" containsNumber="1" minValue="1" maxValue="82.266666666666666"/>
    </cacheField>
    <cacheField name="Recruitment Cycle Time" numFmtId="0">
      <sharedItems containsSemiMixedTypes="0" containsString="0" containsNumber="1" containsInteger="1" minValue="15" maxValue="90"/>
    </cacheField>
    <cacheField name="Onboarding Efficiency Rate" numFmtId="1">
      <sharedItems containsSemiMixedTypes="0" containsString="0" containsNumber="1" minValue="1.3157894736842104" maxValue="77.777777777777786"/>
    </cacheField>
    <cacheField name="Individual Onboard Efficiency Rate" numFmtId="2">
      <sharedItems containsSemiMixedTypes="0" containsString="0" containsNumber="1" minValue="1.3157894736842104" maxValue="77.777777777777786"/>
    </cacheField>
    <cacheField name="Recruitment Lag" numFmtId="0">
      <sharedItems containsSemiMixedTypes="0" containsString="0" containsNumber="1" containsInteger="1" minValue="17" maxValue="102"/>
    </cacheField>
    <cacheField name="Onboarding Cost" numFmtId="0">
      <sharedItems containsSemiMixedTypes="0" containsString="0" containsNumber="1" containsInteger="1" minValue="100" maxValue="200"/>
    </cacheField>
    <cacheField name="Absenteeism Rate" numFmtId="2">
      <sharedItems containsSemiMixedTypes="0" containsString="0" containsNumber="1" minValue="0" maxValue="7.6923076923076925"/>
    </cacheField>
    <cacheField name="Year of Joining" numFmtId="0">
      <sharedItems containsSemiMixedTypes="0" containsString="0" containsNumber="1" containsInteger="1" minValue="2018" maxValue="2023" count="6">
        <n v="2019"/>
        <n v="2020"/>
        <n v="2021"/>
        <n v="2023"/>
        <n v="2022"/>
        <n v="2018"/>
      </sharedItems>
    </cacheField>
    <cacheField name="Retention Status" numFmtId="0">
      <sharedItems containsSemiMixedTypes="0" containsString="0" containsNumber="1" containsInteger="1" minValue="0" maxValue="1"/>
    </cacheField>
    <cacheField name="Cost of Employee Turnover" numFmtId="0">
      <sharedItems containsSemiMixedTypes="0" containsString="0" containsNumber="1" containsInteger="1" minValue="0" maxValue="7315"/>
    </cacheField>
    <cacheField name="Column1" numFmtId="0">
      <sharedItems containsNonDate="0" containsString="0" containsBlank="1"/>
    </cacheField>
  </cacheFields>
  <extLst>
    <ext xmlns:x14="http://schemas.microsoft.com/office/spreadsheetml/2009/9/main" uri="{725AE2AE-9491-48be-B2B4-4EB974FC3084}">
      <x14:pivotCacheDefinition pivotCacheId="66746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E001"/>
    <x v="0"/>
    <x v="0"/>
    <d v="2019-08-16T00:00:00"/>
    <d v="2019-10-24T00:00:00"/>
    <d v="2019-10-31T00:00:00"/>
    <s v="-"/>
    <x v="0"/>
    <n v="3014"/>
    <s v="Ethics and Responsibilities"/>
    <x v="0"/>
    <n v="260"/>
    <n v="19"/>
    <x v="0"/>
    <n v="1448"/>
    <n v="69"/>
    <n v="7"/>
    <n v="62.533333333333331"/>
    <n v="69"/>
    <n v="10.144927536231885"/>
    <n v="10.144927536231885"/>
    <n v="76"/>
    <n v="115"/>
    <n v="7.3076923076923084"/>
    <x v="0"/>
    <n v="1"/>
    <n v="0"/>
    <m/>
  </r>
  <r>
    <s v="E002"/>
    <x v="1"/>
    <x v="1"/>
    <d v="2020-03-13T00:00:00"/>
    <d v="2020-04-22T00:00:00"/>
    <d v="2020-04-30T00:00:00"/>
    <s v="-"/>
    <x v="0"/>
    <n v="3699"/>
    <s v="Ethics and Responsibilities"/>
    <x v="0"/>
    <n v="260"/>
    <n v="2"/>
    <x v="1"/>
    <n v="1820"/>
    <n v="40"/>
    <n v="8"/>
    <n v="56.466666666666669"/>
    <n v="40"/>
    <n v="20"/>
    <n v="20"/>
    <n v="48"/>
    <n v="106"/>
    <n v="0.76923076923076927"/>
    <x v="1"/>
    <n v="1"/>
    <n v="0"/>
    <m/>
  </r>
  <r>
    <s v="E003"/>
    <x v="0"/>
    <x v="0"/>
    <d v="2019-02-10T00:00:00"/>
    <d v="2019-03-15T00:00:00"/>
    <d v="2019-03-27T00:00:00"/>
    <d v="2024-08-04T00:00:00"/>
    <x v="1"/>
    <n v="2999"/>
    <s v="Conflict Resolution"/>
    <x v="1"/>
    <n v="260"/>
    <n v="14"/>
    <x v="0"/>
    <n v="2039"/>
    <n v="33"/>
    <n v="12"/>
    <n v="65.233333333333334"/>
    <n v="33"/>
    <n v="36.363636363636367"/>
    <n v="36.363636363636367"/>
    <n v="45"/>
    <n v="116"/>
    <n v="5.384615384615385"/>
    <x v="0"/>
    <n v="0"/>
    <n v="5154"/>
    <m/>
  </r>
  <r>
    <s v="E004"/>
    <x v="2"/>
    <x v="2"/>
    <d v="2021-06-11T00:00:00"/>
    <d v="2021-08-29T00:00:00"/>
    <d v="2021-09-03T00:00:00"/>
    <s v="-"/>
    <x v="0"/>
    <n v="4223"/>
    <s v="Conflict Resolution"/>
    <x v="1"/>
    <n v="260"/>
    <n v="17"/>
    <x v="2"/>
    <n v="1509"/>
    <n v="79"/>
    <n v="5"/>
    <n v="40.1"/>
    <n v="79"/>
    <n v="6.3291139240506329"/>
    <n v="6.3291139240506329"/>
    <n v="84"/>
    <n v="117"/>
    <n v="6.5384615384615392"/>
    <x v="2"/>
    <n v="1"/>
    <n v="0"/>
    <m/>
  </r>
  <r>
    <s v="E005"/>
    <x v="2"/>
    <x v="2"/>
    <d v="2022-11-28T00:00:00"/>
    <d v="2023-02-04T00:00:00"/>
    <d v="2023-02-08T00:00:00"/>
    <s v="-"/>
    <x v="0"/>
    <n v="3210"/>
    <s v="Ethics and Responsibilities"/>
    <x v="1"/>
    <n v="260"/>
    <n v="15"/>
    <x v="2"/>
    <n v="2393"/>
    <n v="68"/>
    <n v="4"/>
    <n v="22.666666666666668"/>
    <n v="68"/>
    <n v="5.8823529411764701"/>
    <n v="5.8823529411764701"/>
    <n v="72"/>
    <n v="199"/>
    <n v="5.7692307692307692"/>
    <x v="3"/>
    <n v="1"/>
    <n v="0"/>
    <m/>
  </r>
  <r>
    <s v="E006"/>
    <x v="3"/>
    <x v="3"/>
    <d v="2022-11-28T00:00:00"/>
    <d v="2023-02-03T00:00:00"/>
    <d v="2023-02-12T00:00:00"/>
    <d v="2024-08-13T00:00:00"/>
    <x v="1"/>
    <n v="4065"/>
    <s v="Advanced Excel Skills "/>
    <x v="0"/>
    <n v="260"/>
    <n v="10"/>
    <x v="2"/>
    <n v="2422"/>
    <n v="67"/>
    <n v="9"/>
    <n v="18.266666666666666"/>
    <n v="67"/>
    <n v="13.432835820895523"/>
    <n v="13.432835820895523"/>
    <n v="76"/>
    <n v="199"/>
    <n v="3.8461538461538463"/>
    <x v="3"/>
    <n v="0"/>
    <n v="6686"/>
    <m/>
  </r>
  <r>
    <s v="E007"/>
    <x v="1"/>
    <x v="1"/>
    <d v="2020-04-03T00:00:00"/>
    <d v="2020-06-20T00:00:00"/>
    <d v="2020-06-26T00:00:00"/>
    <d v="2020-11-13T00:00:00"/>
    <x v="1"/>
    <n v="2650"/>
    <s v="Conflict Resolution"/>
    <x v="1"/>
    <n v="260"/>
    <n v="3"/>
    <x v="1"/>
    <n v="1742"/>
    <n v="78"/>
    <n v="6"/>
    <n v="4.666666666666667"/>
    <n v="78"/>
    <n v="7.6923076923076925"/>
    <n v="7.6923076923076925"/>
    <n v="84"/>
    <n v="124"/>
    <n v="1.153846153846154"/>
    <x v="1"/>
    <n v="0"/>
    <n v="4516"/>
    <m/>
  </r>
  <r>
    <s v="E008"/>
    <x v="2"/>
    <x v="2"/>
    <d v="2019-08-19T00:00:00"/>
    <d v="2019-11-17T00:00:00"/>
    <d v="2019-11-29T00:00:00"/>
    <s v="-"/>
    <x v="0"/>
    <n v="2035"/>
    <s v="Leadership Development"/>
    <x v="0"/>
    <n v="260"/>
    <n v="17"/>
    <x v="0"/>
    <n v="1570"/>
    <n v="90"/>
    <n v="12"/>
    <n v="61.56666666666667"/>
    <n v="90"/>
    <n v="13.333333333333334"/>
    <n v="13.333333333333334"/>
    <n v="102"/>
    <n v="100"/>
    <n v="6.5384615384615392"/>
    <x v="0"/>
    <n v="1"/>
    <n v="0"/>
    <m/>
  </r>
  <r>
    <s v="E009"/>
    <x v="4"/>
    <x v="4"/>
    <d v="2020-10-09T00:00:00"/>
    <d v="2020-11-26T00:00:00"/>
    <d v="2020-12-07T00:00:00"/>
    <s v="-"/>
    <x v="0"/>
    <n v="3203"/>
    <s v="Leadership Development"/>
    <x v="0"/>
    <n v="260"/>
    <n v="14"/>
    <x v="2"/>
    <n v="2010"/>
    <n v="48"/>
    <n v="11"/>
    <n v="49.1"/>
    <n v="48"/>
    <n v="22.916666666666664"/>
    <n v="22.916666666666664"/>
    <n v="59"/>
    <n v="152"/>
    <n v="5.384615384615385"/>
    <x v="1"/>
    <n v="1"/>
    <n v="0"/>
    <m/>
  </r>
  <r>
    <s v="E010"/>
    <x v="4"/>
    <x v="4"/>
    <d v="2020-11-03T00:00:00"/>
    <d v="2021-01-05T00:00:00"/>
    <d v="2021-01-11T00:00:00"/>
    <d v="2022-03-21T00:00:00"/>
    <x v="1"/>
    <n v="4451"/>
    <s v="Ethics and Responsibilities"/>
    <x v="0"/>
    <n v="260"/>
    <n v="1"/>
    <x v="2"/>
    <n v="1505"/>
    <n v="63"/>
    <n v="6"/>
    <m/>
    <n v="63"/>
    <n v="9.5238095238095237"/>
    <n v="9.5238095238095237"/>
    <n v="69"/>
    <n v="136"/>
    <n v="0.38461538461538464"/>
    <x v="2"/>
    <n v="0"/>
    <n v="6092"/>
    <m/>
  </r>
  <r>
    <s v="E011"/>
    <x v="2"/>
    <x v="2"/>
    <d v="2022-03-20T00:00:00"/>
    <d v="2022-05-05T00:00:00"/>
    <d v="2022-05-18T00:00:00"/>
    <s v="-"/>
    <x v="0"/>
    <n v="4873"/>
    <s v="Leadership Development"/>
    <x v="1"/>
    <n v="260"/>
    <n v="17"/>
    <x v="1"/>
    <n v="1284"/>
    <n v="46"/>
    <n v="13"/>
    <n v="31.533333333333335"/>
    <n v="46"/>
    <n v="28.260869565217391"/>
    <n v="28.260869565217391"/>
    <n v="59"/>
    <n v="177"/>
    <n v="6.5384615384615392"/>
    <x v="4"/>
    <n v="1"/>
    <n v="0"/>
    <m/>
  </r>
  <r>
    <s v="E012"/>
    <x v="2"/>
    <x v="2"/>
    <d v="2020-11-07T00:00:00"/>
    <d v="2020-12-07T00:00:00"/>
    <d v="2020-12-10T00:00:00"/>
    <d v="2022-07-05T00:00:00"/>
    <x v="1"/>
    <n v="3133"/>
    <s v="Ethics and Responsibilities"/>
    <x v="0"/>
    <n v="260"/>
    <n v="18"/>
    <x v="2"/>
    <n v="1704"/>
    <n v="30"/>
    <n v="3"/>
    <n v="19.066666666666666"/>
    <n v="30"/>
    <n v="10"/>
    <n v="10"/>
    <n v="33"/>
    <n v="142"/>
    <n v="6.9230769230769234"/>
    <x v="1"/>
    <n v="0"/>
    <n v="4979"/>
    <m/>
  </r>
  <r>
    <s v="E013"/>
    <x v="4"/>
    <x v="4"/>
    <d v="2022-01-07T00:00:00"/>
    <d v="2022-02-04T00:00:00"/>
    <d v="2022-02-09T00:00:00"/>
    <d v="2024-11-30T00:00:00"/>
    <x v="1"/>
    <n v="1558"/>
    <s v="Conflict Resolution"/>
    <x v="0"/>
    <n v="260"/>
    <n v="5"/>
    <x v="2"/>
    <n v="1523"/>
    <n v="28"/>
    <n v="5"/>
    <n v="34.166666666666664"/>
    <n v="28"/>
    <n v="17.857142857142858"/>
    <n v="17.857142857142858"/>
    <n v="33"/>
    <n v="183"/>
    <n v="1.9230769230769231"/>
    <x v="4"/>
    <n v="0"/>
    <n v="3264"/>
    <m/>
  </r>
  <r>
    <s v="E014"/>
    <x v="0"/>
    <x v="0"/>
    <d v="2022-12-14T00:00:00"/>
    <d v="2023-01-12T00:00:00"/>
    <d v="2023-01-23T00:00:00"/>
    <d v="2024-06-14T00:00:00"/>
    <x v="1"/>
    <n v="3004"/>
    <s v="Advanced Excel Skills "/>
    <x v="0"/>
    <n v="260"/>
    <n v="15"/>
    <x v="1"/>
    <n v="1418"/>
    <n v="29"/>
    <n v="11"/>
    <n v="16.933333333333334"/>
    <n v="29"/>
    <n v="37.931034482758619"/>
    <n v="37.931034482758619"/>
    <n v="40"/>
    <n v="145"/>
    <n v="5.7692307692307692"/>
    <x v="3"/>
    <n v="0"/>
    <n v="4567"/>
    <m/>
  </r>
  <r>
    <s v="E015"/>
    <x v="3"/>
    <x v="3"/>
    <d v="2020-08-03T00:00:00"/>
    <d v="2020-09-10T00:00:00"/>
    <d v="2020-09-19T00:00:00"/>
    <s v="-"/>
    <x v="0"/>
    <n v="4309"/>
    <s v="Communication Skills"/>
    <x v="0"/>
    <n v="260"/>
    <n v="6"/>
    <x v="0"/>
    <n v="1294"/>
    <n v="38"/>
    <n v="9"/>
    <n v="51.733333333333334"/>
    <n v="38"/>
    <n v="23.684210526315788"/>
    <n v="23.684210526315788"/>
    <n v="47"/>
    <n v="106"/>
    <n v="2.3076923076923079"/>
    <x v="1"/>
    <n v="1"/>
    <n v="0"/>
    <m/>
  </r>
  <r>
    <s v="E016"/>
    <x v="1"/>
    <x v="1"/>
    <d v="2022-03-01T00:00:00"/>
    <d v="2022-05-26T00:00:00"/>
    <d v="2022-06-07T00:00:00"/>
    <s v="-"/>
    <x v="0"/>
    <n v="3595"/>
    <s v="Communication Skills"/>
    <x v="0"/>
    <n v="260"/>
    <n v="4"/>
    <x v="0"/>
    <n v="1894"/>
    <n v="86"/>
    <n v="12"/>
    <n v="30.866666666666667"/>
    <n v="86"/>
    <n v="13.953488372093023"/>
    <n v="13.953488372093023"/>
    <n v="98"/>
    <n v="186"/>
    <n v="1.5384615384615385"/>
    <x v="4"/>
    <n v="1"/>
    <n v="0"/>
    <m/>
  </r>
  <r>
    <s v="E017"/>
    <x v="1"/>
    <x v="1"/>
    <d v="2019-02-26T00:00:00"/>
    <d v="2019-04-29T00:00:00"/>
    <d v="2019-05-11T00:00:00"/>
    <d v="2020-12-26T00:00:00"/>
    <x v="1"/>
    <n v="4925"/>
    <s v="Conflict Resolution"/>
    <x v="0"/>
    <n v="260"/>
    <n v="3"/>
    <x v="0"/>
    <n v="1275"/>
    <n v="62"/>
    <n v="12"/>
    <n v="19.833333333333332"/>
    <n v="62"/>
    <n v="19.35483870967742"/>
    <n v="19.35483870967742"/>
    <n v="74"/>
    <n v="176"/>
    <n v="1.153846153846154"/>
    <x v="0"/>
    <n v="0"/>
    <n v="6376"/>
    <m/>
  </r>
  <r>
    <s v="E018"/>
    <x v="3"/>
    <x v="3"/>
    <d v="2022-10-02T00:00:00"/>
    <d v="2022-12-30T00:00:00"/>
    <d v="2023-01-02T00:00:00"/>
    <d v="2023-02-19T00:00:00"/>
    <x v="1"/>
    <n v="2236"/>
    <s v="Leadership Development"/>
    <x v="0"/>
    <n v="260"/>
    <n v="13"/>
    <x v="1"/>
    <n v="2156"/>
    <n v="89"/>
    <n v="3"/>
    <n v="1.6"/>
    <n v="89"/>
    <n v="3.3707865168539324"/>
    <n v="3.3707865168539324"/>
    <n v="92"/>
    <n v="132"/>
    <n v="5"/>
    <x v="3"/>
    <n v="0"/>
    <n v="4524"/>
    <m/>
  </r>
  <r>
    <s v="E019"/>
    <x v="0"/>
    <x v="0"/>
    <d v="2021-01-13T00:00:00"/>
    <d v="2021-04-10T00:00:00"/>
    <d v="2021-04-20T00:00:00"/>
    <s v="-"/>
    <x v="0"/>
    <n v="1523"/>
    <s v="Ethics and Responsibilities"/>
    <x v="1"/>
    <n v="260"/>
    <n v="13"/>
    <x v="2"/>
    <n v="1878"/>
    <n v="87"/>
    <n v="10"/>
    <n v="44.633333333333333"/>
    <n v="87"/>
    <n v="11.494252873563218"/>
    <n v="11.494252873563218"/>
    <n v="97"/>
    <n v="119"/>
    <n v="5"/>
    <x v="2"/>
    <n v="1"/>
    <n v="0"/>
    <m/>
  </r>
  <r>
    <s v="E020"/>
    <x v="2"/>
    <x v="2"/>
    <d v="2021-08-12T00:00:00"/>
    <d v="2021-09-19T00:00:00"/>
    <d v="2021-09-24T00:00:00"/>
    <s v="-"/>
    <x v="0"/>
    <n v="1585"/>
    <s v="Ethics and Responsibilities"/>
    <x v="0"/>
    <n v="260"/>
    <n v="9"/>
    <x v="1"/>
    <n v="2424"/>
    <n v="38"/>
    <n v="5"/>
    <n v="39.4"/>
    <n v="38"/>
    <n v="13.157894736842104"/>
    <n v="13.157894736842104"/>
    <n v="43"/>
    <n v="119"/>
    <n v="3.4615384615384617"/>
    <x v="2"/>
    <n v="1"/>
    <n v="0"/>
    <m/>
  </r>
  <r>
    <s v="E021"/>
    <x v="1"/>
    <x v="1"/>
    <d v="2018-07-21T00:00:00"/>
    <d v="2018-09-29T00:00:00"/>
    <d v="2018-10-09T00:00:00"/>
    <s v="-"/>
    <x v="0"/>
    <n v="2092"/>
    <s v="Ethics and Responsibilities"/>
    <x v="1"/>
    <n v="260"/>
    <n v="12"/>
    <x v="0"/>
    <n v="1739"/>
    <n v="70"/>
    <n v="10"/>
    <n v="75.433333333333337"/>
    <n v="70"/>
    <n v="14.285714285714285"/>
    <n v="14.285714285714285"/>
    <n v="80"/>
    <n v="119"/>
    <n v="4.6153846153846159"/>
    <x v="5"/>
    <n v="1"/>
    <n v="0"/>
    <m/>
  </r>
  <r>
    <s v="E022"/>
    <x v="1"/>
    <x v="1"/>
    <d v="2018-10-18T00:00:00"/>
    <d v="2018-12-07T00:00:00"/>
    <d v="2018-12-20T00:00:00"/>
    <s v="-"/>
    <x v="0"/>
    <n v="2248"/>
    <s v="Advanced Excel Skills "/>
    <x v="0"/>
    <n v="260"/>
    <n v="12"/>
    <x v="0"/>
    <n v="1657"/>
    <n v="50"/>
    <n v="13"/>
    <n v="73.033333333333331"/>
    <n v="50"/>
    <n v="26"/>
    <n v="26"/>
    <n v="63"/>
    <n v="132"/>
    <n v="4.6153846153846159"/>
    <x v="5"/>
    <n v="1"/>
    <n v="0"/>
    <m/>
  </r>
  <r>
    <s v="E023"/>
    <x v="2"/>
    <x v="2"/>
    <d v="2020-04-07T00:00:00"/>
    <d v="2020-07-03T00:00:00"/>
    <d v="2020-07-11T00:00:00"/>
    <d v="2021-12-27T00:00:00"/>
    <x v="1"/>
    <n v="4696"/>
    <s v="Communication Skills"/>
    <x v="0"/>
    <n v="260"/>
    <n v="15"/>
    <x v="0"/>
    <n v="1327"/>
    <n v="87"/>
    <n v="8"/>
    <n v="17.8"/>
    <n v="87"/>
    <n v="9.1954022988505741"/>
    <n v="9.1954022988505741"/>
    <n v="95"/>
    <n v="115"/>
    <n v="5.7692307692307692"/>
    <x v="1"/>
    <n v="0"/>
    <n v="6138"/>
    <m/>
  </r>
  <r>
    <s v="E024"/>
    <x v="4"/>
    <x v="4"/>
    <d v="2018-03-14T00:00:00"/>
    <d v="2018-06-12T00:00:00"/>
    <d v="2018-06-15T00:00:00"/>
    <s v="-"/>
    <x v="0"/>
    <n v="3160"/>
    <s v="Communication Skills"/>
    <x v="1"/>
    <n v="260"/>
    <n v="19"/>
    <x v="0"/>
    <n v="1550"/>
    <n v="90"/>
    <n v="3"/>
    <n v="79.3"/>
    <n v="90"/>
    <n v="3.3333333333333335"/>
    <n v="3.3333333333333335"/>
    <n v="93"/>
    <n v="184"/>
    <n v="7.3076923076923084"/>
    <x v="5"/>
    <n v="1"/>
    <n v="0"/>
    <m/>
  </r>
  <r>
    <s v="E025"/>
    <x v="3"/>
    <x v="3"/>
    <d v="2020-02-26T00:00:00"/>
    <d v="2020-04-17T00:00:00"/>
    <d v="2020-04-22T00:00:00"/>
    <s v="-"/>
    <x v="0"/>
    <n v="1969"/>
    <s v="Leadership Development"/>
    <x v="0"/>
    <n v="260"/>
    <n v="3"/>
    <x v="0"/>
    <n v="1432"/>
    <n v="51"/>
    <n v="5"/>
    <n v="56.733333333333334"/>
    <n v="51"/>
    <n v="9.8039215686274517"/>
    <n v="9.8039215686274517"/>
    <n v="56"/>
    <n v="171"/>
    <n v="1.153846153846154"/>
    <x v="1"/>
    <n v="1"/>
    <n v="0"/>
    <m/>
  </r>
  <r>
    <s v="E026"/>
    <x v="2"/>
    <x v="2"/>
    <d v="2020-04-04T00:00:00"/>
    <d v="2020-06-07T00:00:00"/>
    <d v="2020-06-13T00:00:00"/>
    <d v="2023-10-02T00:00:00"/>
    <x v="1"/>
    <n v="2381"/>
    <s v="Conflict Resolution"/>
    <x v="0"/>
    <n v="260"/>
    <n v="2"/>
    <x v="1"/>
    <n v="2069"/>
    <n v="64"/>
    <n v="6"/>
    <n v="40.200000000000003"/>
    <n v="64"/>
    <n v="9.375"/>
    <n v="9.375"/>
    <n v="70"/>
    <n v="188"/>
    <n v="0.76923076923076927"/>
    <x v="1"/>
    <n v="0"/>
    <n v="4638"/>
    <m/>
  </r>
  <r>
    <s v="E027"/>
    <x v="1"/>
    <x v="1"/>
    <d v="2021-07-24T00:00:00"/>
    <d v="2021-09-28T00:00:00"/>
    <d v="2021-10-11T00:00:00"/>
    <d v="2021-12-20T00:00:00"/>
    <x v="1"/>
    <n v="3470"/>
    <s v="Ethics and Responsibilities"/>
    <x v="1"/>
    <n v="260"/>
    <n v="12"/>
    <x v="1"/>
    <n v="2445"/>
    <n v="66"/>
    <n v="13"/>
    <n v="2.3333333333333335"/>
    <n v="66"/>
    <n v="19.696969696969695"/>
    <n v="19.696969696969695"/>
    <n v="79"/>
    <n v="169"/>
    <n v="4.6153846153846159"/>
    <x v="2"/>
    <n v="0"/>
    <n v="6084"/>
    <m/>
  </r>
  <r>
    <s v="E028"/>
    <x v="2"/>
    <x v="2"/>
    <d v="2020-04-13T00:00:00"/>
    <d v="2020-07-05T00:00:00"/>
    <d v="2020-07-09T00:00:00"/>
    <d v="2023-07-21T00:00:00"/>
    <x v="1"/>
    <n v="1648"/>
    <s v="Communication Skills"/>
    <x v="0"/>
    <n v="260"/>
    <n v="7"/>
    <x v="2"/>
    <n v="2491"/>
    <n v="83"/>
    <n v="4"/>
    <n v="36.9"/>
    <n v="83"/>
    <n v="4.8192771084337354"/>
    <n v="4.8192771084337354"/>
    <n v="87"/>
    <n v="141"/>
    <n v="2.6923076923076925"/>
    <x v="1"/>
    <n v="0"/>
    <n v="4280"/>
    <m/>
  </r>
  <r>
    <s v="E029"/>
    <x v="0"/>
    <x v="0"/>
    <d v="2018-05-10T00:00:00"/>
    <d v="2018-07-10T00:00:00"/>
    <d v="2018-07-16T00:00:00"/>
    <s v="-"/>
    <x v="0"/>
    <n v="2009"/>
    <s v="Ethics and Responsibilities"/>
    <x v="0"/>
    <n v="260"/>
    <n v="1"/>
    <x v="1"/>
    <n v="2174"/>
    <n v="61"/>
    <n v="6"/>
    <n v="78.266666666666666"/>
    <n v="61"/>
    <n v="9.8360655737704921"/>
    <n v="9.8360655737704921"/>
    <n v="67"/>
    <n v="180"/>
    <n v="0.38461538461538464"/>
    <x v="5"/>
    <n v="1"/>
    <n v="0"/>
    <m/>
  </r>
  <r>
    <s v="E030"/>
    <x v="4"/>
    <x v="4"/>
    <d v="2020-01-04T00:00:00"/>
    <d v="2020-01-20T00:00:00"/>
    <d v="2020-01-21T00:00:00"/>
    <s v="-"/>
    <x v="0"/>
    <n v="3913"/>
    <s v="Communication Skills"/>
    <x v="0"/>
    <n v="260"/>
    <n v="9"/>
    <x v="0"/>
    <n v="1928"/>
    <n v="16"/>
    <n v="1"/>
    <n v="59.8"/>
    <n v="16"/>
    <n v="6.25"/>
    <n v="6.25"/>
    <n v="17"/>
    <n v="174"/>
    <n v="3.4615384615384617"/>
    <x v="1"/>
    <n v="1"/>
    <n v="0"/>
    <m/>
  </r>
  <r>
    <s v="E031"/>
    <x v="2"/>
    <x v="2"/>
    <d v="2021-07-10T00:00:00"/>
    <d v="2021-09-20T00:00:00"/>
    <d v="2021-09-26T00:00:00"/>
    <s v="-"/>
    <x v="0"/>
    <n v="4196"/>
    <s v="Leadership Development"/>
    <x v="0"/>
    <n v="260"/>
    <n v="18"/>
    <x v="1"/>
    <n v="2210"/>
    <n v="72"/>
    <n v="6"/>
    <n v="39.333333333333336"/>
    <n v="72"/>
    <n v="8.3333333333333321"/>
    <n v="8.3333333333333321"/>
    <n v="78"/>
    <n v="139"/>
    <n v="6.9230769230769234"/>
    <x v="2"/>
    <n v="1"/>
    <n v="0"/>
    <m/>
  </r>
  <r>
    <s v="E032"/>
    <x v="0"/>
    <x v="0"/>
    <d v="2018-06-27T00:00:00"/>
    <d v="2018-08-20T00:00:00"/>
    <d v="2018-09-02T00:00:00"/>
    <s v="-"/>
    <x v="0"/>
    <n v="2587"/>
    <s v="Conflict Resolution"/>
    <x v="0"/>
    <n v="260"/>
    <n v="1"/>
    <x v="2"/>
    <n v="1606"/>
    <n v="54"/>
    <n v="13"/>
    <n v="76.666666666666671"/>
    <n v="54"/>
    <n v="24.074074074074073"/>
    <n v="24.074074074074073"/>
    <n v="67"/>
    <n v="168"/>
    <n v="0.38461538461538464"/>
    <x v="5"/>
    <n v="1"/>
    <n v="0"/>
    <m/>
  </r>
  <r>
    <s v="E033"/>
    <x v="0"/>
    <x v="0"/>
    <d v="2021-10-02T00:00:00"/>
    <d v="2021-12-10T00:00:00"/>
    <d v="2021-12-13T00:00:00"/>
    <s v="-"/>
    <x v="0"/>
    <n v="1940"/>
    <s v="Advanced Excel Skills "/>
    <x v="0"/>
    <n v="260"/>
    <n v="5"/>
    <x v="0"/>
    <n v="1981"/>
    <n v="69"/>
    <n v="3"/>
    <n v="36.733333333333334"/>
    <n v="69"/>
    <n v="4.3478260869565215"/>
    <n v="4.3478260869565215"/>
    <n v="72"/>
    <n v="159"/>
    <n v="1.9230769230769231"/>
    <x v="2"/>
    <n v="1"/>
    <n v="0"/>
    <m/>
  </r>
  <r>
    <s v="E034"/>
    <x v="4"/>
    <x v="4"/>
    <d v="2022-04-19T00:00:00"/>
    <d v="2022-05-08T00:00:00"/>
    <d v="2022-05-12T00:00:00"/>
    <d v="2022-09-01T00:00:00"/>
    <x v="1"/>
    <n v="3621"/>
    <s v="Communication Skills"/>
    <x v="1"/>
    <n v="260"/>
    <n v="15"/>
    <x v="2"/>
    <n v="2262"/>
    <n v="19"/>
    <n v="4"/>
    <n v="3.7333333333333334"/>
    <n v="19"/>
    <n v="21.052631578947366"/>
    <n v="21.052631578947366"/>
    <n v="23"/>
    <n v="190"/>
    <n v="5.7692307692307692"/>
    <x v="4"/>
    <n v="0"/>
    <n v="6073"/>
    <m/>
  </r>
  <r>
    <s v="E035"/>
    <x v="3"/>
    <x v="3"/>
    <d v="2018-06-09T00:00:00"/>
    <d v="2018-09-03T00:00:00"/>
    <d v="2018-09-08T00:00:00"/>
    <d v="2024-02-18T00:00:00"/>
    <x v="1"/>
    <n v="4647"/>
    <s v="Ethics and Responsibilities"/>
    <x v="0"/>
    <n v="260"/>
    <n v="0"/>
    <x v="1"/>
    <n v="1349"/>
    <n v="86"/>
    <n v="5"/>
    <n v="66.3"/>
    <n v="86"/>
    <n v="5.8139534883720927"/>
    <n v="5.8139534883720927"/>
    <n v="91"/>
    <n v="170"/>
    <n v="0"/>
    <x v="5"/>
    <n v="0"/>
    <n v="6166"/>
    <m/>
  </r>
  <r>
    <s v="E036"/>
    <x v="0"/>
    <x v="0"/>
    <d v="2019-09-18T00:00:00"/>
    <d v="2019-12-02T00:00:00"/>
    <d v="2019-12-14T00:00:00"/>
    <s v="-"/>
    <x v="0"/>
    <n v="2027"/>
    <s v="Ethics and Responsibilities"/>
    <x v="0"/>
    <n v="260"/>
    <n v="18"/>
    <x v="1"/>
    <n v="2104"/>
    <n v="75"/>
    <n v="12"/>
    <n v="61.06666666666667"/>
    <n v="75"/>
    <n v="16"/>
    <n v="16"/>
    <n v="87"/>
    <n v="138"/>
    <n v="6.9230769230769234"/>
    <x v="0"/>
    <n v="1"/>
    <n v="0"/>
    <m/>
  </r>
  <r>
    <s v="E037"/>
    <x v="4"/>
    <x v="4"/>
    <d v="2019-09-16T00:00:00"/>
    <d v="2019-11-16T00:00:00"/>
    <d v="2019-11-17T00:00:00"/>
    <s v="-"/>
    <x v="0"/>
    <n v="3478"/>
    <s v="Communication Skills"/>
    <x v="0"/>
    <n v="260"/>
    <n v="2"/>
    <x v="0"/>
    <n v="1579"/>
    <n v="61"/>
    <n v="1"/>
    <n v="61.966666666666669"/>
    <n v="61"/>
    <n v="1.639344262295082"/>
    <n v="1.639344262295082"/>
    <n v="62"/>
    <n v="128"/>
    <n v="0.76923076923076927"/>
    <x v="0"/>
    <n v="1"/>
    <n v="0"/>
    <m/>
  </r>
  <r>
    <s v="E038"/>
    <x v="3"/>
    <x v="3"/>
    <d v="2019-06-24T00:00:00"/>
    <d v="2019-08-13T00:00:00"/>
    <d v="2019-08-15T00:00:00"/>
    <d v="2021-02-06T00:00:00"/>
    <x v="1"/>
    <n v="1674"/>
    <s v="Conflict Resolution"/>
    <x v="1"/>
    <n v="260"/>
    <n v="8"/>
    <x v="1"/>
    <n v="1939"/>
    <n v="50"/>
    <n v="2"/>
    <n v="18.033333333333335"/>
    <n v="50"/>
    <n v="4"/>
    <n v="4"/>
    <n v="52"/>
    <n v="108"/>
    <n v="3.0769230769230771"/>
    <x v="0"/>
    <n v="0"/>
    <n v="3721"/>
    <m/>
  </r>
  <r>
    <s v="E039"/>
    <x v="4"/>
    <x v="4"/>
    <d v="2018-04-15T00:00:00"/>
    <d v="2018-06-04T00:00:00"/>
    <d v="2018-06-18T00:00:00"/>
    <s v="-"/>
    <x v="0"/>
    <n v="3941"/>
    <s v="Ethics and Responsibilities"/>
    <x v="0"/>
    <n v="260"/>
    <n v="18"/>
    <x v="0"/>
    <n v="1544"/>
    <n v="50"/>
    <n v="14"/>
    <n v="79.2"/>
    <n v="50"/>
    <n v="28.000000000000004"/>
    <n v="28.000000000000004"/>
    <n v="64"/>
    <n v="136"/>
    <n v="6.9230769230769234"/>
    <x v="5"/>
    <n v="1"/>
    <n v="0"/>
    <m/>
  </r>
  <r>
    <s v="E040"/>
    <x v="0"/>
    <x v="0"/>
    <d v="2020-02-19T00:00:00"/>
    <d v="2020-03-21T00:00:00"/>
    <d v="2020-04-01T00:00:00"/>
    <d v="2024-07-30T00:00:00"/>
    <x v="1"/>
    <n v="2745"/>
    <s v="Communication Skills"/>
    <x v="1"/>
    <n v="260"/>
    <n v="1"/>
    <x v="0"/>
    <n v="1250"/>
    <n v="31"/>
    <n v="11"/>
    <n v="52.7"/>
    <n v="31"/>
    <n v="35.483870967741936"/>
    <n v="35.483870967741936"/>
    <n v="42"/>
    <n v="121"/>
    <n v="0.38461538461538464"/>
    <x v="1"/>
    <n v="0"/>
    <n v="4116"/>
    <m/>
  </r>
  <r>
    <s v="E041"/>
    <x v="4"/>
    <x v="4"/>
    <d v="2019-09-06T00:00:00"/>
    <d v="2019-10-31T00:00:00"/>
    <d v="2019-11-12T00:00:00"/>
    <d v="2023-09-12T00:00:00"/>
    <x v="1"/>
    <n v="3726"/>
    <s v="Conflict Resolution"/>
    <x v="0"/>
    <n v="260"/>
    <n v="8"/>
    <x v="0"/>
    <n v="1564"/>
    <n v="55"/>
    <n v="12"/>
    <n v="46.666666666666664"/>
    <n v="55"/>
    <n v="21.818181818181817"/>
    <n v="21.818181818181817"/>
    <n v="67"/>
    <n v="108"/>
    <n v="3.0769230769230771"/>
    <x v="0"/>
    <n v="0"/>
    <n v="5398"/>
    <m/>
  </r>
  <r>
    <s v="E042"/>
    <x v="1"/>
    <x v="1"/>
    <d v="2019-08-12T00:00:00"/>
    <d v="2019-10-20T00:00:00"/>
    <d v="2019-10-26T00:00:00"/>
    <s v="-"/>
    <x v="0"/>
    <n v="1951"/>
    <s v="Ethics and Responsibilities"/>
    <x v="0"/>
    <n v="260"/>
    <n v="4"/>
    <x v="1"/>
    <n v="2106"/>
    <n v="69"/>
    <n v="6"/>
    <n v="62.7"/>
    <n v="69"/>
    <n v="8.695652173913043"/>
    <n v="8.695652173913043"/>
    <n v="75"/>
    <n v="116"/>
    <n v="1.5384615384615385"/>
    <x v="0"/>
    <n v="1"/>
    <n v="0"/>
    <m/>
  </r>
  <r>
    <s v="E043"/>
    <x v="2"/>
    <x v="2"/>
    <d v="2020-10-24T00:00:00"/>
    <d v="2020-12-04T00:00:00"/>
    <d v="2020-12-12T00:00:00"/>
    <s v="-"/>
    <x v="0"/>
    <n v="2659"/>
    <s v="Communication Skills"/>
    <x v="0"/>
    <n v="260"/>
    <n v="19"/>
    <x v="2"/>
    <n v="2097"/>
    <n v="41"/>
    <n v="8"/>
    <n v="48.93333333333333"/>
    <n v="41"/>
    <n v="19.512195121951219"/>
    <n v="19.512195121951219"/>
    <n v="49"/>
    <n v="107"/>
    <n v="7.3076923076923084"/>
    <x v="1"/>
    <n v="1"/>
    <n v="0"/>
    <m/>
  </r>
  <r>
    <s v="E044"/>
    <x v="1"/>
    <x v="1"/>
    <d v="2021-12-08T00:00:00"/>
    <d v="2021-12-30T00:00:00"/>
    <d v="2022-01-11T00:00:00"/>
    <d v="2024-06-14T00:00:00"/>
    <x v="1"/>
    <n v="3681"/>
    <s v="Conflict Resolution"/>
    <x v="0"/>
    <n v="260"/>
    <n v="4"/>
    <x v="2"/>
    <n v="2311"/>
    <n v="22"/>
    <n v="12"/>
    <n v="29.5"/>
    <n v="22"/>
    <n v="54.54545454545454"/>
    <n v="54.54545454545454"/>
    <n v="34"/>
    <n v="130"/>
    <n v="1.5384615384615385"/>
    <x v="4"/>
    <n v="0"/>
    <n v="6122"/>
    <m/>
  </r>
  <r>
    <s v="E045"/>
    <x v="4"/>
    <x v="4"/>
    <d v="2020-09-09T00:00:00"/>
    <d v="2020-11-03T00:00:00"/>
    <d v="2020-11-16T00:00:00"/>
    <d v="2023-09-20T00:00:00"/>
    <x v="1"/>
    <n v="1725"/>
    <s v="Ethics and Responsibilities"/>
    <x v="1"/>
    <n v="260"/>
    <n v="13"/>
    <x v="1"/>
    <n v="1310"/>
    <n v="55"/>
    <n v="13"/>
    <n v="34.6"/>
    <n v="55"/>
    <n v="23.636363636363637"/>
    <n v="23.636363636363637"/>
    <n v="68"/>
    <n v="110"/>
    <n v="5"/>
    <x v="1"/>
    <n v="0"/>
    <n v="3145"/>
    <m/>
  </r>
  <r>
    <s v="E046"/>
    <x v="3"/>
    <x v="3"/>
    <d v="2020-07-01T00:00:00"/>
    <d v="2020-08-17T00:00:00"/>
    <d v="2020-08-18T00:00:00"/>
    <s v="-"/>
    <x v="0"/>
    <n v="4986"/>
    <s v="Advanced Excel Skills "/>
    <x v="0"/>
    <n v="260"/>
    <n v="3"/>
    <x v="1"/>
    <n v="1249"/>
    <n v="47"/>
    <n v="1"/>
    <n v="52.8"/>
    <n v="47"/>
    <n v="2.1276595744680851"/>
    <n v="2.1276595744680851"/>
    <n v="48"/>
    <n v="115"/>
    <n v="1.153846153846154"/>
    <x v="1"/>
    <n v="1"/>
    <n v="0"/>
    <m/>
  </r>
  <r>
    <s v="E047"/>
    <x v="0"/>
    <x v="0"/>
    <d v="2019-08-10T00:00:00"/>
    <d v="2019-09-16T00:00:00"/>
    <d v="2019-10-01T00:00:00"/>
    <d v="2021-06-18T00:00:00"/>
    <x v="1"/>
    <n v="2694"/>
    <s v="Advanced Excel Skills "/>
    <x v="0"/>
    <n v="260"/>
    <n v="5"/>
    <x v="0"/>
    <n v="2217"/>
    <n v="37"/>
    <n v="15"/>
    <n v="20.866666666666667"/>
    <n v="37"/>
    <n v="40.54054054054054"/>
    <n v="40.54054054054054"/>
    <n v="52"/>
    <n v="135"/>
    <n v="1.9230769230769231"/>
    <x v="0"/>
    <n v="0"/>
    <n v="5046"/>
    <m/>
  </r>
  <r>
    <s v="E048"/>
    <x v="1"/>
    <x v="1"/>
    <d v="2022-04-14T00:00:00"/>
    <d v="2022-05-21T00:00:00"/>
    <d v="2022-05-26T00:00:00"/>
    <d v="2022-11-25T00:00:00"/>
    <x v="1"/>
    <n v="1931"/>
    <s v="Ethics and Responsibilities"/>
    <x v="0"/>
    <n v="260"/>
    <n v="16"/>
    <x v="1"/>
    <n v="1441"/>
    <n v="37"/>
    <n v="5"/>
    <n v="6.1"/>
    <n v="37"/>
    <n v="13.513513513513514"/>
    <n v="13.513513513513514"/>
    <n v="42"/>
    <n v="117"/>
    <n v="6.1538461538461542"/>
    <x v="4"/>
    <n v="0"/>
    <n v="3489"/>
    <m/>
  </r>
  <r>
    <s v="E049"/>
    <x v="1"/>
    <x v="1"/>
    <d v="2021-11-17T00:00:00"/>
    <d v="2021-12-28T00:00:00"/>
    <d v="2022-01-02T00:00:00"/>
    <s v="-"/>
    <x v="0"/>
    <n v="1906"/>
    <s v="Advanced Excel Skills "/>
    <x v="0"/>
    <n v="260"/>
    <n v="9"/>
    <x v="1"/>
    <n v="2036"/>
    <n v="41"/>
    <n v="5"/>
    <n v="36.06666666666667"/>
    <n v="41"/>
    <n v="12.195121951219512"/>
    <n v="12.195121951219512"/>
    <n v="46"/>
    <n v="161"/>
    <n v="3.4615384615384617"/>
    <x v="4"/>
    <n v="1"/>
    <n v="0"/>
    <m/>
  </r>
  <r>
    <s v="E050"/>
    <x v="1"/>
    <x v="1"/>
    <d v="2019-01-20T00:00:00"/>
    <d v="2019-03-31T00:00:00"/>
    <d v="2019-04-10T00:00:00"/>
    <s v="-"/>
    <x v="0"/>
    <n v="2272"/>
    <s v="Conflict Resolution"/>
    <x v="0"/>
    <n v="260"/>
    <n v="20"/>
    <x v="2"/>
    <n v="2221"/>
    <n v="70"/>
    <n v="10"/>
    <n v="69.333333333333329"/>
    <n v="70"/>
    <n v="14.285714285714285"/>
    <n v="14.285714285714285"/>
    <n v="80"/>
    <n v="126"/>
    <n v="7.6923076923076925"/>
    <x v="0"/>
    <n v="1"/>
    <n v="0"/>
    <m/>
  </r>
  <r>
    <s v="E051"/>
    <x v="1"/>
    <x v="1"/>
    <d v="2022-02-28T00:00:00"/>
    <d v="2022-03-31T00:00:00"/>
    <d v="2022-04-15T00:00:00"/>
    <s v="-"/>
    <x v="0"/>
    <n v="3219"/>
    <s v="Ethics and Responsibilities"/>
    <x v="1"/>
    <n v="260"/>
    <n v="20"/>
    <x v="0"/>
    <n v="2325"/>
    <n v="31"/>
    <n v="15"/>
    <n v="32.633333333333333"/>
    <n v="31"/>
    <n v="48.387096774193552"/>
    <n v="48.387096774193552"/>
    <n v="46"/>
    <n v="147"/>
    <n v="7.6923076923076925"/>
    <x v="4"/>
    <n v="1"/>
    <n v="0"/>
    <m/>
  </r>
  <r>
    <s v="E052"/>
    <x v="1"/>
    <x v="1"/>
    <d v="2021-02-26T00:00:00"/>
    <d v="2021-04-23T00:00:00"/>
    <d v="2021-04-30T00:00:00"/>
    <s v="-"/>
    <x v="0"/>
    <n v="3978"/>
    <s v="Communication Skills"/>
    <x v="0"/>
    <n v="260"/>
    <n v="19"/>
    <x v="0"/>
    <n v="1201"/>
    <n v="56"/>
    <n v="7"/>
    <n v="44.3"/>
    <n v="56"/>
    <n v="12.5"/>
    <n v="12.5"/>
    <n v="63"/>
    <n v="144"/>
    <n v="7.3076923076923084"/>
    <x v="2"/>
    <n v="1"/>
    <n v="0"/>
    <m/>
  </r>
  <r>
    <s v="E053"/>
    <x v="4"/>
    <x v="4"/>
    <d v="2019-03-09T00:00:00"/>
    <d v="2019-04-16T00:00:00"/>
    <d v="2019-04-18T00:00:00"/>
    <s v="-"/>
    <x v="0"/>
    <n v="1860"/>
    <s v="Communication Skills"/>
    <x v="0"/>
    <n v="260"/>
    <n v="11"/>
    <x v="1"/>
    <n v="2249"/>
    <n v="38"/>
    <n v="2"/>
    <n v="69.066666666666663"/>
    <n v="38"/>
    <n v="5.2631578947368416"/>
    <n v="5.2631578947368416"/>
    <n v="40"/>
    <n v="129"/>
    <n v="4.2307692307692308"/>
    <x v="0"/>
    <n v="1"/>
    <n v="0"/>
    <m/>
  </r>
  <r>
    <s v="E054"/>
    <x v="3"/>
    <x v="3"/>
    <d v="2021-05-04T00:00:00"/>
    <d v="2021-08-01T00:00:00"/>
    <d v="2021-08-07T00:00:00"/>
    <s v="-"/>
    <x v="0"/>
    <n v="1817"/>
    <s v="Ethics and Responsibilities"/>
    <x v="0"/>
    <n v="260"/>
    <n v="2"/>
    <x v="2"/>
    <n v="2388"/>
    <n v="89"/>
    <n v="6"/>
    <n v="41"/>
    <n v="89"/>
    <n v="6.7415730337078648"/>
    <n v="6.7415730337078648"/>
    <n v="95"/>
    <n v="146"/>
    <n v="0.76923076923076927"/>
    <x v="2"/>
    <n v="1"/>
    <n v="0"/>
    <m/>
  </r>
  <r>
    <s v="E055"/>
    <x v="0"/>
    <x v="0"/>
    <d v="2019-02-23T00:00:00"/>
    <d v="2019-03-20T00:00:00"/>
    <d v="2019-04-04T00:00:00"/>
    <s v="-"/>
    <x v="0"/>
    <n v="1582"/>
    <s v="Ethics and Responsibilities"/>
    <x v="0"/>
    <n v="260"/>
    <n v="16"/>
    <x v="1"/>
    <n v="2412"/>
    <n v="25"/>
    <n v="15"/>
    <n v="69.533333333333331"/>
    <n v="25"/>
    <n v="60"/>
    <n v="60"/>
    <n v="40"/>
    <n v="137"/>
    <n v="6.1538461538461542"/>
    <x v="0"/>
    <n v="1"/>
    <n v="0"/>
    <m/>
  </r>
  <r>
    <s v="E056"/>
    <x v="1"/>
    <x v="1"/>
    <d v="2022-01-21T00:00:00"/>
    <d v="2022-04-07T00:00:00"/>
    <d v="2022-04-19T00:00:00"/>
    <s v="-"/>
    <x v="0"/>
    <n v="2548"/>
    <s v="Leadership Development"/>
    <x v="0"/>
    <n v="260"/>
    <n v="13"/>
    <x v="2"/>
    <n v="2067"/>
    <n v="76"/>
    <n v="12"/>
    <n v="32.5"/>
    <n v="76"/>
    <n v="15.789473684210526"/>
    <n v="15.789473684210526"/>
    <n v="88"/>
    <n v="193"/>
    <n v="5"/>
    <x v="4"/>
    <n v="1"/>
    <n v="0"/>
    <m/>
  </r>
  <r>
    <s v="E057"/>
    <x v="4"/>
    <x v="4"/>
    <d v="2019-09-02T00:00:00"/>
    <d v="2019-11-24T00:00:00"/>
    <d v="2019-11-30T00:00:00"/>
    <d v="2023-05-15T00:00:00"/>
    <x v="1"/>
    <n v="3169"/>
    <s v="Ethics and Responsibilities"/>
    <x v="0"/>
    <n v="260"/>
    <n v="17"/>
    <x v="0"/>
    <n v="2443"/>
    <n v="83"/>
    <n v="6"/>
    <n v="42.06666666666667"/>
    <n v="83"/>
    <n v="7.2289156626506017"/>
    <n v="7.2289156626506017"/>
    <n v="89"/>
    <n v="149"/>
    <n v="6.5384615384615392"/>
    <x v="0"/>
    <n v="0"/>
    <n v="5761"/>
    <m/>
  </r>
  <r>
    <s v="E058"/>
    <x v="3"/>
    <x v="3"/>
    <d v="2022-01-08T00:00:00"/>
    <d v="2022-01-31T00:00:00"/>
    <d v="2022-02-11T00:00:00"/>
    <s v="-"/>
    <x v="0"/>
    <n v="3375"/>
    <s v="Leadership Development"/>
    <x v="0"/>
    <n v="260"/>
    <n v="13"/>
    <x v="0"/>
    <n v="1755"/>
    <n v="23"/>
    <n v="11"/>
    <n v="34.733333333333334"/>
    <n v="23"/>
    <n v="47.826086956521742"/>
    <n v="47.826086956521742"/>
    <n v="34"/>
    <n v="163"/>
    <n v="5"/>
    <x v="4"/>
    <n v="1"/>
    <n v="0"/>
    <m/>
  </r>
  <r>
    <s v="E059"/>
    <x v="2"/>
    <x v="2"/>
    <d v="2019-08-09T00:00:00"/>
    <d v="2019-09-15T00:00:00"/>
    <d v="2019-09-21T00:00:00"/>
    <d v="2023-07-22T00:00:00"/>
    <x v="1"/>
    <n v="2763"/>
    <s v="Advanced Excel Skills "/>
    <x v="0"/>
    <n v="260"/>
    <n v="18"/>
    <x v="2"/>
    <n v="2015"/>
    <n v="37"/>
    <n v="6"/>
    <n v="46.666666666666664"/>
    <n v="37"/>
    <n v="16.216216216216218"/>
    <n v="16.216216216216218"/>
    <n v="43"/>
    <n v="144"/>
    <n v="6.9230769230769234"/>
    <x v="0"/>
    <n v="0"/>
    <n v="4922"/>
    <m/>
  </r>
  <r>
    <s v="E060"/>
    <x v="1"/>
    <x v="1"/>
    <d v="2020-06-14T00:00:00"/>
    <d v="2020-07-24T00:00:00"/>
    <d v="2020-07-29T00:00:00"/>
    <d v="2023-03-23T00:00:00"/>
    <x v="1"/>
    <n v="4620"/>
    <s v="Communication Skills"/>
    <x v="0"/>
    <n v="260"/>
    <n v="13"/>
    <x v="1"/>
    <n v="2280"/>
    <n v="40"/>
    <n v="5"/>
    <n v="32.233333333333334"/>
    <n v="40"/>
    <n v="12.5"/>
    <n v="12.5"/>
    <n v="45"/>
    <n v="153"/>
    <n v="5"/>
    <x v="1"/>
    <n v="0"/>
    <n v="7053"/>
    <m/>
  </r>
  <r>
    <s v="E061"/>
    <x v="3"/>
    <x v="3"/>
    <d v="2021-11-05T00:00:00"/>
    <d v="2021-12-27T00:00:00"/>
    <d v="2022-01-04T00:00:00"/>
    <s v="-"/>
    <x v="0"/>
    <n v="3278"/>
    <s v="Leadership Development"/>
    <x v="0"/>
    <n v="260"/>
    <n v="8"/>
    <x v="0"/>
    <n v="2173"/>
    <n v="52"/>
    <n v="8"/>
    <n v="36"/>
    <n v="52"/>
    <n v="15.384615384615385"/>
    <n v="15.384615384615385"/>
    <n v="60"/>
    <n v="151"/>
    <n v="3.0769230769230771"/>
    <x v="4"/>
    <n v="1"/>
    <n v="0"/>
    <m/>
  </r>
  <r>
    <s v="E062"/>
    <x v="0"/>
    <x v="0"/>
    <d v="2021-10-15T00:00:00"/>
    <d v="2021-12-17T00:00:00"/>
    <d v="2021-12-27T00:00:00"/>
    <s v="-"/>
    <x v="0"/>
    <n v="3440"/>
    <s v="Conflict Resolution"/>
    <x v="0"/>
    <n v="260"/>
    <n v="20"/>
    <x v="1"/>
    <n v="1406"/>
    <n v="63"/>
    <n v="10"/>
    <n v="36.266666666666666"/>
    <n v="63"/>
    <n v="15.873015873015872"/>
    <n v="15.873015873015872"/>
    <n v="73"/>
    <n v="124"/>
    <n v="7.6923076923076925"/>
    <x v="2"/>
    <n v="1"/>
    <n v="0"/>
    <m/>
  </r>
  <r>
    <s v="E063"/>
    <x v="4"/>
    <x v="4"/>
    <d v="2019-12-28T00:00:00"/>
    <d v="2020-03-03T00:00:00"/>
    <d v="2020-03-07T00:00:00"/>
    <s v="-"/>
    <x v="0"/>
    <n v="3331"/>
    <s v="Communication Skills"/>
    <x v="0"/>
    <n v="260"/>
    <n v="15"/>
    <x v="2"/>
    <n v="2093"/>
    <n v="66"/>
    <n v="4"/>
    <n v="58.266666666666666"/>
    <n v="66"/>
    <n v="6.0606060606060606"/>
    <n v="6.0606060606060606"/>
    <n v="70"/>
    <n v="130"/>
    <n v="5.7692307692307692"/>
    <x v="1"/>
    <n v="1"/>
    <n v="0"/>
    <m/>
  </r>
  <r>
    <s v="E064"/>
    <x v="0"/>
    <x v="0"/>
    <d v="2019-02-07T00:00:00"/>
    <d v="2019-04-13T00:00:00"/>
    <d v="2019-04-27T00:00:00"/>
    <s v="-"/>
    <x v="0"/>
    <n v="1919"/>
    <s v="Leadership Development"/>
    <x v="0"/>
    <n v="260"/>
    <n v="6"/>
    <x v="2"/>
    <n v="1985"/>
    <n v="65"/>
    <n v="14"/>
    <n v="68.766666666666666"/>
    <n v="65"/>
    <n v="21.53846153846154"/>
    <n v="21.53846153846154"/>
    <n v="79"/>
    <n v="156"/>
    <n v="2.3076923076923079"/>
    <x v="0"/>
    <n v="1"/>
    <n v="0"/>
    <m/>
  </r>
  <r>
    <s v="E065"/>
    <x v="2"/>
    <x v="2"/>
    <d v="2020-01-14T00:00:00"/>
    <d v="2020-02-19T00:00:00"/>
    <d v="2020-03-05T00:00:00"/>
    <s v="-"/>
    <x v="0"/>
    <n v="3658"/>
    <s v="Leadership Development"/>
    <x v="0"/>
    <n v="260"/>
    <n v="1"/>
    <x v="0"/>
    <n v="1847"/>
    <n v="36"/>
    <n v="15"/>
    <n v="58.333333333333336"/>
    <n v="36"/>
    <n v="41.666666666666671"/>
    <n v="41.666666666666671"/>
    <n v="51"/>
    <n v="103"/>
    <n v="0.38461538461538464"/>
    <x v="1"/>
    <n v="1"/>
    <n v="0"/>
    <m/>
  </r>
  <r>
    <s v="E066"/>
    <x v="2"/>
    <x v="2"/>
    <d v="2021-12-28T00:00:00"/>
    <d v="2022-01-15T00:00:00"/>
    <d v="2022-01-29T00:00:00"/>
    <s v="-"/>
    <x v="0"/>
    <n v="3796"/>
    <s v="Conflict Resolution"/>
    <x v="0"/>
    <n v="260"/>
    <n v="13"/>
    <x v="1"/>
    <n v="1702"/>
    <n v="18"/>
    <n v="14"/>
    <n v="35.166666666666664"/>
    <n v="18"/>
    <n v="77.777777777777786"/>
    <n v="77.777777777777786"/>
    <n v="32"/>
    <n v="155"/>
    <n v="5"/>
    <x v="4"/>
    <n v="1"/>
    <n v="0"/>
    <m/>
  </r>
  <r>
    <s v="E067"/>
    <x v="0"/>
    <x v="0"/>
    <d v="2021-10-14T00:00:00"/>
    <d v="2021-11-14T00:00:00"/>
    <d v="2021-11-18T00:00:00"/>
    <s v="-"/>
    <x v="0"/>
    <n v="2399"/>
    <s v="Advanced Excel Skills "/>
    <x v="1"/>
    <n v="260"/>
    <n v="10"/>
    <x v="0"/>
    <n v="1489"/>
    <n v="31"/>
    <n v="4"/>
    <n v="37.56666666666667"/>
    <n v="31"/>
    <n v="12.903225806451612"/>
    <n v="12.903225806451612"/>
    <n v="35"/>
    <n v="170"/>
    <n v="3.8461538461538463"/>
    <x v="2"/>
    <n v="1"/>
    <n v="0"/>
    <m/>
  </r>
  <r>
    <s v="E068"/>
    <x v="0"/>
    <x v="0"/>
    <d v="2022-10-17T00:00:00"/>
    <d v="2022-11-11T00:00:00"/>
    <d v="2022-11-22T00:00:00"/>
    <s v="-"/>
    <x v="0"/>
    <n v="1828"/>
    <s v="Advanced Excel Skills "/>
    <x v="0"/>
    <n v="260"/>
    <n v="15"/>
    <x v="1"/>
    <n v="1920"/>
    <n v="25"/>
    <n v="11"/>
    <n v="25.266666666666666"/>
    <n v="25"/>
    <n v="44"/>
    <n v="44"/>
    <n v="36"/>
    <n v="113"/>
    <n v="5.7692307692307692"/>
    <x v="4"/>
    <n v="1"/>
    <n v="0"/>
    <m/>
  </r>
  <r>
    <s v="E069"/>
    <x v="2"/>
    <x v="2"/>
    <d v="2019-11-06T00:00:00"/>
    <d v="2020-01-25T00:00:00"/>
    <d v="2020-02-04T00:00:00"/>
    <d v="2020-12-31T00:00:00"/>
    <x v="1"/>
    <n v="4284"/>
    <s v="Advanced Excel Skills "/>
    <x v="0"/>
    <n v="260"/>
    <n v="19"/>
    <x v="1"/>
    <n v="1498"/>
    <n v="80"/>
    <n v="10"/>
    <n v="11.033333333333333"/>
    <n v="80"/>
    <n v="12.5"/>
    <n v="12.5"/>
    <n v="90"/>
    <n v="102"/>
    <n v="7.3076923076923084"/>
    <x v="1"/>
    <n v="0"/>
    <n v="5884"/>
    <m/>
  </r>
  <r>
    <s v="E070"/>
    <x v="2"/>
    <x v="2"/>
    <d v="2020-08-08T00:00:00"/>
    <d v="2020-11-03T00:00:00"/>
    <d v="2020-11-05T00:00:00"/>
    <d v="2023-08-01T00:00:00"/>
    <x v="1"/>
    <n v="2165"/>
    <s v="Ethics and Responsibilities"/>
    <x v="1"/>
    <n v="260"/>
    <n v="5"/>
    <x v="0"/>
    <n v="1952"/>
    <n v="87"/>
    <n v="2"/>
    <n v="33.299999999999997"/>
    <n v="87"/>
    <n v="2.2988505747126435"/>
    <n v="2.2988505747126435"/>
    <n v="89"/>
    <n v="164"/>
    <n v="1.9230769230769231"/>
    <x v="1"/>
    <n v="0"/>
    <n v="4281"/>
    <m/>
  </r>
  <r>
    <s v="E071"/>
    <x v="0"/>
    <x v="0"/>
    <d v="2022-05-14T00:00:00"/>
    <d v="2022-07-03T00:00:00"/>
    <d v="2022-07-16T00:00:00"/>
    <d v="2023-07-18T00:00:00"/>
    <x v="1"/>
    <n v="3327"/>
    <s v="Conflict Resolution"/>
    <x v="0"/>
    <n v="260"/>
    <n v="10"/>
    <x v="0"/>
    <n v="1995"/>
    <n v="50"/>
    <n v="13"/>
    <n v="12.233333333333333"/>
    <n v="50"/>
    <n v="26"/>
    <n v="26"/>
    <n v="63"/>
    <n v="190"/>
    <n v="3.8461538461538463"/>
    <x v="4"/>
    <n v="0"/>
    <n v="5512"/>
    <m/>
  </r>
  <r>
    <s v="E072"/>
    <x v="0"/>
    <x v="0"/>
    <d v="2019-01-15T00:00:00"/>
    <d v="2019-04-05T00:00:00"/>
    <d v="2019-04-13T00:00:00"/>
    <s v="-"/>
    <x v="0"/>
    <n v="2915"/>
    <s v="Communication Skills"/>
    <x v="1"/>
    <n v="260"/>
    <n v="16"/>
    <x v="0"/>
    <n v="1371"/>
    <n v="80"/>
    <n v="8"/>
    <n v="69.233333333333334"/>
    <n v="80"/>
    <n v="10"/>
    <n v="10"/>
    <n v="88"/>
    <n v="106"/>
    <n v="6.1538461538461542"/>
    <x v="0"/>
    <n v="1"/>
    <n v="0"/>
    <m/>
  </r>
  <r>
    <s v="E073"/>
    <x v="2"/>
    <x v="2"/>
    <d v="2018-12-26T00:00:00"/>
    <d v="2019-02-12T00:00:00"/>
    <d v="2019-02-16T00:00:00"/>
    <d v="2022-02-12T00:00:00"/>
    <x v="1"/>
    <n v="4705"/>
    <s v="Leadership Development"/>
    <x v="0"/>
    <n v="260"/>
    <n v="17"/>
    <x v="2"/>
    <n v="1210"/>
    <n v="48"/>
    <n v="4"/>
    <n v="36.4"/>
    <n v="48"/>
    <n v="8.3333333333333321"/>
    <n v="8.3333333333333321"/>
    <n v="52"/>
    <n v="195"/>
    <n v="6.5384615384615392"/>
    <x v="0"/>
    <n v="0"/>
    <n v="6110"/>
    <m/>
  </r>
  <r>
    <s v="E074"/>
    <x v="2"/>
    <x v="2"/>
    <d v="2019-03-15T00:00:00"/>
    <d v="2019-05-03T00:00:00"/>
    <d v="2019-05-05T00:00:00"/>
    <d v="2023-12-12T00:00:00"/>
    <x v="1"/>
    <n v="4170"/>
    <s v="Advanced Excel Skills "/>
    <x v="0"/>
    <n v="260"/>
    <n v="18"/>
    <x v="0"/>
    <n v="1597"/>
    <n v="49"/>
    <n v="2"/>
    <n v="56.06666666666667"/>
    <n v="49"/>
    <n v="4.0816326530612246"/>
    <n v="4.0816326530612246"/>
    <n v="51"/>
    <n v="185"/>
    <n v="6.9230769230769234"/>
    <x v="0"/>
    <n v="0"/>
    <n v="5952"/>
    <m/>
  </r>
  <r>
    <s v="E075"/>
    <x v="0"/>
    <x v="0"/>
    <d v="2022-12-21T00:00:00"/>
    <d v="2023-01-18T00:00:00"/>
    <d v="2023-01-27T00:00:00"/>
    <s v="-"/>
    <x v="0"/>
    <n v="2491"/>
    <s v="Leadership Development"/>
    <x v="1"/>
    <n v="260"/>
    <n v="9"/>
    <x v="1"/>
    <n v="1705"/>
    <n v="28"/>
    <n v="9"/>
    <n v="23.066666666666666"/>
    <n v="28"/>
    <n v="32.142857142857146"/>
    <n v="32.142857142857146"/>
    <n v="37"/>
    <n v="151"/>
    <n v="3.4615384615384617"/>
    <x v="3"/>
    <n v="1"/>
    <n v="0"/>
    <m/>
  </r>
  <r>
    <s v="E076"/>
    <x v="4"/>
    <x v="4"/>
    <d v="2021-09-19T00:00:00"/>
    <d v="2021-10-28T00:00:00"/>
    <d v="2021-10-30T00:00:00"/>
    <s v="-"/>
    <x v="0"/>
    <n v="3562"/>
    <s v="Conflict Resolution"/>
    <x v="0"/>
    <n v="260"/>
    <n v="9"/>
    <x v="2"/>
    <n v="1846"/>
    <n v="39"/>
    <n v="2"/>
    <n v="38.200000000000003"/>
    <n v="39"/>
    <n v="5.1282051282051277"/>
    <n v="5.1282051282051277"/>
    <n v="41"/>
    <n v="145"/>
    <n v="3.4615384615384617"/>
    <x v="2"/>
    <n v="1"/>
    <n v="0"/>
    <m/>
  </r>
  <r>
    <s v="E077"/>
    <x v="0"/>
    <x v="0"/>
    <d v="2020-06-14T00:00:00"/>
    <d v="2020-07-11T00:00:00"/>
    <d v="2020-07-13T00:00:00"/>
    <d v="2024-06-05T00:00:00"/>
    <x v="1"/>
    <n v="2150"/>
    <s v="Communication Skills"/>
    <x v="0"/>
    <n v="260"/>
    <n v="13"/>
    <x v="2"/>
    <n v="1281"/>
    <n v="27"/>
    <n v="2"/>
    <n v="47.43333333333333"/>
    <n v="27"/>
    <n v="7.4074074074074066"/>
    <n v="7.4074074074074066"/>
    <n v="29"/>
    <n v="135"/>
    <n v="5"/>
    <x v="1"/>
    <n v="0"/>
    <n v="3566"/>
    <m/>
  </r>
  <r>
    <s v="E078"/>
    <x v="0"/>
    <x v="0"/>
    <d v="2018-05-24T00:00:00"/>
    <d v="2018-07-26T00:00:00"/>
    <d v="2018-07-31T00:00:00"/>
    <d v="2022-11-19T00:00:00"/>
    <x v="1"/>
    <n v="4214"/>
    <s v="Ethics and Responsibilities"/>
    <x v="0"/>
    <n v="260"/>
    <n v="1"/>
    <x v="2"/>
    <n v="1830"/>
    <n v="63"/>
    <n v="5"/>
    <n v="52.4"/>
    <n v="63"/>
    <n v="7.9365079365079358"/>
    <n v="7.9365079365079358"/>
    <n v="68"/>
    <n v="136"/>
    <n v="0.38461538461538464"/>
    <x v="5"/>
    <n v="0"/>
    <n v="6180"/>
    <m/>
  </r>
  <r>
    <s v="E079"/>
    <x v="0"/>
    <x v="0"/>
    <d v="2020-05-17T00:00:00"/>
    <d v="2020-06-03T00:00:00"/>
    <d v="2020-06-07T00:00:00"/>
    <s v="-"/>
    <x v="0"/>
    <n v="2179"/>
    <s v="Leadership Development"/>
    <x v="0"/>
    <n v="260"/>
    <n v="5"/>
    <x v="2"/>
    <n v="2497"/>
    <n v="17"/>
    <n v="4"/>
    <n v="55.2"/>
    <n v="17"/>
    <n v="23.52941176470588"/>
    <n v="23.52941176470588"/>
    <n v="21"/>
    <n v="161"/>
    <n v="1.9230769230769231"/>
    <x v="1"/>
    <n v="1"/>
    <n v="0"/>
    <m/>
  </r>
  <r>
    <s v="E080"/>
    <x v="2"/>
    <x v="2"/>
    <d v="2020-09-15T00:00:00"/>
    <d v="2020-10-07T00:00:00"/>
    <d v="2020-10-14T00:00:00"/>
    <d v="2020-12-20T00:00:00"/>
    <x v="1"/>
    <n v="3043"/>
    <s v="Ethics and Responsibilities"/>
    <x v="0"/>
    <n v="260"/>
    <n v="2"/>
    <x v="1"/>
    <n v="2138"/>
    <n v="22"/>
    <n v="7"/>
    <n v="2.2333333333333334"/>
    <n v="22"/>
    <n v="31.818181818181817"/>
    <n v="31.818181818181817"/>
    <n v="29"/>
    <n v="157"/>
    <n v="0.76923076923076927"/>
    <x v="1"/>
    <n v="0"/>
    <n v="5338"/>
    <m/>
  </r>
  <r>
    <s v="E081"/>
    <x v="1"/>
    <x v="1"/>
    <d v="2020-03-09T00:00:00"/>
    <d v="2020-05-02T00:00:00"/>
    <d v="2020-05-07T00:00:00"/>
    <d v="2023-08-03T00:00:00"/>
    <x v="1"/>
    <n v="4720"/>
    <s v="Conflict Resolution"/>
    <x v="0"/>
    <n v="260"/>
    <n v="12"/>
    <x v="0"/>
    <n v="2399"/>
    <n v="54"/>
    <n v="5"/>
    <n v="39.43333333333333"/>
    <n v="54"/>
    <n v="9.2592592592592595"/>
    <n v="9.2592592592592595"/>
    <n v="59"/>
    <n v="184"/>
    <n v="4.6153846153846159"/>
    <x v="1"/>
    <n v="0"/>
    <n v="7303"/>
    <m/>
  </r>
  <r>
    <s v="E082"/>
    <x v="2"/>
    <x v="2"/>
    <d v="2018-01-02T00:00:00"/>
    <d v="2018-01-23T00:00:00"/>
    <d v="2018-01-30T00:00:00"/>
    <d v="2019-08-03T00:00:00"/>
    <x v="1"/>
    <n v="3952"/>
    <s v="Leadership Development"/>
    <x v="0"/>
    <n v="260"/>
    <n v="11"/>
    <x v="0"/>
    <n v="2298"/>
    <n v="21"/>
    <n v="7"/>
    <n v="18.333333333333332"/>
    <n v="21"/>
    <n v="33.333333333333329"/>
    <n v="33.333333333333329"/>
    <n v="28"/>
    <n v="101"/>
    <n v="4.2307692307692308"/>
    <x v="5"/>
    <n v="0"/>
    <n v="6351"/>
    <m/>
  </r>
  <r>
    <s v="E083"/>
    <x v="3"/>
    <x v="3"/>
    <d v="2018-08-26T00:00:00"/>
    <d v="2018-11-10T00:00:00"/>
    <d v="2018-11-11T00:00:00"/>
    <d v="2020-10-08T00:00:00"/>
    <x v="1"/>
    <n v="4429"/>
    <s v="Communication Skills"/>
    <x v="1"/>
    <n v="260"/>
    <n v="5"/>
    <x v="1"/>
    <n v="1762"/>
    <n v="76"/>
    <n v="1"/>
    <n v="23.233333333333334"/>
    <n v="76"/>
    <n v="1.3157894736842104"/>
    <n v="1.3157894736842104"/>
    <n v="77"/>
    <n v="141"/>
    <n v="1.9230769230769231"/>
    <x v="5"/>
    <n v="0"/>
    <n v="6332"/>
    <m/>
  </r>
  <r>
    <s v="E084"/>
    <x v="4"/>
    <x v="4"/>
    <d v="2019-12-18T00:00:00"/>
    <d v="2020-01-08T00:00:00"/>
    <d v="2020-01-21T00:00:00"/>
    <s v="-"/>
    <x v="0"/>
    <n v="2560"/>
    <s v="Leadership Development"/>
    <x v="0"/>
    <n v="260"/>
    <n v="12"/>
    <x v="2"/>
    <n v="2320"/>
    <n v="21"/>
    <n v="13"/>
    <n v="59.8"/>
    <n v="21"/>
    <n v="61.904761904761905"/>
    <n v="61.904761904761905"/>
    <n v="34"/>
    <n v="109"/>
    <n v="4.6153846153846159"/>
    <x v="1"/>
    <n v="1"/>
    <n v="0"/>
    <m/>
  </r>
  <r>
    <s v="E085"/>
    <x v="1"/>
    <x v="1"/>
    <d v="2018-10-03T00:00:00"/>
    <d v="2018-12-25T00:00:00"/>
    <d v="2019-01-03T00:00:00"/>
    <d v="2021-12-11T00:00:00"/>
    <x v="1"/>
    <n v="2340"/>
    <s v="Communication Skills"/>
    <x v="1"/>
    <n v="260"/>
    <n v="19"/>
    <x v="2"/>
    <n v="1625"/>
    <n v="83"/>
    <n v="9"/>
    <n v="35.766666666666666"/>
    <n v="83"/>
    <n v="10.843373493975903"/>
    <n v="10.843373493975903"/>
    <n v="92"/>
    <n v="183"/>
    <n v="7.3076923076923084"/>
    <x v="0"/>
    <n v="0"/>
    <n v="4148"/>
    <m/>
  </r>
  <r>
    <s v="E086"/>
    <x v="0"/>
    <x v="0"/>
    <d v="2022-01-25T00:00:00"/>
    <d v="2022-03-04T00:00:00"/>
    <d v="2022-03-15T00:00:00"/>
    <s v="-"/>
    <x v="0"/>
    <n v="4947"/>
    <s v="Advanced Excel Skills "/>
    <x v="1"/>
    <n v="260"/>
    <n v="12"/>
    <x v="1"/>
    <n v="1676"/>
    <n v="38"/>
    <n v="11"/>
    <n v="33.666666666666664"/>
    <n v="38"/>
    <n v="28.947368421052634"/>
    <n v="28.947368421052634"/>
    <n v="49"/>
    <n v="195"/>
    <n v="4.6153846153846159"/>
    <x v="4"/>
    <n v="1"/>
    <n v="0"/>
    <m/>
  </r>
  <r>
    <s v="E087"/>
    <x v="1"/>
    <x v="1"/>
    <d v="2022-03-09T00:00:00"/>
    <d v="2022-06-02T00:00:00"/>
    <d v="2022-06-14T00:00:00"/>
    <d v="2022-08-10T00:00:00"/>
    <x v="1"/>
    <n v="4502"/>
    <s v="Ethics and Responsibilities"/>
    <x v="0"/>
    <n v="260"/>
    <n v="1"/>
    <x v="1"/>
    <n v="1630"/>
    <n v="85"/>
    <n v="12"/>
    <n v="1.9"/>
    <n v="85"/>
    <n v="14.117647058823529"/>
    <n v="14.117647058823529"/>
    <n v="97"/>
    <n v="154"/>
    <n v="0.38461538461538464"/>
    <x v="4"/>
    <n v="0"/>
    <n v="6286"/>
    <m/>
  </r>
  <r>
    <s v="E088"/>
    <x v="3"/>
    <x v="3"/>
    <d v="2019-06-17T00:00:00"/>
    <d v="2019-07-07T00:00:00"/>
    <d v="2019-07-09T00:00:00"/>
    <d v="2022-01-10T00:00:00"/>
    <x v="1"/>
    <n v="2747"/>
    <s v="Leadership Development"/>
    <x v="0"/>
    <n v="260"/>
    <n v="7"/>
    <x v="1"/>
    <n v="1617"/>
    <n v="20"/>
    <n v="2"/>
    <n v="30.533333333333335"/>
    <n v="20"/>
    <n v="10"/>
    <n v="10"/>
    <n v="22"/>
    <n v="179"/>
    <n v="2.6923076923076925"/>
    <x v="0"/>
    <n v="0"/>
    <n v="4543"/>
    <m/>
  </r>
  <r>
    <s v="E089"/>
    <x v="3"/>
    <x v="3"/>
    <d v="2019-04-10T00:00:00"/>
    <d v="2019-05-06T00:00:00"/>
    <d v="2019-05-16T00:00:00"/>
    <s v="-"/>
    <x v="0"/>
    <n v="3399"/>
    <s v="Communication Skills"/>
    <x v="0"/>
    <n v="260"/>
    <n v="20"/>
    <x v="1"/>
    <n v="1743"/>
    <n v="26"/>
    <n v="10"/>
    <n v="68.13333333333334"/>
    <n v="26"/>
    <n v="38.461538461538467"/>
    <n v="38.461538461538467"/>
    <n v="36"/>
    <n v="133"/>
    <n v="7.6923076923076925"/>
    <x v="0"/>
    <n v="1"/>
    <n v="0"/>
    <m/>
  </r>
  <r>
    <s v="E090"/>
    <x v="4"/>
    <x v="4"/>
    <d v="2020-06-24T00:00:00"/>
    <d v="2020-08-29T00:00:00"/>
    <d v="2020-09-10T00:00:00"/>
    <d v="2023-01-23T00:00:00"/>
    <x v="1"/>
    <n v="1734"/>
    <s v="Communication Skills"/>
    <x v="0"/>
    <n v="260"/>
    <n v="4"/>
    <x v="2"/>
    <n v="1779"/>
    <n v="66"/>
    <n v="12"/>
    <n v="28.833333333333332"/>
    <n v="66"/>
    <n v="18.181818181818183"/>
    <n v="18.181818181818183"/>
    <n v="78"/>
    <n v="129"/>
    <n v="1.5384615384615385"/>
    <x v="1"/>
    <n v="0"/>
    <n v="3642"/>
    <m/>
  </r>
  <r>
    <s v="E091"/>
    <x v="1"/>
    <x v="1"/>
    <d v="2022-07-26T00:00:00"/>
    <d v="2022-09-13T00:00:00"/>
    <d v="2022-09-17T00:00:00"/>
    <s v="-"/>
    <x v="0"/>
    <n v="2371"/>
    <s v="Communication Skills"/>
    <x v="0"/>
    <n v="260"/>
    <n v="2"/>
    <x v="2"/>
    <n v="1685"/>
    <n v="49"/>
    <n v="4"/>
    <n v="27.466666666666665"/>
    <n v="49"/>
    <n v="8.1632653061224492"/>
    <n v="8.1632653061224492"/>
    <n v="53"/>
    <n v="111"/>
    <n v="0.76923076923076927"/>
    <x v="4"/>
    <n v="1"/>
    <n v="0"/>
    <m/>
  </r>
  <r>
    <s v="E092"/>
    <x v="4"/>
    <x v="4"/>
    <d v="2020-06-04T00:00:00"/>
    <d v="2020-07-26T00:00:00"/>
    <d v="2020-07-28T00:00:00"/>
    <s v="-"/>
    <x v="0"/>
    <n v="1619"/>
    <s v="Advanced Excel Skills "/>
    <x v="0"/>
    <n v="260"/>
    <n v="16"/>
    <x v="1"/>
    <n v="2306"/>
    <n v="52"/>
    <n v="2"/>
    <n v="53.5"/>
    <n v="52"/>
    <n v="3.8461538461538463"/>
    <n v="3.8461538461538463"/>
    <n v="54"/>
    <n v="145"/>
    <n v="6.1538461538461542"/>
    <x v="1"/>
    <n v="1"/>
    <n v="0"/>
    <m/>
  </r>
  <r>
    <s v="E093"/>
    <x v="1"/>
    <x v="1"/>
    <d v="2020-05-05T00:00:00"/>
    <d v="2020-06-21T00:00:00"/>
    <d v="2020-07-04T00:00:00"/>
    <d v="2021-07-26T00:00:00"/>
    <x v="1"/>
    <n v="4615"/>
    <s v="Leadership Development"/>
    <x v="0"/>
    <n v="260"/>
    <n v="16"/>
    <x v="0"/>
    <n v="2364"/>
    <n v="47"/>
    <n v="13"/>
    <n v="12.9"/>
    <n v="47"/>
    <n v="27.659574468085108"/>
    <n v="27.659574468085108"/>
    <n v="60"/>
    <n v="157"/>
    <n v="6.1538461538461542"/>
    <x v="1"/>
    <n v="0"/>
    <n v="7136"/>
    <m/>
  </r>
  <r>
    <s v="E094"/>
    <x v="3"/>
    <x v="3"/>
    <d v="2018-02-19T00:00:00"/>
    <d v="2018-04-15T00:00:00"/>
    <d v="2018-04-19T00:00:00"/>
    <s v="-"/>
    <x v="0"/>
    <n v="3172"/>
    <s v="Advanced Excel Skills "/>
    <x v="0"/>
    <n v="260"/>
    <n v="7"/>
    <x v="2"/>
    <n v="1766"/>
    <n v="55"/>
    <n v="4"/>
    <n v="81.2"/>
    <n v="55"/>
    <n v="7.2727272727272725"/>
    <n v="7.2727272727272725"/>
    <n v="59"/>
    <n v="176"/>
    <n v="2.6923076923076925"/>
    <x v="5"/>
    <n v="1"/>
    <n v="0"/>
    <m/>
  </r>
  <r>
    <s v="E095"/>
    <x v="2"/>
    <x v="2"/>
    <d v="2022-10-09T00:00:00"/>
    <d v="2022-11-24T00:00:00"/>
    <d v="2022-12-08T00:00:00"/>
    <d v="2024-02-26T00:00:00"/>
    <x v="1"/>
    <n v="2665"/>
    <s v="Ethics and Responsibilities"/>
    <x v="0"/>
    <n v="260"/>
    <n v="17"/>
    <x v="0"/>
    <n v="1980"/>
    <n v="46"/>
    <n v="14"/>
    <n v="14.833333333333334"/>
    <n v="46"/>
    <n v="30.434782608695656"/>
    <n v="30.434782608695656"/>
    <n v="60"/>
    <n v="195"/>
    <n v="6.5384615384615392"/>
    <x v="4"/>
    <n v="0"/>
    <n v="4840"/>
    <m/>
  </r>
  <r>
    <s v="E096"/>
    <x v="0"/>
    <x v="0"/>
    <d v="2018-10-22T00:00:00"/>
    <d v="2018-12-12T00:00:00"/>
    <d v="2018-12-16T00:00:00"/>
    <d v="2022-10-01T00:00:00"/>
    <x v="1"/>
    <n v="1670"/>
    <s v="Communication Skills"/>
    <x v="0"/>
    <n v="260"/>
    <n v="13"/>
    <x v="0"/>
    <n v="1760"/>
    <n v="51"/>
    <n v="4"/>
    <n v="46.166666666666664"/>
    <n v="51"/>
    <n v="7.8431372549019605"/>
    <n v="7.8431372549019605"/>
    <n v="55"/>
    <n v="165"/>
    <n v="5"/>
    <x v="5"/>
    <n v="0"/>
    <n v="3595"/>
    <m/>
  </r>
  <r>
    <s v="E097"/>
    <x v="1"/>
    <x v="1"/>
    <d v="2020-07-22T00:00:00"/>
    <d v="2020-08-29T00:00:00"/>
    <d v="2020-09-03T00:00:00"/>
    <d v="2024-05-12T00:00:00"/>
    <x v="1"/>
    <n v="2446"/>
    <s v="Leadership Development"/>
    <x v="1"/>
    <n v="260"/>
    <n v="3"/>
    <x v="1"/>
    <n v="2440"/>
    <n v="38"/>
    <n v="5"/>
    <n v="44.9"/>
    <n v="38"/>
    <n v="13.157894736842104"/>
    <n v="13.157894736842104"/>
    <n v="43"/>
    <n v="160"/>
    <n v="1.153846153846154"/>
    <x v="1"/>
    <n v="0"/>
    <n v="5046"/>
    <m/>
  </r>
  <r>
    <s v="E098"/>
    <x v="1"/>
    <x v="1"/>
    <d v="2021-07-23T00:00:00"/>
    <d v="2021-10-21T00:00:00"/>
    <d v="2021-10-30T00:00:00"/>
    <d v="2024-09-27T00:00:00"/>
    <x v="1"/>
    <n v="2139"/>
    <s v="Communication Skills"/>
    <x v="0"/>
    <n v="260"/>
    <n v="19"/>
    <x v="0"/>
    <n v="1693"/>
    <n v="90"/>
    <n v="9"/>
    <n v="35.43333333333333"/>
    <n v="90"/>
    <n v="10"/>
    <n v="10"/>
    <n v="99"/>
    <n v="104"/>
    <n v="7.3076923076923084"/>
    <x v="2"/>
    <n v="0"/>
    <n v="3936"/>
    <m/>
  </r>
  <r>
    <s v="E099"/>
    <x v="4"/>
    <x v="4"/>
    <d v="2018-05-16T00:00:00"/>
    <d v="2018-08-04T00:00:00"/>
    <d v="2018-08-19T00:00:00"/>
    <s v="-"/>
    <x v="0"/>
    <n v="2965"/>
    <s v="Leadership Development"/>
    <x v="1"/>
    <n v="260"/>
    <n v="18"/>
    <x v="0"/>
    <n v="2259"/>
    <n v="80"/>
    <n v="15"/>
    <n v="77.13333333333334"/>
    <n v="80"/>
    <n v="18.75"/>
    <n v="18.75"/>
    <n v="95"/>
    <n v="183"/>
    <n v="6.9230769230769234"/>
    <x v="5"/>
    <n v="1"/>
    <n v="0"/>
    <m/>
  </r>
  <r>
    <s v="E100"/>
    <x v="2"/>
    <x v="2"/>
    <d v="2020-09-05T00:00:00"/>
    <d v="2020-09-26T00:00:00"/>
    <d v="2020-10-03T00:00:00"/>
    <s v="-"/>
    <x v="0"/>
    <n v="4704"/>
    <s v="Ethics and Responsibilities"/>
    <x v="0"/>
    <n v="260"/>
    <n v="12"/>
    <x v="0"/>
    <n v="2061"/>
    <n v="21"/>
    <n v="7"/>
    <n v="51.266666666666666"/>
    <n v="21"/>
    <n v="33.333333333333329"/>
    <n v="33.333333333333329"/>
    <n v="28"/>
    <n v="178"/>
    <n v="4.6153846153846159"/>
    <x v="1"/>
    <n v="1"/>
    <n v="0"/>
    <m/>
  </r>
  <r>
    <s v="E101"/>
    <x v="3"/>
    <x v="3"/>
    <d v="2021-02-06T00:00:00"/>
    <d v="2021-04-05T00:00:00"/>
    <d v="2021-04-09T00:00:00"/>
    <d v="2024-04-29T00:00:00"/>
    <x v="1"/>
    <n v="4069"/>
    <s v="Communication Skills"/>
    <x v="1"/>
    <n v="260"/>
    <n v="10"/>
    <x v="2"/>
    <n v="1328"/>
    <n v="58"/>
    <n v="4"/>
    <n v="37.200000000000003"/>
    <n v="58"/>
    <n v="6.8965517241379306"/>
    <n v="6.8965517241379306"/>
    <n v="62"/>
    <n v="117"/>
    <n v="3.8461538461538463"/>
    <x v="2"/>
    <n v="0"/>
    <n v="5514"/>
    <m/>
  </r>
  <r>
    <s v="E102"/>
    <x v="4"/>
    <x v="4"/>
    <d v="2022-07-11T00:00:00"/>
    <d v="2022-09-24T00:00:00"/>
    <d v="2022-10-05T00:00:00"/>
    <d v="2024-05-05T00:00:00"/>
    <x v="1"/>
    <n v="4364"/>
    <s v="Conflict Resolution"/>
    <x v="0"/>
    <n v="260"/>
    <n v="5"/>
    <x v="2"/>
    <n v="2149"/>
    <n v="75"/>
    <n v="11"/>
    <n v="19.266666666666666"/>
    <n v="75"/>
    <n v="14.666666666666666"/>
    <n v="14.666666666666666"/>
    <n v="86"/>
    <n v="153"/>
    <n v="1.9230769230769231"/>
    <x v="4"/>
    <n v="0"/>
    <n v="6666"/>
    <m/>
  </r>
  <r>
    <s v="E103"/>
    <x v="2"/>
    <x v="2"/>
    <d v="2021-12-27T00:00:00"/>
    <d v="2022-02-01T00:00:00"/>
    <d v="2022-02-16T00:00:00"/>
    <d v="2023-11-16T00:00:00"/>
    <x v="1"/>
    <n v="2068"/>
    <s v="Leadership Development"/>
    <x v="0"/>
    <n v="260"/>
    <n v="7"/>
    <x v="1"/>
    <n v="1591"/>
    <n v="36"/>
    <n v="15"/>
    <n v="21.266666666666666"/>
    <n v="36"/>
    <n v="41.666666666666671"/>
    <n v="41.666666666666671"/>
    <n v="51"/>
    <n v="116"/>
    <n v="2.6923076923076925"/>
    <x v="4"/>
    <n v="0"/>
    <n v="3775"/>
    <m/>
  </r>
  <r>
    <s v="E104"/>
    <x v="0"/>
    <x v="0"/>
    <d v="2020-05-14T00:00:00"/>
    <d v="2020-06-22T00:00:00"/>
    <d v="2020-06-24T00:00:00"/>
    <s v="-"/>
    <x v="0"/>
    <n v="4813"/>
    <s v="Ethics and Responsibilities"/>
    <x v="1"/>
    <n v="260"/>
    <n v="18"/>
    <x v="1"/>
    <n v="1343"/>
    <n v="39"/>
    <n v="2"/>
    <n v="54.633333333333333"/>
    <n v="39"/>
    <n v="5.1282051282051277"/>
    <n v="5.1282051282051277"/>
    <n v="41"/>
    <n v="107"/>
    <n v="6.9230769230769234"/>
    <x v="1"/>
    <n v="1"/>
    <n v="0"/>
    <m/>
  </r>
  <r>
    <s v="E105"/>
    <x v="4"/>
    <x v="4"/>
    <d v="2018-05-01T00:00:00"/>
    <d v="2018-07-14T00:00:00"/>
    <d v="2018-07-19T00:00:00"/>
    <s v="-"/>
    <x v="0"/>
    <n v="2178"/>
    <s v="Leadership Development"/>
    <x v="0"/>
    <n v="260"/>
    <n v="12"/>
    <x v="0"/>
    <n v="1688"/>
    <n v="74"/>
    <n v="5"/>
    <n v="78.166666666666671"/>
    <n v="74"/>
    <n v="6.756756756756757"/>
    <n v="6.756756756756757"/>
    <n v="79"/>
    <n v="172"/>
    <n v="4.6153846153846159"/>
    <x v="5"/>
    <n v="1"/>
    <n v="0"/>
    <m/>
  </r>
  <r>
    <s v="E106"/>
    <x v="1"/>
    <x v="1"/>
    <d v="2021-02-08T00:00:00"/>
    <d v="2021-05-07T00:00:00"/>
    <d v="2021-05-20T00:00:00"/>
    <s v="-"/>
    <x v="0"/>
    <n v="4766"/>
    <s v="Conflict Resolution"/>
    <x v="1"/>
    <n v="260"/>
    <n v="4"/>
    <x v="0"/>
    <n v="1445"/>
    <n v="88"/>
    <n v="13"/>
    <n v="43.633333333333333"/>
    <n v="88"/>
    <n v="14.772727272727273"/>
    <n v="14.772727272727273"/>
    <n v="101"/>
    <n v="178"/>
    <n v="1.5384615384615385"/>
    <x v="2"/>
    <n v="1"/>
    <n v="0"/>
    <m/>
  </r>
  <r>
    <s v="E107"/>
    <x v="4"/>
    <x v="4"/>
    <d v="2020-09-07T00:00:00"/>
    <d v="2020-12-03T00:00:00"/>
    <d v="2020-12-10T00:00:00"/>
    <s v="-"/>
    <x v="0"/>
    <n v="4030"/>
    <s v="Ethics and Responsibilities"/>
    <x v="1"/>
    <n v="260"/>
    <n v="6"/>
    <x v="0"/>
    <n v="2297"/>
    <n v="87"/>
    <n v="7"/>
    <n v="49"/>
    <n v="87"/>
    <n v="8.0459770114942533"/>
    <n v="8.0459770114942533"/>
    <n v="94"/>
    <n v="155"/>
    <n v="2.3076923076923079"/>
    <x v="1"/>
    <n v="1"/>
    <n v="0"/>
    <m/>
  </r>
  <r>
    <s v="E108"/>
    <x v="3"/>
    <x v="3"/>
    <d v="2021-07-01T00:00:00"/>
    <d v="2021-08-17T00:00:00"/>
    <d v="2021-08-18T00:00:00"/>
    <d v="2021-09-17T00:00:00"/>
    <x v="1"/>
    <n v="2376"/>
    <s v="Advanced Excel Skills "/>
    <x v="1"/>
    <n v="260"/>
    <n v="1"/>
    <x v="0"/>
    <n v="1651"/>
    <n v="47"/>
    <n v="1"/>
    <n v="1"/>
    <n v="47"/>
    <n v="2.1276595744680851"/>
    <n v="2.1276595744680851"/>
    <n v="48"/>
    <n v="189"/>
    <n v="0.38461538461538464"/>
    <x v="2"/>
    <n v="0"/>
    <n v="4216"/>
    <m/>
  </r>
  <r>
    <s v="E109"/>
    <x v="1"/>
    <x v="1"/>
    <d v="2018-01-01T00:00:00"/>
    <d v="2018-03-09T00:00:00"/>
    <d v="2018-03-18T00:00:00"/>
    <s v="-"/>
    <x v="0"/>
    <n v="4173"/>
    <s v="Advanced Excel Skills "/>
    <x v="0"/>
    <n v="260"/>
    <n v="12"/>
    <x v="2"/>
    <n v="1533"/>
    <n v="67"/>
    <n v="9"/>
    <n v="82.266666666666666"/>
    <n v="67"/>
    <n v="13.432835820895523"/>
    <n v="13.432835820895523"/>
    <n v="76"/>
    <n v="115"/>
    <n v="4.6153846153846159"/>
    <x v="5"/>
    <n v="1"/>
    <n v="0"/>
    <m/>
  </r>
  <r>
    <s v="E110"/>
    <x v="4"/>
    <x v="4"/>
    <d v="2020-08-05T00:00:00"/>
    <d v="2020-09-15T00:00:00"/>
    <d v="2020-09-29T00:00:00"/>
    <d v="2023-09-13T00:00:00"/>
    <x v="1"/>
    <n v="1833"/>
    <s v="Communication Skills"/>
    <x v="0"/>
    <n v="260"/>
    <n v="16"/>
    <x v="1"/>
    <n v="1996"/>
    <n v="41"/>
    <n v="14"/>
    <n v="35.966666666666669"/>
    <n v="41"/>
    <n v="34.146341463414636"/>
    <n v="34.146341463414636"/>
    <n v="55"/>
    <n v="151"/>
    <n v="6.1538461538461542"/>
    <x v="1"/>
    <n v="0"/>
    <n v="3980"/>
    <m/>
  </r>
  <r>
    <s v="E111"/>
    <x v="2"/>
    <x v="2"/>
    <d v="2018-03-11T00:00:00"/>
    <d v="2018-05-17T00:00:00"/>
    <d v="2018-05-22T00:00:00"/>
    <d v="2018-10-23T00:00:00"/>
    <x v="1"/>
    <n v="2236"/>
    <s v="Leadership Development"/>
    <x v="0"/>
    <n v="260"/>
    <n v="7"/>
    <x v="1"/>
    <n v="1866"/>
    <n v="67"/>
    <n v="5"/>
    <n v="5.1333333333333337"/>
    <n v="67"/>
    <n v="7.4626865671641784"/>
    <n v="7.4626865671641784"/>
    <n v="72"/>
    <n v="126"/>
    <n v="2.6923076923076925"/>
    <x v="5"/>
    <n v="0"/>
    <n v="4228"/>
    <m/>
  </r>
  <r>
    <s v="E112"/>
    <x v="1"/>
    <x v="1"/>
    <d v="2020-09-06T00:00:00"/>
    <d v="2020-11-11T00:00:00"/>
    <d v="2020-11-21T00:00:00"/>
    <d v="2023-01-11T00:00:00"/>
    <x v="1"/>
    <n v="4682"/>
    <s v="Conflict Resolution"/>
    <x v="0"/>
    <n v="260"/>
    <n v="10"/>
    <x v="0"/>
    <n v="1224"/>
    <n v="66"/>
    <n v="10"/>
    <n v="26.033333333333335"/>
    <n v="66"/>
    <n v="15.151515151515152"/>
    <n v="15.151515151515152"/>
    <n v="76"/>
    <n v="121"/>
    <n v="3.8461538461538463"/>
    <x v="1"/>
    <n v="0"/>
    <n v="6027"/>
    <m/>
  </r>
  <r>
    <s v="E113"/>
    <x v="3"/>
    <x v="3"/>
    <d v="2020-04-05T00:00:00"/>
    <d v="2020-05-07T00:00:00"/>
    <d v="2020-05-17T00:00:00"/>
    <d v="2020-09-11T00:00:00"/>
    <x v="1"/>
    <n v="4472"/>
    <s v="Advanced Excel Skills "/>
    <x v="0"/>
    <n v="260"/>
    <n v="9"/>
    <x v="2"/>
    <n v="2069"/>
    <n v="32"/>
    <n v="10"/>
    <n v="3.9"/>
    <n v="32"/>
    <n v="31.25"/>
    <n v="31.25"/>
    <n v="42"/>
    <n v="174"/>
    <n v="3.4615384615384617"/>
    <x v="1"/>
    <n v="0"/>
    <n v="6715"/>
    <m/>
  </r>
  <r>
    <s v="E114"/>
    <x v="3"/>
    <x v="3"/>
    <d v="2021-09-20T00:00:00"/>
    <d v="2021-11-07T00:00:00"/>
    <d v="2021-11-21T00:00:00"/>
    <d v="2024-08-15T00:00:00"/>
    <x v="1"/>
    <n v="1788"/>
    <s v="Advanced Excel Skills "/>
    <x v="0"/>
    <n v="260"/>
    <n v="4"/>
    <x v="1"/>
    <n v="1894"/>
    <n v="48"/>
    <n v="14"/>
    <n v="33.266666666666666"/>
    <n v="48"/>
    <n v="29.166666666666668"/>
    <n v="29.166666666666668"/>
    <n v="62"/>
    <n v="126"/>
    <n v="1.5384615384615385"/>
    <x v="2"/>
    <n v="0"/>
    <n v="3808"/>
    <m/>
  </r>
  <r>
    <s v="E115"/>
    <x v="1"/>
    <x v="1"/>
    <d v="2020-07-16T00:00:00"/>
    <d v="2020-08-28T00:00:00"/>
    <d v="2020-09-08T00:00:00"/>
    <d v="2022-07-17T00:00:00"/>
    <x v="1"/>
    <n v="2892"/>
    <s v="Communication Skills"/>
    <x v="1"/>
    <n v="260"/>
    <n v="20"/>
    <x v="0"/>
    <n v="1753"/>
    <n v="43"/>
    <n v="11"/>
    <n v="22.566666666666666"/>
    <n v="43"/>
    <n v="25.581395348837212"/>
    <n v="25.581395348837212"/>
    <n v="54"/>
    <n v="138"/>
    <n v="7.6923076923076925"/>
    <x v="1"/>
    <n v="0"/>
    <n v="4783"/>
    <m/>
  </r>
  <r>
    <s v="E116"/>
    <x v="3"/>
    <x v="3"/>
    <d v="2019-12-15T00:00:00"/>
    <d v="2020-01-29T00:00:00"/>
    <d v="2020-02-02T00:00:00"/>
    <d v="2023-12-17T00:00:00"/>
    <x v="1"/>
    <n v="2528"/>
    <s v="Ethics and Responsibilities"/>
    <x v="0"/>
    <n v="260"/>
    <n v="8"/>
    <x v="1"/>
    <n v="2330"/>
    <n v="45"/>
    <n v="4"/>
    <n v="47.133333333333333"/>
    <n v="45"/>
    <n v="8.8888888888888893"/>
    <n v="8.8888888888888893"/>
    <n v="49"/>
    <n v="170"/>
    <n v="3.0769230769230771"/>
    <x v="1"/>
    <n v="0"/>
    <n v="5028"/>
    <m/>
  </r>
  <r>
    <s v="E117"/>
    <x v="2"/>
    <x v="2"/>
    <d v="2021-09-25T00:00:00"/>
    <d v="2021-12-21T00:00:00"/>
    <d v="2022-01-02T00:00:00"/>
    <s v="-"/>
    <x v="0"/>
    <n v="3275"/>
    <s v="Leadership Development"/>
    <x v="0"/>
    <n v="260"/>
    <n v="2"/>
    <x v="1"/>
    <n v="1205"/>
    <n v="87"/>
    <n v="12"/>
    <n v="36.06666666666667"/>
    <n v="87"/>
    <n v="13.793103448275861"/>
    <n v="13.793103448275861"/>
    <n v="99"/>
    <n v="176"/>
    <n v="0.76923076923076927"/>
    <x v="4"/>
    <n v="1"/>
    <n v="0"/>
    <m/>
  </r>
  <r>
    <s v="E118"/>
    <x v="1"/>
    <x v="1"/>
    <d v="2021-01-19T00:00:00"/>
    <d v="2021-03-06T00:00:00"/>
    <d v="2021-03-20T00:00:00"/>
    <d v="2022-05-08T00:00:00"/>
    <x v="1"/>
    <n v="3329"/>
    <s v="Leadership Development"/>
    <x v="0"/>
    <n v="260"/>
    <n v="19"/>
    <x v="0"/>
    <n v="1353"/>
    <n v="46"/>
    <n v="14"/>
    <n v="13.8"/>
    <n v="46"/>
    <n v="30.434782608695656"/>
    <n v="30.434782608695656"/>
    <n v="60"/>
    <n v="107"/>
    <n v="7.3076923076923084"/>
    <x v="2"/>
    <n v="0"/>
    <n v="4789"/>
    <m/>
  </r>
  <r>
    <s v="E119"/>
    <x v="1"/>
    <x v="1"/>
    <d v="2021-11-22T00:00:00"/>
    <d v="2021-12-08T00:00:00"/>
    <d v="2021-12-17T00:00:00"/>
    <d v="2024-09-17T00:00:00"/>
    <x v="1"/>
    <n v="3879"/>
    <s v="Advanced Excel Skills "/>
    <x v="1"/>
    <n v="260"/>
    <n v="11"/>
    <x v="2"/>
    <n v="2041"/>
    <n v="16"/>
    <n v="9"/>
    <n v="33.5"/>
    <n v="16"/>
    <n v="56.25"/>
    <n v="56.25"/>
    <n v="25"/>
    <n v="169"/>
    <n v="4.2307692307692308"/>
    <x v="2"/>
    <n v="0"/>
    <n v="6089"/>
    <m/>
  </r>
  <r>
    <s v="E120"/>
    <x v="4"/>
    <x v="4"/>
    <d v="2018-09-05T00:00:00"/>
    <d v="2018-10-13T00:00:00"/>
    <d v="2018-10-22T00:00:00"/>
    <d v="2021-03-31T00:00:00"/>
    <x v="1"/>
    <n v="3976"/>
    <s v="Conflict Resolution"/>
    <x v="1"/>
    <n v="260"/>
    <n v="0"/>
    <x v="0"/>
    <n v="1850"/>
    <n v="38"/>
    <n v="9"/>
    <n v="29.7"/>
    <n v="38"/>
    <n v="23.684210526315788"/>
    <n v="23.684210526315788"/>
    <n v="47"/>
    <n v="114"/>
    <n v="0"/>
    <x v="5"/>
    <n v="0"/>
    <n v="5940"/>
    <m/>
  </r>
  <r>
    <s v="E121"/>
    <x v="3"/>
    <x v="3"/>
    <d v="2022-03-10T00:00:00"/>
    <d v="2022-05-31T00:00:00"/>
    <d v="2022-06-13T00:00:00"/>
    <s v="-"/>
    <x v="0"/>
    <n v="2452"/>
    <s v="Conflict Resolution"/>
    <x v="0"/>
    <n v="260"/>
    <n v="1"/>
    <x v="2"/>
    <n v="1386"/>
    <n v="82"/>
    <n v="13"/>
    <n v="30.666666666666668"/>
    <n v="82"/>
    <n v="15.853658536585366"/>
    <n v="15.853658536585366"/>
    <n v="95"/>
    <n v="108"/>
    <n v="0.38461538461538464"/>
    <x v="4"/>
    <n v="1"/>
    <n v="0"/>
    <m/>
  </r>
  <r>
    <s v="E122"/>
    <x v="3"/>
    <x v="3"/>
    <d v="2018-02-03T00:00:00"/>
    <d v="2018-05-02T00:00:00"/>
    <d v="2018-05-14T00:00:00"/>
    <d v="2018-10-12T00:00:00"/>
    <x v="1"/>
    <n v="3459"/>
    <s v="Ethics and Responsibilities"/>
    <x v="0"/>
    <n v="260"/>
    <n v="2"/>
    <x v="0"/>
    <n v="2254"/>
    <n v="88"/>
    <n v="12"/>
    <n v="5.0333333333333332"/>
    <n v="88"/>
    <n v="13.636363636363635"/>
    <n v="13.636363636363635"/>
    <n v="100"/>
    <n v="161"/>
    <n v="0.76923076923076927"/>
    <x v="5"/>
    <n v="0"/>
    <n v="5874"/>
    <m/>
  </r>
  <r>
    <s v="E123"/>
    <x v="1"/>
    <x v="1"/>
    <d v="2021-06-22T00:00:00"/>
    <d v="2021-07-19T00:00:00"/>
    <d v="2021-08-02T00:00:00"/>
    <s v="-"/>
    <x v="0"/>
    <n v="3446"/>
    <s v="Leadership Development"/>
    <x v="0"/>
    <n v="260"/>
    <n v="3"/>
    <x v="0"/>
    <n v="2295"/>
    <n v="27"/>
    <n v="14"/>
    <n v="41.166666666666664"/>
    <n v="27"/>
    <n v="51.851851851851848"/>
    <n v="51.851851851851848"/>
    <n v="41"/>
    <n v="177"/>
    <n v="1.153846153846154"/>
    <x v="2"/>
    <n v="1"/>
    <n v="0"/>
    <m/>
  </r>
  <r>
    <s v="E124"/>
    <x v="1"/>
    <x v="1"/>
    <d v="2022-11-02T00:00:00"/>
    <d v="2022-11-23T00:00:00"/>
    <d v="2022-12-03T00:00:00"/>
    <s v="-"/>
    <x v="0"/>
    <n v="1740"/>
    <s v="Ethics and Responsibilities"/>
    <x v="1"/>
    <n v="260"/>
    <n v="5"/>
    <x v="0"/>
    <n v="1927"/>
    <n v="21"/>
    <n v="10"/>
    <n v="24.9"/>
    <n v="21"/>
    <n v="47.619047619047613"/>
    <n v="47.619047619047613"/>
    <n v="31"/>
    <n v="162"/>
    <n v="1.9230769230769231"/>
    <x v="4"/>
    <n v="1"/>
    <n v="0"/>
    <m/>
  </r>
  <r>
    <s v="E125"/>
    <x v="1"/>
    <x v="1"/>
    <d v="2022-03-02T00:00:00"/>
    <d v="2022-04-07T00:00:00"/>
    <d v="2022-04-10T00:00:00"/>
    <s v="-"/>
    <x v="0"/>
    <n v="1521"/>
    <s v="Communication Skills"/>
    <x v="0"/>
    <n v="260"/>
    <n v="14"/>
    <x v="0"/>
    <n v="1971"/>
    <n v="36"/>
    <n v="3"/>
    <n v="32.799999999999997"/>
    <n v="36"/>
    <n v="8.3333333333333321"/>
    <n v="8.3333333333333321"/>
    <n v="39"/>
    <n v="171"/>
    <n v="5.384615384615385"/>
    <x v="4"/>
    <n v="1"/>
    <n v="0"/>
    <m/>
  </r>
  <r>
    <s v="E126"/>
    <x v="4"/>
    <x v="4"/>
    <d v="2019-03-14T00:00:00"/>
    <d v="2019-04-22T00:00:00"/>
    <d v="2019-05-02T00:00:00"/>
    <d v="2023-03-29T00:00:00"/>
    <x v="1"/>
    <n v="1587"/>
    <s v="Communication Skills"/>
    <x v="0"/>
    <n v="260"/>
    <n v="18"/>
    <x v="1"/>
    <n v="1575"/>
    <n v="39"/>
    <n v="10"/>
    <n v="47.56666666666667"/>
    <n v="39"/>
    <n v="25.641025641025639"/>
    <n v="25.641025641025639"/>
    <n v="49"/>
    <n v="109"/>
    <n v="6.9230769230769234"/>
    <x v="0"/>
    <n v="0"/>
    <n v="3271"/>
    <m/>
  </r>
  <r>
    <s v="E127"/>
    <x v="3"/>
    <x v="3"/>
    <d v="2022-08-04T00:00:00"/>
    <d v="2022-10-16T00:00:00"/>
    <d v="2022-10-17T00:00:00"/>
    <d v="2023-11-14T00:00:00"/>
    <x v="1"/>
    <n v="2554"/>
    <s v="Advanced Excel Skills "/>
    <x v="0"/>
    <n v="260"/>
    <n v="11"/>
    <x v="2"/>
    <n v="1637"/>
    <n v="73"/>
    <n v="1"/>
    <n v="13.1"/>
    <n v="73"/>
    <n v="1.3698630136986301"/>
    <n v="1.3698630136986301"/>
    <n v="74"/>
    <n v="199"/>
    <n v="4.2307692307692308"/>
    <x v="4"/>
    <n v="0"/>
    <n v="4390"/>
    <m/>
  </r>
  <r>
    <s v="E128"/>
    <x v="0"/>
    <x v="0"/>
    <d v="2018-10-08T00:00:00"/>
    <d v="2018-11-13T00:00:00"/>
    <d v="2018-11-15T00:00:00"/>
    <d v="2024-09-22T00:00:00"/>
    <x v="1"/>
    <n v="1922"/>
    <s v="Advanced Excel Skills "/>
    <x v="0"/>
    <n v="260"/>
    <n v="10"/>
    <x v="1"/>
    <n v="1574"/>
    <n v="36"/>
    <n v="2"/>
    <n v="71.266666666666666"/>
    <n v="36"/>
    <n v="5.5555555555555554"/>
    <n v="5.5555555555555554"/>
    <n v="38"/>
    <n v="128"/>
    <n v="3.8461538461538463"/>
    <x v="5"/>
    <n v="0"/>
    <n v="3624"/>
    <m/>
  </r>
  <r>
    <s v="E129"/>
    <x v="1"/>
    <x v="1"/>
    <d v="2022-06-03T00:00:00"/>
    <d v="2022-07-02T00:00:00"/>
    <d v="2022-07-12T00:00:00"/>
    <s v="-"/>
    <x v="0"/>
    <n v="4415"/>
    <s v="Advanced Excel Skills "/>
    <x v="0"/>
    <n v="260"/>
    <n v="16"/>
    <x v="0"/>
    <n v="1220"/>
    <n v="29"/>
    <n v="10"/>
    <n v="29.7"/>
    <n v="29"/>
    <n v="34.482758620689658"/>
    <n v="34.482758620689658"/>
    <n v="39"/>
    <n v="178"/>
    <n v="6.1538461538461542"/>
    <x v="4"/>
    <n v="1"/>
    <n v="0"/>
    <m/>
  </r>
  <r>
    <s v="E130"/>
    <x v="3"/>
    <x v="3"/>
    <d v="2018-04-24T00:00:00"/>
    <d v="2018-05-27T00:00:00"/>
    <d v="2018-05-31T00:00:00"/>
    <d v="2020-12-08T00:00:00"/>
    <x v="1"/>
    <n v="3056"/>
    <s v="Leadership Development"/>
    <x v="1"/>
    <n v="260"/>
    <n v="0"/>
    <x v="1"/>
    <n v="2467"/>
    <n v="33"/>
    <n v="4"/>
    <n v="30.733333333333334"/>
    <n v="33"/>
    <n v="12.121212121212121"/>
    <n v="12.121212121212121"/>
    <n v="37"/>
    <n v="188"/>
    <n v="0"/>
    <x v="5"/>
    <n v="0"/>
    <n v="5711"/>
    <m/>
  </r>
  <r>
    <s v="E131"/>
    <x v="0"/>
    <x v="0"/>
    <d v="2022-11-03T00:00:00"/>
    <d v="2023-01-01T00:00:00"/>
    <d v="2023-01-15T00:00:00"/>
    <d v="2023-05-23T00:00:00"/>
    <x v="1"/>
    <n v="4496"/>
    <s v="Communication Skills"/>
    <x v="0"/>
    <n v="260"/>
    <n v="0"/>
    <x v="1"/>
    <n v="1326"/>
    <n v="59"/>
    <n v="14"/>
    <n v="4.2666666666666666"/>
    <n v="59"/>
    <n v="23.728813559322035"/>
    <n v="23.728813559322035"/>
    <n v="73"/>
    <n v="141"/>
    <n v="0"/>
    <x v="3"/>
    <n v="0"/>
    <n v="5963"/>
    <m/>
  </r>
  <r>
    <s v="E132"/>
    <x v="1"/>
    <x v="1"/>
    <d v="2020-09-14T00:00:00"/>
    <d v="2020-11-17T00:00:00"/>
    <d v="2020-11-29T00:00:00"/>
    <d v="2023-08-13T00:00:00"/>
    <x v="1"/>
    <n v="2108"/>
    <s v="Conflict Resolution"/>
    <x v="1"/>
    <n v="260"/>
    <n v="16"/>
    <x v="0"/>
    <n v="1557"/>
    <n v="64"/>
    <n v="12"/>
    <n v="32.9"/>
    <n v="64"/>
    <n v="18.75"/>
    <n v="18.75"/>
    <n v="76"/>
    <n v="134"/>
    <n v="6.1538461538461542"/>
    <x v="1"/>
    <n v="0"/>
    <n v="3799"/>
    <m/>
  </r>
  <r>
    <s v="E133"/>
    <x v="1"/>
    <x v="1"/>
    <d v="2022-09-03T00:00:00"/>
    <d v="2022-11-24T00:00:00"/>
    <d v="2022-11-29T00:00:00"/>
    <s v="-"/>
    <x v="0"/>
    <n v="3664"/>
    <s v="Ethics and Responsibilities"/>
    <x v="0"/>
    <n v="260"/>
    <n v="13"/>
    <x v="1"/>
    <n v="1419"/>
    <n v="82"/>
    <n v="5"/>
    <n v="25.033333333333335"/>
    <n v="82"/>
    <n v="6.0975609756097562"/>
    <n v="6.0975609756097562"/>
    <n v="87"/>
    <n v="161"/>
    <n v="5"/>
    <x v="4"/>
    <n v="1"/>
    <n v="0"/>
    <m/>
  </r>
  <r>
    <s v="E134"/>
    <x v="2"/>
    <x v="2"/>
    <d v="2020-04-05T00:00:00"/>
    <d v="2020-05-06T00:00:00"/>
    <d v="2020-05-15T00:00:00"/>
    <d v="2024-03-25T00:00:00"/>
    <x v="1"/>
    <n v="4196"/>
    <s v="Conflict Resolution"/>
    <x v="0"/>
    <n v="260"/>
    <n v="14"/>
    <x v="1"/>
    <n v="1690"/>
    <n v="31"/>
    <n v="9"/>
    <n v="47"/>
    <n v="31"/>
    <n v="29.032258064516132"/>
    <n v="29.032258064516132"/>
    <n v="40"/>
    <n v="108"/>
    <n v="5.384615384615385"/>
    <x v="1"/>
    <n v="0"/>
    <n v="5994"/>
    <m/>
  </r>
  <r>
    <s v="E135"/>
    <x v="2"/>
    <x v="2"/>
    <d v="2021-10-28T00:00:00"/>
    <d v="2021-11-30T00:00:00"/>
    <d v="2021-12-11T00:00:00"/>
    <d v="2024-11-30T00:00:00"/>
    <x v="1"/>
    <n v="4550"/>
    <s v="Conflict Resolution"/>
    <x v="0"/>
    <n v="260"/>
    <n v="1"/>
    <x v="1"/>
    <n v="2315"/>
    <n v="33"/>
    <n v="11"/>
    <n v="36.166666666666664"/>
    <n v="33"/>
    <n v="33.333333333333329"/>
    <n v="33.333333333333329"/>
    <n v="44"/>
    <n v="179"/>
    <n v="0.38461538461538464"/>
    <x v="2"/>
    <n v="0"/>
    <n v="7044"/>
    <m/>
  </r>
  <r>
    <s v="E136"/>
    <x v="0"/>
    <x v="0"/>
    <d v="2019-08-16T00:00:00"/>
    <d v="2019-09-10T00:00:00"/>
    <d v="2019-09-12T00:00:00"/>
    <d v="2020-04-17T00:00:00"/>
    <x v="1"/>
    <n v="2250"/>
    <s v="Conflict Resolution"/>
    <x v="0"/>
    <n v="260"/>
    <n v="14"/>
    <x v="2"/>
    <n v="1929"/>
    <n v="25"/>
    <n v="2"/>
    <n v="7.2666666666666666"/>
    <n v="25"/>
    <n v="8"/>
    <n v="8"/>
    <n v="27"/>
    <n v="158"/>
    <n v="5.384615384615385"/>
    <x v="0"/>
    <n v="0"/>
    <n v="4337"/>
    <m/>
  </r>
  <r>
    <s v="E137"/>
    <x v="1"/>
    <x v="1"/>
    <d v="2019-03-23T00:00:00"/>
    <d v="2019-06-19T00:00:00"/>
    <d v="2019-06-22T00:00:00"/>
    <d v="2024-12-19T00:00:00"/>
    <x v="1"/>
    <n v="3157"/>
    <s v="Conflict Resolution"/>
    <x v="1"/>
    <n v="260"/>
    <n v="0"/>
    <x v="0"/>
    <n v="1822"/>
    <n v="88"/>
    <n v="3"/>
    <n v="66.900000000000006"/>
    <n v="88"/>
    <n v="3.4090909090909087"/>
    <n v="3.4090909090909087"/>
    <n v="91"/>
    <n v="165"/>
    <n v="0"/>
    <x v="0"/>
    <n v="0"/>
    <n v="5144"/>
    <m/>
  </r>
  <r>
    <s v="E138"/>
    <x v="4"/>
    <x v="4"/>
    <d v="2020-11-25T00:00:00"/>
    <d v="2021-01-27T00:00:00"/>
    <d v="2021-01-29T00:00:00"/>
    <s v="-"/>
    <x v="0"/>
    <n v="3391"/>
    <s v="Advanced Excel Skills "/>
    <x v="0"/>
    <n v="260"/>
    <n v="4"/>
    <x v="1"/>
    <n v="1440"/>
    <n v="63"/>
    <n v="2"/>
    <n v="47.333333333333336"/>
    <n v="63"/>
    <n v="3.1746031746031744"/>
    <n v="3.1746031746031744"/>
    <n v="65"/>
    <n v="137"/>
    <n v="1.5384615384615385"/>
    <x v="2"/>
    <n v="1"/>
    <n v="0"/>
    <m/>
  </r>
  <r>
    <s v="E139"/>
    <x v="0"/>
    <x v="0"/>
    <d v="2021-02-22T00:00:00"/>
    <d v="2021-04-11T00:00:00"/>
    <d v="2021-04-13T00:00:00"/>
    <s v="-"/>
    <x v="0"/>
    <n v="2125"/>
    <s v="Advanced Excel Skills "/>
    <x v="1"/>
    <n v="260"/>
    <n v="7"/>
    <x v="2"/>
    <n v="1336"/>
    <n v="48"/>
    <n v="2"/>
    <n v="44.866666666666667"/>
    <n v="48"/>
    <n v="4.1666666666666661"/>
    <n v="4.1666666666666661"/>
    <n v="50"/>
    <n v="113"/>
    <n v="2.6923076923076925"/>
    <x v="2"/>
    <n v="1"/>
    <n v="0"/>
    <m/>
  </r>
  <r>
    <s v="E140"/>
    <x v="4"/>
    <x v="4"/>
    <d v="2020-01-28T00:00:00"/>
    <d v="2020-03-15T00:00:00"/>
    <d v="2020-03-16T00:00:00"/>
    <d v="2022-10-21T00:00:00"/>
    <x v="1"/>
    <n v="4059"/>
    <s v="Leadership Development"/>
    <x v="1"/>
    <n v="260"/>
    <n v="15"/>
    <x v="2"/>
    <n v="1965"/>
    <n v="47"/>
    <n v="1"/>
    <n v="31.633333333333333"/>
    <n v="47"/>
    <n v="2.1276595744680851"/>
    <n v="2.1276595744680851"/>
    <n v="48"/>
    <n v="184"/>
    <n v="5.7692307692307692"/>
    <x v="1"/>
    <n v="0"/>
    <n v="6208"/>
    <m/>
  </r>
  <r>
    <s v="E141"/>
    <x v="2"/>
    <x v="2"/>
    <d v="2022-03-02T00:00:00"/>
    <d v="2022-05-19T00:00:00"/>
    <d v="2022-05-25T00:00:00"/>
    <s v="-"/>
    <x v="0"/>
    <n v="4867"/>
    <s v="Ethics and Responsibilities"/>
    <x v="0"/>
    <n v="260"/>
    <n v="0"/>
    <x v="2"/>
    <n v="2310"/>
    <n v="78"/>
    <n v="6"/>
    <n v="31.3"/>
    <n v="78"/>
    <n v="7.6923076923076925"/>
    <n v="7.6923076923076925"/>
    <n v="84"/>
    <n v="151"/>
    <n v="0"/>
    <x v="4"/>
    <n v="1"/>
    <n v="0"/>
    <m/>
  </r>
  <r>
    <s v="E142"/>
    <x v="4"/>
    <x v="4"/>
    <d v="2019-08-03T00:00:00"/>
    <d v="2019-09-05T00:00:00"/>
    <d v="2019-09-06T00:00:00"/>
    <d v="2021-12-24T00:00:00"/>
    <x v="1"/>
    <n v="2260"/>
    <s v="Communication Skills"/>
    <x v="0"/>
    <n v="260"/>
    <n v="17"/>
    <x v="2"/>
    <n v="1944"/>
    <n v="33"/>
    <n v="1"/>
    <n v="28"/>
    <n v="33"/>
    <n v="3.0303030303030303"/>
    <n v="3.0303030303030303"/>
    <n v="34"/>
    <n v="106"/>
    <n v="6.5384615384615392"/>
    <x v="0"/>
    <n v="0"/>
    <n v="4310"/>
    <m/>
  </r>
  <r>
    <s v="E143"/>
    <x v="3"/>
    <x v="3"/>
    <d v="2020-09-26T00:00:00"/>
    <d v="2020-11-03T00:00:00"/>
    <d v="2020-11-12T00:00:00"/>
    <d v="2023-01-16T00:00:00"/>
    <x v="1"/>
    <n v="1879"/>
    <s v="Ethics and Responsibilities"/>
    <x v="0"/>
    <n v="260"/>
    <n v="16"/>
    <x v="1"/>
    <n v="2003"/>
    <n v="38"/>
    <n v="9"/>
    <n v="26.5"/>
    <n v="38"/>
    <n v="23.684210526315788"/>
    <n v="23.684210526315788"/>
    <n v="47"/>
    <n v="137"/>
    <n v="6.1538461538461542"/>
    <x v="1"/>
    <n v="0"/>
    <n v="4019"/>
    <m/>
  </r>
  <r>
    <s v="E144"/>
    <x v="0"/>
    <x v="0"/>
    <d v="2020-11-17T00:00:00"/>
    <d v="2020-12-14T00:00:00"/>
    <d v="2020-12-20T00:00:00"/>
    <s v="-"/>
    <x v="0"/>
    <n v="2259"/>
    <s v="Advanced Excel Skills "/>
    <x v="0"/>
    <n v="260"/>
    <n v="8"/>
    <x v="2"/>
    <n v="2347"/>
    <n v="27"/>
    <n v="6"/>
    <n v="48.666666666666664"/>
    <n v="27"/>
    <n v="22.222222222222221"/>
    <n v="22.222222222222221"/>
    <n v="33"/>
    <n v="165"/>
    <n v="3.0769230769230771"/>
    <x v="1"/>
    <n v="1"/>
    <n v="0"/>
    <m/>
  </r>
  <r>
    <s v="E145"/>
    <x v="2"/>
    <x v="2"/>
    <d v="2018-04-02T00:00:00"/>
    <d v="2018-06-20T00:00:00"/>
    <d v="2018-07-01T00:00:00"/>
    <d v="2022-11-13T00:00:00"/>
    <x v="1"/>
    <n v="3635"/>
    <s v="Advanced Excel Skills "/>
    <x v="1"/>
    <n v="260"/>
    <n v="18"/>
    <x v="1"/>
    <n v="2274"/>
    <n v="79"/>
    <n v="11"/>
    <n v="53.2"/>
    <n v="79"/>
    <n v="13.924050632911392"/>
    <n v="13.924050632911392"/>
    <n v="90"/>
    <n v="101"/>
    <n v="6.9230769230769234"/>
    <x v="5"/>
    <n v="0"/>
    <n v="6010"/>
    <m/>
  </r>
  <r>
    <s v="E146"/>
    <x v="3"/>
    <x v="3"/>
    <d v="2022-03-02T00:00:00"/>
    <d v="2022-05-16T00:00:00"/>
    <d v="2022-05-19T00:00:00"/>
    <s v="-"/>
    <x v="0"/>
    <n v="3997"/>
    <s v="Conflict Resolution"/>
    <x v="0"/>
    <n v="260"/>
    <n v="4"/>
    <x v="1"/>
    <n v="1207"/>
    <n v="75"/>
    <n v="3"/>
    <n v="31.5"/>
    <n v="75"/>
    <n v="4"/>
    <n v="4"/>
    <n v="78"/>
    <n v="116"/>
    <n v="1.5384615384615385"/>
    <x v="4"/>
    <n v="1"/>
    <n v="0"/>
    <m/>
  </r>
  <r>
    <s v="E147"/>
    <x v="4"/>
    <x v="4"/>
    <d v="2020-04-26T00:00:00"/>
    <d v="2020-05-12T00:00:00"/>
    <d v="2020-05-13T00:00:00"/>
    <d v="2022-06-07T00:00:00"/>
    <x v="1"/>
    <n v="3932"/>
    <s v="Communication Skills"/>
    <x v="0"/>
    <n v="260"/>
    <n v="11"/>
    <x v="2"/>
    <n v="1263"/>
    <n v="16"/>
    <n v="1"/>
    <n v="25.166666666666668"/>
    <n v="16"/>
    <n v="6.25"/>
    <n v="6.25"/>
    <n v="17"/>
    <n v="115"/>
    <n v="4.2307692307692308"/>
    <x v="1"/>
    <n v="0"/>
    <n v="5310"/>
    <m/>
  </r>
  <r>
    <s v="E148"/>
    <x v="4"/>
    <x v="4"/>
    <d v="2021-03-26T00:00:00"/>
    <d v="2021-06-01T00:00:00"/>
    <d v="2021-06-12T00:00:00"/>
    <s v="-"/>
    <x v="0"/>
    <n v="4319"/>
    <s v="Advanced Excel Skills "/>
    <x v="0"/>
    <n v="260"/>
    <n v="7"/>
    <x v="0"/>
    <n v="1250"/>
    <n v="67"/>
    <n v="11"/>
    <n v="42.866666666666667"/>
    <n v="67"/>
    <n v="16.417910447761194"/>
    <n v="16.417910447761194"/>
    <n v="78"/>
    <n v="103"/>
    <n v="2.6923076923076925"/>
    <x v="2"/>
    <n v="1"/>
    <n v="0"/>
    <m/>
  </r>
  <r>
    <s v="E149"/>
    <x v="3"/>
    <x v="3"/>
    <d v="2020-11-08T00:00:00"/>
    <d v="2020-12-29T00:00:00"/>
    <d v="2020-12-30T00:00:00"/>
    <s v="-"/>
    <x v="0"/>
    <n v="3631"/>
    <s v="Communication Skills"/>
    <x v="0"/>
    <n v="260"/>
    <n v="10"/>
    <x v="2"/>
    <n v="1547"/>
    <n v="51"/>
    <n v="1"/>
    <n v="48.333333333333336"/>
    <n v="51"/>
    <n v="1.9607843137254901"/>
    <n v="1.9607843137254901"/>
    <n v="52"/>
    <n v="143"/>
    <n v="3.8461538461538463"/>
    <x v="1"/>
    <n v="1"/>
    <n v="0"/>
    <m/>
  </r>
  <r>
    <s v="E150"/>
    <x v="4"/>
    <x v="4"/>
    <d v="2018-06-12T00:00:00"/>
    <d v="2018-08-21T00:00:00"/>
    <d v="2018-08-22T00:00:00"/>
    <d v="2023-03-09T00:00:00"/>
    <x v="1"/>
    <n v="4105"/>
    <s v="Leadership Development"/>
    <x v="0"/>
    <n v="260"/>
    <n v="8"/>
    <x v="1"/>
    <n v="2130"/>
    <n v="70"/>
    <n v="1"/>
    <n v="55.333333333333336"/>
    <n v="70"/>
    <n v="1.4285714285714286"/>
    <n v="1.4285714285714286"/>
    <n v="71"/>
    <n v="138"/>
    <n v="3.0769230769230771"/>
    <x v="5"/>
    <n v="0"/>
    <n v="6373"/>
    <m/>
  </r>
  <r>
    <s v="E151"/>
    <x v="0"/>
    <x v="0"/>
    <d v="2022-01-28T00:00:00"/>
    <d v="2022-04-24T00:00:00"/>
    <d v="2022-05-03T00:00:00"/>
    <s v="-"/>
    <x v="0"/>
    <n v="3613"/>
    <s v="Conflict Resolution"/>
    <x v="1"/>
    <n v="260"/>
    <n v="4"/>
    <x v="2"/>
    <n v="1609"/>
    <n v="86"/>
    <n v="9"/>
    <n v="32.033333333333331"/>
    <n v="86"/>
    <n v="10.465116279069768"/>
    <n v="10.465116279069768"/>
    <n v="95"/>
    <n v="139"/>
    <n v="1.5384615384615385"/>
    <x v="4"/>
    <n v="1"/>
    <n v="0"/>
    <m/>
  </r>
  <r>
    <s v="E152"/>
    <x v="1"/>
    <x v="1"/>
    <d v="2022-03-20T00:00:00"/>
    <d v="2022-05-22T00:00:00"/>
    <d v="2022-05-29T00:00:00"/>
    <s v="-"/>
    <x v="0"/>
    <n v="4386"/>
    <s v="Leadership Development"/>
    <x v="0"/>
    <n v="260"/>
    <n v="20"/>
    <x v="2"/>
    <n v="1597"/>
    <n v="63"/>
    <n v="7"/>
    <n v="31.166666666666668"/>
    <n v="63"/>
    <n v="11.111111111111111"/>
    <n v="11.111111111111111"/>
    <n v="70"/>
    <n v="123"/>
    <n v="7.6923076923076925"/>
    <x v="4"/>
    <n v="1"/>
    <n v="0"/>
    <m/>
  </r>
  <r>
    <s v="E153"/>
    <x v="1"/>
    <x v="1"/>
    <d v="2021-06-16T00:00:00"/>
    <d v="2021-08-18T00:00:00"/>
    <d v="2021-08-19T00:00:00"/>
    <s v="-"/>
    <x v="0"/>
    <n v="4260"/>
    <s v="Leadership Development"/>
    <x v="0"/>
    <n v="260"/>
    <n v="1"/>
    <x v="2"/>
    <n v="2067"/>
    <n v="63"/>
    <n v="1"/>
    <n v="40.6"/>
    <n v="63"/>
    <n v="1.5873015873015872"/>
    <n v="1.5873015873015872"/>
    <n v="64"/>
    <n v="167"/>
    <n v="0.38461538461538464"/>
    <x v="2"/>
    <n v="1"/>
    <n v="0"/>
    <m/>
  </r>
  <r>
    <s v="E154"/>
    <x v="2"/>
    <x v="2"/>
    <d v="2021-11-05T00:00:00"/>
    <d v="2022-01-27T00:00:00"/>
    <d v="2022-02-10T00:00:00"/>
    <d v="2023-11-11T00:00:00"/>
    <x v="1"/>
    <n v="1829"/>
    <s v="Advanced Excel Skills "/>
    <x v="0"/>
    <n v="260"/>
    <n v="17"/>
    <x v="0"/>
    <n v="1533"/>
    <n v="83"/>
    <n v="14"/>
    <n v="21.3"/>
    <n v="83"/>
    <n v="16.867469879518072"/>
    <n v="16.867469879518072"/>
    <n v="97"/>
    <n v="102"/>
    <n v="6.5384615384615392"/>
    <x v="4"/>
    <n v="0"/>
    <n v="3464"/>
    <m/>
  </r>
  <r>
    <s v="E155"/>
    <x v="1"/>
    <x v="1"/>
    <d v="2022-03-26T00:00:00"/>
    <d v="2022-04-15T00:00:00"/>
    <d v="2022-04-26T00:00:00"/>
    <d v="2022-10-11T00:00:00"/>
    <x v="1"/>
    <n v="2782"/>
    <s v="Conflict Resolution"/>
    <x v="0"/>
    <n v="260"/>
    <n v="4"/>
    <x v="2"/>
    <n v="1344"/>
    <n v="20"/>
    <n v="11"/>
    <n v="5.6"/>
    <n v="20"/>
    <n v="55.000000000000007"/>
    <n v="55.000000000000007"/>
    <n v="31"/>
    <n v="170"/>
    <n v="1.5384615384615385"/>
    <x v="4"/>
    <n v="0"/>
    <n v="4296"/>
    <m/>
  </r>
  <r>
    <s v="E156"/>
    <x v="2"/>
    <x v="2"/>
    <d v="2019-04-25T00:00:00"/>
    <d v="2019-05-16T00:00:00"/>
    <d v="2019-05-18T00:00:00"/>
    <s v="-"/>
    <x v="0"/>
    <n v="4053"/>
    <s v="Conflict Resolution"/>
    <x v="0"/>
    <n v="260"/>
    <n v="4"/>
    <x v="0"/>
    <n v="2035"/>
    <n v="21"/>
    <n v="2"/>
    <n v="68.066666666666663"/>
    <n v="21"/>
    <n v="9.5238095238095237"/>
    <n v="9.5238095238095237"/>
    <n v="23"/>
    <n v="107"/>
    <n v="1.5384615384615385"/>
    <x v="0"/>
    <n v="1"/>
    <n v="0"/>
    <m/>
  </r>
  <r>
    <s v="E157"/>
    <x v="3"/>
    <x v="3"/>
    <d v="2020-03-03T00:00:00"/>
    <d v="2020-04-01T00:00:00"/>
    <d v="2020-04-12T00:00:00"/>
    <d v="2022-01-26T00:00:00"/>
    <x v="1"/>
    <n v="1677"/>
    <s v="Leadership Development"/>
    <x v="1"/>
    <n v="260"/>
    <n v="10"/>
    <x v="1"/>
    <n v="1308"/>
    <n v="29"/>
    <n v="11"/>
    <n v="21.8"/>
    <n v="29"/>
    <n v="37.931034482758619"/>
    <n v="37.931034482758619"/>
    <n v="40"/>
    <n v="147"/>
    <n v="3.8461538461538463"/>
    <x v="1"/>
    <n v="0"/>
    <n v="3132"/>
    <m/>
  </r>
  <r>
    <s v="E158"/>
    <x v="1"/>
    <x v="1"/>
    <d v="2021-05-03T00:00:00"/>
    <d v="2021-06-29T00:00:00"/>
    <d v="2021-07-03T00:00:00"/>
    <s v="-"/>
    <x v="0"/>
    <n v="4938"/>
    <s v="Advanced Excel Skills "/>
    <x v="0"/>
    <n v="260"/>
    <n v="11"/>
    <x v="2"/>
    <n v="1531"/>
    <n v="57"/>
    <n v="4"/>
    <n v="42.166666666666664"/>
    <n v="57"/>
    <n v="7.0175438596491224"/>
    <n v="7.0175438596491224"/>
    <n v="61"/>
    <n v="175"/>
    <n v="4.2307692307692308"/>
    <x v="2"/>
    <n v="1"/>
    <n v="0"/>
    <m/>
  </r>
  <r>
    <s v="E159"/>
    <x v="0"/>
    <x v="0"/>
    <d v="2022-05-16T00:00:00"/>
    <d v="2022-07-11T00:00:00"/>
    <d v="2022-07-24T00:00:00"/>
    <d v="2023-03-13T00:00:00"/>
    <x v="1"/>
    <n v="2204"/>
    <s v="Communication Skills"/>
    <x v="0"/>
    <n v="260"/>
    <n v="19"/>
    <x v="2"/>
    <n v="1287"/>
    <n v="56"/>
    <n v="13"/>
    <n v="7.7333333333333334"/>
    <n v="56"/>
    <n v="23.214285714285715"/>
    <n v="23.214285714285715"/>
    <n v="69"/>
    <n v="123"/>
    <n v="7.3076923076923084"/>
    <x v="4"/>
    <n v="0"/>
    <n v="3614"/>
    <m/>
  </r>
  <r>
    <s v="E160"/>
    <x v="3"/>
    <x v="3"/>
    <d v="2019-12-09T00:00:00"/>
    <d v="2020-02-20T00:00:00"/>
    <d v="2020-03-02T00:00:00"/>
    <d v="2024-10-26T00:00:00"/>
    <x v="1"/>
    <n v="1878"/>
    <s v="Communication Skills"/>
    <x v="0"/>
    <n v="260"/>
    <n v="1"/>
    <x v="0"/>
    <n v="2049"/>
    <n v="73"/>
    <n v="11"/>
    <n v="56.633333333333333"/>
    <n v="73"/>
    <n v="15.068493150684931"/>
    <n v="15.068493150684931"/>
    <n v="84"/>
    <n v="105"/>
    <n v="0.38461538461538464"/>
    <x v="1"/>
    <n v="0"/>
    <n v="4032"/>
    <m/>
  </r>
  <r>
    <s v="E161"/>
    <x v="4"/>
    <x v="4"/>
    <d v="2022-01-16T00:00:00"/>
    <d v="2022-03-27T00:00:00"/>
    <d v="2022-04-07T00:00:00"/>
    <d v="2022-07-13T00:00:00"/>
    <x v="1"/>
    <n v="2070"/>
    <s v="Ethics and Responsibilities"/>
    <x v="0"/>
    <n v="260"/>
    <n v="11"/>
    <x v="0"/>
    <n v="1816"/>
    <n v="70"/>
    <n v="11"/>
    <n v="3.2333333333333334"/>
    <n v="70"/>
    <n v="15.714285714285714"/>
    <n v="15.714285714285714"/>
    <n v="81"/>
    <n v="177"/>
    <n v="4.2307692307692308"/>
    <x v="4"/>
    <n v="0"/>
    <n v="4063"/>
    <m/>
  </r>
  <r>
    <s v="E162"/>
    <x v="1"/>
    <x v="1"/>
    <d v="2022-01-09T00:00:00"/>
    <d v="2022-03-13T00:00:00"/>
    <d v="2022-03-19T00:00:00"/>
    <s v="-"/>
    <x v="0"/>
    <n v="2598"/>
    <s v="Ethics and Responsibilities"/>
    <x v="0"/>
    <n v="260"/>
    <n v="15"/>
    <x v="0"/>
    <n v="1852"/>
    <n v="63"/>
    <n v="6"/>
    <n v="33.533333333333331"/>
    <n v="63"/>
    <n v="9.5238095238095237"/>
    <n v="9.5238095238095237"/>
    <n v="69"/>
    <n v="176"/>
    <n v="5.7692307692307692"/>
    <x v="4"/>
    <n v="1"/>
    <n v="0"/>
    <m/>
  </r>
  <r>
    <s v="E163"/>
    <x v="4"/>
    <x v="4"/>
    <d v="2019-12-05T00:00:00"/>
    <d v="2019-12-24T00:00:00"/>
    <d v="2020-01-05T00:00:00"/>
    <d v="2021-02-09T00:00:00"/>
    <x v="1"/>
    <n v="1552"/>
    <s v="Conflict Resolution"/>
    <x v="1"/>
    <n v="260"/>
    <n v="20"/>
    <x v="1"/>
    <n v="2247"/>
    <n v="19"/>
    <n v="12"/>
    <n v="13.366666666666667"/>
    <n v="19"/>
    <n v="63.157894736842103"/>
    <n v="63.157894736842103"/>
    <n v="31"/>
    <n v="111"/>
    <n v="7.6923076923076925"/>
    <x v="1"/>
    <n v="0"/>
    <n v="3910"/>
    <m/>
  </r>
  <r>
    <s v="E164"/>
    <x v="0"/>
    <x v="0"/>
    <d v="2018-08-21T00:00:00"/>
    <d v="2018-10-14T00:00:00"/>
    <d v="2018-10-25T00:00:00"/>
    <s v="-"/>
    <x v="0"/>
    <n v="2058"/>
    <s v="Ethics and Responsibilities"/>
    <x v="1"/>
    <n v="260"/>
    <n v="15"/>
    <x v="0"/>
    <n v="1913"/>
    <n v="54"/>
    <n v="11"/>
    <n v="74.900000000000006"/>
    <n v="54"/>
    <n v="20.37037037037037"/>
    <n v="20.37037037037037"/>
    <n v="65"/>
    <n v="115"/>
    <n v="5.7692307692307692"/>
    <x v="5"/>
    <n v="1"/>
    <n v="0"/>
    <m/>
  </r>
  <r>
    <s v="E165"/>
    <x v="0"/>
    <x v="0"/>
    <d v="2020-09-24T00:00:00"/>
    <d v="2020-11-08T00:00:00"/>
    <d v="2020-11-16T00:00:00"/>
    <d v="2024-09-06T00:00:00"/>
    <x v="1"/>
    <n v="3600"/>
    <s v="Advanced Excel Skills "/>
    <x v="0"/>
    <n v="260"/>
    <n v="6"/>
    <x v="1"/>
    <n v="1740"/>
    <n v="45"/>
    <n v="8"/>
    <n v="46.333333333333336"/>
    <n v="45"/>
    <n v="17.777777777777779"/>
    <n v="17.777777777777779"/>
    <n v="53"/>
    <n v="111"/>
    <n v="2.3076923076923079"/>
    <x v="1"/>
    <n v="0"/>
    <n v="5451"/>
    <m/>
  </r>
  <r>
    <s v="E166"/>
    <x v="4"/>
    <x v="4"/>
    <d v="2018-02-09T00:00:00"/>
    <d v="2018-03-07T00:00:00"/>
    <d v="2018-03-15T00:00:00"/>
    <d v="2019-12-18T00:00:00"/>
    <x v="1"/>
    <n v="1635"/>
    <s v="Ethics and Responsibilities"/>
    <x v="1"/>
    <n v="260"/>
    <n v="6"/>
    <x v="2"/>
    <n v="2326"/>
    <n v="26"/>
    <n v="8"/>
    <n v="21.433333333333334"/>
    <n v="26"/>
    <n v="30.76923076923077"/>
    <n v="30.76923076923077"/>
    <n v="34"/>
    <n v="165"/>
    <n v="2.3076923076923079"/>
    <x v="5"/>
    <n v="0"/>
    <n v="4126"/>
    <m/>
  </r>
  <r>
    <s v="E167"/>
    <x v="2"/>
    <x v="2"/>
    <d v="2018-06-17T00:00:00"/>
    <d v="2018-08-05T00:00:00"/>
    <d v="2018-08-06T00:00:00"/>
    <d v="2021-02-04T00:00:00"/>
    <x v="1"/>
    <n v="4840"/>
    <s v="Advanced Excel Skills "/>
    <x v="0"/>
    <n v="260"/>
    <n v="6"/>
    <x v="0"/>
    <n v="2171"/>
    <n v="49"/>
    <n v="1"/>
    <n v="30.433333333333334"/>
    <n v="49"/>
    <n v="2.0408163265306123"/>
    <n v="2.0408163265306123"/>
    <n v="50"/>
    <n v="124"/>
    <n v="2.3076923076923079"/>
    <x v="5"/>
    <n v="0"/>
    <n v="7135"/>
    <m/>
  </r>
  <r>
    <s v="E168"/>
    <x v="1"/>
    <x v="1"/>
    <d v="2019-04-09T00:00:00"/>
    <d v="2019-05-17T00:00:00"/>
    <d v="2019-05-30T00:00:00"/>
    <d v="2023-12-12T00:00:00"/>
    <x v="1"/>
    <n v="4579"/>
    <s v="Conflict Resolution"/>
    <x v="0"/>
    <n v="260"/>
    <n v="2"/>
    <x v="1"/>
    <n v="1851"/>
    <n v="38"/>
    <n v="13"/>
    <n v="55.233333333333334"/>
    <n v="38"/>
    <n v="34.210526315789473"/>
    <n v="34.210526315789473"/>
    <n v="51"/>
    <n v="121"/>
    <n v="0.76923076923076927"/>
    <x v="0"/>
    <n v="0"/>
    <n v="6551"/>
    <m/>
  </r>
  <r>
    <s v="E169"/>
    <x v="2"/>
    <x v="2"/>
    <d v="2020-09-25T00:00:00"/>
    <d v="2020-12-16T00:00:00"/>
    <d v="2020-12-24T00:00:00"/>
    <d v="2021-02-12T00:00:00"/>
    <x v="1"/>
    <n v="4251"/>
    <s v="Communication Skills"/>
    <x v="0"/>
    <n v="260"/>
    <n v="3"/>
    <x v="1"/>
    <n v="2344"/>
    <n v="82"/>
    <n v="8"/>
    <n v="1.6666666666666667"/>
    <n v="82"/>
    <n v="9.7560975609756095"/>
    <n v="9.7560975609756095"/>
    <n v="90"/>
    <n v="119"/>
    <n v="1.153846153846154"/>
    <x v="1"/>
    <n v="0"/>
    <n v="6714"/>
    <m/>
  </r>
  <r>
    <s v="E170"/>
    <x v="0"/>
    <x v="0"/>
    <d v="2022-10-15T00:00:00"/>
    <d v="2022-12-17T00:00:00"/>
    <d v="2022-12-29T00:00:00"/>
    <d v="2023-12-16T00:00:00"/>
    <x v="1"/>
    <n v="4338"/>
    <s v="Communication Skills"/>
    <x v="1"/>
    <n v="260"/>
    <n v="10"/>
    <x v="1"/>
    <n v="1227"/>
    <n v="63"/>
    <n v="12"/>
    <n v="11.733333333333333"/>
    <n v="63"/>
    <n v="19.047619047619047"/>
    <n v="19.047619047619047"/>
    <n v="75"/>
    <n v="169"/>
    <n v="3.8461538461538463"/>
    <x v="4"/>
    <n v="0"/>
    <n v="5734"/>
    <m/>
  </r>
  <r>
    <s v="E171"/>
    <x v="4"/>
    <x v="4"/>
    <d v="2018-12-19T00:00:00"/>
    <d v="2019-03-17T00:00:00"/>
    <d v="2019-03-29T00:00:00"/>
    <d v="2022-03-31T00:00:00"/>
    <x v="1"/>
    <n v="1999"/>
    <s v="Ethics and Responsibilities"/>
    <x v="1"/>
    <n v="260"/>
    <n v="20"/>
    <x v="0"/>
    <n v="1746"/>
    <n v="88"/>
    <n v="12"/>
    <n v="36.6"/>
    <n v="88"/>
    <n v="13.636363636363635"/>
    <n v="13.636363636363635"/>
    <n v="100"/>
    <n v="170"/>
    <n v="7.6923076923076925"/>
    <x v="0"/>
    <n v="0"/>
    <n v="3915"/>
    <m/>
  </r>
  <r>
    <s v="E172"/>
    <x v="2"/>
    <x v="2"/>
    <d v="2018-07-12T00:00:00"/>
    <d v="2018-08-09T00:00:00"/>
    <d v="2018-08-18T00:00:00"/>
    <d v="2023-06-30T00:00:00"/>
    <x v="1"/>
    <n v="1697"/>
    <s v="Communication Skills"/>
    <x v="0"/>
    <n v="260"/>
    <n v="12"/>
    <x v="1"/>
    <n v="2075"/>
    <n v="28"/>
    <n v="9"/>
    <n v="59.233333333333334"/>
    <n v="28"/>
    <n v="32.142857142857146"/>
    <n v="32.142857142857146"/>
    <n v="37"/>
    <n v="185"/>
    <n v="4.6153846153846159"/>
    <x v="5"/>
    <n v="0"/>
    <n v="3957"/>
    <m/>
  </r>
  <r>
    <s v="E173"/>
    <x v="0"/>
    <x v="0"/>
    <d v="2018-05-06T00:00:00"/>
    <d v="2018-07-21T00:00:00"/>
    <d v="2018-08-01T00:00:00"/>
    <s v="-"/>
    <x v="0"/>
    <n v="4637"/>
    <s v="Leadership Development"/>
    <x v="0"/>
    <n v="260"/>
    <n v="6"/>
    <x v="0"/>
    <n v="1437"/>
    <n v="76"/>
    <n v="11"/>
    <n v="77.733333333333334"/>
    <n v="76"/>
    <n v="14.473684210526317"/>
    <n v="14.473684210526317"/>
    <n v="87"/>
    <n v="115"/>
    <n v="2.3076923076923079"/>
    <x v="5"/>
    <n v="1"/>
    <n v="0"/>
    <m/>
  </r>
  <r>
    <s v="E174"/>
    <x v="4"/>
    <x v="4"/>
    <d v="2018-08-12T00:00:00"/>
    <d v="2018-10-30T00:00:00"/>
    <d v="2018-11-06T00:00:00"/>
    <s v="-"/>
    <x v="0"/>
    <n v="3979"/>
    <s v="Conflict Resolution"/>
    <x v="1"/>
    <n v="260"/>
    <n v="17"/>
    <x v="1"/>
    <n v="1749"/>
    <n v="79"/>
    <n v="7"/>
    <n v="74.5"/>
    <n v="79"/>
    <n v="8.8607594936708853"/>
    <n v="8.8607594936708853"/>
    <n v="86"/>
    <n v="144"/>
    <n v="6.5384615384615392"/>
    <x v="5"/>
    <n v="1"/>
    <n v="0"/>
    <m/>
  </r>
  <r>
    <s v="E175"/>
    <x v="0"/>
    <x v="0"/>
    <d v="2018-07-16T00:00:00"/>
    <d v="2018-09-08T00:00:00"/>
    <d v="2018-09-10T00:00:00"/>
    <d v="2019-03-27T00:00:00"/>
    <x v="1"/>
    <n v="2528"/>
    <s v="Leadership Development"/>
    <x v="0"/>
    <n v="260"/>
    <n v="9"/>
    <x v="2"/>
    <n v="1784"/>
    <n v="54"/>
    <n v="2"/>
    <n v="6.6"/>
    <n v="54"/>
    <n v="3.7037037037037033"/>
    <n v="3.7037037037037033"/>
    <n v="56"/>
    <n v="139"/>
    <n v="3.4615384615384617"/>
    <x v="5"/>
    <n v="0"/>
    <n v="4451"/>
    <m/>
  </r>
  <r>
    <s v="E176"/>
    <x v="2"/>
    <x v="2"/>
    <d v="2022-08-13T00:00:00"/>
    <d v="2022-10-27T00:00:00"/>
    <d v="2022-11-08T00:00:00"/>
    <d v="2024-08-17T00:00:00"/>
    <x v="1"/>
    <n v="2350"/>
    <s v="Ethics and Responsibilities"/>
    <x v="0"/>
    <n v="260"/>
    <n v="14"/>
    <x v="2"/>
    <n v="1910"/>
    <n v="75"/>
    <n v="12"/>
    <n v="21.6"/>
    <n v="75"/>
    <n v="16"/>
    <n v="16"/>
    <n v="87"/>
    <n v="131"/>
    <n v="5.384615384615385"/>
    <x v="4"/>
    <n v="0"/>
    <n v="4391"/>
    <m/>
  </r>
  <r>
    <s v="E177"/>
    <x v="2"/>
    <x v="2"/>
    <d v="2021-03-14T00:00:00"/>
    <d v="2021-05-17T00:00:00"/>
    <d v="2021-05-23T00:00:00"/>
    <d v="2021-08-18T00:00:00"/>
    <x v="1"/>
    <n v="4555"/>
    <s v="Communication Skills"/>
    <x v="0"/>
    <n v="260"/>
    <n v="0"/>
    <x v="1"/>
    <n v="1768"/>
    <n v="64"/>
    <n v="6"/>
    <n v="2.9"/>
    <n v="64"/>
    <n v="9.375"/>
    <n v="9.375"/>
    <n v="70"/>
    <n v="127"/>
    <n v="0"/>
    <x v="2"/>
    <n v="0"/>
    <n v="6450"/>
    <m/>
  </r>
  <r>
    <s v="E178"/>
    <x v="0"/>
    <x v="0"/>
    <d v="2022-06-06T00:00:00"/>
    <d v="2022-08-25T00:00:00"/>
    <d v="2022-08-30T00:00:00"/>
    <s v="-"/>
    <x v="0"/>
    <n v="4077"/>
    <s v="Communication Skills"/>
    <x v="0"/>
    <n v="260"/>
    <n v="18"/>
    <x v="1"/>
    <n v="2385"/>
    <n v="80"/>
    <n v="5"/>
    <n v="28.066666666666666"/>
    <n v="80"/>
    <n v="6.25"/>
    <n v="6.25"/>
    <n v="85"/>
    <n v="152"/>
    <n v="6.9230769230769234"/>
    <x v="4"/>
    <n v="1"/>
    <n v="0"/>
    <m/>
  </r>
  <r>
    <s v="E179"/>
    <x v="2"/>
    <x v="2"/>
    <d v="2021-09-19T00:00:00"/>
    <d v="2021-10-28T00:00:00"/>
    <d v="2021-10-30T00:00:00"/>
    <d v="2023-04-05T00:00:00"/>
    <x v="1"/>
    <n v="1892"/>
    <s v="Conflict Resolution"/>
    <x v="1"/>
    <n v="260"/>
    <n v="13"/>
    <x v="0"/>
    <n v="1248"/>
    <n v="39"/>
    <n v="2"/>
    <n v="17.399999999999999"/>
    <n v="39"/>
    <n v="5.1282051282051277"/>
    <n v="5.1282051282051277"/>
    <n v="41"/>
    <n v="157"/>
    <n v="5"/>
    <x v="2"/>
    <n v="0"/>
    <n v="3297"/>
    <m/>
  </r>
  <r>
    <s v="E180"/>
    <x v="2"/>
    <x v="2"/>
    <d v="2020-12-14T00:00:00"/>
    <d v="2021-02-18T00:00:00"/>
    <d v="2021-03-03T00:00:00"/>
    <s v="-"/>
    <x v="0"/>
    <n v="2443"/>
    <s v="Communication Skills"/>
    <x v="1"/>
    <n v="260"/>
    <n v="6"/>
    <x v="2"/>
    <n v="2494"/>
    <n v="66"/>
    <n v="13"/>
    <n v="46.233333333333334"/>
    <n v="66"/>
    <n v="19.696969696969695"/>
    <n v="19.696969696969695"/>
    <n v="79"/>
    <n v="153"/>
    <n v="2.3076923076923079"/>
    <x v="2"/>
    <n v="1"/>
    <n v="0"/>
    <m/>
  </r>
  <r>
    <s v="E181"/>
    <x v="3"/>
    <x v="3"/>
    <d v="2022-01-06T00:00:00"/>
    <d v="2022-02-26T00:00:00"/>
    <d v="2022-02-27T00:00:00"/>
    <s v="-"/>
    <x v="0"/>
    <n v="2444"/>
    <s v="Advanced Excel Skills "/>
    <x v="0"/>
    <n v="260"/>
    <n v="12"/>
    <x v="1"/>
    <n v="1694"/>
    <n v="51"/>
    <n v="1"/>
    <n v="34.200000000000003"/>
    <n v="51"/>
    <n v="1.9607843137254901"/>
    <n v="1.9607843137254901"/>
    <n v="52"/>
    <n v="118"/>
    <n v="4.6153846153846159"/>
    <x v="4"/>
    <n v="1"/>
    <n v="0"/>
    <m/>
  </r>
  <r>
    <s v="E182"/>
    <x v="1"/>
    <x v="1"/>
    <d v="2022-03-17T00:00:00"/>
    <d v="2022-06-14T00:00:00"/>
    <d v="2022-06-25T00:00:00"/>
    <s v="-"/>
    <x v="0"/>
    <n v="3236"/>
    <s v="Advanced Excel Skills "/>
    <x v="0"/>
    <n v="260"/>
    <n v="5"/>
    <x v="1"/>
    <n v="2357"/>
    <n v="89"/>
    <n v="11"/>
    <n v="30.266666666666666"/>
    <n v="89"/>
    <n v="12.359550561797752"/>
    <n v="12.359550561797752"/>
    <n v="100"/>
    <n v="145"/>
    <n v="1.9230769230769231"/>
    <x v="4"/>
    <n v="1"/>
    <n v="0"/>
    <m/>
  </r>
  <r>
    <s v="E183"/>
    <x v="4"/>
    <x v="4"/>
    <d v="2021-04-02T00:00:00"/>
    <d v="2021-06-06T00:00:00"/>
    <d v="2021-06-12T00:00:00"/>
    <d v="2021-10-17T00:00:00"/>
    <x v="1"/>
    <n v="4524"/>
    <s v="Ethics and Responsibilities"/>
    <x v="0"/>
    <n v="260"/>
    <n v="0"/>
    <x v="0"/>
    <n v="1297"/>
    <n v="65"/>
    <n v="6"/>
    <n v="4.2333333333333334"/>
    <n v="65"/>
    <n v="9.2307692307692317"/>
    <n v="9.2307692307692317"/>
    <n v="71"/>
    <n v="168"/>
    <n v="0"/>
    <x v="2"/>
    <n v="0"/>
    <n v="5989"/>
    <m/>
  </r>
  <r>
    <s v="E184"/>
    <x v="3"/>
    <x v="3"/>
    <d v="2020-09-22T00:00:00"/>
    <d v="2020-10-26T00:00:00"/>
    <d v="2020-11-03T00:00:00"/>
    <d v="2020-12-13T00:00:00"/>
    <x v="1"/>
    <n v="4990"/>
    <s v="Advanced Excel Skills "/>
    <x v="0"/>
    <n v="260"/>
    <n v="12"/>
    <x v="2"/>
    <n v="2124"/>
    <n v="34"/>
    <n v="8"/>
    <n v="1.3333333333333333"/>
    <n v="34"/>
    <n v="23.52941176470588"/>
    <n v="23.52941176470588"/>
    <n v="42"/>
    <n v="193"/>
    <n v="4.6153846153846159"/>
    <x v="1"/>
    <n v="0"/>
    <n v="7307"/>
    <m/>
  </r>
  <r>
    <s v="E185"/>
    <x v="3"/>
    <x v="3"/>
    <d v="2019-12-03T00:00:00"/>
    <d v="2020-02-24T00:00:00"/>
    <d v="2020-03-10T00:00:00"/>
    <s v="-"/>
    <x v="0"/>
    <n v="2867"/>
    <s v="Ethics and Responsibilities"/>
    <x v="0"/>
    <n v="260"/>
    <n v="14"/>
    <x v="2"/>
    <n v="1684"/>
    <n v="83"/>
    <n v="15"/>
    <n v="58.166666666666664"/>
    <n v="83"/>
    <n v="18.072289156626507"/>
    <n v="18.072289156626507"/>
    <n v="98"/>
    <n v="198"/>
    <n v="5.384615384615385"/>
    <x v="1"/>
    <n v="1"/>
    <n v="0"/>
    <m/>
  </r>
  <r>
    <s v="E186"/>
    <x v="1"/>
    <x v="1"/>
    <d v="2020-10-22T00:00:00"/>
    <d v="2020-12-26T00:00:00"/>
    <d v="2021-01-02T00:00:00"/>
    <s v="-"/>
    <x v="0"/>
    <n v="4080"/>
    <s v="Communication Skills"/>
    <x v="1"/>
    <n v="260"/>
    <n v="7"/>
    <x v="2"/>
    <n v="1917"/>
    <n v="65"/>
    <n v="7"/>
    <n v="48.233333333333334"/>
    <n v="65"/>
    <n v="10.76923076923077"/>
    <n v="10.76923076923077"/>
    <n v="72"/>
    <n v="184"/>
    <n v="2.6923076923076925"/>
    <x v="2"/>
    <n v="1"/>
    <n v="0"/>
    <m/>
  </r>
  <r>
    <s v="E187"/>
    <x v="1"/>
    <x v="1"/>
    <d v="2022-08-16T00:00:00"/>
    <d v="2022-11-09T00:00:00"/>
    <d v="2022-11-24T00:00:00"/>
    <s v="-"/>
    <x v="0"/>
    <n v="3923"/>
    <s v="Conflict Resolution"/>
    <x v="0"/>
    <n v="260"/>
    <n v="4"/>
    <x v="0"/>
    <n v="2396"/>
    <n v="85"/>
    <n v="15"/>
    <n v="25.2"/>
    <n v="85"/>
    <n v="17.647058823529413"/>
    <n v="17.647058823529413"/>
    <n v="100"/>
    <n v="188"/>
    <n v="1.5384615384615385"/>
    <x v="4"/>
    <n v="1"/>
    <n v="0"/>
    <m/>
  </r>
  <r>
    <s v="E188"/>
    <x v="4"/>
    <x v="4"/>
    <d v="2022-03-06T00:00:00"/>
    <d v="2022-06-02T00:00:00"/>
    <d v="2022-06-06T00:00:00"/>
    <d v="2022-08-28T00:00:00"/>
    <x v="1"/>
    <n v="3087"/>
    <s v="Communication Skills"/>
    <x v="0"/>
    <n v="260"/>
    <n v="18"/>
    <x v="1"/>
    <n v="2167"/>
    <n v="88"/>
    <n v="4"/>
    <n v="2.7666666666666666"/>
    <n v="88"/>
    <n v="4.5454545454545459"/>
    <n v="4.5454545454545459"/>
    <n v="92"/>
    <n v="116"/>
    <n v="6.9230769230769234"/>
    <x v="4"/>
    <n v="0"/>
    <n v="5370"/>
    <m/>
  </r>
  <r>
    <s v="E189"/>
    <x v="3"/>
    <x v="3"/>
    <d v="2022-04-17T00:00:00"/>
    <d v="2022-07-09T00:00:00"/>
    <d v="2022-07-12T00:00:00"/>
    <d v="2023-01-14T00:00:00"/>
    <x v="1"/>
    <n v="4905"/>
    <s v="Conflict Resolution"/>
    <x v="1"/>
    <n v="260"/>
    <n v="13"/>
    <x v="1"/>
    <n v="1859"/>
    <n v="83"/>
    <n v="3"/>
    <n v="6.2"/>
    <n v="83"/>
    <n v="3.6144578313253009"/>
    <n v="3.6144578313253009"/>
    <n v="86"/>
    <n v="182"/>
    <n v="5"/>
    <x v="4"/>
    <n v="0"/>
    <n v="6946"/>
    <m/>
  </r>
  <r>
    <s v="E190"/>
    <x v="4"/>
    <x v="4"/>
    <d v="2020-11-25T00:00:00"/>
    <d v="2020-12-18T00:00:00"/>
    <d v="2020-12-30T00:00:00"/>
    <d v="2021-06-23T00:00:00"/>
    <x v="1"/>
    <n v="3913"/>
    <s v="Advanced Excel Skills "/>
    <x v="0"/>
    <n v="260"/>
    <n v="15"/>
    <x v="1"/>
    <n v="1976"/>
    <n v="23"/>
    <n v="12"/>
    <n v="5.833333333333333"/>
    <n v="23"/>
    <n v="52.173913043478258"/>
    <n v="52.173913043478258"/>
    <n v="35"/>
    <n v="198"/>
    <n v="5.7692307692307692"/>
    <x v="1"/>
    <n v="0"/>
    <n v="6087"/>
    <m/>
  </r>
  <r>
    <s v="E191"/>
    <x v="2"/>
    <x v="2"/>
    <d v="2021-02-18T00:00:00"/>
    <d v="2021-04-17T00:00:00"/>
    <d v="2021-04-28T00:00:00"/>
    <d v="2024-10-03T00:00:00"/>
    <x v="1"/>
    <n v="1596"/>
    <s v="Communication Skills"/>
    <x v="0"/>
    <n v="260"/>
    <n v="3"/>
    <x v="1"/>
    <n v="1976"/>
    <n v="58"/>
    <n v="11"/>
    <n v="41.8"/>
    <n v="58"/>
    <n v="18.96551724137931"/>
    <n v="18.96551724137931"/>
    <n v="69"/>
    <n v="140"/>
    <n v="1.153846153846154"/>
    <x v="2"/>
    <n v="0"/>
    <n v="3712"/>
    <m/>
  </r>
  <r>
    <s v="E192"/>
    <x v="4"/>
    <x v="4"/>
    <d v="2020-01-19T00:00:00"/>
    <d v="2020-04-17T00:00:00"/>
    <d v="2020-04-29T00:00:00"/>
    <d v="2024-02-08T00:00:00"/>
    <x v="1"/>
    <n v="3203"/>
    <s v="Advanced Excel Skills "/>
    <x v="0"/>
    <n v="260"/>
    <n v="0"/>
    <x v="2"/>
    <n v="1327"/>
    <n v="89"/>
    <n v="12"/>
    <n v="46"/>
    <n v="89"/>
    <n v="13.48314606741573"/>
    <n v="13.48314606741573"/>
    <n v="101"/>
    <n v="147"/>
    <n v="0"/>
    <x v="1"/>
    <n v="0"/>
    <n v="4677"/>
    <m/>
  </r>
  <r>
    <s v="E193"/>
    <x v="0"/>
    <x v="0"/>
    <d v="2020-12-10T00:00:00"/>
    <d v="2021-02-08T00:00:00"/>
    <d v="2021-02-14T00:00:00"/>
    <d v="2024-10-12T00:00:00"/>
    <x v="1"/>
    <n v="3454"/>
    <s v="Leadership Development"/>
    <x v="1"/>
    <n v="260"/>
    <n v="3"/>
    <x v="0"/>
    <n v="2009"/>
    <n v="60"/>
    <n v="6"/>
    <n v="44.533333333333331"/>
    <n v="60"/>
    <n v="10"/>
    <n v="10"/>
    <n v="66"/>
    <n v="156"/>
    <n v="1.153846153846154"/>
    <x v="2"/>
    <n v="0"/>
    <n v="5619"/>
    <m/>
  </r>
  <r>
    <s v="E194"/>
    <x v="3"/>
    <x v="3"/>
    <d v="2021-07-24T00:00:00"/>
    <d v="2021-08-08T00:00:00"/>
    <d v="2021-08-19T00:00:00"/>
    <d v="2021-10-10T00:00:00"/>
    <x v="1"/>
    <n v="4484"/>
    <s v="Communication Skills"/>
    <x v="0"/>
    <n v="260"/>
    <n v="6"/>
    <x v="1"/>
    <n v="1912"/>
    <n v="15"/>
    <n v="11"/>
    <n v="1.7333333333333334"/>
    <n v="15"/>
    <n v="73.333333333333329"/>
    <n v="73.333333333333329"/>
    <n v="26"/>
    <n v="140"/>
    <n v="2.3076923076923079"/>
    <x v="2"/>
    <n v="0"/>
    <n v="6536"/>
    <m/>
  </r>
  <r>
    <s v="E195"/>
    <x v="3"/>
    <x v="3"/>
    <d v="2021-11-07T00:00:00"/>
    <d v="2021-12-16T00:00:00"/>
    <d v="2021-12-20T00:00:00"/>
    <d v="2023-10-14T00:00:00"/>
    <x v="1"/>
    <n v="4661"/>
    <s v="Advanced Excel Skills "/>
    <x v="0"/>
    <n v="260"/>
    <n v="19"/>
    <x v="1"/>
    <n v="2462"/>
    <n v="39"/>
    <n v="4"/>
    <n v="22.1"/>
    <n v="39"/>
    <n v="10.256410256410255"/>
    <n v="10.256410256410255"/>
    <n v="43"/>
    <n v="192"/>
    <n v="7.3076923076923084"/>
    <x v="2"/>
    <n v="0"/>
    <n v="7315"/>
    <m/>
  </r>
  <r>
    <s v="E196"/>
    <x v="3"/>
    <x v="3"/>
    <d v="2018-06-09T00:00:00"/>
    <d v="2018-07-06T00:00:00"/>
    <d v="2018-07-07T00:00:00"/>
    <d v="2019-03-08T00:00:00"/>
    <x v="1"/>
    <n v="4679"/>
    <s v="Conflict Resolution"/>
    <x v="1"/>
    <n v="260"/>
    <n v="10"/>
    <x v="2"/>
    <n v="1807"/>
    <n v="27"/>
    <n v="1"/>
    <n v="8.1333333333333329"/>
    <n v="27"/>
    <n v="3.7037037037037033"/>
    <n v="3.7037037037037033"/>
    <n v="28"/>
    <n v="156"/>
    <n v="3.8461538461538463"/>
    <x v="5"/>
    <n v="0"/>
    <n v="6642"/>
    <m/>
  </r>
  <r>
    <s v="E197"/>
    <x v="1"/>
    <x v="1"/>
    <d v="2018-11-28T00:00:00"/>
    <d v="2018-12-17T00:00:00"/>
    <d v="2018-12-18T00:00:00"/>
    <d v="2019-02-28T00:00:00"/>
    <x v="1"/>
    <n v="2611"/>
    <s v="Ethics and Responsibilities"/>
    <x v="0"/>
    <n v="260"/>
    <n v="16"/>
    <x v="0"/>
    <n v="2409"/>
    <n v="19"/>
    <n v="1"/>
    <n v="2.4"/>
    <n v="19"/>
    <n v="5.2631578947368416"/>
    <n v="5.2631578947368416"/>
    <n v="20"/>
    <n v="191"/>
    <n v="6.1538461538461542"/>
    <x v="5"/>
    <n v="0"/>
    <n v="5211"/>
    <m/>
  </r>
  <r>
    <s v="E198"/>
    <x v="2"/>
    <x v="2"/>
    <d v="2021-07-04T00:00:00"/>
    <d v="2021-07-27T00:00:00"/>
    <d v="2021-08-03T00:00:00"/>
    <d v="2023-07-24T00:00:00"/>
    <x v="1"/>
    <n v="4069"/>
    <s v="Advanced Excel Skills "/>
    <x v="1"/>
    <n v="260"/>
    <n v="11"/>
    <x v="2"/>
    <n v="2138"/>
    <n v="23"/>
    <n v="7"/>
    <n v="24"/>
    <n v="23"/>
    <n v="30.434782608695656"/>
    <n v="30.434782608695656"/>
    <n v="30"/>
    <n v="174"/>
    <n v="4.2307692307692308"/>
    <x v="2"/>
    <n v="0"/>
    <n v="6381"/>
    <m/>
  </r>
  <r>
    <s v="E199"/>
    <x v="3"/>
    <x v="3"/>
    <d v="2019-11-10T00:00:00"/>
    <d v="2020-01-12T00:00:00"/>
    <d v="2020-01-20T00:00:00"/>
    <s v="-"/>
    <x v="0"/>
    <n v="2848"/>
    <s v="Communication Skills"/>
    <x v="0"/>
    <n v="260"/>
    <n v="9"/>
    <x v="2"/>
    <n v="2298"/>
    <n v="63"/>
    <n v="8"/>
    <n v="59.833333333333336"/>
    <n v="63"/>
    <n v="12.698412698412698"/>
    <n v="12.698412698412698"/>
    <n v="71"/>
    <n v="101"/>
    <n v="3.4615384615384617"/>
    <x v="1"/>
    <n v="1"/>
    <n v="0"/>
    <m/>
  </r>
  <r>
    <s v="E200"/>
    <x v="0"/>
    <x v="0"/>
    <d v="2019-11-14T00:00:00"/>
    <d v="2019-12-12T00:00:00"/>
    <d v="2019-12-15T00:00:00"/>
    <s v="-"/>
    <x v="0"/>
    <n v="4156"/>
    <s v="Leadership Development"/>
    <x v="1"/>
    <n v="260"/>
    <n v="8"/>
    <x v="1"/>
    <n v="1832"/>
    <n v="28"/>
    <n v="3"/>
    <n v="61.033333333333331"/>
    <n v="28"/>
    <n v="10.714285714285714"/>
    <n v="10.714285714285714"/>
    <n v="31"/>
    <n v="168"/>
    <n v="3.0769230769230771"/>
    <x v="0"/>
    <n v="1"/>
    <n v="0"/>
    <m/>
  </r>
  <r>
    <s v="E201"/>
    <x v="4"/>
    <x v="4"/>
    <d v="2022-04-21T00:00:00"/>
    <d v="2022-06-24T00:00:00"/>
    <d v="2022-06-29T00:00:00"/>
    <s v="-"/>
    <x v="0"/>
    <n v="3434"/>
    <s v="Conflict Resolution"/>
    <x v="0"/>
    <n v="260"/>
    <n v="14"/>
    <x v="2"/>
    <n v="1652"/>
    <n v="64"/>
    <n v="5"/>
    <n v="30.133333333333333"/>
    <n v="64"/>
    <n v="7.8125"/>
    <n v="7.8125"/>
    <n v="69"/>
    <n v="191"/>
    <n v="5.384615384615385"/>
    <x v="4"/>
    <n v="1"/>
    <n v="0"/>
    <m/>
  </r>
  <r>
    <s v="E202"/>
    <x v="3"/>
    <x v="3"/>
    <d v="2021-04-03T00:00:00"/>
    <d v="2021-05-05T00:00:00"/>
    <d v="2021-05-13T00:00:00"/>
    <s v="-"/>
    <x v="0"/>
    <n v="1939"/>
    <s v="Conflict Resolution"/>
    <x v="0"/>
    <n v="260"/>
    <n v="1"/>
    <x v="1"/>
    <n v="1563"/>
    <n v="32"/>
    <n v="8"/>
    <n v="43.866666666666667"/>
    <n v="32"/>
    <n v="25"/>
    <n v="25"/>
    <n v="40"/>
    <n v="112"/>
    <n v="0.38461538461538464"/>
    <x v="2"/>
    <n v="1"/>
    <n v="0"/>
    <m/>
  </r>
  <r>
    <s v="E203"/>
    <x v="2"/>
    <x v="2"/>
    <d v="2019-10-05T00:00:00"/>
    <d v="2019-12-14T00:00:00"/>
    <d v="2019-12-22T00:00:00"/>
    <d v="2024-04-05T00:00:00"/>
    <x v="1"/>
    <n v="4713"/>
    <s v="Advanced Excel Skills "/>
    <x v="0"/>
    <n v="260"/>
    <n v="6"/>
    <x v="2"/>
    <n v="2282"/>
    <n v="70"/>
    <n v="8"/>
    <n v="52.2"/>
    <n v="70"/>
    <n v="11.428571428571429"/>
    <n v="11.428571428571429"/>
    <n v="78"/>
    <n v="113"/>
    <n v="2.3076923076923079"/>
    <x v="0"/>
    <n v="0"/>
    <n v="7108"/>
    <m/>
  </r>
  <r>
    <s v="E204"/>
    <x v="4"/>
    <x v="4"/>
    <d v="2019-05-27T00:00:00"/>
    <d v="2019-08-04T00:00:00"/>
    <d v="2019-08-05T00:00:00"/>
    <d v="2022-12-04T00:00:00"/>
    <x v="1"/>
    <n v="3681"/>
    <s v="Leadership Development"/>
    <x v="0"/>
    <n v="260"/>
    <n v="0"/>
    <x v="0"/>
    <n v="2375"/>
    <n v="69"/>
    <n v="1"/>
    <n v="40.56666666666667"/>
    <n v="69"/>
    <n v="1.4492753623188406"/>
    <n v="1.4492753623188406"/>
    <n v="70"/>
    <n v="139"/>
    <n v="0"/>
    <x v="0"/>
    <n v="0"/>
    <n v="6195"/>
    <m/>
  </r>
  <r>
    <s v="E205"/>
    <x v="2"/>
    <x v="2"/>
    <d v="2022-08-23T00:00:00"/>
    <d v="2022-09-17T00:00:00"/>
    <d v="2022-09-23T00:00:00"/>
    <d v="2024-02-07T00:00:00"/>
    <x v="1"/>
    <n v="2473"/>
    <s v="Communication Skills"/>
    <x v="1"/>
    <n v="260"/>
    <n v="7"/>
    <x v="2"/>
    <n v="2061"/>
    <n v="25"/>
    <n v="6"/>
    <n v="16.733333333333334"/>
    <n v="25"/>
    <n v="24"/>
    <n v="24"/>
    <n v="31"/>
    <n v="109"/>
    <n v="2.6923076923076925"/>
    <x v="4"/>
    <n v="0"/>
    <n v="4643"/>
    <m/>
  </r>
  <r>
    <s v="E206"/>
    <x v="3"/>
    <x v="3"/>
    <d v="2018-09-06T00:00:00"/>
    <d v="2018-11-18T00:00:00"/>
    <d v="2018-12-01T00:00:00"/>
    <d v="2020-07-19T00:00:00"/>
    <x v="1"/>
    <n v="4030"/>
    <s v="Communication Skills"/>
    <x v="0"/>
    <n v="260"/>
    <n v="12"/>
    <x v="1"/>
    <n v="2275"/>
    <n v="73"/>
    <n v="13"/>
    <n v="19.866666666666667"/>
    <n v="73"/>
    <n v="17.80821917808219"/>
    <n v="17.80821917808219"/>
    <n v="86"/>
    <n v="190"/>
    <n v="4.6153846153846159"/>
    <x v="5"/>
    <n v="0"/>
    <n v="6495"/>
    <m/>
  </r>
  <r>
    <s v="E207"/>
    <x v="3"/>
    <x v="3"/>
    <d v="2021-05-25T00:00:00"/>
    <d v="2021-07-27T00:00:00"/>
    <d v="2021-08-06T00:00:00"/>
    <d v="2024-05-19T00:00:00"/>
    <x v="1"/>
    <n v="4587"/>
    <s v="Conflict Resolution"/>
    <x v="0"/>
    <n v="260"/>
    <n v="15"/>
    <x v="1"/>
    <n v="2017"/>
    <n v="63"/>
    <n v="10"/>
    <n v="33.9"/>
    <n v="63"/>
    <n v="15.873015873015872"/>
    <n v="15.873015873015872"/>
    <n v="73"/>
    <n v="167"/>
    <n v="5.7692307692307692"/>
    <x v="2"/>
    <n v="0"/>
    <n v="6771"/>
    <m/>
  </r>
  <r>
    <s v="E208"/>
    <x v="0"/>
    <x v="0"/>
    <d v="2022-08-27T00:00:00"/>
    <d v="2022-10-31T00:00:00"/>
    <d v="2022-11-13T00:00:00"/>
    <d v="2022-12-31T00:00:00"/>
    <x v="1"/>
    <n v="2091"/>
    <s v="Leadership Development"/>
    <x v="1"/>
    <n v="260"/>
    <n v="3"/>
    <x v="1"/>
    <n v="2085"/>
    <n v="65"/>
    <n v="13"/>
    <n v="1.6"/>
    <n v="65"/>
    <n v="20"/>
    <n v="20"/>
    <n v="78"/>
    <n v="142"/>
    <n v="1.153846153846154"/>
    <x v="4"/>
    <n v="0"/>
    <n v="4318"/>
    <m/>
  </r>
  <r>
    <s v="E209"/>
    <x v="4"/>
    <x v="4"/>
    <d v="2018-04-15T00:00:00"/>
    <d v="2018-06-03T00:00:00"/>
    <d v="2018-06-10T00:00:00"/>
    <d v="2019-02-09T00:00:00"/>
    <x v="1"/>
    <n v="1973"/>
    <s v="Leadership Development"/>
    <x v="0"/>
    <n v="260"/>
    <n v="14"/>
    <x v="1"/>
    <n v="1535"/>
    <n v="49"/>
    <n v="7"/>
    <n v="8.1333333333333329"/>
    <n v="49"/>
    <n v="14.285714285714285"/>
    <n v="14.285714285714285"/>
    <n v="56"/>
    <n v="192"/>
    <n v="5.384615384615385"/>
    <x v="5"/>
    <n v="0"/>
    <n v="3700"/>
    <m/>
  </r>
  <r>
    <s v="E210"/>
    <x v="2"/>
    <x v="2"/>
    <d v="2018-09-19T00:00:00"/>
    <d v="2018-11-24T00:00:00"/>
    <d v="2018-12-07T00:00:00"/>
    <d v="2020-03-15T00:00:00"/>
    <x v="1"/>
    <n v="3493"/>
    <s v="Conflict Resolution"/>
    <x v="0"/>
    <n v="260"/>
    <n v="11"/>
    <x v="2"/>
    <n v="1368"/>
    <n v="66"/>
    <n v="13"/>
    <n v="15.466666666666667"/>
    <n v="66"/>
    <n v="19.696969696969695"/>
    <n v="19.696969696969695"/>
    <n v="79"/>
    <n v="186"/>
    <n v="4.2307692307692308"/>
    <x v="5"/>
    <n v="0"/>
    <n v="5047"/>
    <m/>
  </r>
  <r>
    <s v="E211"/>
    <x v="2"/>
    <x v="2"/>
    <d v="2021-10-14T00:00:00"/>
    <d v="2022-01-07T00:00:00"/>
    <d v="2022-01-22T00:00:00"/>
    <d v="2023-03-06T00:00:00"/>
    <x v="1"/>
    <n v="2826"/>
    <s v="Ethics and Responsibilities"/>
    <x v="0"/>
    <n v="260"/>
    <n v="0"/>
    <x v="2"/>
    <n v="1950"/>
    <n v="85"/>
    <n v="15"/>
    <n v="13.6"/>
    <n v="85"/>
    <n v="17.647058823529413"/>
    <n v="17.647058823529413"/>
    <n v="100"/>
    <n v="188"/>
    <n v="0"/>
    <x v="4"/>
    <n v="0"/>
    <n v="4964"/>
    <m/>
  </r>
  <r>
    <s v="E212"/>
    <x v="3"/>
    <x v="3"/>
    <d v="2021-02-19T00:00:00"/>
    <d v="2021-05-14T00:00:00"/>
    <d v="2021-05-23T00:00:00"/>
    <d v="2022-10-28T00:00:00"/>
    <x v="1"/>
    <n v="2844"/>
    <s v="Ethics and Responsibilities"/>
    <x v="0"/>
    <n v="260"/>
    <n v="19"/>
    <x v="1"/>
    <n v="1694"/>
    <n v="84"/>
    <n v="9"/>
    <n v="17.433333333333334"/>
    <n v="84"/>
    <n v="10.714285714285714"/>
    <n v="10.714285714285714"/>
    <n v="93"/>
    <n v="159"/>
    <n v="7.3076923076923084"/>
    <x v="2"/>
    <n v="0"/>
    <n v="4697"/>
    <m/>
  </r>
  <r>
    <s v="E213"/>
    <x v="2"/>
    <x v="2"/>
    <d v="2018-02-03T00:00:00"/>
    <d v="2018-03-11T00:00:00"/>
    <d v="2018-03-20T00:00:00"/>
    <d v="2024-03-18T00:00:00"/>
    <x v="1"/>
    <n v="1990"/>
    <s v="Advanced Excel Skills "/>
    <x v="0"/>
    <n v="260"/>
    <n v="17"/>
    <x v="1"/>
    <n v="1347"/>
    <n v="36"/>
    <n v="9"/>
    <n v="73"/>
    <n v="36"/>
    <n v="25"/>
    <n v="25"/>
    <n v="45"/>
    <n v="177"/>
    <n v="6.5384615384615392"/>
    <x v="5"/>
    <n v="0"/>
    <n v="3514"/>
    <m/>
  </r>
  <r>
    <s v="E214"/>
    <x v="3"/>
    <x v="3"/>
    <d v="2021-05-13T00:00:00"/>
    <d v="2021-06-17T00:00:00"/>
    <d v="2021-06-21T00:00:00"/>
    <d v="2024-05-24T00:00:00"/>
    <x v="1"/>
    <n v="1952"/>
    <s v="Leadership Development"/>
    <x v="0"/>
    <n v="260"/>
    <n v="8"/>
    <x v="0"/>
    <n v="1391"/>
    <n v="35"/>
    <n v="4"/>
    <n v="35.6"/>
    <n v="35"/>
    <n v="11.428571428571429"/>
    <n v="11.428571428571429"/>
    <n v="39"/>
    <n v="173"/>
    <n v="3.0769230769230771"/>
    <x v="2"/>
    <n v="0"/>
    <n v="3516"/>
    <m/>
  </r>
  <r>
    <s v="E215"/>
    <x v="1"/>
    <x v="1"/>
    <d v="2018-09-15T00:00:00"/>
    <d v="2018-11-27T00:00:00"/>
    <d v="2018-12-02T00:00:00"/>
    <s v="-"/>
    <x v="0"/>
    <n v="2784"/>
    <s v="Leadership Development"/>
    <x v="0"/>
    <n v="260"/>
    <n v="4"/>
    <x v="2"/>
    <n v="1846"/>
    <n v="73"/>
    <n v="5"/>
    <n v="73.63333333333334"/>
    <n v="73"/>
    <n v="6.8493150684931505"/>
    <n v="6.8493150684931505"/>
    <n v="78"/>
    <n v="180"/>
    <n v="1.5384615384615385"/>
    <x v="5"/>
    <n v="1"/>
    <n v="0"/>
    <m/>
  </r>
  <r>
    <s v="E216"/>
    <x v="3"/>
    <x v="3"/>
    <d v="2021-06-10T00:00:00"/>
    <d v="2021-09-06T00:00:00"/>
    <d v="2021-09-10T00:00:00"/>
    <s v="-"/>
    <x v="0"/>
    <n v="1866"/>
    <s v="Communication Skills"/>
    <x v="0"/>
    <n v="260"/>
    <n v="1"/>
    <x v="0"/>
    <n v="2269"/>
    <n v="88"/>
    <n v="4"/>
    <n v="39.866666666666667"/>
    <n v="88"/>
    <n v="4.5454545454545459"/>
    <n v="4.5454545454545459"/>
    <n v="92"/>
    <n v="200"/>
    <n v="0.38461538461538464"/>
    <x v="2"/>
    <n v="1"/>
    <n v="0"/>
    <m/>
  </r>
  <r>
    <s v="E217"/>
    <x v="0"/>
    <x v="0"/>
    <d v="2020-01-28T00:00:00"/>
    <d v="2020-03-13T00:00:00"/>
    <d v="2020-03-20T00:00:00"/>
    <d v="2021-04-24T00:00:00"/>
    <x v="1"/>
    <n v="4314"/>
    <s v="Ethics and Responsibilities"/>
    <x v="0"/>
    <n v="260"/>
    <n v="18"/>
    <x v="1"/>
    <n v="1633"/>
    <n v="45"/>
    <n v="7"/>
    <n v="13.333333333333334"/>
    <n v="45"/>
    <n v="15.555555555555555"/>
    <n v="15.555555555555555"/>
    <n v="52"/>
    <n v="181"/>
    <n v="6.9230769230769234"/>
    <x v="1"/>
    <n v="0"/>
    <n v="6128"/>
    <m/>
  </r>
  <r>
    <s v="E218"/>
    <x v="3"/>
    <x v="3"/>
    <d v="2018-10-24T00:00:00"/>
    <d v="2019-01-15T00:00:00"/>
    <d v="2019-01-30T00:00:00"/>
    <s v="-"/>
    <x v="0"/>
    <n v="4622"/>
    <s v="Conflict Resolution"/>
    <x v="1"/>
    <n v="260"/>
    <n v="19"/>
    <x v="0"/>
    <n v="2469"/>
    <n v="83"/>
    <n v="15"/>
    <n v="71.666666666666671"/>
    <n v="83"/>
    <n v="18.072289156626507"/>
    <n v="18.072289156626507"/>
    <n v="98"/>
    <n v="120"/>
    <n v="7.3076923076923084"/>
    <x v="0"/>
    <n v="1"/>
    <n v="0"/>
    <m/>
  </r>
  <r>
    <s v="E219"/>
    <x v="2"/>
    <x v="2"/>
    <d v="2022-07-27T00:00:00"/>
    <d v="2022-08-20T00:00:00"/>
    <d v="2022-08-28T00:00:00"/>
    <d v="2024-05-01T00:00:00"/>
    <x v="1"/>
    <n v="4783"/>
    <s v="Advanced Excel Skills "/>
    <x v="0"/>
    <n v="260"/>
    <n v="7"/>
    <x v="1"/>
    <n v="1956"/>
    <n v="24"/>
    <n v="8"/>
    <n v="20.399999999999999"/>
    <n v="24"/>
    <n v="33.333333333333329"/>
    <n v="33.333333333333329"/>
    <n v="32"/>
    <n v="119"/>
    <n v="2.6923076923076925"/>
    <x v="4"/>
    <n v="0"/>
    <n v="6858"/>
    <m/>
  </r>
  <r>
    <s v="E220"/>
    <x v="4"/>
    <x v="4"/>
    <d v="2020-09-18T00:00:00"/>
    <d v="2020-11-06T00:00:00"/>
    <d v="2020-11-07T00:00:00"/>
    <s v="-"/>
    <x v="0"/>
    <n v="1758"/>
    <s v="Advanced Excel Skills "/>
    <x v="0"/>
    <n v="260"/>
    <n v="13"/>
    <x v="2"/>
    <n v="1579"/>
    <n v="49"/>
    <n v="1"/>
    <n v="50.1"/>
    <n v="49"/>
    <n v="2.0408163265306123"/>
    <n v="2.0408163265306123"/>
    <n v="50"/>
    <n v="121"/>
    <n v="5"/>
    <x v="1"/>
    <n v="1"/>
    <n v="0"/>
    <m/>
  </r>
  <r>
    <s v="E221"/>
    <x v="3"/>
    <x v="3"/>
    <d v="2019-03-19T00:00:00"/>
    <d v="2019-06-08T00:00:00"/>
    <d v="2019-06-16T00:00:00"/>
    <d v="2022-08-22T00:00:00"/>
    <x v="1"/>
    <n v="2335"/>
    <s v="Ethics and Responsibilities"/>
    <x v="0"/>
    <n v="260"/>
    <n v="5"/>
    <x v="0"/>
    <n v="1864"/>
    <n v="81"/>
    <n v="8"/>
    <n v="38.766666666666666"/>
    <n v="81"/>
    <n v="9.8765432098765427"/>
    <n v="9.8765432098765427"/>
    <n v="89"/>
    <n v="151"/>
    <n v="1.9230769230769231"/>
    <x v="0"/>
    <n v="0"/>
    <n v="4350"/>
    <m/>
  </r>
  <r>
    <s v="E222"/>
    <x v="4"/>
    <x v="4"/>
    <d v="2022-03-12T00:00:00"/>
    <d v="2022-05-04T00:00:00"/>
    <d v="2022-05-08T00:00:00"/>
    <s v="-"/>
    <x v="0"/>
    <n v="3630"/>
    <s v="Advanced Excel Skills "/>
    <x v="1"/>
    <n v="260"/>
    <n v="12"/>
    <x v="1"/>
    <n v="1932"/>
    <n v="53"/>
    <n v="4"/>
    <n v="31.866666666666667"/>
    <n v="53"/>
    <n v="7.5471698113207548"/>
    <n v="7.5471698113207548"/>
    <n v="57"/>
    <n v="183"/>
    <n v="4.6153846153846159"/>
    <x v="4"/>
    <n v="1"/>
    <n v="0"/>
    <m/>
  </r>
  <r>
    <s v="E223"/>
    <x v="0"/>
    <x v="0"/>
    <d v="2022-11-04T00:00:00"/>
    <d v="2022-12-11T00:00:00"/>
    <d v="2022-12-24T00:00:00"/>
    <d v="2023-07-16T00:00:00"/>
    <x v="1"/>
    <n v="3878"/>
    <s v="Leadership Development"/>
    <x v="0"/>
    <n v="260"/>
    <n v="16"/>
    <x v="0"/>
    <n v="1745"/>
    <n v="37"/>
    <n v="13"/>
    <n v="6.8"/>
    <n v="37"/>
    <n v="35.135135135135137"/>
    <n v="35.135135135135137"/>
    <n v="50"/>
    <n v="123"/>
    <n v="6.1538461538461542"/>
    <x v="4"/>
    <n v="0"/>
    <n v="5746"/>
    <m/>
  </r>
  <r>
    <s v="E224"/>
    <x v="0"/>
    <x v="0"/>
    <d v="2019-11-02T00:00:00"/>
    <d v="2019-11-30T00:00:00"/>
    <d v="2019-12-04T00:00:00"/>
    <d v="2021-11-16T00:00:00"/>
    <x v="1"/>
    <n v="3368"/>
    <s v="Communication Skills"/>
    <x v="1"/>
    <n v="260"/>
    <n v="16"/>
    <x v="0"/>
    <n v="1602"/>
    <n v="28"/>
    <n v="4"/>
    <n v="23.766666666666666"/>
    <n v="28"/>
    <n v="14.285714285714285"/>
    <n v="14.285714285714285"/>
    <n v="32"/>
    <n v="121"/>
    <n v="6.1538461538461542"/>
    <x v="0"/>
    <n v="0"/>
    <n v="5091"/>
    <m/>
  </r>
  <r>
    <s v="E225"/>
    <x v="2"/>
    <x v="2"/>
    <d v="2019-03-13T00:00:00"/>
    <d v="2019-03-30T00:00:00"/>
    <d v="2019-04-03T00:00:00"/>
    <d v="2019-05-17T00:00:00"/>
    <x v="1"/>
    <n v="1800"/>
    <s v="Communication Skills"/>
    <x v="1"/>
    <n v="260"/>
    <n v="10"/>
    <x v="0"/>
    <n v="1304"/>
    <n v="17"/>
    <n v="4"/>
    <n v="1.4666666666666666"/>
    <n v="17"/>
    <n v="23.52941176470588"/>
    <n v="23.52941176470588"/>
    <n v="21"/>
    <n v="180"/>
    <n v="3.8461538461538463"/>
    <x v="0"/>
    <n v="0"/>
    <n v="3284"/>
    <m/>
  </r>
  <r>
    <s v="E226"/>
    <x v="0"/>
    <x v="0"/>
    <d v="2021-11-08T00:00:00"/>
    <d v="2022-01-14T00:00:00"/>
    <d v="2022-01-24T00:00:00"/>
    <d v="2024-06-06T00:00:00"/>
    <x v="1"/>
    <n v="1935"/>
    <s v="Ethics and Responsibilities"/>
    <x v="0"/>
    <n v="260"/>
    <n v="18"/>
    <x v="0"/>
    <n v="1673"/>
    <n v="67"/>
    <n v="10"/>
    <n v="28.8"/>
    <n v="67"/>
    <n v="14.925373134328357"/>
    <n v="14.925373134328357"/>
    <n v="77"/>
    <n v="144"/>
    <n v="6.9230769230769234"/>
    <x v="4"/>
    <n v="0"/>
    <n v="3752"/>
    <m/>
  </r>
  <r>
    <s v="E227"/>
    <x v="0"/>
    <x v="0"/>
    <d v="2020-03-09T00:00:00"/>
    <d v="2020-04-27T00:00:00"/>
    <d v="2020-05-04T00:00:00"/>
    <d v="2023-02-05T00:00:00"/>
    <x v="1"/>
    <n v="4029"/>
    <s v="Leadership Development"/>
    <x v="1"/>
    <n v="260"/>
    <n v="12"/>
    <x v="1"/>
    <n v="2337"/>
    <n v="49"/>
    <n v="7"/>
    <n v="33.56666666666667"/>
    <n v="49"/>
    <n v="14.285714285714285"/>
    <n v="14.285714285714285"/>
    <n v="56"/>
    <n v="171"/>
    <n v="4.6153846153846159"/>
    <x v="1"/>
    <n v="0"/>
    <n v="6537"/>
    <m/>
  </r>
  <r>
    <s v="E228"/>
    <x v="4"/>
    <x v="4"/>
    <d v="2019-03-25T00:00:00"/>
    <d v="2019-05-14T00:00:00"/>
    <d v="2019-05-16T00:00:00"/>
    <s v="-"/>
    <x v="0"/>
    <n v="3351"/>
    <s v="Communication Skills"/>
    <x v="1"/>
    <n v="260"/>
    <n v="5"/>
    <x v="1"/>
    <n v="2406"/>
    <n v="50"/>
    <n v="2"/>
    <n v="68.13333333333334"/>
    <n v="50"/>
    <n v="4"/>
    <n v="4"/>
    <n v="52"/>
    <n v="163"/>
    <n v="1.9230769230769231"/>
    <x v="0"/>
    <n v="1"/>
    <n v="0"/>
    <m/>
  </r>
  <r>
    <s v="E229"/>
    <x v="2"/>
    <x v="2"/>
    <d v="2022-03-23T00:00:00"/>
    <d v="2022-04-18T00:00:00"/>
    <d v="2022-04-26T00:00:00"/>
    <d v="2023-09-19T00:00:00"/>
    <x v="1"/>
    <n v="1661"/>
    <s v="Ethics and Responsibilities"/>
    <x v="0"/>
    <n v="260"/>
    <n v="17"/>
    <x v="2"/>
    <n v="2086"/>
    <n v="26"/>
    <n v="8"/>
    <n v="17.033333333333335"/>
    <n v="26"/>
    <n v="30.76923076923077"/>
    <n v="30.76923076923077"/>
    <n v="34"/>
    <n v="184"/>
    <n v="6.5384615384615392"/>
    <x v="4"/>
    <n v="0"/>
    <n v="3931"/>
    <m/>
  </r>
  <r>
    <s v="E230"/>
    <x v="1"/>
    <x v="1"/>
    <d v="2019-04-11T00:00:00"/>
    <d v="2019-05-13T00:00:00"/>
    <d v="2019-05-19T00:00:00"/>
    <s v="-"/>
    <x v="0"/>
    <n v="1641"/>
    <s v="Leadership Development"/>
    <x v="1"/>
    <n v="260"/>
    <n v="17"/>
    <x v="0"/>
    <n v="1961"/>
    <n v="32"/>
    <n v="6"/>
    <n v="68.033333333333331"/>
    <n v="32"/>
    <n v="18.75"/>
    <n v="18.75"/>
    <n v="38"/>
    <n v="169"/>
    <n v="6.5384615384615392"/>
    <x v="0"/>
    <n v="1"/>
    <n v="0"/>
    <m/>
  </r>
  <r>
    <s v="E231"/>
    <x v="2"/>
    <x v="2"/>
    <d v="2022-12-05T00:00:00"/>
    <d v="2023-01-13T00:00:00"/>
    <d v="2023-01-20T00:00:00"/>
    <s v="-"/>
    <x v="0"/>
    <n v="3547"/>
    <s v="Leadership Development"/>
    <x v="0"/>
    <n v="260"/>
    <n v="15"/>
    <x v="2"/>
    <n v="2268"/>
    <n v="39"/>
    <n v="7"/>
    <n v="23.3"/>
    <n v="39"/>
    <n v="17.948717948717949"/>
    <n v="17.948717948717949"/>
    <n v="46"/>
    <n v="190"/>
    <n v="5.7692307692307692"/>
    <x v="3"/>
    <n v="1"/>
    <n v="0"/>
    <m/>
  </r>
  <r>
    <s v="E232"/>
    <x v="3"/>
    <x v="3"/>
    <d v="2018-05-17T00:00:00"/>
    <d v="2018-08-01T00:00:00"/>
    <d v="2018-08-06T00:00:00"/>
    <s v="-"/>
    <x v="0"/>
    <n v="4602"/>
    <s v="Communication Skills"/>
    <x v="1"/>
    <n v="260"/>
    <n v="5"/>
    <x v="0"/>
    <n v="1272"/>
    <n v="76"/>
    <n v="5"/>
    <n v="77.566666666666663"/>
    <n v="76"/>
    <n v="6.5789473684210522"/>
    <n v="6.5789473684210522"/>
    <n v="81"/>
    <n v="177"/>
    <n v="1.9230769230769231"/>
    <x v="5"/>
    <n v="1"/>
    <n v="0"/>
    <m/>
  </r>
  <r>
    <s v="E233"/>
    <x v="4"/>
    <x v="4"/>
    <d v="2021-03-20T00:00:00"/>
    <d v="2021-05-03T00:00:00"/>
    <d v="2021-05-10T00:00:00"/>
    <d v="2022-02-07T00:00:00"/>
    <x v="1"/>
    <n v="3106"/>
    <s v="Advanced Excel Skills "/>
    <x v="0"/>
    <n v="260"/>
    <n v="5"/>
    <x v="0"/>
    <n v="1907"/>
    <n v="44"/>
    <n v="7"/>
    <n v="9.1"/>
    <n v="44"/>
    <n v="15.909090909090908"/>
    <n v="15.909090909090908"/>
    <n v="51"/>
    <n v="179"/>
    <n v="1.9230769230769231"/>
    <x v="2"/>
    <n v="0"/>
    <n v="5192"/>
    <m/>
  </r>
  <r>
    <s v="E234"/>
    <x v="4"/>
    <x v="4"/>
    <d v="2018-01-03T00:00:00"/>
    <d v="2018-03-20T00:00:00"/>
    <d v="2018-03-25T00:00:00"/>
    <d v="2023-12-04T00:00:00"/>
    <x v="1"/>
    <n v="1733"/>
    <s v="Ethics and Responsibilities"/>
    <x v="1"/>
    <n v="260"/>
    <n v="19"/>
    <x v="1"/>
    <n v="2411"/>
    <n v="76"/>
    <n v="5"/>
    <n v="69.333333333333329"/>
    <n v="76"/>
    <n v="6.5789473684210522"/>
    <n v="6.5789473684210522"/>
    <n v="81"/>
    <n v="124"/>
    <n v="7.3076923076923084"/>
    <x v="5"/>
    <n v="0"/>
    <n v="4268"/>
    <m/>
  </r>
  <r>
    <s v="E235"/>
    <x v="4"/>
    <x v="4"/>
    <d v="2021-05-08T00:00:00"/>
    <d v="2021-05-23T00:00:00"/>
    <d v="2021-06-01T00:00:00"/>
    <d v="2024-11-28T00:00:00"/>
    <x v="1"/>
    <n v="2202"/>
    <s v="Advanced Excel Skills "/>
    <x v="0"/>
    <n v="260"/>
    <n v="18"/>
    <x v="0"/>
    <n v="1695"/>
    <n v="15"/>
    <n v="9"/>
    <n v="42.533333333333331"/>
    <n v="15"/>
    <n v="60"/>
    <n v="60"/>
    <n v="24"/>
    <n v="145"/>
    <n v="6.9230769230769234"/>
    <x v="2"/>
    <n v="0"/>
    <n v="4042"/>
    <m/>
  </r>
  <r>
    <s v="E236"/>
    <x v="2"/>
    <x v="2"/>
    <d v="2022-04-04T00:00:00"/>
    <d v="2022-06-14T00:00:00"/>
    <d v="2022-06-19T00:00:00"/>
    <s v="-"/>
    <x v="0"/>
    <n v="4355"/>
    <s v="Communication Skills"/>
    <x v="0"/>
    <n v="260"/>
    <n v="12"/>
    <x v="2"/>
    <n v="1745"/>
    <n v="71"/>
    <n v="5"/>
    <n v="30.466666666666665"/>
    <n v="71"/>
    <n v="7.042253521126761"/>
    <n v="7.042253521126761"/>
    <n v="76"/>
    <n v="130"/>
    <n v="4.6153846153846159"/>
    <x v="4"/>
    <n v="1"/>
    <n v="0"/>
    <m/>
  </r>
  <r>
    <s v="E237"/>
    <x v="0"/>
    <x v="0"/>
    <d v="2020-09-11T00:00:00"/>
    <d v="2020-11-29T00:00:00"/>
    <d v="2020-12-07T00:00:00"/>
    <d v="2023-01-21T00:00:00"/>
    <x v="1"/>
    <n v="2830"/>
    <s v="Leadership Development"/>
    <x v="0"/>
    <n v="260"/>
    <n v="20"/>
    <x v="1"/>
    <n v="1221"/>
    <n v="79"/>
    <n v="8"/>
    <n v="25.833333333333332"/>
    <n v="79"/>
    <n v="10.126582278481013"/>
    <n v="10.126582278481013"/>
    <n v="87"/>
    <n v="193"/>
    <n v="7.6923076923076925"/>
    <x v="1"/>
    <n v="0"/>
    <n v="4244"/>
    <m/>
  </r>
  <r>
    <s v="E238"/>
    <x v="3"/>
    <x v="3"/>
    <d v="2022-03-18T00:00:00"/>
    <d v="2022-04-05T00:00:00"/>
    <d v="2022-04-10T00:00:00"/>
    <s v="-"/>
    <x v="0"/>
    <n v="2143"/>
    <s v="Leadership Development"/>
    <x v="0"/>
    <n v="260"/>
    <n v="16"/>
    <x v="0"/>
    <n v="2061"/>
    <n v="18"/>
    <n v="5"/>
    <n v="32.799999999999997"/>
    <n v="18"/>
    <n v="27.777777777777779"/>
    <n v="27.777777777777779"/>
    <n v="23"/>
    <n v="118"/>
    <n v="6.1538461538461542"/>
    <x v="4"/>
    <n v="1"/>
    <n v="0"/>
    <m/>
  </r>
  <r>
    <s v="E239"/>
    <x v="0"/>
    <x v="0"/>
    <d v="2020-05-27T00:00:00"/>
    <d v="2020-08-11T00:00:00"/>
    <d v="2020-08-25T00:00:00"/>
    <s v="-"/>
    <x v="0"/>
    <n v="4690"/>
    <s v="Communication Skills"/>
    <x v="0"/>
    <n v="260"/>
    <n v="0"/>
    <x v="1"/>
    <n v="1914"/>
    <n v="76"/>
    <n v="14"/>
    <n v="52.56666666666667"/>
    <n v="76"/>
    <n v="18.421052631578945"/>
    <n v="18.421052631578945"/>
    <n v="90"/>
    <n v="111"/>
    <n v="0"/>
    <x v="1"/>
    <n v="1"/>
    <n v="0"/>
    <m/>
  </r>
  <r>
    <s v="E240"/>
    <x v="2"/>
    <x v="2"/>
    <d v="2018-05-27T00:00:00"/>
    <d v="2018-07-02T00:00:00"/>
    <d v="2018-07-03T00:00:00"/>
    <d v="2020-08-27T00:00:00"/>
    <x v="1"/>
    <n v="2504"/>
    <s v="Ethics and Responsibilities"/>
    <x v="0"/>
    <n v="260"/>
    <n v="3"/>
    <x v="1"/>
    <n v="1925"/>
    <n v="36"/>
    <n v="1"/>
    <n v="26.2"/>
    <n v="36"/>
    <n v="2.7777777777777777"/>
    <n v="2.7777777777777777"/>
    <n v="37"/>
    <n v="112"/>
    <n v="1.153846153846154"/>
    <x v="5"/>
    <n v="0"/>
    <n v="4541"/>
    <m/>
  </r>
  <r>
    <s v="E241"/>
    <x v="3"/>
    <x v="3"/>
    <d v="2018-05-12T00:00:00"/>
    <d v="2018-07-24T00:00:00"/>
    <d v="2018-07-31T00:00:00"/>
    <s v="-"/>
    <x v="0"/>
    <n v="3025"/>
    <s v="Leadership Development"/>
    <x v="0"/>
    <n v="260"/>
    <n v="14"/>
    <x v="2"/>
    <n v="1638"/>
    <n v="73"/>
    <n v="7"/>
    <n v="77.766666666666666"/>
    <n v="73"/>
    <n v="9.5890410958904102"/>
    <n v="9.5890410958904102"/>
    <n v="80"/>
    <n v="124"/>
    <n v="5.384615384615385"/>
    <x v="5"/>
    <n v="1"/>
    <n v="0"/>
    <m/>
  </r>
  <r>
    <s v="E242"/>
    <x v="4"/>
    <x v="4"/>
    <d v="2018-08-24T00:00:00"/>
    <d v="2018-09-12T00:00:00"/>
    <d v="2018-09-24T00:00:00"/>
    <s v="-"/>
    <x v="0"/>
    <n v="2028"/>
    <s v="Advanced Excel Skills "/>
    <x v="0"/>
    <n v="260"/>
    <n v="12"/>
    <x v="1"/>
    <n v="1371"/>
    <n v="19"/>
    <n v="12"/>
    <n v="75.933333333333337"/>
    <n v="19"/>
    <n v="63.157894736842103"/>
    <n v="63.157894736842103"/>
    <n v="31"/>
    <n v="184"/>
    <n v="4.6153846153846159"/>
    <x v="5"/>
    <n v="1"/>
    <n v="0"/>
    <m/>
  </r>
  <r>
    <s v="E243"/>
    <x v="3"/>
    <x v="3"/>
    <d v="2019-07-10T00:00:00"/>
    <d v="2019-09-25T00:00:00"/>
    <d v="2019-10-10T00:00:00"/>
    <s v="-"/>
    <x v="0"/>
    <n v="4936"/>
    <s v="Advanced Excel Skills "/>
    <x v="0"/>
    <n v="260"/>
    <n v="3"/>
    <x v="1"/>
    <n v="1354"/>
    <n v="77"/>
    <n v="15"/>
    <n v="63.233333333333334"/>
    <n v="77"/>
    <n v="19.480519480519483"/>
    <n v="19.480519480519483"/>
    <n v="92"/>
    <n v="173"/>
    <n v="1.153846153846154"/>
    <x v="0"/>
    <n v="1"/>
    <n v="0"/>
    <m/>
  </r>
  <r>
    <s v="E244"/>
    <x v="0"/>
    <x v="0"/>
    <d v="2019-11-16T00:00:00"/>
    <d v="2019-12-13T00:00:00"/>
    <d v="2019-12-27T00:00:00"/>
    <s v="-"/>
    <x v="0"/>
    <n v="3524"/>
    <s v="Communication Skills"/>
    <x v="1"/>
    <n v="260"/>
    <n v="19"/>
    <x v="1"/>
    <n v="2221"/>
    <n v="27"/>
    <n v="14"/>
    <n v="60.633333333333333"/>
    <n v="27"/>
    <n v="51.851851851851848"/>
    <n v="51.851851851851848"/>
    <n v="41"/>
    <n v="166"/>
    <n v="7.3076923076923084"/>
    <x v="0"/>
    <n v="1"/>
    <n v="0"/>
    <m/>
  </r>
  <r>
    <s v="E245"/>
    <x v="2"/>
    <x v="2"/>
    <d v="2019-04-26T00:00:00"/>
    <d v="2019-05-26T00:00:00"/>
    <d v="2019-06-05T00:00:00"/>
    <s v="-"/>
    <x v="0"/>
    <n v="2039"/>
    <s v="Advanced Excel Skills "/>
    <x v="0"/>
    <n v="260"/>
    <n v="13"/>
    <x v="0"/>
    <n v="1787"/>
    <n v="30"/>
    <n v="10"/>
    <n v="67.466666666666669"/>
    <n v="30"/>
    <n v="33.333333333333329"/>
    <n v="33.333333333333329"/>
    <n v="40"/>
    <n v="167"/>
    <n v="5"/>
    <x v="0"/>
    <n v="1"/>
    <n v="0"/>
    <m/>
  </r>
  <r>
    <s v="E246"/>
    <x v="2"/>
    <x v="2"/>
    <d v="2022-10-19T00:00:00"/>
    <d v="2022-12-10T00:00:00"/>
    <d v="2022-12-22T00:00:00"/>
    <s v="-"/>
    <x v="0"/>
    <n v="2497"/>
    <s v="Communication Skills"/>
    <x v="0"/>
    <n v="260"/>
    <n v="0"/>
    <x v="0"/>
    <n v="1444"/>
    <n v="52"/>
    <n v="12"/>
    <n v="24.266666666666666"/>
    <n v="52"/>
    <n v="23.076923076923077"/>
    <n v="23.076923076923077"/>
    <n v="64"/>
    <n v="198"/>
    <n v="0"/>
    <x v="4"/>
    <n v="1"/>
    <n v="0"/>
    <m/>
  </r>
  <r>
    <s v="E247"/>
    <x v="3"/>
    <x v="3"/>
    <d v="2018-10-21T00:00:00"/>
    <d v="2019-01-02T00:00:00"/>
    <d v="2019-01-16T00:00:00"/>
    <d v="2024-10-17T00:00:00"/>
    <x v="1"/>
    <n v="4770"/>
    <s v="Advanced Excel Skills "/>
    <x v="0"/>
    <n v="260"/>
    <n v="16"/>
    <x v="1"/>
    <n v="1745"/>
    <n v="73"/>
    <n v="14"/>
    <n v="70.033333333333331"/>
    <n v="73"/>
    <n v="19.17808219178082"/>
    <n v="19.17808219178082"/>
    <n v="87"/>
    <n v="112"/>
    <n v="6.1538461538461542"/>
    <x v="0"/>
    <n v="0"/>
    <n v="6627"/>
    <m/>
  </r>
  <r>
    <s v="E248"/>
    <x v="3"/>
    <x v="3"/>
    <d v="2022-04-17T00:00:00"/>
    <d v="2022-06-19T00:00:00"/>
    <d v="2022-06-26T00:00:00"/>
    <s v="-"/>
    <x v="0"/>
    <n v="3234"/>
    <s v="Advanced Excel Skills "/>
    <x v="0"/>
    <n v="260"/>
    <n v="6"/>
    <x v="2"/>
    <n v="1522"/>
    <n v="63"/>
    <n v="7"/>
    <n v="30.233333333333334"/>
    <n v="63"/>
    <n v="11.111111111111111"/>
    <n v="11.111111111111111"/>
    <n v="70"/>
    <n v="153"/>
    <n v="2.3076923076923079"/>
    <x v="4"/>
    <n v="1"/>
    <n v="0"/>
    <m/>
  </r>
  <r>
    <s v="E249"/>
    <x v="0"/>
    <x v="0"/>
    <d v="2022-10-14T00:00:00"/>
    <d v="2022-12-31T00:00:00"/>
    <d v="2023-01-08T00:00:00"/>
    <d v="2024-10-13T00:00:00"/>
    <x v="1"/>
    <n v="3945"/>
    <s v="Conflict Resolution"/>
    <x v="1"/>
    <n v="260"/>
    <n v="3"/>
    <x v="1"/>
    <n v="1891"/>
    <n v="78"/>
    <n v="8"/>
    <n v="21.466666666666665"/>
    <n v="78"/>
    <n v="10.256410256410255"/>
    <n v="10.256410256410255"/>
    <n v="86"/>
    <n v="132"/>
    <n v="1.153846153846154"/>
    <x v="3"/>
    <n v="0"/>
    <n v="5968"/>
    <m/>
  </r>
  <r>
    <s v="E250"/>
    <x v="4"/>
    <x v="4"/>
    <d v="2018-06-25T00:00:00"/>
    <d v="2018-09-20T00:00:00"/>
    <d v="2018-10-03T00:00:00"/>
    <d v="2019-10-28T00:00:00"/>
    <x v="1"/>
    <n v="4833"/>
    <s v="Ethics and Responsibilities"/>
    <x v="1"/>
    <n v="260"/>
    <n v="2"/>
    <x v="2"/>
    <n v="2172"/>
    <n v="87"/>
    <n v="13"/>
    <n v="13"/>
    <n v="87"/>
    <n v="14.942528735632186"/>
    <n v="14.942528735632186"/>
    <n v="100"/>
    <n v="192"/>
    <n v="0.76923076923076927"/>
    <x v="5"/>
    <n v="0"/>
    <n v="719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2F5E61-3A0F-0E4D-9E17-B74DA1EA37F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2:B88" firstHeaderRow="1" firstDataRow="1" firstDataCol="1"/>
  <pivotFields count="28">
    <pivotField showAll="0"/>
    <pivotField axis="axisRow" showAll="0">
      <items count="6">
        <item x="2"/>
        <item x="4"/>
        <item x="0"/>
        <item x="3"/>
        <item x="1"/>
        <item t="default"/>
      </items>
    </pivotField>
    <pivotField showAll="0">
      <items count="6">
        <item x="2"/>
        <item x="4"/>
        <item x="0"/>
        <item x="1"/>
        <item x="3"/>
        <item t="default"/>
      </items>
    </pivotField>
    <pivotField numFmtId="14" showAll="0"/>
    <pivotField numFmtId="14" showAll="0"/>
    <pivotField numFmtId="14" showAll="0"/>
    <pivotField showAll="0"/>
    <pivotField showAll="0">
      <items count="3">
        <item x="0"/>
        <item x="1"/>
        <item t="default"/>
      </items>
    </pivotField>
    <pivotField numFmtId="164" showAll="0"/>
    <pivotField showAll="0"/>
    <pivotField showAll="0">
      <items count="3">
        <item x="0"/>
        <item x="1"/>
        <item t="default"/>
      </items>
    </pivotField>
    <pivotField showAll="0"/>
    <pivotField showAll="0"/>
    <pivotField showAll="0">
      <items count="4">
        <item x="2"/>
        <item x="0"/>
        <item x="1"/>
        <item t="default"/>
      </items>
    </pivotField>
    <pivotField numFmtId="165" showAll="0"/>
    <pivotField showAll="0"/>
    <pivotField numFmtId="1" showAll="0"/>
    <pivotField dataField="1" numFmtId="2" showAll="0"/>
    <pivotField showAll="0"/>
    <pivotField numFmtId="1" showAll="0"/>
    <pivotField numFmtId="2" showAll="0"/>
    <pivotField showAll="0"/>
    <pivotField showAll="0"/>
    <pivotField numFmtId="2" showAll="0"/>
    <pivotField showAll="0">
      <items count="7">
        <item x="5"/>
        <item x="0"/>
        <item x="1"/>
        <item x="2"/>
        <item x="4"/>
        <item x="3"/>
        <item t="default"/>
      </items>
    </pivotField>
    <pivotField showAll="0"/>
    <pivotField showAll="0"/>
    <pivotField showAll="0"/>
  </pivotFields>
  <rowFields count="1">
    <field x="1"/>
  </rowFields>
  <rowItems count="6">
    <i>
      <x/>
    </i>
    <i>
      <x v="1"/>
    </i>
    <i>
      <x v="2"/>
    </i>
    <i>
      <x v="3"/>
    </i>
    <i>
      <x v="4"/>
    </i>
    <i t="grand">
      <x/>
    </i>
  </rowItems>
  <colItems count="1">
    <i/>
  </colItems>
  <dataFields count="1">
    <dataField name="Average of Total Tenure in M" fld="17" subtotal="average" baseField="0" baseItem="0" numFmtId="2"/>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EB0B90-57EB-4D43-A261-54908663CC6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8:E105" firstHeaderRow="1" firstDataRow="2" firstDataCol="1"/>
  <pivotFields count="28">
    <pivotField dataField="1" showAll="0"/>
    <pivotField showAll="0">
      <items count="6">
        <item x="2"/>
        <item x="4"/>
        <item x="0"/>
        <item x="3"/>
        <item x="1"/>
        <item t="default"/>
      </items>
    </pivotField>
    <pivotField axis="axisRow" showAll="0">
      <items count="6">
        <item x="2"/>
        <item x="4"/>
        <item x="0"/>
        <item x="1"/>
        <item x="3"/>
        <item t="default"/>
      </items>
    </pivotField>
    <pivotField numFmtId="14" showAll="0"/>
    <pivotField numFmtId="14" showAll="0"/>
    <pivotField numFmtId="14" showAll="0"/>
    <pivotField showAll="0"/>
    <pivotField showAll="0">
      <items count="3">
        <item x="0"/>
        <item x="1"/>
        <item t="default"/>
      </items>
    </pivotField>
    <pivotField numFmtId="164" showAll="0"/>
    <pivotField showAll="0"/>
    <pivotField showAll="0">
      <items count="3">
        <item x="0"/>
        <item x="1"/>
        <item t="default"/>
      </items>
    </pivotField>
    <pivotField showAll="0"/>
    <pivotField showAll="0"/>
    <pivotField axis="axisCol" showAll="0">
      <items count="4">
        <item x="2"/>
        <item x="0"/>
        <item x="1"/>
        <item t="default"/>
      </items>
    </pivotField>
    <pivotField numFmtId="165" showAll="0"/>
    <pivotField showAll="0"/>
    <pivotField numFmtId="1" showAll="0"/>
    <pivotField numFmtId="2" showAll="0"/>
    <pivotField showAll="0"/>
    <pivotField numFmtId="1" showAll="0"/>
    <pivotField numFmtId="2" showAll="0"/>
    <pivotField showAll="0"/>
    <pivotField showAll="0"/>
    <pivotField numFmtId="2" showAll="0"/>
    <pivotField showAll="0">
      <items count="7">
        <item x="5"/>
        <item x="0"/>
        <item x="1"/>
        <item x="2"/>
        <item x="4"/>
        <item x="3"/>
        <item t="default"/>
      </items>
    </pivotField>
    <pivotField showAll="0"/>
    <pivotField showAll="0"/>
    <pivotField showAll="0"/>
  </pivotFields>
  <rowFields count="1">
    <field x="2"/>
  </rowFields>
  <rowItems count="6">
    <i>
      <x/>
    </i>
    <i>
      <x v="1"/>
    </i>
    <i>
      <x v="2"/>
    </i>
    <i>
      <x v="3"/>
    </i>
    <i>
      <x v="4"/>
    </i>
    <i t="grand">
      <x/>
    </i>
  </rowItems>
  <colFields count="1">
    <field x="13"/>
  </colFields>
  <colItems count="4">
    <i>
      <x/>
    </i>
    <i>
      <x v="1"/>
    </i>
    <i>
      <x v="2"/>
    </i>
    <i t="grand">
      <x/>
    </i>
  </colItems>
  <dataFields count="1">
    <dataField name="Count of Employee ID" fld="0" subtotal="count" baseField="0"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0"/>
          </reference>
        </references>
      </pivotArea>
    </chartFormat>
    <chartFormat chart="3" format="4"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2"/>
          </reference>
        </references>
      </pivotArea>
    </chartFormat>
    <chartFormat chart="10" format="12" series="1">
      <pivotArea type="data" outline="0" fieldPosition="0">
        <references count="2">
          <reference field="4294967294" count="1" selected="0">
            <x v="0"/>
          </reference>
          <reference field="13" count="1" selected="0">
            <x v="0"/>
          </reference>
        </references>
      </pivotArea>
    </chartFormat>
    <chartFormat chart="10" format="13" series="1">
      <pivotArea type="data" outline="0" fieldPosition="0">
        <references count="2">
          <reference field="4294967294" count="1" selected="0">
            <x v="0"/>
          </reference>
          <reference field="13" count="1" selected="0">
            <x v="1"/>
          </reference>
        </references>
      </pivotArea>
    </chartFormat>
    <chartFormat chart="10"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252497-949D-A345-B61A-23C26E6EDB6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0:B126" firstHeaderRow="1" firstDataRow="1" firstDataCol="1"/>
  <pivotFields count="28">
    <pivotField showAll="0"/>
    <pivotField axis="axisRow" showAll="0">
      <items count="6">
        <item x="2"/>
        <item x="4"/>
        <item x="0"/>
        <item x="3"/>
        <item x="1"/>
        <item t="default"/>
      </items>
    </pivotField>
    <pivotField showAll="0">
      <items count="6">
        <item x="2"/>
        <item x="4"/>
        <item x="0"/>
        <item x="1"/>
        <item x="3"/>
        <item t="default"/>
      </items>
    </pivotField>
    <pivotField numFmtId="14" showAll="0"/>
    <pivotField numFmtId="14" showAll="0"/>
    <pivotField numFmtId="14" showAll="0"/>
    <pivotField showAll="0"/>
    <pivotField showAll="0">
      <items count="3">
        <item x="0"/>
        <item x="1"/>
        <item t="default"/>
      </items>
    </pivotField>
    <pivotField numFmtId="164" showAll="0"/>
    <pivotField showAll="0"/>
    <pivotField showAll="0">
      <items count="3">
        <item x="0"/>
        <item x="1"/>
        <item t="default"/>
      </items>
    </pivotField>
    <pivotField showAll="0"/>
    <pivotField showAll="0"/>
    <pivotField showAll="0">
      <items count="4">
        <item x="2"/>
        <item x="0"/>
        <item x="1"/>
        <item t="default"/>
      </items>
    </pivotField>
    <pivotField numFmtId="165" showAll="0"/>
    <pivotField showAll="0"/>
    <pivotField numFmtId="1" showAll="0"/>
    <pivotField numFmtId="2" showAll="0"/>
    <pivotField showAll="0"/>
    <pivotField numFmtId="1" showAll="0"/>
    <pivotField numFmtId="2" showAll="0"/>
    <pivotField showAll="0"/>
    <pivotField showAll="0"/>
    <pivotField dataField="1" numFmtId="2" showAll="0"/>
    <pivotField showAll="0">
      <items count="7">
        <item x="5"/>
        <item x="0"/>
        <item x="1"/>
        <item x="2"/>
        <item x="4"/>
        <item x="3"/>
        <item t="default"/>
      </items>
    </pivotField>
    <pivotField showAll="0"/>
    <pivotField showAll="0"/>
    <pivotField showAll="0"/>
  </pivotFields>
  <rowFields count="1">
    <field x="1"/>
  </rowFields>
  <rowItems count="6">
    <i>
      <x/>
    </i>
    <i>
      <x v="1"/>
    </i>
    <i>
      <x v="2"/>
    </i>
    <i>
      <x v="3"/>
    </i>
    <i>
      <x v="4"/>
    </i>
    <i t="grand">
      <x/>
    </i>
  </rowItems>
  <colItems count="1">
    <i/>
  </colItems>
  <dataFields count="1">
    <dataField name="Average of Absenteeism Rate" fld="23" subtotal="average" baseField="0" baseItem="0"/>
  </dataFields>
  <chartFormats count="12">
    <chartFormat chart="0" format="0"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 count="1" selected="0">
            <x v="0"/>
          </reference>
        </references>
      </pivotArea>
    </chartFormat>
    <chartFormat chart="6" format="21">
      <pivotArea type="data" outline="0" fieldPosition="0">
        <references count="2">
          <reference field="4294967294" count="1" selected="0">
            <x v="0"/>
          </reference>
          <reference field="1" count="1" selected="0">
            <x v="1"/>
          </reference>
        </references>
      </pivotArea>
    </chartFormat>
    <chartFormat chart="6" format="22">
      <pivotArea type="data" outline="0" fieldPosition="0">
        <references count="2">
          <reference field="4294967294" count="1" selected="0">
            <x v="0"/>
          </reference>
          <reference field="1" count="1" selected="0">
            <x v="2"/>
          </reference>
        </references>
      </pivotArea>
    </chartFormat>
    <chartFormat chart="6" format="23">
      <pivotArea type="data" outline="0" fieldPosition="0">
        <references count="2">
          <reference field="4294967294" count="1" selected="0">
            <x v="0"/>
          </reference>
          <reference field="1" count="1" selected="0">
            <x v="3"/>
          </reference>
        </references>
      </pivotArea>
    </chartFormat>
    <chartFormat chart="6" format="24">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780A97-C452-4943-A329-97DC878C15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8:B74" firstHeaderRow="1" firstDataRow="1" firstDataCol="1"/>
  <pivotFields count="28">
    <pivotField showAll="0"/>
    <pivotField axis="axisRow" showAll="0">
      <items count="6">
        <item x="2"/>
        <item x="4"/>
        <item x="0"/>
        <item x="3"/>
        <item x="1"/>
        <item t="default"/>
      </items>
    </pivotField>
    <pivotField showAll="0">
      <items count="6">
        <item x="2"/>
        <item x="4"/>
        <item x="0"/>
        <item x="1"/>
        <item x="3"/>
        <item t="default"/>
      </items>
    </pivotField>
    <pivotField numFmtId="14" showAll="0"/>
    <pivotField numFmtId="14" showAll="0"/>
    <pivotField numFmtId="14" showAll="0"/>
    <pivotField showAll="0"/>
    <pivotField showAll="0">
      <items count="3">
        <item x="0"/>
        <item x="1"/>
        <item t="default"/>
      </items>
    </pivotField>
    <pivotField numFmtId="164" showAll="0"/>
    <pivotField showAll="0"/>
    <pivotField showAll="0">
      <items count="3">
        <item x="0"/>
        <item x="1"/>
        <item t="default"/>
      </items>
    </pivotField>
    <pivotField showAll="0"/>
    <pivotField showAll="0"/>
    <pivotField showAll="0">
      <items count="4">
        <item x="2"/>
        <item x="0"/>
        <item x="1"/>
        <item t="default"/>
      </items>
    </pivotField>
    <pivotField numFmtId="165" showAll="0"/>
    <pivotField showAll="0"/>
    <pivotField numFmtId="1" showAll="0"/>
    <pivotField numFmtId="2" showAll="0"/>
    <pivotField showAll="0"/>
    <pivotField numFmtId="1" showAll="0"/>
    <pivotField numFmtId="2" showAll="0"/>
    <pivotField showAll="0"/>
    <pivotField showAll="0"/>
    <pivotField numFmtId="2" showAll="0"/>
    <pivotField showAll="0">
      <items count="7">
        <item x="5"/>
        <item x="0"/>
        <item x="1"/>
        <item x="2"/>
        <item x="4"/>
        <item x="3"/>
        <item t="default"/>
      </items>
    </pivotField>
    <pivotField dataField="1" showAll="0"/>
    <pivotField showAll="0"/>
    <pivotField showAll="0"/>
  </pivotFields>
  <rowFields count="1">
    <field x="1"/>
  </rowFields>
  <rowItems count="6">
    <i>
      <x/>
    </i>
    <i>
      <x v="1"/>
    </i>
    <i>
      <x v="2"/>
    </i>
    <i>
      <x v="3"/>
    </i>
    <i>
      <x v="4"/>
    </i>
    <i t="grand">
      <x/>
    </i>
  </rowItems>
  <colItems count="1">
    <i/>
  </colItems>
  <dataFields count="1">
    <dataField name="Sum of Retention Status" fld="2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1" count="1" selected="0">
            <x v="0"/>
          </reference>
        </references>
      </pivotArea>
    </chartFormat>
    <chartFormat chart="17" format="26">
      <pivotArea type="data" outline="0" fieldPosition="0">
        <references count="2">
          <reference field="4294967294" count="1" selected="0">
            <x v="0"/>
          </reference>
          <reference field="1" count="1" selected="0">
            <x v="1"/>
          </reference>
        </references>
      </pivotArea>
    </chartFormat>
    <chartFormat chart="17" format="27">
      <pivotArea type="data" outline="0" fieldPosition="0">
        <references count="2">
          <reference field="4294967294" count="1" selected="0">
            <x v="0"/>
          </reference>
          <reference field="1" count="1" selected="0">
            <x v="2"/>
          </reference>
        </references>
      </pivotArea>
    </chartFormat>
    <chartFormat chart="17" format="28">
      <pivotArea type="data" outline="0" fieldPosition="0">
        <references count="2">
          <reference field="4294967294" count="1" selected="0">
            <x v="0"/>
          </reference>
          <reference field="1" count="1" selected="0">
            <x v="3"/>
          </reference>
        </references>
      </pivotArea>
    </chartFormat>
    <chartFormat chart="17" format="29">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157C9E-B05B-9A46-A591-A33E39049BB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5:B62" firstHeaderRow="1" firstDataRow="1" firstDataCol="1"/>
  <pivotFields count="28">
    <pivotField showAll="0"/>
    <pivotField showAll="0">
      <items count="6">
        <item x="2"/>
        <item x="4"/>
        <item x="0"/>
        <item x="3"/>
        <item x="1"/>
        <item t="default"/>
      </items>
    </pivotField>
    <pivotField showAll="0">
      <items count="6">
        <item x="2"/>
        <item x="4"/>
        <item x="0"/>
        <item x="1"/>
        <item x="3"/>
        <item t="default"/>
      </items>
    </pivotField>
    <pivotField numFmtId="14" showAll="0"/>
    <pivotField numFmtId="14" showAll="0"/>
    <pivotField numFmtId="14" showAll="0"/>
    <pivotField showAll="0"/>
    <pivotField showAll="0">
      <items count="3">
        <item x="0"/>
        <item x="1"/>
        <item t="default"/>
      </items>
    </pivotField>
    <pivotField numFmtId="164" showAll="0"/>
    <pivotField showAll="0"/>
    <pivotField showAll="0">
      <items count="3">
        <item x="0"/>
        <item x="1"/>
        <item t="default"/>
      </items>
    </pivotField>
    <pivotField showAll="0"/>
    <pivotField showAll="0"/>
    <pivotField showAll="0">
      <items count="4">
        <item x="2"/>
        <item x="0"/>
        <item x="1"/>
        <item t="default"/>
      </items>
    </pivotField>
    <pivotField numFmtId="165" showAll="0"/>
    <pivotField showAll="0"/>
    <pivotField numFmtId="1" showAll="0"/>
    <pivotField dataField="1" numFmtId="2" showAll="0"/>
    <pivotField showAll="0"/>
    <pivotField numFmtId="1" showAll="0"/>
    <pivotField numFmtId="2" showAll="0"/>
    <pivotField showAll="0"/>
    <pivotField showAll="0"/>
    <pivotField numFmtId="2" showAll="0"/>
    <pivotField axis="axisRow" showAll="0">
      <items count="7">
        <item x="5"/>
        <item x="0"/>
        <item x="1"/>
        <item x="2"/>
        <item x="4"/>
        <item x="3"/>
        <item t="default"/>
      </items>
    </pivotField>
    <pivotField showAll="0"/>
    <pivotField showAll="0"/>
    <pivotField showAll="0"/>
  </pivotFields>
  <rowFields count="1">
    <field x="24"/>
  </rowFields>
  <rowItems count="7">
    <i>
      <x/>
    </i>
    <i>
      <x v="1"/>
    </i>
    <i>
      <x v="2"/>
    </i>
    <i>
      <x v="3"/>
    </i>
    <i>
      <x v="4"/>
    </i>
    <i>
      <x v="5"/>
    </i>
    <i t="grand">
      <x/>
    </i>
  </rowItems>
  <colItems count="1">
    <i/>
  </colItems>
  <dataFields count="1">
    <dataField name="Sum of Total Tenure in M" fld="17" baseField="0" baseItem="0"/>
  </dataFields>
  <formats count="1">
    <format dxfId="1">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3DA831-FC1A-A847-B334-6D5B7149B2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20:B26" firstHeaderRow="1" firstDataRow="1" firstDataCol="1"/>
  <pivotFields count="28">
    <pivotField showAll="0"/>
    <pivotField showAll="0">
      <items count="6">
        <item x="2"/>
        <item x="4"/>
        <item x="0"/>
        <item x="3"/>
        <item x="1"/>
        <item t="default"/>
      </items>
    </pivotField>
    <pivotField axis="axisRow" showAll="0">
      <items count="6">
        <item x="2"/>
        <item x="4"/>
        <item x="0"/>
        <item x="1"/>
        <item x="3"/>
        <item t="default"/>
      </items>
    </pivotField>
    <pivotField numFmtId="14" showAll="0"/>
    <pivotField numFmtId="14" showAll="0"/>
    <pivotField numFmtId="14" showAll="0"/>
    <pivotField showAll="0"/>
    <pivotField showAll="0">
      <items count="3">
        <item x="0"/>
        <item x="1"/>
        <item t="default"/>
      </items>
    </pivotField>
    <pivotField numFmtId="164" showAll="0"/>
    <pivotField showAll="0"/>
    <pivotField showAll="0">
      <items count="3">
        <item x="0"/>
        <item x="1"/>
        <item t="default"/>
      </items>
    </pivotField>
    <pivotField showAll="0"/>
    <pivotField showAll="0"/>
    <pivotField showAll="0">
      <items count="4">
        <item x="2"/>
        <item x="0"/>
        <item x="1"/>
        <item t="default"/>
      </items>
    </pivotField>
    <pivotField numFmtId="165" showAll="0"/>
    <pivotField showAll="0"/>
    <pivotField numFmtId="1" showAll="0"/>
    <pivotField numFmtId="2" showAll="0"/>
    <pivotField dataField="1" showAll="0"/>
    <pivotField numFmtId="1" showAll="0"/>
    <pivotField numFmtId="2" showAll="0"/>
    <pivotField showAll="0"/>
    <pivotField showAll="0"/>
    <pivotField numFmtId="2" showAll="0"/>
    <pivotField showAll="0">
      <items count="7">
        <item x="5"/>
        <item x="0"/>
        <item x="1"/>
        <item x="2"/>
        <item x="4"/>
        <item x="3"/>
        <item t="default"/>
      </items>
    </pivotField>
    <pivotField showAll="0"/>
    <pivotField showAll="0"/>
    <pivotField showAll="0"/>
  </pivotFields>
  <rowFields count="1">
    <field x="2"/>
  </rowFields>
  <rowItems count="6">
    <i>
      <x/>
    </i>
    <i>
      <x v="1"/>
    </i>
    <i>
      <x v="2"/>
    </i>
    <i>
      <x v="3"/>
    </i>
    <i>
      <x v="4"/>
    </i>
    <i t="grand">
      <x/>
    </i>
  </rowItems>
  <colItems count="1">
    <i/>
  </colItems>
  <dataFields count="1">
    <dataField name="Average of Recruitment Cycle Time" fld="18" subtotal="average" baseField="0" baseItem="0" numFmtId="2"/>
  </dataFields>
  <formats count="1">
    <format dxfId="2">
      <pivotArea outline="0" collapsedLevelsAreSubtotals="1" fieldPosition="0"/>
    </format>
  </formats>
  <chartFormats count="2">
    <chartFormat chart="3" format="5"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CE5BC4-BF02-A34C-A8A5-0EED8BC02BD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37:B144" firstHeaderRow="1" firstDataRow="1" firstDataCol="1"/>
  <pivotFields count="28">
    <pivotField showAll="0"/>
    <pivotField showAll="0">
      <items count="6">
        <item x="2"/>
        <item x="4"/>
        <item x="0"/>
        <item x="3"/>
        <item x="1"/>
        <item t="default"/>
      </items>
    </pivotField>
    <pivotField showAll="0">
      <items count="6">
        <item x="2"/>
        <item x="4"/>
        <item x="0"/>
        <item x="1"/>
        <item x="3"/>
        <item t="default"/>
      </items>
    </pivotField>
    <pivotField numFmtId="14" showAll="0"/>
    <pivotField numFmtId="14" showAll="0"/>
    <pivotField numFmtId="14" showAll="0"/>
    <pivotField showAll="0"/>
    <pivotField showAll="0">
      <items count="3">
        <item x="0"/>
        <item x="1"/>
        <item t="default"/>
      </items>
    </pivotField>
    <pivotField numFmtId="164" showAll="0"/>
    <pivotField showAll="0"/>
    <pivotField showAll="0">
      <items count="3">
        <item x="0"/>
        <item x="1"/>
        <item t="default"/>
      </items>
    </pivotField>
    <pivotField showAll="0"/>
    <pivotField showAll="0"/>
    <pivotField showAll="0">
      <items count="4">
        <item x="2"/>
        <item x="0"/>
        <item x="1"/>
        <item t="default"/>
      </items>
    </pivotField>
    <pivotField numFmtId="165" showAll="0"/>
    <pivotField showAll="0"/>
    <pivotField numFmtId="1" showAll="0"/>
    <pivotField numFmtId="2" showAll="0"/>
    <pivotField showAll="0"/>
    <pivotField numFmtId="1" showAll="0"/>
    <pivotField numFmtId="2" showAll="0"/>
    <pivotField showAll="0"/>
    <pivotField showAll="0"/>
    <pivotField numFmtId="2" showAll="0"/>
    <pivotField axis="axisRow" showAll="0">
      <items count="7">
        <item x="5"/>
        <item x="0"/>
        <item x="1"/>
        <item x="2"/>
        <item x="4"/>
        <item x="3"/>
        <item t="default"/>
      </items>
    </pivotField>
    <pivotField showAll="0"/>
    <pivotField dataField="1" showAll="0"/>
    <pivotField showAll="0"/>
  </pivotFields>
  <rowFields count="1">
    <field x="24"/>
  </rowFields>
  <rowItems count="7">
    <i>
      <x/>
    </i>
    <i>
      <x v="1"/>
    </i>
    <i>
      <x v="2"/>
    </i>
    <i>
      <x v="3"/>
    </i>
    <i>
      <x v="4"/>
    </i>
    <i>
      <x v="5"/>
    </i>
    <i t="grand">
      <x/>
    </i>
  </rowItems>
  <colItems count="1">
    <i/>
  </colItems>
  <dataFields count="1">
    <dataField name="Average of Cost of Employee Turnover" fld="26" subtotal="average" baseField="0" baseItem="0" numFmtId="1"/>
  </dataFields>
  <formats count="1">
    <format dxfId="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4" count="1" selected="0">
            <x v="1"/>
          </reference>
        </references>
      </pivotArea>
    </chartFormat>
    <chartFormat chart="0" format="3" series="1">
      <pivotArea type="data" outline="0" fieldPosition="0">
        <references count="2">
          <reference field="4294967294" count="1" selected="0">
            <x v="0"/>
          </reference>
          <reference field="24" count="1" selected="0">
            <x v="2"/>
          </reference>
        </references>
      </pivotArea>
    </chartFormat>
    <chartFormat chart="0" format="4" series="1">
      <pivotArea type="data" outline="0" fieldPosition="0">
        <references count="2">
          <reference field="4294967294" count="1" selected="0">
            <x v="0"/>
          </reference>
          <reference field="24" count="1" selected="0">
            <x v="3"/>
          </reference>
        </references>
      </pivotArea>
    </chartFormat>
    <chartFormat chart="0" format="5" series="1">
      <pivotArea type="data" outline="0" fieldPosition="0">
        <references count="2">
          <reference field="4294967294" count="1" selected="0">
            <x v="0"/>
          </reference>
          <reference field="24" count="1" selected="0">
            <x v="4"/>
          </reference>
        </references>
      </pivotArea>
    </chartFormat>
    <chartFormat chart="0" format="6" series="1">
      <pivotArea type="data" outline="0" fieldPosition="0">
        <references count="2">
          <reference field="4294967294" count="1" selected="0">
            <x v="0"/>
          </reference>
          <reference field="24" count="1" selected="0">
            <x v="5"/>
          </reference>
        </references>
      </pivotArea>
    </chartFormat>
    <chartFormat chart="14"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328FBF-5E7E-394A-91F0-76BAD9323F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0:B46" firstHeaderRow="1" firstDataRow="1" firstDataCol="1"/>
  <pivotFields count="28">
    <pivotField showAll="0"/>
    <pivotField axis="axisRow" showAll="0">
      <items count="6">
        <item x="2"/>
        <item x="4"/>
        <item x="0"/>
        <item x="3"/>
        <item x="1"/>
        <item t="default"/>
      </items>
    </pivotField>
    <pivotField showAll="0">
      <items count="6">
        <item x="2"/>
        <item x="4"/>
        <item x="0"/>
        <item x="1"/>
        <item x="3"/>
        <item t="default"/>
      </items>
    </pivotField>
    <pivotField numFmtId="14" showAll="0"/>
    <pivotField numFmtId="14" showAll="0"/>
    <pivotField numFmtId="14" showAll="0"/>
    <pivotField showAll="0"/>
    <pivotField showAll="0">
      <items count="3">
        <item x="0"/>
        <item x="1"/>
        <item t="default"/>
      </items>
    </pivotField>
    <pivotField numFmtId="164" showAll="0"/>
    <pivotField showAll="0"/>
    <pivotField showAll="0">
      <items count="3">
        <item x="0"/>
        <item x="1"/>
        <item t="default"/>
      </items>
    </pivotField>
    <pivotField showAll="0"/>
    <pivotField showAll="0"/>
    <pivotField showAll="0">
      <items count="4">
        <item x="2"/>
        <item x="0"/>
        <item x="1"/>
        <item t="default"/>
      </items>
    </pivotField>
    <pivotField numFmtId="165" showAll="0"/>
    <pivotField dataField="1" showAll="0"/>
    <pivotField numFmtId="1" showAll="0"/>
    <pivotField numFmtId="2" showAll="0"/>
    <pivotField showAll="0"/>
    <pivotField numFmtId="1" showAll="0"/>
    <pivotField numFmtId="2" showAll="0"/>
    <pivotField showAll="0"/>
    <pivotField showAll="0"/>
    <pivotField numFmtId="2" showAll="0"/>
    <pivotField showAll="0">
      <items count="7">
        <item x="5"/>
        <item x="0"/>
        <item x="1"/>
        <item x="2"/>
        <item x="4"/>
        <item x="3"/>
        <item t="default"/>
      </items>
    </pivotField>
    <pivotField showAll="0"/>
    <pivotField showAll="0"/>
    <pivotField showAll="0"/>
  </pivotFields>
  <rowFields count="1">
    <field x="1"/>
  </rowFields>
  <rowItems count="6">
    <i>
      <x/>
    </i>
    <i>
      <x v="1"/>
    </i>
    <i>
      <x v="2"/>
    </i>
    <i>
      <x v="3"/>
    </i>
    <i>
      <x v="4"/>
    </i>
    <i t="grand">
      <x/>
    </i>
  </rowItems>
  <colItems count="1">
    <i/>
  </colItems>
  <dataFields count="1">
    <dataField name="Average of Time to fill" fld="15" subtotal="average" baseField="0" baseItem="0" numFmtId="2"/>
  </dataFields>
  <formats count="1">
    <format dxfId="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3C288-3FD9-4647-8E68-067DA391C939}"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9">
  <location ref="A3:B9" firstHeaderRow="1" firstDataRow="1" firstDataCol="1"/>
  <pivotFields count="28">
    <pivotField showAll="0"/>
    <pivotField axis="axisRow" showAll="0">
      <items count="6">
        <item x="2"/>
        <item x="4"/>
        <item x="0"/>
        <item x="3"/>
        <item x="1"/>
        <item t="default"/>
      </items>
    </pivotField>
    <pivotField showAll="0">
      <items count="6">
        <item x="2"/>
        <item x="4"/>
        <item x="0"/>
        <item x="1"/>
        <item x="3"/>
        <item t="default"/>
      </items>
    </pivotField>
    <pivotField numFmtId="14" showAll="0"/>
    <pivotField numFmtId="14" showAll="0"/>
    <pivotField numFmtId="14" showAll="0"/>
    <pivotField showAll="0"/>
    <pivotField showAll="0">
      <items count="3">
        <item x="0"/>
        <item x="1"/>
        <item t="default"/>
      </items>
    </pivotField>
    <pivotField numFmtId="164" showAll="0"/>
    <pivotField showAll="0"/>
    <pivotField showAll="0">
      <items count="3">
        <item x="0"/>
        <item x="1"/>
        <item t="default"/>
      </items>
    </pivotField>
    <pivotField showAll="0"/>
    <pivotField showAll="0"/>
    <pivotField showAll="0">
      <items count="4">
        <item x="2"/>
        <item x="0"/>
        <item x="1"/>
        <item t="default"/>
      </items>
    </pivotField>
    <pivotField numFmtId="165" showAll="0"/>
    <pivotField showAll="0"/>
    <pivotField dataField="1" numFmtId="1" showAll="0"/>
    <pivotField numFmtId="2" showAll="0"/>
    <pivotField showAll="0"/>
    <pivotField numFmtId="1" showAll="0"/>
    <pivotField numFmtId="2" showAll="0"/>
    <pivotField showAll="0"/>
    <pivotField showAll="0"/>
    <pivotField numFmtId="2" showAll="0"/>
    <pivotField showAll="0">
      <items count="7">
        <item x="5"/>
        <item x="0"/>
        <item x="1"/>
        <item x="2"/>
        <item x="4"/>
        <item x="3"/>
        <item t="default"/>
      </items>
    </pivotField>
    <pivotField showAll="0"/>
    <pivotField showAll="0"/>
    <pivotField showAll="0"/>
  </pivotFields>
  <rowFields count="1">
    <field x="1"/>
  </rowFields>
  <rowItems count="6">
    <i>
      <x/>
    </i>
    <i>
      <x v="1"/>
    </i>
    <i>
      <x v="2"/>
    </i>
    <i>
      <x v="3"/>
    </i>
    <i>
      <x v="4"/>
    </i>
    <i t="grand">
      <x/>
    </i>
  </rowItems>
  <colItems count="1">
    <i/>
  </colItems>
  <dataFields count="1">
    <dataField name="Average of Time to onboard" fld="16" subtotal="average" baseField="0" baseItem="0" numFmtId="2"/>
  </dataFields>
  <formats count="1">
    <format dxfId="5">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977D223-AF08-F946-8378-6FDA4AFFADC7}" sourceName="Status">
  <pivotTables>
    <pivotTable tabId="3" name="PivotTable3"/>
    <pivotTable tabId="3" name="PivotTable1"/>
    <pivotTable tabId="3" name="PivotTable2"/>
    <pivotTable tabId="3" name="PivotTable6"/>
    <pivotTable tabId="3" name="PivotTable7"/>
    <pivotTable tabId="3" name="PivotTable10"/>
    <pivotTable tabId="3" name="PivotTable11"/>
    <pivotTable tabId="3" name="PivotTable8"/>
    <pivotTable tabId="3" name="PivotTable9"/>
  </pivotTables>
  <data>
    <tabular pivotCacheId="667461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029A356-864A-8D47-8355-1C39D8C4269A}" sourceName="Gender">
  <pivotTables>
    <pivotTable tabId="3" name="PivotTable1"/>
    <pivotTable tabId="3" name="PivotTable2"/>
    <pivotTable tabId="3" name="PivotTable3"/>
    <pivotTable tabId="3" name="PivotTable6"/>
    <pivotTable tabId="3" name="PivotTable7"/>
    <pivotTable tabId="3" name="PivotTable10"/>
    <pivotTable tabId="3" name="PivotTable11"/>
    <pivotTable tabId="3" name="PivotTable8"/>
    <pivotTable tabId="3" name="PivotTable9"/>
  </pivotTables>
  <data>
    <tabular pivotCacheId="6674616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joining" xr10:uid="{3D248F2B-F45D-E448-BDC8-EEBF55405CA1}" sourceName="year of joining">
  <pivotTables>
    <pivotTable tabId="3" name="PivotTable2"/>
    <pivotTable tabId="3" name="PivotTable1"/>
    <pivotTable tabId="3" name="PivotTable3"/>
    <pivotTable tabId="3" name="PivotTable6"/>
    <pivotTable tabId="3" name="PivotTable7"/>
    <pivotTable tabId="3" name="PivotTable10"/>
    <pivotTable tabId="3" name="PivotTable11"/>
    <pivotTable tabId="3" name="PivotTable8"/>
    <pivotTable tabId="3" name="PivotTable9"/>
  </pivotTables>
  <data>
    <tabular pivotCacheId="66746161">
      <items count="6">
        <i x="5" s="1"/>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178E3D4-9587-B848-920F-430E1AC24D00}" sourceName="Department">
  <pivotTables>
    <pivotTable tabId="3" name="PivotTable11"/>
    <pivotTable tabId="3" name="PivotTable1"/>
    <pivotTable tabId="3" name="PivotTable10"/>
    <pivotTable tabId="3" name="PivotTable2"/>
    <pivotTable tabId="3" name="PivotTable3"/>
    <pivotTable tabId="3" name="PivotTable6"/>
    <pivotTable tabId="3" name="PivotTable7"/>
    <pivotTable tabId="3" name="PivotTable8"/>
    <pivotTable tabId="3" name="PivotTable9"/>
  </pivotTables>
  <data>
    <tabular pivotCacheId="66746161">
      <items count="5">
        <i x="2" s="1"/>
        <i x="4"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D2FA797C-6D0A-5F41-BDEB-C9D2AFAF03AF}" sourceName="Job Title">
  <pivotTables>
    <pivotTable tabId="3" name="PivotTable11"/>
    <pivotTable tabId="3" name="PivotTable1"/>
    <pivotTable tabId="3" name="PivotTable10"/>
    <pivotTable tabId="3" name="PivotTable2"/>
    <pivotTable tabId="3" name="PivotTable3"/>
    <pivotTable tabId="3" name="PivotTable6"/>
    <pivotTable tabId="3" name="PivotTable7"/>
    <pivotTable tabId="3" name="PivotTable8"/>
    <pivotTable tabId="3" name="PivotTable9"/>
  </pivotTables>
  <data>
    <tabular pivotCacheId="66746161">
      <items count="5">
        <i x="2" s="1"/>
        <i x="4" s="1"/>
        <i x="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Completion_Status" xr10:uid="{DC10C62D-7AFF-2E40-AC68-9B22519B3CEC}" sourceName="Training Completion Status">
  <pivotTables>
    <pivotTable tabId="3" name="PivotTable10"/>
    <pivotTable tabId="3" name="PivotTable1"/>
    <pivotTable tabId="3" name="PivotTable11"/>
    <pivotTable tabId="3" name="PivotTable2"/>
    <pivotTable tabId="3" name="PivotTable3"/>
    <pivotTable tabId="3" name="PivotTable6"/>
    <pivotTable tabId="3" name="PivotTable7"/>
    <pivotTable tabId="3" name="PivotTable8"/>
    <pivotTable tabId="3" name="PivotTable9"/>
  </pivotTables>
  <data>
    <tabular pivotCacheId="6674616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68F2DA35-9AD1-F04D-B4E2-C2B961E7D82B}" cache="Slicer_Status" caption="Status" style="SlicerStyleDark3" rowHeight="251883"/>
  <slicer name="Gender 1" xr10:uid="{A199EBD2-BF50-A24B-81C4-7A61A4FA54C5}" cache="Slicer_Gender" caption="Gender" style="SlicerStyleDark1" rowHeight="251883"/>
  <slicer name="year of joining 1" xr10:uid="{7639C5C4-4590-D74B-AD92-8E5C8C767330}" cache="Slicer_year_of_joining" caption="year of joining" style="SlicerStyleDark4" rowHeight="251883"/>
  <slicer name="Department 1" xr10:uid="{0F27AADA-14DA-6848-88CE-87C048E17609}" cache="Slicer_Department" caption="Department" style="SlicerStyleDark1" rowHeight="251883"/>
  <slicer name="Job Title 1" xr10:uid="{58B069A3-E082-CB49-88E4-4DB54C70F616}" cache="Slicer_Job_Title" caption="Job Title" style="SlicerStyleDark5" rowHeight="251883"/>
  <slicer name="Training Completion Status" xr10:uid="{CD58BE46-FB3C-2B44-B701-3D39CCFCADC9}" cache="Slicer_Training_Completion_Status" caption="Training Completion Status"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997AAA-AEB2-EB41-99FC-7F2A7048EB4B}" name="Table1" displayName="Table1" ref="A1:AB251" totalsRowShown="0">
  <autoFilter ref="A1:AB251" xr:uid="{3C997AAA-AEB2-EB41-99FC-7F2A7048EB4B}"/>
  <sortState xmlns:xlrd2="http://schemas.microsoft.com/office/spreadsheetml/2017/richdata2" ref="A2:AB251">
    <sortCondition ref="P1:P251"/>
  </sortState>
  <tableColumns count="28">
    <tableColumn id="1" xr3:uid="{28944547-ACB1-0A46-986E-4CE3614331C6}" name="Employee ID">
      <calculatedColumnFormula>"E" &amp; TEXT(ROW(A1), "000")</calculatedColumnFormula>
    </tableColumn>
    <tableColumn id="2" xr3:uid="{6B0937D0-DF93-BC41-8FD3-CE7AFE248391}" name="Department">
      <calculatedColumnFormula array="1">INDEX(sheet2!$A$2:$A$6, RANDBETWEEN(1, 5))</calculatedColumnFormula>
    </tableColumn>
    <tableColumn id="3" xr3:uid="{4A66CF3B-234C-854B-9C05-04E292CBA290}" name="Job Title" dataDxfId="28">
      <calculatedColumnFormula>_xlfn.XLOOKUP(Table1[[#This Row],[Department]],sheet2!$A$2:$A$6,sheet2!$B$2:$B$6,_xleta.NA,0)</calculatedColumnFormula>
    </tableColumn>
    <tableColumn id="4" xr3:uid="{59950CD3-8362-F649-BAD8-B3B384B45BF7}" name="Job Posting Date" dataDxfId="27">
      <calculatedColumnFormula>DATE(RANDBETWEEN(2018, 2022), RANDBETWEEN(1, 12), RANDBETWEEN(1, 28))</calculatedColumnFormula>
    </tableColumn>
    <tableColumn id="5" xr3:uid="{4768BF98-4D3C-D848-A178-DB24831ACCB9}" name="Hire Date" dataDxfId="26">
      <calculatedColumnFormula>Table1[[#This Row],[Job Posting Date]]+ RANDBETWEEN(15, 90)</calculatedColumnFormula>
    </tableColumn>
    <tableColumn id="6" xr3:uid="{631FFA08-58C1-E04C-BAC3-FE9B0E3B6A7F}" name="Join Date" dataDxfId="25">
      <calculatedColumnFormula>Table1[[#This Row],[Hire Date]]+ RANDBETWEEN(1, 15)</calculatedColumnFormula>
    </tableColumn>
    <tableColumn id="7" xr3:uid="{9E45AC36-3D2B-EC44-92E1-DAC9348E9EAA}" name="Exit Date" dataDxfId="24">
      <calculatedColumnFormula>IF(RAND() &lt; 0.5,  Table1[[#This Row],[Join Date]]+ RANDBETWEEN(30, TODAY()- Table1[[#This Row],[Join Date]]), "-")</calculatedColumnFormula>
    </tableColumn>
    <tableColumn id="8" xr3:uid="{776E110A-3823-3249-B91D-06D5B8EF656C}" name="Status" dataDxfId="23">
      <calculatedColumnFormula>IF(Table1[[#This Row],[Exit Date]]= "-", "Active", "Exited")</calculatedColumnFormula>
    </tableColumn>
    <tableColumn id="9" xr3:uid="{0BDCBE97-78F7-6D40-A85D-B58473C5C464}" name="Recruitment Cost" dataDxfId="22">
      <calculatedColumnFormula>RANDBETWEEN(1500, 5000)</calculatedColumnFormula>
    </tableColumn>
    <tableColumn id="10" xr3:uid="{CE3FECBA-A295-5D43-BCD5-7478B524D5C6}" name="Training Program">
      <calculatedColumnFormula array="1">INDEX(sheet2!$C$2:$C$6, RANDBETWEEN(1, 5))</calculatedColumnFormula>
    </tableColumn>
    <tableColumn id="11" xr3:uid="{944D628D-C74A-7143-BDE2-1A84DA4188F9}" name="Training Completion Status">
      <calculatedColumnFormula>IF(RAND() &lt; 0.7, "Completed", "Not Completed")</calculatedColumnFormula>
    </tableColumn>
    <tableColumn id="13" xr3:uid="{2B35E8D7-528B-BC4E-B5C5-90A17CE6F952}" name="Total Work Days"/>
    <tableColumn id="14" xr3:uid="{D416B69A-9591-2147-9B4D-BB674F4342BB}" name="Absentee Days" dataDxfId="21">
      <calculatedColumnFormula>RANDBETWEEN(0, 20)</calculatedColumnFormula>
    </tableColumn>
    <tableColumn id="15" xr3:uid="{75D90FAE-8CED-FC41-8716-1DEC7E02D574}" name="Gender" dataDxfId="20">
      <calculatedColumnFormula>CHOOSE(RANDBETWEEN(1, 3), "Male", "Female", "Other")</calculatedColumnFormula>
    </tableColumn>
    <tableColumn id="17" xr3:uid="{A97D4D68-965B-B445-96C0-B08BEFB10A8E}" name="Training Cost" dataDxfId="19">
      <calculatedColumnFormula>RANDBETWEEN(1200, 2500)</calculatedColumnFormula>
    </tableColumn>
    <tableColumn id="18" xr3:uid="{DED8EF7F-E58D-2447-82EF-FF1008B2271F}" name="Time to Fill" dataDxfId="18">
      <calculatedColumnFormula>Table1[[#This Row],[Hire Date]]-Table1[[#This Row],[Job Posting Date]]</calculatedColumnFormula>
    </tableColumn>
    <tableColumn id="19" xr3:uid="{57D7B9E4-5A5A-4941-8AAD-57C1D7046ECC}" name="Time to Onboard" dataDxfId="17">
      <calculatedColumnFormula>Table1[[#This Row],[Join Date]]-Table1[[#This Row],[Hire Date]]</calculatedColumnFormula>
    </tableColumn>
    <tableColumn id="20" xr3:uid="{0B951FA3-1772-E043-942F-25CB9B309962}" name="Total Tenure in M" dataDxfId="16">
      <calculatedColumnFormula>(IF(Table1[[#This Row],[Status]]="Exited",Table1[[#This Row],[Exit Date]]-Table1[[#This Row],[Join Date]],TODAY()-Table1[[#This Row],[Join Date]]))/30</calculatedColumnFormula>
    </tableColumn>
    <tableColumn id="21" xr3:uid="{8B26287B-1A7B-F84E-AA08-51B89FD5343A}" name="Recruitment Cycle Time" dataDxfId="15">
      <calculatedColumnFormula>Table1[[#This Row],[Hire Date]]-Table1[[#This Row],[Job Posting Date]]</calculatedColumnFormula>
    </tableColumn>
    <tableColumn id="22" xr3:uid="{84788DCB-426F-5640-9A62-49B12A0770D3}" name="Onboarding Efficiency Rate" dataDxfId="14">
      <calculatedColumnFormula>Table1[[#This Row],[Time to Onboard]]/Table1[[#This Row],[Time to Fill]]*100</calculatedColumnFormula>
    </tableColumn>
    <tableColumn id="12" xr3:uid="{67388AE8-3174-874C-ACC3-AF7129A53D51}" name="Individual Onboard Efficiency Rate" dataDxfId="13">
      <calculatedColumnFormula>Table1[[#This Row],[Time to Onboard]]/Table1[[#This Row],[Time to Fill]]*100</calculatedColumnFormula>
    </tableColumn>
    <tableColumn id="16" xr3:uid="{418C4495-DEDA-9346-8389-9CC084C92BCD}" name="Recruitment Lag" dataDxfId="12">
      <calculatedColumnFormula>Table1[[#This Row],[Join Date]]-Table1[[#This Row],[Job Posting Date]]</calculatedColumnFormula>
    </tableColumn>
    <tableColumn id="23" xr3:uid="{4E83D78B-0079-A643-A037-39F083CEB3D8}" name="Onboarding Cost" dataDxfId="11">
      <calculatedColumnFormula>RANDBETWEEN(100,200)</calculatedColumnFormula>
    </tableColumn>
    <tableColumn id="24" xr3:uid="{86910AE5-7EDB-1745-B458-71C6973390A9}" name="Absenteeism Rate" dataDxfId="10">
      <calculatedColumnFormula>Table1[[#This Row],[Absentee Days]]/Table1[[#This Row],[Total Work Days]]*100</calculatedColumnFormula>
    </tableColumn>
    <tableColumn id="25" xr3:uid="{A3AF2EBE-F203-E040-8635-9186E9C06FA0}" name="Year of Joining" dataDxfId="9">
      <calculatedColumnFormula>YEAR(Table1[[#This Row],[Join Date]])</calculatedColumnFormula>
    </tableColumn>
    <tableColumn id="26" xr3:uid="{B05000BB-12E6-8E40-A9C0-162B60BF0A86}" name="Retention Status" dataDxfId="8">
      <calculatedColumnFormula>IF(Table1[[#This Row],[Status]]="Active",1,0)</calculatedColumnFormula>
    </tableColumn>
    <tableColumn id="27" xr3:uid="{4987E269-F768-0144-9A99-D0A94BF4215E}" name="Cost of Employee Turnover" dataDxfId="7">
      <calculatedColumnFormula>IF(Table1[[#This Row],[Status]]="Exited",Table1[[#This Row],[Recruitment Cost]]+Table1[[#This Row],[Onboarding Cost]]+Table1[[#This Row],[Training Cost]],0)</calculatedColumnFormula>
    </tableColumn>
    <tableColumn id="28" xr3:uid="{0B4EA197-EFBD-EC45-9A0D-B0A18B95DEA4}" name="Column1"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A0412-984B-E341-995B-2422EA401C01}">
  <dimension ref="A1:AI251"/>
  <sheetViews>
    <sheetView tabSelected="1" zoomScale="160" zoomScaleNormal="160" workbookViewId="0">
      <selection sqref="A1:AB251"/>
    </sheetView>
  </sheetViews>
  <sheetFormatPr baseColWidth="10" defaultColWidth="10.83203125" defaultRowHeight="16" x14ac:dyDescent="0.2"/>
  <cols>
    <col min="1" max="1" width="13.83203125" customWidth="1"/>
    <col min="2" max="2" width="13.6640625" customWidth="1"/>
    <col min="3" max="3" width="16.83203125" customWidth="1"/>
    <col min="4" max="4" width="17.33203125" style="1" customWidth="1"/>
    <col min="5" max="5" width="11.5" style="1" customWidth="1"/>
    <col min="6" max="6" width="11.1640625" style="1" customWidth="1"/>
    <col min="7" max="7" width="11" style="1" customWidth="1"/>
    <col min="8" max="8" width="9" customWidth="1"/>
    <col min="9" max="9" width="19.83203125" style="5" customWidth="1"/>
    <col min="10" max="10" width="23.33203125" customWidth="1"/>
    <col min="11" max="11" width="26.1640625" customWidth="1"/>
    <col min="12" max="12" width="16.83203125" customWidth="1"/>
    <col min="13" max="13" width="16" customWidth="1"/>
    <col min="14" max="14" width="9.6640625" customWidth="1"/>
    <col min="15" max="15" width="15.83203125" style="6" customWidth="1"/>
    <col min="16" max="16" width="12.1640625" customWidth="1"/>
    <col min="17" max="17" width="16.6640625" customWidth="1"/>
    <col min="18" max="18" width="17.1640625" customWidth="1"/>
    <col min="19" max="19" width="23.5" customWidth="1"/>
    <col min="20" max="20" width="26.1640625" customWidth="1"/>
    <col min="21" max="21" width="27" customWidth="1"/>
    <col min="22" max="22" width="22.33203125" customWidth="1"/>
    <col min="23" max="23" width="16.5" customWidth="1"/>
    <col min="24" max="24" width="19" customWidth="1"/>
    <col min="26" max="26" width="17.33203125" customWidth="1"/>
    <col min="27" max="27" width="23" bestFit="1" customWidth="1"/>
    <col min="28" max="29" width="23" customWidth="1"/>
    <col min="30" max="30" width="29.5" customWidth="1"/>
    <col min="31" max="31" width="13.33203125" customWidth="1"/>
    <col min="32" max="32" width="22.33203125" customWidth="1"/>
    <col min="33" max="33" width="20" customWidth="1"/>
    <col min="34" max="34" width="22.1640625" customWidth="1"/>
  </cols>
  <sheetData>
    <row r="1" spans="1:35" x14ac:dyDescent="0.2">
      <c r="A1" t="s">
        <v>0</v>
      </c>
      <c r="B1" t="s">
        <v>1</v>
      </c>
      <c r="C1" t="s">
        <v>2</v>
      </c>
      <c r="D1" s="1" t="s">
        <v>3</v>
      </c>
      <c r="E1" s="1" t="s">
        <v>4</v>
      </c>
      <c r="F1" s="1" t="s">
        <v>5</v>
      </c>
      <c r="G1" s="1" t="s">
        <v>6</v>
      </c>
      <c r="H1" t="s">
        <v>7</v>
      </c>
      <c r="I1" s="5" t="s">
        <v>8</v>
      </c>
      <c r="J1" t="s">
        <v>9</v>
      </c>
      <c r="K1" t="s">
        <v>10</v>
      </c>
      <c r="L1" t="s">
        <v>11</v>
      </c>
      <c r="M1" t="s">
        <v>12</v>
      </c>
      <c r="N1" t="s">
        <v>13</v>
      </c>
      <c r="O1" s="6" t="s">
        <v>14</v>
      </c>
      <c r="P1" s="10" t="s">
        <v>15</v>
      </c>
      <c r="Q1" s="10" t="s">
        <v>16</v>
      </c>
      <c r="R1" s="10" t="s">
        <v>17</v>
      </c>
      <c r="S1" s="10" t="s">
        <v>18</v>
      </c>
      <c r="T1" s="10" t="s">
        <v>19</v>
      </c>
      <c r="U1" s="10" t="s">
        <v>20</v>
      </c>
      <c r="V1" s="10" t="s">
        <v>21</v>
      </c>
      <c r="W1" s="10" t="s">
        <v>22</v>
      </c>
      <c r="X1" s="10" t="s">
        <v>23</v>
      </c>
      <c r="Y1" s="10" t="s">
        <v>24</v>
      </c>
      <c r="Z1" s="10" t="s">
        <v>25</v>
      </c>
      <c r="AA1" s="10" t="s">
        <v>26</v>
      </c>
      <c r="AB1" t="s">
        <v>27</v>
      </c>
    </row>
    <row r="2" spans="1:35" x14ac:dyDescent="0.2">
      <c r="A2" t="str">
        <f t="shared" ref="A2:A65" si="0">"E" &amp; TEXT(ROW(A1), "000")</f>
        <v>E001</v>
      </c>
      <c r="B2" t="str" cm="1">
        <f t="array" aca="1" ref="B2" ca="1">INDEX(sheet2!$A$2:$A$6, RANDBETWEEN(1, 5))</f>
        <v>Finance</v>
      </c>
      <c r="C2" t="str">
        <f ca="1">_xlfn.XLOOKUP(Table1[[#This Row],[Department]],sheet2!$A$2:$A$6,sheet2!$B$2:$B$6,_xleta.NA,0)</f>
        <v>Finance Manager</v>
      </c>
      <c r="D2" s="1">
        <f t="shared" ref="D2:D65" ca="1" si="1">DATE(RANDBETWEEN(2018, 2022), RANDBETWEEN(1, 12), RANDBETWEEN(1, 28))</f>
        <v>43484</v>
      </c>
      <c r="E2" s="1">
        <f ca="1">Table1[[#This Row],[Job Posting Date]]+ RANDBETWEEN(15, 90)</f>
        <v>43512</v>
      </c>
      <c r="F2" s="1">
        <f ca="1">Table1[[#This Row],[Hire Date]]+ RANDBETWEEN(1, 15)</f>
        <v>43517</v>
      </c>
      <c r="G2" s="1" t="str">
        <f ca="1">IF(RAND() &lt; 0.5,  Table1[[#This Row],[Join Date]]+ RANDBETWEEN(30, TODAY()- Table1[[#This Row],[Join Date]]), "-")</f>
        <v>-</v>
      </c>
      <c r="H2" t="str">
        <f ca="1">IF(Table1[[#This Row],[Exit Date]]= "-", "Active", "Exited")</f>
        <v>Active</v>
      </c>
      <c r="I2" s="5">
        <f t="shared" ref="I2:I65" ca="1" si="2">RANDBETWEEN(1500, 5000)</f>
        <v>1954</v>
      </c>
      <c r="J2" t="str" cm="1">
        <f t="array" aca="1" ref="J2" ca="1">INDEX(sheet2!$C$2:$C$6, RANDBETWEEN(1, 5))</f>
        <v>Conflict Resolution</v>
      </c>
      <c r="K2" t="str">
        <f t="shared" ref="K2:K65" ca="1" si="3">IF(RAND() &lt; 0.7, "Completed", "Not Completed")</f>
        <v>Completed</v>
      </c>
      <c r="L2">
        <v>260</v>
      </c>
      <c r="M2">
        <f t="shared" ref="M2:M65" ca="1" si="4">RANDBETWEEN(0, 20)</f>
        <v>20</v>
      </c>
      <c r="N2" t="str">
        <f t="shared" ref="N2:N65" ca="1" si="5">CHOOSE(RANDBETWEEN(1, 3), "Male", "Female", "Other")</f>
        <v>Male</v>
      </c>
      <c r="O2" s="6">
        <f t="shared" ref="O2:O65" ca="1" si="6">RANDBETWEEN(1200, 2500)</f>
        <v>1242</v>
      </c>
      <c r="P2">
        <f ca="1">Table1[[#This Row],[Hire Date]]-Table1[[#This Row],[Job Posting Date]]</f>
        <v>28</v>
      </c>
      <c r="Q2" s="7">
        <f ca="1">Table1[[#This Row],[Join Date]]-Table1[[#This Row],[Hire Date]]</f>
        <v>5</v>
      </c>
      <c r="R2" s="8">
        <f ca="1">(IF(Table1[[#This Row],[Status]]="Exited",Table1[[#This Row],[Exit Date]]-Table1[[#This Row],[Join Date]],TODAY()-Table1[[#This Row],[Join Date]]))/30</f>
        <v>72.2</v>
      </c>
      <c r="S2">
        <f ca="1">Table1[[#This Row],[Hire Date]]-Table1[[#This Row],[Job Posting Date]]</f>
        <v>28</v>
      </c>
      <c r="T2" s="7">
        <f ca="1">Table1[[#This Row],[Time to Onboard]]/Table1[[#This Row],[Time to Fill]]*100</f>
        <v>17.857142857142858</v>
      </c>
      <c r="U2" s="8">
        <f ca="1">Table1[[#This Row],[Time to Onboard]]/Table1[[#This Row],[Time to Fill]]*100</f>
        <v>17.857142857142858</v>
      </c>
      <c r="V2">
        <f ca="1">Table1[[#This Row],[Join Date]]-Table1[[#This Row],[Job Posting Date]]</f>
        <v>33</v>
      </c>
      <c r="W2">
        <f t="shared" ref="W2:W65" ca="1" si="7">RANDBETWEEN(100,200)</f>
        <v>125</v>
      </c>
      <c r="X2" s="8">
        <f ca="1">Table1[[#This Row],[Absentee Days]]/Table1[[#This Row],[Total Work Days]]*100</f>
        <v>7.6923076923076925</v>
      </c>
      <c r="Y2">
        <f ca="1">YEAR(Table1[[#This Row],[Join Date]])</f>
        <v>2019</v>
      </c>
      <c r="Z2">
        <f ca="1">IF(Table1[[#This Row],[Status]]="Active",1,0)</f>
        <v>1</v>
      </c>
      <c r="AA2">
        <f ca="1">IF(Table1[[#This Row],[Status]]="Exited",Table1[[#This Row],[Recruitment Cost]]+Table1[[#This Row],[Onboarding Cost]]+Table1[[#This Row],[Training Cost]],0)</f>
        <v>0</v>
      </c>
    </row>
    <row r="3" spans="1:35" x14ac:dyDescent="0.2">
      <c r="A3" t="str">
        <f t="shared" si="0"/>
        <v>E002</v>
      </c>
      <c r="B3" t="str" cm="1">
        <f t="array" aca="1" ref="B3" ca="1">INDEX(sheet2!$A$2:$A$6, RANDBETWEEN(1, 5))</f>
        <v>Analytics</v>
      </c>
      <c r="C3" t="str">
        <f ca="1">_xlfn.XLOOKUP(Table1[[#This Row],[Department]],sheet2!$A$2:$A$6,sheet2!$B$2:$B$6,_xleta.NA,0)</f>
        <v>Data Analyst</v>
      </c>
      <c r="D3" s="1">
        <f t="shared" ca="1" si="1"/>
        <v>43639</v>
      </c>
      <c r="E3" s="1">
        <f ca="1">Table1[[#This Row],[Job Posting Date]]+ RANDBETWEEN(15, 90)</f>
        <v>43716</v>
      </c>
      <c r="F3" s="1">
        <f ca="1">Table1[[#This Row],[Hire Date]]+ RANDBETWEEN(1, 15)</f>
        <v>43717</v>
      </c>
      <c r="G3" s="1" t="str">
        <f ca="1">IF(RAND() &lt; 0.5,  Table1[[#This Row],[Join Date]]+ RANDBETWEEN(30, TODAY()- Table1[[#This Row],[Join Date]]), "-")</f>
        <v>-</v>
      </c>
      <c r="H3" t="str">
        <f ca="1">IF(Table1[[#This Row],[Exit Date]]= "-", "Active", "Exited")</f>
        <v>Active</v>
      </c>
      <c r="I3" s="5">
        <f t="shared" ca="1" si="2"/>
        <v>2349</v>
      </c>
      <c r="J3" t="str" cm="1">
        <f t="array" aca="1" ref="J3" ca="1">INDEX(sheet2!$C$2:$C$6, RANDBETWEEN(1, 5))</f>
        <v>Ethics and Responsibilities</v>
      </c>
      <c r="K3" t="str">
        <f t="shared" ca="1" si="3"/>
        <v>Not Completed</v>
      </c>
      <c r="L3">
        <v>260</v>
      </c>
      <c r="M3">
        <f t="shared" ca="1" si="4"/>
        <v>15</v>
      </c>
      <c r="N3" t="str">
        <f t="shared" ca="1" si="5"/>
        <v>Female</v>
      </c>
      <c r="O3" s="6">
        <f t="shared" ca="1" si="6"/>
        <v>2155</v>
      </c>
      <c r="P3">
        <f ca="1">Table1[[#This Row],[Hire Date]]-Table1[[#This Row],[Job Posting Date]]</f>
        <v>77</v>
      </c>
      <c r="Q3" s="7">
        <f ca="1">Table1[[#This Row],[Join Date]]-Table1[[#This Row],[Hire Date]]</f>
        <v>1</v>
      </c>
      <c r="R3" s="8">
        <f ca="1">(IF(Table1[[#This Row],[Status]]="Exited",Table1[[#This Row],[Exit Date]]-Table1[[#This Row],[Join Date]],TODAY()-Table1[[#This Row],[Join Date]]))/30</f>
        <v>65.533333333333331</v>
      </c>
      <c r="S3">
        <f ca="1">Table1[[#This Row],[Hire Date]]-Table1[[#This Row],[Job Posting Date]]</f>
        <v>77</v>
      </c>
      <c r="T3" s="7">
        <f ca="1">Table1[[#This Row],[Time to Onboard]]/Table1[[#This Row],[Time to Fill]]*100</f>
        <v>1.2987012987012987</v>
      </c>
      <c r="U3" s="8">
        <f ca="1">Table1[[#This Row],[Time to Onboard]]/Table1[[#This Row],[Time to Fill]]*100</f>
        <v>1.2987012987012987</v>
      </c>
      <c r="V3">
        <f ca="1">Table1[[#This Row],[Join Date]]-Table1[[#This Row],[Job Posting Date]]</f>
        <v>78</v>
      </c>
      <c r="W3">
        <f t="shared" ca="1" si="7"/>
        <v>191</v>
      </c>
      <c r="X3" s="8">
        <f ca="1">Table1[[#This Row],[Absentee Days]]/Table1[[#This Row],[Total Work Days]]*100</f>
        <v>5.7692307692307692</v>
      </c>
      <c r="Y3">
        <f ca="1">YEAR(Table1[[#This Row],[Join Date]])</f>
        <v>2019</v>
      </c>
      <c r="Z3">
        <f ca="1">IF(Table1[[#This Row],[Status]]="Active",1,0)</f>
        <v>1</v>
      </c>
      <c r="AA3">
        <f ca="1">IF(Table1[[#This Row],[Status]]="Exited",Table1[[#This Row],[Recruitment Cost]]+Table1[[#This Row],[Onboarding Cost]]+Table1[[#This Row],[Training Cost]],0)</f>
        <v>0</v>
      </c>
    </row>
    <row r="4" spans="1:35" x14ac:dyDescent="0.2">
      <c r="A4" t="str">
        <f t="shared" si="0"/>
        <v>E003</v>
      </c>
      <c r="B4" t="str" cm="1">
        <f t="array" aca="1" ref="B4" ca="1">INDEX(sheet2!$A$2:$A$6, RANDBETWEEN(1, 5))</f>
        <v>Sales</v>
      </c>
      <c r="C4" t="str">
        <f ca="1">_xlfn.XLOOKUP(Table1[[#This Row],[Department]],sheet2!$A$2:$A$6,sheet2!$B$2:$B$6,_xleta.NA,0)</f>
        <v>Marketing Manager</v>
      </c>
      <c r="D4" s="1">
        <f t="shared" ca="1" si="1"/>
        <v>44299</v>
      </c>
      <c r="E4" s="1">
        <f ca="1">Table1[[#This Row],[Job Posting Date]]+ RANDBETWEEN(15, 90)</f>
        <v>44331</v>
      </c>
      <c r="F4" s="1">
        <f ca="1">Table1[[#This Row],[Hire Date]]+ RANDBETWEEN(1, 15)</f>
        <v>44337</v>
      </c>
      <c r="G4" s="1">
        <f ca="1">IF(RAND() &lt; 0.5,  Table1[[#This Row],[Join Date]]+ RANDBETWEEN(30, TODAY()- Table1[[#This Row],[Join Date]]), "-")</f>
        <v>44717</v>
      </c>
      <c r="H4" t="str">
        <f ca="1">IF(Table1[[#This Row],[Exit Date]]= "-", "Active", "Exited")</f>
        <v>Exited</v>
      </c>
      <c r="I4" s="5">
        <f t="shared" ca="1" si="2"/>
        <v>2385</v>
      </c>
      <c r="J4" t="str" cm="1">
        <f t="array" aca="1" ref="J4" ca="1">INDEX(sheet2!$C$2:$C$6, RANDBETWEEN(1, 5))</f>
        <v>Conflict Resolution</v>
      </c>
      <c r="K4" t="str">
        <f t="shared" ca="1" si="3"/>
        <v>Not Completed</v>
      </c>
      <c r="L4">
        <v>260</v>
      </c>
      <c r="M4">
        <f t="shared" ca="1" si="4"/>
        <v>0</v>
      </c>
      <c r="N4" t="str">
        <f t="shared" ca="1" si="5"/>
        <v>Male</v>
      </c>
      <c r="O4" s="6">
        <f t="shared" ca="1" si="6"/>
        <v>1851</v>
      </c>
      <c r="P4">
        <f ca="1">Table1[[#This Row],[Hire Date]]-Table1[[#This Row],[Job Posting Date]]</f>
        <v>32</v>
      </c>
      <c r="Q4" s="7">
        <f ca="1">Table1[[#This Row],[Join Date]]-Table1[[#This Row],[Hire Date]]</f>
        <v>6</v>
      </c>
      <c r="R4" s="8">
        <f ca="1">(IF(Table1[[#This Row],[Status]]="Exited",Table1[[#This Row],[Exit Date]]-Table1[[#This Row],[Join Date]],TODAY()-Table1[[#This Row],[Join Date]]))/30</f>
        <v>12.666666666666666</v>
      </c>
      <c r="S4">
        <f ca="1">Table1[[#This Row],[Hire Date]]-Table1[[#This Row],[Job Posting Date]]</f>
        <v>32</v>
      </c>
      <c r="T4" s="7">
        <f ca="1">Table1[[#This Row],[Time to Onboard]]/Table1[[#This Row],[Time to Fill]]*100</f>
        <v>18.75</v>
      </c>
      <c r="U4" s="8">
        <f ca="1">Table1[[#This Row],[Time to Onboard]]/Table1[[#This Row],[Time to Fill]]*100</f>
        <v>18.75</v>
      </c>
      <c r="V4">
        <f ca="1">Table1[[#This Row],[Join Date]]-Table1[[#This Row],[Job Posting Date]]</f>
        <v>38</v>
      </c>
      <c r="W4">
        <f t="shared" ca="1" si="7"/>
        <v>182</v>
      </c>
      <c r="X4" s="8">
        <f ca="1">Table1[[#This Row],[Absentee Days]]/Table1[[#This Row],[Total Work Days]]*100</f>
        <v>0</v>
      </c>
      <c r="Y4">
        <f ca="1">YEAR(Table1[[#This Row],[Join Date]])</f>
        <v>2021</v>
      </c>
      <c r="Z4">
        <f ca="1">IF(Table1[[#This Row],[Status]]="Active",1,0)</f>
        <v>0</v>
      </c>
      <c r="AA4">
        <f ca="1">IF(Table1[[#This Row],[Status]]="Exited",Table1[[#This Row],[Recruitment Cost]]+Table1[[#This Row],[Onboarding Cost]]+Table1[[#This Row],[Training Cost]],0)</f>
        <v>4418</v>
      </c>
    </row>
    <row r="5" spans="1:35" x14ac:dyDescent="0.2">
      <c r="A5" t="str">
        <f t="shared" si="0"/>
        <v>E004</v>
      </c>
      <c r="B5" t="str" cm="1">
        <f t="array" aca="1" ref="B5" ca="1">INDEX(sheet2!$A$2:$A$6, RANDBETWEEN(1, 5))</f>
        <v>HR</v>
      </c>
      <c r="C5" t="str">
        <f ca="1">_xlfn.XLOOKUP(Table1[[#This Row],[Department]],sheet2!$A$2:$A$6,sheet2!$B$2:$B$6,_xleta.NA,0)</f>
        <v>HR Manager</v>
      </c>
      <c r="D5" s="1">
        <f t="shared" ca="1" si="1"/>
        <v>43591</v>
      </c>
      <c r="E5" s="1">
        <f ca="1">Table1[[#This Row],[Job Posting Date]]+ RANDBETWEEN(15, 90)</f>
        <v>43668</v>
      </c>
      <c r="F5" s="1">
        <f ca="1">Table1[[#This Row],[Hire Date]]+ RANDBETWEEN(1, 15)</f>
        <v>43676</v>
      </c>
      <c r="G5" s="1" t="str">
        <f ca="1">IF(RAND() &lt; 0.5,  Table1[[#This Row],[Join Date]]+ RANDBETWEEN(30, TODAY()- Table1[[#This Row],[Join Date]]), "-")</f>
        <v>-</v>
      </c>
      <c r="H5" t="str">
        <f ca="1">IF(Table1[[#This Row],[Exit Date]]= "-", "Active", "Exited")</f>
        <v>Active</v>
      </c>
      <c r="I5" s="5">
        <f t="shared" ca="1" si="2"/>
        <v>1788</v>
      </c>
      <c r="J5" t="str" cm="1">
        <f t="array" aca="1" ref="J5" ca="1">INDEX(sheet2!$C$2:$C$6, RANDBETWEEN(1, 5))</f>
        <v>Advanced Excel Skills </v>
      </c>
      <c r="K5" t="str">
        <f t="shared" ca="1" si="3"/>
        <v>Completed</v>
      </c>
      <c r="L5">
        <v>260</v>
      </c>
      <c r="M5">
        <f t="shared" ca="1" si="4"/>
        <v>1</v>
      </c>
      <c r="N5" t="str">
        <f t="shared" ca="1" si="5"/>
        <v>Female</v>
      </c>
      <c r="O5" s="6">
        <f t="shared" ca="1" si="6"/>
        <v>2449</v>
      </c>
      <c r="P5">
        <f ca="1">Table1[[#This Row],[Hire Date]]-Table1[[#This Row],[Job Posting Date]]</f>
        <v>77</v>
      </c>
      <c r="Q5" s="7">
        <f ca="1">Table1[[#This Row],[Join Date]]-Table1[[#This Row],[Hire Date]]</f>
        <v>8</v>
      </c>
      <c r="R5" s="8">
        <f ca="1">(IF(Table1[[#This Row],[Status]]="Exited",Table1[[#This Row],[Exit Date]]-Table1[[#This Row],[Join Date]],TODAY()-Table1[[#This Row],[Join Date]]))/30</f>
        <v>66.900000000000006</v>
      </c>
      <c r="S5">
        <f ca="1">Table1[[#This Row],[Hire Date]]-Table1[[#This Row],[Job Posting Date]]</f>
        <v>77</v>
      </c>
      <c r="T5" s="7">
        <f ca="1">Table1[[#This Row],[Time to Onboard]]/Table1[[#This Row],[Time to Fill]]*100</f>
        <v>10.38961038961039</v>
      </c>
      <c r="U5" s="8">
        <f ca="1">Table1[[#This Row],[Time to Onboard]]/Table1[[#This Row],[Time to Fill]]*100</f>
        <v>10.38961038961039</v>
      </c>
      <c r="V5">
        <f ca="1">Table1[[#This Row],[Join Date]]-Table1[[#This Row],[Job Posting Date]]</f>
        <v>85</v>
      </c>
      <c r="W5">
        <f t="shared" ca="1" si="7"/>
        <v>177</v>
      </c>
      <c r="X5" s="8">
        <f ca="1">Table1[[#This Row],[Absentee Days]]/Table1[[#This Row],[Total Work Days]]*100</f>
        <v>0.38461538461538464</v>
      </c>
      <c r="Y5">
        <f ca="1">YEAR(Table1[[#This Row],[Join Date]])</f>
        <v>2019</v>
      </c>
      <c r="Z5">
        <f ca="1">IF(Table1[[#This Row],[Status]]="Active",1,0)</f>
        <v>1</v>
      </c>
      <c r="AA5">
        <f ca="1">IF(Table1[[#This Row],[Status]]="Exited",Table1[[#This Row],[Recruitment Cost]]+Table1[[#This Row],[Onboarding Cost]]+Table1[[#This Row],[Training Cost]],0)</f>
        <v>0</v>
      </c>
      <c r="AD5" s="4" t="s">
        <v>28</v>
      </c>
      <c r="AE5" s="4" t="s">
        <v>29</v>
      </c>
      <c r="AF5" s="4" t="s">
        <v>30</v>
      </c>
      <c r="AG5" s="4" t="s">
        <v>31</v>
      </c>
      <c r="AH5" s="4" t="s">
        <v>32</v>
      </c>
    </row>
    <row r="6" spans="1:35" x14ac:dyDescent="0.2">
      <c r="A6" t="str">
        <f t="shared" si="0"/>
        <v>E005</v>
      </c>
      <c r="B6" t="str" cm="1">
        <f t="array" aca="1" ref="B6" ca="1">INDEX(sheet2!$A$2:$A$6, RANDBETWEEN(1, 5))</f>
        <v>Sales</v>
      </c>
      <c r="C6" t="str">
        <f ca="1">_xlfn.XLOOKUP(Table1[[#This Row],[Department]],sheet2!$A$2:$A$6,sheet2!$B$2:$B$6,_xleta.NA,0)</f>
        <v>Marketing Manager</v>
      </c>
      <c r="D6" s="1">
        <f t="shared" ca="1" si="1"/>
        <v>43922</v>
      </c>
      <c r="E6" s="1">
        <f ca="1">Table1[[#This Row],[Job Posting Date]]+ RANDBETWEEN(15, 90)</f>
        <v>43981</v>
      </c>
      <c r="F6" s="1">
        <f ca="1">Table1[[#This Row],[Hire Date]]+ RANDBETWEEN(1, 15)</f>
        <v>43984</v>
      </c>
      <c r="G6" s="1">
        <f ca="1">IF(RAND() &lt; 0.5,  Table1[[#This Row],[Join Date]]+ RANDBETWEEN(30, TODAY()- Table1[[#This Row],[Join Date]]), "-")</f>
        <v>44406</v>
      </c>
      <c r="H6" t="str">
        <f ca="1">IF(Table1[[#This Row],[Exit Date]]= "-", "Active", "Exited")</f>
        <v>Exited</v>
      </c>
      <c r="I6" s="5">
        <f t="shared" ca="1" si="2"/>
        <v>4771</v>
      </c>
      <c r="J6" t="str" cm="1">
        <f t="array" aca="1" ref="J6" ca="1">INDEX(sheet2!$C$2:$C$6, RANDBETWEEN(1, 5))</f>
        <v>Conflict Resolution</v>
      </c>
      <c r="K6" t="str">
        <f t="shared" ca="1" si="3"/>
        <v>Completed</v>
      </c>
      <c r="L6">
        <v>260</v>
      </c>
      <c r="M6">
        <f t="shared" ca="1" si="4"/>
        <v>8</v>
      </c>
      <c r="N6" t="str">
        <f t="shared" ca="1" si="5"/>
        <v>Male</v>
      </c>
      <c r="O6" s="6">
        <f t="shared" ca="1" si="6"/>
        <v>1201</v>
      </c>
      <c r="P6">
        <f ca="1">Table1[[#This Row],[Hire Date]]-Table1[[#This Row],[Job Posting Date]]</f>
        <v>59</v>
      </c>
      <c r="Q6" s="7">
        <f ca="1">Table1[[#This Row],[Join Date]]-Table1[[#This Row],[Hire Date]]</f>
        <v>3</v>
      </c>
      <c r="R6" s="8">
        <f ca="1">(IF(Table1[[#This Row],[Status]]="Exited",Table1[[#This Row],[Exit Date]]-Table1[[#This Row],[Join Date]],TODAY()-Table1[[#This Row],[Join Date]]))/30</f>
        <v>14.066666666666666</v>
      </c>
      <c r="S6">
        <f ca="1">Table1[[#This Row],[Hire Date]]-Table1[[#This Row],[Job Posting Date]]</f>
        <v>59</v>
      </c>
      <c r="T6" s="7">
        <f ca="1">Table1[[#This Row],[Time to Onboard]]/Table1[[#This Row],[Time to Fill]]*100</f>
        <v>5.0847457627118651</v>
      </c>
      <c r="U6" s="8">
        <f ca="1">Table1[[#This Row],[Time to Onboard]]/Table1[[#This Row],[Time to Fill]]*100</f>
        <v>5.0847457627118651</v>
      </c>
      <c r="V6">
        <f ca="1">Table1[[#This Row],[Join Date]]-Table1[[#This Row],[Job Posting Date]]</f>
        <v>62</v>
      </c>
      <c r="W6">
        <f t="shared" ca="1" si="7"/>
        <v>141</v>
      </c>
      <c r="X6" s="8">
        <f ca="1">Table1[[#This Row],[Absentee Days]]/Table1[[#This Row],[Total Work Days]]*100</f>
        <v>3.0769230769230771</v>
      </c>
      <c r="Y6">
        <f ca="1">YEAR(Table1[[#This Row],[Join Date]])</f>
        <v>2020</v>
      </c>
      <c r="Z6">
        <f ca="1">IF(Table1[[#This Row],[Status]]="Active",1,0)</f>
        <v>0</v>
      </c>
      <c r="AA6">
        <f ca="1">IF(Table1[[#This Row],[Status]]="Exited",Table1[[#This Row],[Recruitment Cost]]+Table1[[#This Row],[Onboarding Cost]]+Table1[[#This Row],[Training Cost]],0)</f>
        <v>6113</v>
      </c>
      <c r="AD6" s="9">
        <f ca="1">(COUNTIF(Status,"Exited") / COUNTA(Status)) * 100</f>
        <v>46.613545816733065</v>
      </c>
      <c r="AE6" s="9">
        <f ca="1">((COUNTIF(Status,"Active")) / COUNTA(Status)) * 100</f>
        <v>52.988047808764939</v>
      </c>
      <c r="AF6" s="9">
        <f ca="1">(COUNTIF(TrainingCompletionStatus,"Completed") / COUNTA(TrainingCompletionStatus)) * 100</f>
        <v>72.509960159362549</v>
      </c>
      <c r="AG6" s="9">
        <f ca="1">AVERAGE(Timetofill)</f>
        <v>55.356000000000002</v>
      </c>
      <c r="AH6" s="9">
        <f ca="1">AVERAGE(TotalTenureinM)</f>
        <v>41.168406961178029</v>
      </c>
      <c r="AI6" s="8"/>
    </row>
    <row r="7" spans="1:35" x14ac:dyDescent="0.2">
      <c r="A7" t="str">
        <f t="shared" si="0"/>
        <v>E006</v>
      </c>
      <c r="B7" t="str" cm="1">
        <f t="array" aca="1" ref="B7" ca="1">INDEX(sheet2!$A$2:$A$6, RANDBETWEEN(1, 5))</f>
        <v>IT</v>
      </c>
      <c r="C7" t="str">
        <f ca="1">_xlfn.XLOOKUP(Table1[[#This Row],[Department]],sheet2!$A$2:$A$6,sheet2!$B$2:$B$6,_xleta.NA,0)</f>
        <v>Software Engineer</v>
      </c>
      <c r="D7" s="1">
        <f t="shared" ca="1" si="1"/>
        <v>44693</v>
      </c>
      <c r="E7" s="1">
        <f ca="1">Table1[[#This Row],[Job Posting Date]]+ RANDBETWEEN(15, 90)</f>
        <v>44731</v>
      </c>
      <c r="F7" s="1">
        <f ca="1">Table1[[#This Row],[Hire Date]]+ RANDBETWEEN(1, 15)</f>
        <v>44746</v>
      </c>
      <c r="G7" s="1" t="str">
        <f ca="1">IF(RAND() &lt; 0.5,  Table1[[#This Row],[Join Date]]+ RANDBETWEEN(30, TODAY()- Table1[[#This Row],[Join Date]]), "-")</f>
        <v>-</v>
      </c>
      <c r="H7" t="str">
        <f ca="1">IF(Table1[[#This Row],[Exit Date]]= "-", "Active", "Exited")</f>
        <v>Active</v>
      </c>
      <c r="I7" s="5">
        <f t="shared" ca="1" si="2"/>
        <v>2404</v>
      </c>
      <c r="J7" t="str" cm="1">
        <f t="array" aca="1" ref="J7" ca="1">INDEX(sheet2!$C$2:$C$6, RANDBETWEEN(1, 5))</f>
        <v>Ethics and Responsibilities</v>
      </c>
      <c r="K7" t="str">
        <f t="shared" ca="1" si="3"/>
        <v>Not Completed</v>
      </c>
      <c r="L7">
        <v>260</v>
      </c>
      <c r="M7">
        <f t="shared" ca="1" si="4"/>
        <v>12</v>
      </c>
      <c r="N7" t="str">
        <f t="shared" ca="1" si="5"/>
        <v>Other</v>
      </c>
      <c r="O7" s="6">
        <f t="shared" ca="1" si="6"/>
        <v>2457</v>
      </c>
      <c r="P7">
        <f ca="1">Table1[[#This Row],[Hire Date]]-Table1[[#This Row],[Job Posting Date]]</f>
        <v>38</v>
      </c>
      <c r="Q7" s="7">
        <f ca="1">Table1[[#This Row],[Join Date]]-Table1[[#This Row],[Hire Date]]</f>
        <v>15</v>
      </c>
      <c r="R7" s="8">
        <f ca="1">(IF(Table1[[#This Row],[Status]]="Exited",Table1[[#This Row],[Exit Date]]-Table1[[#This Row],[Join Date]],TODAY()-Table1[[#This Row],[Join Date]]))/30</f>
        <v>31.233333333333334</v>
      </c>
      <c r="S7">
        <f ca="1">Table1[[#This Row],[Hire Date]]-Table1[[#This Row],[Job Posting Date]]</f>
        <v>38</v>
      </c>
      <c r="T7" s="7">
        <f ca="1">Table1[[#This Row],[Time to Onboard]]/Table1[[#This Row],[Time to Fill]]*100</f>
        <v>39.473684210526315</v>
      </c>
      <c r="U7" s="8">
        <f ca="1">Table1[[#This Row],[Time to Onboard]]/Table1[[#This Row],[Time to Fill]]*100</f>
        <v>39.473684210526315</v>
      </c>
      <c r="V7">
        <f ca="1">Table1[[#This Row],[Join Date]]-Table1[[#This Row],[Job Posting Date]]</f>
        <v>53</v>
      </c>
      <c r="W7">
        <f t="shared" ca="1" si="7"/>
        <v>173</v>
      </c>
      <c r="X7" s="8">
        <f ca="1">Table1[[#This Row],[Absentee Days]]/Table1[[#This Row],[Total Work Days]]*100</f>
        <v>4.6153846153846159</v>
      </c>
      <c r="Y7">
        <f ca="1">YEAR(Table1[[#This Row],[Join Date]])</f>
        <v>2022</v>
      </c>
      <c r="Z7">
        <f ca="1">IF(Table1[[#This Row],[Status]]="Active",1,0)</f>
        <v>1</v>
      </c>
      <c r="AA7">
        <f ca="1">IF(Table1[[#This Row],[Status]]="Exited",Table1[[#This Row],[Recruitment Cost]]+Table1[[#This Row],[Onboarding Cost]]+Table1[[#This Row],[Training Cost]],0)</f>
        <v>0</v>
      </c>
      <c r="AD7" s="9"/>
      <c r="AE7" s="9"/>
      <c r="AF7" s="9"/>
      <c r="AG7" s="9"/>
      <c r="AH7" s="9"/>
      <c r="AI7" s="8"/>
    </row>
    <row r="8" spans="1:35" x14ac:dyDescent="0.2">
      <c r="A8" t="str">
        <f t="shared" si="0"/>
        <v>E007</v>
      </c>
      <c r="B8" t="str" cm="1">
        <f t="array" aca="1" ref="B8" ca="1">INDEX(sheet2!$A$2:$A$6, RANDBETWEEN(1, 5))</f>
        <v>IT</v>
      </c>
      <c r="C8" t="str">
        <f ca="1">_xlfn.XLOOKUP(Table1[[#This Row],[Department]],sheet2!$A$2:$A$6,sheet2!$B$2:$B$6,_xleta.NA,0)</f>
        <v>Software Engineer</v>
      </c>
      <c r="D8" s="1">
        <f t="shared" ca="1" si="1"/>
        <v>43398</v>
      </c>
      <c r="E8" s="1">
        <f ca="1">Table1[[#This Row],[Job Posting Date]]+ RANDBETWEEN(15, 90)</f>
        <v>43456</v>
      </c>
      <c r="F8" s="1">
        <f ca="1">Table1[[#This Row],[Hire Date]]+ RANDBETWEEN(1, 15)</f>
        <v>43466</v>
      </c>
      <c r="G8" s="1">
        <f ca="1">IF(RAND() &lt; 0.5,  Table1[[#This Row],[Join Date]]+ RANDBETWEEN(30, TODAY()- Table1[[#This Row],[Join Date]]), "-")</f>
        <v>44530</v>
      </c>
      <c r="H8" t="str">
        <f ca="1">IF(Table1[[#This Row],[Exit Date]]= "-", "Active", "Exited")</f>
        <v>Exited</v>
      </c>
      <c r="I8" s="5">
        <f t="shared" ca="1" si="2"/>
        <v>4443</v>
      </c>
      <c r="J8" t="str" cm="1">
        <f t="array" aca="1" ref="J8" ca="1">INDEX(sheet2!$C$2:$C$6, RANDBETWEEN(1, 5))</f>
        <v>Advanced Excel Skills </v>
      </c>
      <c r="K8" t="str">
        <f t="shared" ca="1" si="3"/>
        <v>Completed</v>
      </c>
      <c r="L8">
        <v>260</v>
      </c>
      <c r="M8">
        <f t="shared" ca="1" si="4"/>
        <v>14</v>
      </c>
      <c r="N8" t="str">
        <f t="shared" ca="1" si="5"/>
        <v>Male</v>
      </c>
      <c r="O8" s="6">
        <f t="shared" ca="1" si="6"/>
        <v>1677</v>
      </c>
      <c r="P8">
        <f ca="1">Table1[[#This Row],[Hire Date]]-Table1[[#This Row],[Job Posting Date]]</f>
        <v>58</v>
      </c>
      <c r="Q8" s="7">
        <f ca="1">Table1[[#This Row],[Join Date]]-Table1[[#This Row],[Hire Date]]</f>
        <v>10</v>
      </c>
      <c r="R8" s="8">
        <f ca="1">(IF(Table1[[#This Row],[Status]]="Exited",Table1[[#This Row],[Exit Date]]-Table1[[#This Row],[Join Date]],TODAY()-Table1[[#This Row],[Join Date]]))/30</f>
        <v>35.466666666666669</v>
      </c>
      <c r="S8">
        <f ca="1">Table1[[#This Row],[Hire Date]]-Table1[[#This Row],[Job Posting Date]]</f>
        <v>58</v>
      </c>
      <c r="T8" s="7">
        <f ca="1">Table1[[#This Row],[Time to Onboard]]/Table1[[#This Row],[Time to Fill]]*100</f>
        <v>17.241379310344829</v>
      </c>
      <c r="U8" s="8">
        <f ca="1">Table1[[#This Row],[Time to Onboard]]/Table1[[#This Row],[Time to Fill]]*100</f>
        <v>17.241379310344829</v>
      </c>
      <c r="V8">
        <f ca="1">Table1[[#This Row],[Join Date]]-Table1[[#This Row],[Job Posting Date]]</f>
        <v>68</v>
      </c>
      <c r="W8">
        <f t="shared" ca="1" si="7"/>
        <v>191</v>
      </c>
      <c r="X8" s="8">
        <f ca="1">Table1[[#This Row],[Absentee Days]]/Table1[[#This Row],[Total Work Days]]*100</f>
        <v>5.384615384615385</v>
      </c>
      <c r="Y8">
        <f ca="1">YEAR(Table1[[#This Row],[Join Date]])</f>
        <v>2019</v>
      </c>
      <c r="Z8">
        <f ca="1">IF(Table1[[#This Row],[Status]]="Active",1,0)</f>
        <v>0</v>
      </c>
      <c r="AA8">
        <f ca="1">IF(Table1[[#This Row],[Status]]="Exited",Table1[[#This Row],[Recruitment Cost]]+Table1[[#This Row],[Onboarding Cost]]+Table1[[#This Row],[Training Cost]],0)</f>
        <v>6311</v>
      </c>
      <c r="AD8" s="9"/>
      <c r="AE8" s="9"/>
      <c r="AF8" s="9"/>
      <c r="AG8" s="9"/>
      <c r="AH8" s="9"/>
      <c r="AI8" s="8"/>
    </row>
    <row r="9" spans="1:35" x14ac:dyDescent="0.2">
      <c r="A9" t="str">
        <f t="shared" si="0"/>
        <v>E008</v>
      </c>
      <c r="B9" t="str" cm="1">
        <f t="array" aca="1" ref="B9" ca="1">INDEX(sheet2!$A$2:$A$6, RANDBETWEEN(1, 5))</f>
        <v>Finance</v>
      </c>
      <c r="C9" t="str">
        <f ca="1">_xlfn.XLOOKUP(Table1[[#This Row],[Department]],sheet2!$A$2:$A$6,sheet2!$B$2:$B$6,_xleta.NA,0)</f>
        <v>Finance Manager</v>
      </c>
      <c r="D9" s="1">
        <f t="shared" ca="1" si="1"/>
        <v>43917</v>
      </c>
      <c r="E9" s="1">
        <f ca="1">Table1[[#This Row],[Job Posting Date]]+ RANDBETWEEN(15, 90)</f>
        <v>44006</v>
      </c>
      <c r="F9" s="1">
        <f ca="1">Table1[[#This Row],[Hire Date]]+ RANDBETWEEN(1, 15)</f>
        <v>44016</v>
      </c>
      <c r="G9" s="1" t="str">
        <f ca="1">IF(RAND() &lt; 0.5,  Table1[[#This Row],[Join Date]]+ RANDBETWEEN(30, TODAY()- Table1[[#This Row],[Join Date]]), "-")</f>
        <v>-</v>
      </c>
      <c r="H9" t="str">
        <f ca="1">IF(Table1[[#This Row],[Exit Date]]= "-", "Active", "Exited")</f>
        <v>Active</v>
      </c>
      <c r="I9" s="5">
        <f t="shared" ca="1" si="2"/>
        <v>2192</v>
      </c>
      <c r="J9" t="str" cm="1">
        <f t="array" aca="1" ref="J9" ca="1">INDEX(sheet2!$C$2:$C$6, RANDBETWEEN(1, 5))</f>
        <v>Conflict Resolution</v>
      </c>
      <c r="K9" t="str">
        <f t="shared" ca="1" si="3"/>
        <v>Completed</v>
      </c>
      <c r="L9">
        <v>260</v>
      </c>
      <c r="M9">
        <f t="shared" ca="1" si="4"/>
        <v>11</v>
      </c>
      <c r="N9" t="str">
        <f t="shared" ca="1" si="5"/>
        <v>Female</v>
      </c>
      <c r="O9" s="6">
        <f t="shared" ca="1" si="6"/>
        <v>1832</v>
      </c>
      <c r="P9">
        <f ca="1">Table1[[#This Row],[Hire Date]]-Table1[[#This Row],[Job Posting Date]]</f>
        <v>89</v>
      </c>
      <c r="Q9" s="7">
        <f ca="1">Table1[[#This Row],[Join Date]]-Table1[[#This Row],[Hire Date]]</f>
        <v>10</v>
      </c>
      <c r="R9" s="8">
        <f ca="1">(IF(Table1[[#This Row],[Status]]="Exited",Table1[[#This Row],[Exit Date]]-Table1[[#This Row],[Join Date]],TODAY()-Table1[[#This Row],[Join Date]]))/30</f>
        <v>55.56666666666667</v>
      </c>
      <c r="S9">
        <f ca="1">Table1[[#This Row],[Hire Date]]-Table1[[#This Row],[Job Posting Date]]</f>
        <v>89</v>
      </c>
      <c r="T9" s="7">
        <f ca="1">Table1[[#This Row],[Time to Onboard]]/Table1[[#This Row],[Time to Fill]]*100</f>
        <v>11.235955056179774</v>
      </c>
      <c r="U9" s="8">
        <f ca="1">Table1[[#This Row],[Time to Onboard]]/Table1[[#This Row],[Time to Fill]]*100</f>
        <v>11.235955056179774</v>
      </c>
      <c r="V9">
        <f ca="1">Table1[[#This Row],[Join Date]]-Table1[[#This Row],[Job Posting Date]]</f>
        <v>99</v>
      </c>
      <c r="W9">
        <f t="shared" ca="1" si="7"/>
        <v>106</v>
      </c>
      <c r="X9" s="8">
        <f ca="1">Table1[[#This Row],[Absentee Days]]/Table1[[#This Row],[Total Work Days]]*100</f>
        <v>4.2307692307692308</v>
      </c>
      <c r="Y9">
        <f ca="1">YEAR(Table1[[#This Row],[Join Date]])</f>
        <v>2020</v>
      </c>
      <c r="Z9">
        <f ca="1">IF(Table1[[#This Row],[Status]]="Active",1,0)</f>
        <v>1</v>
      </c>
      <c r="AA9">
        <f ca="1">IF(Table1[[#This Row],[Status]]="Exited",Table1[[#This Row],[Recruitment Cost]]+Table1[[#This Row],[Onboarding Cost]]+Table1[[#This Row],[Training Cost]],0)</f>
        <v>0</v>
      </c>
      <c r="AD9" s="9" t="s">
        <v>33</v>
      </c>
      <c r="AE9" s="9"/>
      <c r="AF9" s="9" t="s">
        <v>34</v>
      </c>
      <c r="AG9" s="9" t="s">
        <v>35</v>
      </c>
      <c r="AH9" s="9" t="s">
        <v>36</v>
      </c>
      <c r="AI9" s="8"/>
    </row>
    <row r="10" spans="1:35" x14ac:dyDescent="0.2">
      <c r="A10" t="str">
        <f t="shared" si="0"/>
        <v>E009</v>
      </c>
      <c r="B10" t="str" cm="1">
        <f t="array" aca="1" ref="B10" ca="1">INDEX(sheet2!$A$2:$A$6, RANDBETWEEN(1, 5))</f>
        <v>Analytics</v>
      </c>
      <c r="C10" t="str">
        <f ca="1">_xlfn.XLOOKUP(Table1[[#This Row],[Department]],sheet2!$A$2:$A$6,sheet2!$B$2:$B$6,_xleta.NA,0)</f>
        <v>Data Analyst</v>
      </c>
      <c r="D10" s="1">
        <f t="shared" ca="1" si="1"/>
        <v>44090</v>
      </c>
      <c r="E10" s="1">
        <f ca="1">Table1[[#This Row],[Job Posting Date]]+ RANDBETWEEN(15, 90)</f>
        <v>44174</v>
      </c>
      <c r="F10" s="1">
        <f ca="1">Table1[[#This Row],[Hire Date]]+ RANDBETWEEN(1, 15)</f>
        <v>44182</v>
      </c>
      <c r="G10" s="1" t="str">
        <f ca="1">IF(RAND() &lt; 0.5,  Table1[[#This Row],[Join Date]]+ RANDBETWEEN(30, TODAY()- Table1[[#This Row],[Join Date]]), "-")</f>
        <v>-</v>
      </c>
      <c r="H10" t="str">
        <f ca="1">IF(Table1[[#This Row],[Exit Date]]= "-", "Active", "Exited")</f>
        <v>Active</v>
      </c>
      <c r="I10" s="5">
        <f t="shared" ca="1" si="2"/>
        <v>2475</v>
      </c>
      <c r="J10" t="str" cm="1">
        <f t="array" aca="1" ref="J10" ca="1">INDEX(sheet2!$C$2:$C$6, RANDBETWEEN(1, 5))</f>
        <v>Communication Skills</v>
      </c>
      <c r="K10" t="str">
        <f t="shared" ca="1" si="3"/>
        <v>Completed</v>
      </c>
      <c r="L10">
        <v>260</v>
      </c>
      <c r="M10">
        <f t="shared" ca="1" si="4"/>
        <v>11</v>
      </c>
      <c r="N10" t="str">
        <f t="shared" ca="1" si="5"/>
        <v>Other</v>
      </c>
      <c r="O10" s="6">
        <f t="shared" ca="1" si="6"/>
        <v>1984</v>
      </c>
      <c r="P10">
        <f ca="1">Table1[[#This Row],[Hire Date]]-Table1[[#This Row],[Job Posting Date]]</f>
        <v>84</v>
      </c>
      <c r="Q10" s="7">
        <f ca="1">Table1[[#This Row],[Join Date]]-Table1[[#This Row],[Hire Date]]</f>
        <v>8</v>
      </c>
      <c r="R10" s="8">
        <f ca="1">(IF(Table1[[#This Row],[Status]]="Exited",Table1[[#This Row],[Exit Date]]-Table1[[#This Row],[Join Date]],TODAY()-Table1[[#This Row],[Join Date]]))/30</f>
        <v>50.033333333333331</v>
      </c>
      <c r="S10">
        <f ca="1">Table1[[#This Row],[Hire Date]]-Table1[[#This Row],[Job Posting Date]]</f>
        <v>84</v>
      </c>
      <c r="T10" s="7">
        <f ca="1">Table1[[#This Row],[Time to Onboard]]/Table1[[#This Row],[Time to Fill]]*100</f>
        <v>9.5238095238095237</v>
      </c>
      <c r="U10" s="8">
        <f ca="1">Table1[[#This Row],[Time to Onboard]]/Table1[[#This Row],[Time to Fill]]*100</f>
        <v>9.5238095238095237</v>
      </c>
      <c r="V10">
        <f ca="1">Table1[[#This Row],[Join Date]]-Table1[[#This Row],[Job Posting Date]]</f>
        <v>92</v>
      </c>
      <c r="W10">
        <f t="shared" ca="1" si="7"/>
        <v>195</v>
      </c>
      <c r="X10" s="8">
        <f ca="1">Table1[[#This Row],[Absentee Days]]/Table1[[#This Row],[Total Work Days]]*100</f>
        <v>4.2307692307692308</v>
      </c>
      <c r="Y10">
        <f ca="1">YEAR(Table1[[#This Row],[Join Date]])</f>
        <v>2020</v>
      </c>
      <c r="Z10">
        <f ca="1">IF(Table1[[#This Row],[Status]]="Active",1,0)</f>
        <v>1</v>
      </c>
      <c r="AA10">
        <f ca="1">IF(Table1[[#This Row],[Status]]="Exited",Table1[[#This Row],[Recruitment Cost]]+Table1[[#This Row],[Onboarding Cost]]+Table1[[#This Row],[Training Cost]],0)</f>
        <v>0</v>
      </c>
      <c r="AD10" s="9">
        <f ca="1" xml:space="preserve"> (SUM(Timetoonboard) / SUM(Timetofill)) * 100</f>
        <v>14.805983091263819</v>
      </c>
      <c r="AE10" s="4"/>
      <c r="AF10" s="9">
        <f ca="1">(COUNTIF(Status, "Exited") / COUNTIF(Status, "Active")) * 100</f>
        <v>87.969924812030072</v>
      </c>
      <c r="AG10" s="9">
        <f ca="1" xml:space="preserve"> (COUNTIF(Status, "Active") / COUNTA(Status)) * 100</f>
        <v>52.988047808764939</v>
      </c>
      <c r="AH10" s="4">
        <f ca="1">(AVERAGE(RecruitmentCost)+AVERAGE(Onboardingcost))*COUNTIF(Status,"Exited")</f>
        <v>396893.48400000005</v>
      </c>
    </row>
    <row r="11" spans="1:35" x14ac:dyDescent="0.2">
      <c r="A11" t="str">
        <f t="shared" si="0"/>
        <v>E010</v>
      </c>
      <c r="B11" t="str" cm="1">
        <f t="array" aca="1" ref="B11" ca="1">INDEX(sheet2!$A$2:$A$6, RANDBETWEEN(1, 5))</f>
        <v>HR</v>
      </c>
      <c r="C11" t="str">
        <f ca="1">_xlfn.XLOOKUP(Table1[[#This Row],[Department]],sheet2!$A$2:$A$6,sheet2!$B$2:$B$6,_xleta.NA,0)</f>
        <v>HR Manager</v>
      </c>
      <c r="D11" s="1">
        <f t="shared" ca="1" si="1"/>
        <v>44328</v>
      </c>
      <c r="E11" s="1">
        <f ca="1">Table1[[#This Row],[Job Posting Date]]+ RANDBETWEEN(15, 90)</f>
        <v>44395</v>
      </c>
      <c r="F11" s="1">
        <f ca="1">Table1[[#This Row],[Hire Date]]+ RANDBETWEEN(1, 15)</f>
        <v>44406</v>
      </c>
      <c r="G11" s="1">
        <f ca="1">IF(RAND() &lt; 0.5,  Table1[[#This Row],[Join Date]]+ RANDBETWEEN(30, TODAY()- Table1[[#This Row],[Join Date]]), "-")</f>
        <v>44565</v>
      </c>
      <c r="H11" t="str">
        <f ca="1">IF(Table1[[#This Row],[Exit Date]]= "-", "Active", "Exited")</f>
        <v>Exited</v>
      </c>
      <c r="I11" s="5">
        <f t="shared" ca="1" si="2"/>
        <v>3197</v>
      </c>
      <c r="J11" t="str" cm="1">
        <f t="array" aca="1" ref="J11" ca="1">INDEX(sheet2!$C$2:$C$6, RANDBETWEEN(1, 5))</f>
        <v>Advanced Excel Skills </v>
      </c>
      <c r="K11" t="str">
        <f t="shared" ca="1" si="3"/>
        <v>Completed</v>
      </c>
      <c r="L11">
        <v>260</v>
      </c>
      <c r="M11">
        <f t="shared" ca="1" si="4"/>
        <v>2</v>
      </c>
      <c r="N11" t="str">
        <f t="shared" ca="1" si="5"/>
        <v>Male</v>
      </c>
      <c r="O11" s="6">
        <f t="shared" ca="1" si="6"/>
        <v>2161</v>
      </c>
      <c r="P11">
        <f ca="1">Table1[[#This Row],[Hire Date]]-Table1[[#This Row],[Job Posting Date]]</f>
        <v>67</v>
      </c>
      <c r="Q11" s="7">
        <f ca="1">Table1[[#This Row],[Join Date]]-Table1[[#This Row],[Hire Date]]</f>
        <v>11</v>
      </c>
      <c r="R11" s="8"/>
      <c r="S11">
        <f ca="1">Table1[[#This Row],[Hire Date]]-Table1[[#This Row],[Job Posting Date]]</f>
        <v>67</v>
      </c>
      <c r="T11" s="7">
        <f ca="1">Table1[[#This Row],[Time to Onboard]]/Table1[[#This Row],[Time to Fill]]*100</f>
        <v>16.417910447761194</v>
      </c>
      <c r="U11" s="8">
        <f ca="1">Table1[[#This Row],[Time to Onboard]]/Table1[[#This Row],[Time to Fill]]*100</f>
        <v>16.417910447761194</v>
      </c>
      <c r="V11">
        <f ca="1">Table1[[#This Row],[Join Date]]-Table1[[#This Row],[Job Posting Date]]</f>
        <v>78</v>
      </c>
      <c r="W11">
        <f t="shared" ca="1" si="7"/>
        <v>191</v>
      </c>
      <c r="X11" s="8">
        <f ca="1">Table1[[#This Row],[Absentee Days]]/Table1[[#This Row],[Total Work Days]]*100</f>
        <v>0.76923076923076927</v>
      </c>
      <c r="Y11">
        <f ca="1">YEAR(Table1[[#This Row],[Join Date]])</f>
        <v>2021</v>
      </c>
      <c r="Z11">
        <f ca="1">IF(Table1[[#This Row],[Status]]="Active",1,0)</f>
        <v>0</v>
      </c>
      <c r="AA11">
        <f ca="1">IF(Table1[[#This Row],[Status]]="Exited",Table1[[#This Row],[Recruitment Cost]]+Table1[[#This Row],[Onboarding Cost]]+Table1[[#This Row],[Training Cost]],0)</f>
        <v>5549</v>
      </c>
      <c r="AD11" s="4"/>
      <c r="AE11" s="4"/>
      <c r="AF11" s="4"/>
      <c r="AG11" s="4"/>
      <c r="AH11" s="4"/>
    </row>
    <row r="12" spans="1:35" x14ac:dyDescent="0.2">
      <c r="A12" t="str">
        <f t="shared" si="0"/>
        <v>E011</v>
      </c>
      <c r="B12" t="str" cm="1">
        <f t="array" aca="1" ref="B12" ca="1">INDEX(sheet2!$A$2:$A$6, RANDBETWEEN(1, 5))</f>
        <v>Finance</v>
      </c>
      <c r="C12" t="str">
        <f ca="1">_xlfn.XLOOKUP(Table1[[#This Row],[Department]],sheet2!$A$2:$A$6,sheet2!$B$2:$B$6,_xleta.NA,0)</f>
        <v>Finance Manager</v>
      </c>
      <c r="D12" s="1">
        <f t="shared" ca="1" si="1"/>
        <v>44534</v>
      </c>
      <c r="E12" s="1">
        <f ca="1">Table1[[#This Row],[Job Posting Date]]+ RANDBETWEEN(15, 90)</f>
        <v>44603</v>
      </c>
      <c r="F12" s="1">
        <f ca="1">Table1[[#This Row],[Hire Date]]+ RANDBETWEEN(1, 15)</f>
        <v>44614</v>
      </c>
      <c r="G12" s="1">
        <f ca="1">IF(RAND() &lt; 0.5,  Table1[[#This Row],[Join Date]]+ RANDBETWEEN(30, TODAY()- Table1[[#This Row],[Join Date]]), "-")</f>
        <v>45301</v>
      </c>
      <c r="H12" t="str">
        <f ca="1">IF(Table1[[#This Row],[Exit Date]]= "-", "Active", "Exited")</f>
        <v>Exited</v>
      </c>
      <c r="I12" s="5">
        <f t="shared" ca="1" si="2"/>
        <v>3460</v>
      </c>
      <c r="J12" t="str" cm="1">
        <f t="array" aca="1" ref="J12" ca="1">INDEX(sheet2!$C$2:$C$6, RANDBETWEEN(1, 5))</f>
        <v>Conflict Resolution</v>
      </c>
      <c r="K12" t="str">
        <f t="shared" ca="1" si="3"/>
        <v>Completed</v>
      </c>
      <c r="L12">
        <v>260</v>
      </c>
      <c r="M12">
        <f t="shared" ca="1" si="4"/>
        <v>13</v>
      </c>
      <c r="N12" t="str">
        <f t="shared" ca="1" si="5"/>
        <v>Other</v>
      </c>
      <c r="O12" s="6">
        <f t="shared" ca="1" si="6"/>
        <v>1545</v>
      </c>
      <c r="P12">
        <f ca="1">Table1[[#This Row],[Hire Date]]-Table1[[#This Row],[Job Posting Date]]</f>
        <v>69</v>
      </c>
      <c r="Q12" s="7">
        <f ca="1">Table1[[#This Row],[Join Date]]-Table1[[#This Row],[Hire Date]]</f>
        <v>11</v>
      </c>
      <c r="R12" s="8">
        <f ca="1">(IF(Table1[[#This Row],[Status]]="Exited",Table1[[#This Row],[Exit Date]]-Table1[[#This Row],[Join Date]],TODAY()-Table1[[#This Row],[Join Date]]))/30</f>
        <v>22.9</v>
      </c>
      <c r="S12">
        <f ca="1">Table1[[#This Row],[Hire Date]]-Table1[[#This Row],[Job Posting Date]]</f>
        <v>69</v>
      </c>
      <c r="T12" s="7">
        <f ca="1">Table1[[#This Row],[Time to Onboard]]/Table1[[#This Row],[Time to Fill]]*100</f>
        <v>15.942028985507244</v>
      </c>
      <c r="U12" s="8">
        <f ca="1">Table1[[#This Row],[Time to Onboard]]/Table1[[#This Row],[Time to Fill]]*100</f>
        <v>15.942028985507244</v>
      </c>
      <c r="V12">
        <f ca="1">Table1[[#This Row],[Join Date]]-Table1[[#This Row],[Job Posting Date]]</f>
        <v>80</v>
      </c>
      <c r="W12">
        <f t="shared" ca="1" si="7"/>
        <v>126</v>
      </c>
      <c r="X12" s="8">
        <f ca="1">Table1[[#This Row],[Absentee Days]]/Table1[[#This Row],[Total Work Days]]*100</f>
        <v>5</v>
      </c>
      <c r="Y12">
        <f ca="1">YEAR(Table1[[#This Row],[Join Date]])</f>
        <v>2022</v>
      </c>
      <c r="Z12">
        <f ca="1">IF(Table1[[#This Row],[Status]]="Active",1,0)</f>
        <v>0</v>
      </c>
      <c r="AA12">
        <f ca="1">IF(Table1[[#This Row],[Status]]="Exited",Table1[[#This Row],[Recruitment Cost]]+Table1[[#This Row],[Onboarding Cost]]+Table1[[#This Row],[Training Cost]],0)</f>
        <v>5131</v>
      </c>
      <c r="AD12" s="4" t="s">
        <v>37</v>
      </c>
      <c r="AE12" s="4"/>
      <c r="AF12" s="4" t="s">
        <v>38</v>
      </c>
      <c r="AG12" s="4"/>
      <c r="AH12" s="4"/>
    </row>
    <row r="13" spans="1:35" x14ac:dyDescent="0.2">
      <c r="A13" t="str">
        <f t="shared" si="0"/>
        <v>E012</v>
      </c>
      <c r="B13" t="str" cm="1">
        <f t="array" aca="1" ref="B13" ca="1">INDEX(sheet2!$A$2:$A$6, RANDBETWEEN(1, 5))</f>
        <v>Sales</v>
      </c>
      <c r="C13" t="str">
        <f ca="1">_xlfn.XLOOKUP(Table1[[#This Row],[Department]],sheet2!$A$2:$A$6,sheet2!$B$2:$B$6,_xleta.NA,0)</f>
        <v>Marketing Manager</v>
      </c>
      <c r="D13" s="1">
        <f t="shared" ca="1" si="1"/>
        <v>43705</v>
      </c>
      <c r="E13" s="1">
        <f ca="1">Table1[[#This Row],[Job Posting Date]]+ RANDBETWEEN(15, 90)</f>
        <v>43794</v>
      </c>
      <c r="F13" s="1">
        <f ca="1">Table1[[#This Row],[Hire Date]]+ RANDBETWEEN(1, 15)</f>
        <v>43804</v>
      </c>
      <c r="G13" s="1" t="str">
        <f ca="1">IF(RAND() &lt; 0.5,  Table1[[#This Row],[Join Date]]+ RANDBETWEEN(30, TODAY()- Table1[[#This Row],[Join Date]]), "-")</f>
        <v>-</v>
      </c>
      <c r="H13" t="str">
        <f ca="1">IF(Table1[[#This Row],[Exit Date]]= "-", "Active", "Exited")</f>
        <v>Active</v>
      </c>
      <c r="I13" s="5">
        <f t="shared" ca="1" si="2"/>
        <v>4767</v>
      </c>
      <c r="J13" t="str" cm="1">
        <f t="array" aca="1" ref="J13" ca="1">INDEX(sheet2!$C$2:$C$6, RANDBETWEEN(1, 5))</f>
        <v>Conflict Resolution</v>
      </c>
      <c r="K13" t="str">
        <f t="shared" ca="1" si="3"/>
        <v>Completed</v>
      </c>
      <c r="L13">
        <v>260</v>
      </c>
      <c r="M13">
        <f t="shared" ca="1" si="4"/>
        <v>10</v>
      </c>
      <c r="N13" t="str">
        <f t="shared" ca="1" si="5"/>
        <v>Male</v>
      </c>
      <c r="O13" s="6">
        <f t="shared" ca="1" si="6"/>
        <v>1622</v>
      </c>
      <c r="P13">
        <f ca="1">Table1[[#This Row],[Hire Date]]-Table1[[#This Row],[Job Posting Date]]</f>
        <v>89</v>
      </c>
      <c r="Q13" s="7">
        <f ca="1">Table1[[#This Row],[Join Date]]-Table1[[#This Row],[Hire Date]]</f>
        <v>10</v>
      </c>
      <c r="R13" s="8">
        <f ca="1">(IF(Table1[[#This Row],[Status]]="Exited",Table1[[#This Row],[Exit Date]]-Table1[[#This Row],[Join Date]],TODAY()-Table1[[#This Row],[Join Date]]))/30</f>
        <v>62.633333333333333</v>
      </c>
      <c r="S13">
        <f ca="1">Table1[[#This Row],[Hire Date]]-Table1[[#This Row],[Job Posting Date]]</f>
        <v>89</v>
      </c>
      <c r="T13" s="7">
        <f ca="1">Table1[[#This Row],[Time to Onboard]]/Table1[[#This Row],[Time to Fill]]*100</f>
        <v>11.235955056179774</v>
      </c>
      <c r="U13" s="8">
        <f ca="1">Table1[[#This Row],[Time to Onboard]]/Table1[[#This Row],[Time to Fill]]*100</f>
        <v>11.235955056179774</v>
      </c>
      <c r="V13">
        <f ca="1">Table1[[#This Row],[Join Date]]-Table1[[#This Row],[Job Posting Date]]</f>
        <v>99</v>
      </c>
      <c r="W13">
        <f t="shared" ca="1" si="7"/>
        <v>140</v>
      </c>
      <c r="X13" s="8">
        <f ca="1">Table1[[#This Row],[Absentee Days]]/Table1[[#This Row],[Total Work Days]]*100</f>
        <v>3.8461538461538463</v>
      </c>
      <c r="Y13">
        <f ca="1">YEAR(Table1[[#This Row],[Join Date]])</f>
        <v>2019</v>
      </c>
      <c r="Z13">
        <f ca="1">IF(Table1[[#This Row],[Status]]="Active",1,0)</f>
        <v>1</v>
      </c>
      <c r="AA13">
        <f ca="1">IF(Table1[[#This Row],[Status]]="Exited",Table1[[#This Row],[Recruitment Cost]]+Table1[[#This Row],[Onboarding Cost]]+Table1[[#This Row],[Training Cost]],0)</f>
        <v>0</v>
      </c>
      <c r="AD13" s="9">
        <f ca="1">COUNTIF(Gender,"Female")/COUNTA(Gender)*100</f>
        <v>33.864541832669318</v>
      </c>
      <c r="AE13" s="4"/>
      <c r="AF13" s="4">
        <f ca="1">SUM(CostofEmployeeTurnover)</f>
        <v>609646</v>
      </c>
      <c r="AG13" s="4"/>
      <c r="AH13" s="4"/>
    </row>
    <row r="14" spans="1:35" x14ac:dyDescent="0.2">
      <c r="A14" t="str">
        <f t="shared" si="0"/>
        <v>E013</v>
      </c>
      <c r="B14" t="str" cm="1">
        <f t="array" aca="1" ref="B14" ca="1">INDEX(sheet2!$A$2:$A$6, RANDBETWEEN(1, 5))</f>
        <v>Analytics</v>
      </c>
      <c r="C14" t="str">
        <f ca="1">_xlfn.XLOOKUP(Table1[[#This Row],[Department]],sheet2!$A$2:$A$6,sheet2!$B$2:$B$6,_xleta.NA,0)</f>
        <v>Data Analyst</v>
      </c>
      <c r="D14" s="1">
        <f t="shared" ca="1" si="1"/>
        <v>44869</v>
      </c>
      <c r="E14" s="1">
        <f ca="1">Table1[[#This Row],[Job Posting Date]]+ RANDBETWEEN(15, 90)</f>
        <v>44958</v>
      </c>
      <c r="F14" s="1">
        <f ca="1">Table1[[#This Row],[Hire Date]]+ RANDBETWEEN(1, 15)</f>
        <v>44968</v>
      </c>
      <c r="G14" s="1" t="str">
        <f ca="1">IF(RAND() &lt; 0.5,  Table1[[#This Row],[Join Date]]+ RANDBETWEEN(30, TODAY()- Table1[[#This Row],[Join Date]]), "-")</f>
        <v>-</v>
      </c>
      <c r="H14" t="str">
        <f ca="1">IF(Table1[[#This Row],[Exit Date]]= "-", "Active", "Exited")</f>
        <v>Active</v>
      </c>
      <c r="I14" s="5">
        <f t="shared" ca="1" si="2"/>
        <v>3935</v>
      </c>
      <c r="J14" t="str" cm="1">
        <f t="array" aca="1" ref="J14" ca="1">INDEX(sheet2!$C$2:$C$6, RANDBETWEEN(1, 5))</f>
        <v>Conflict Resolution</v>
      </c>
      <c r="K14" t="str">
        <f t="shared" ca="1" si="3"/>
        <v>Completed</v>
      </c>
      <c r="L14">
        <v>260</v>
      </c>
      <c r="M14">
        <f t="shared" ca="1" si="4"/>
        <v>1</v>
      </c>
      <c r="N14" t="str">
        <f t="shared" ca="1" si="5"/>
        <v>Other</v>
      </c>
      <c r="O14" s="6">
        <f t="shared" ca="1" si="6"/>
        <v>2046</v>
      </c>
      <c r="P14">
        <f ca="1">Table1[[#This Row],[Hire Date]]-Table1[[#This Row],[Job Posting Date]]</f>
        <v>89</v>
      </c>
      <c r="Q14" s="7">
        <f ca="1">Table1[[#This Row],[Join Date]]-Table1[[#This Row],[Hire Date]]</f>
        <v>10</v>
      </c>
      <c r="R14" s="8">
        <f ca="1">(IF(Table1[[#This Row],[Status]]="Exited",Table1[[#This Row],[Exit Date]]-Table1[[#This Row],[Join Date]],TODAY()-Table1[[#This Row],[Join Date]]))/30</f>
        <v>23.833333333333332</v>
      </c>
      <c r="S14">
        <f ca="1">Table1[[#This Row],[Hire Date]]-Table1[[#This Row],[Job Posting Date]]</f>
        <v>89</v>
      </c>
      <c r="T14" s="7">
        <f ca="1">Table1[[#This Row],[Time to Onboard]]/Table1[[#This Row],[Time to Fill]]*100</f>
        <v>11.235955056179774</v>
      </c>
      <c r="U14" s="8">
        <f ca="1">Table1[[#This Row],[Time to Onboard]]/Table1[[#This Row],[Time to Fill]]*100</f>
        <v>11.235955056179774</v>
      </c>
      <c r="V14">
        <f ca="1">Table1[[#This Row],[Join Date]]-Table1[[#This Row],[Job Posting Date]]</f>
        <v>99</v>
      </c>
      <c r="W14">
        <f t="shared" ca="1" si="7"/>
        <v>154</v>
      </c>
      <c r="X14" s="8">
        <f ca="1">Table1[[#This Row],[Absentee Days]]/Table1[[#This Row],[Total Work Days]]*100</f>
        <v>0.38461538461538464</v>
      </c>
      <c r="Y14">
        <f ca="1">YEAR(Table1[[#This Row],[Join Date]])</f>
        <v>2023</v>
      </c>
      <c r="Z14">
        <f ca="1">IF(Table1[[#This Row],[Status]]="Active",1,0)</f>
        <v>1</v>
      </c>
      <c r="AA14">
        <f ca="1">IF(Table1[[#This Row],[Status]]="Exited",Table1[[#This Row],[Recruitment Cost]]+Table1[[#This Row],[Onboarding Cost]]+Table1[[#This Row],[Training Cost]],0)</f>
        <v>0</v>
      </c>
    </row>
    <row r="15" spans="1:35" x14ac:dyDescent="0.2">
      <c r="A15" t="str">
        <f t="shared" si="0"/>
        <v>E014</v>
      </c>
      <c r="B15" t="str" cm="1">
        <f t="array" aca="1" ref="B15" ca="1">INDEX(sheet2!$A$2:$A$6, RANDBETWEEN(1, 5))</f>
        <v>Finance</v>
      </c>
      <c r="C15" t="str">
        <f ca="1">_xlfn.XLOOKUP(Table1[[#This Row],[Department]],sheet2!$A$2:$A$6,sheet2!$B$2:$B$6,_xleta.NA,0)</f>
        <v>Finance Manager</v>
      </c>
      <c r="D15" s="1">
        <f t="shared" ca="1" si="1"/>
        <v>43912</v>
      </c>
      <c r="E15" s="1">
        <f ca="1">Table1[[#This Row],[Job Posting Date]]+ RANDBETWEEN(15, 90)</f>
        <v>43965</v>
      </c>
      <c r="F15" s="1">
        <f ca="1">Table1[[#This Row],[Hire Date]]+ RANDBETWEEN(1, 15)</f>
        <v>43968</v>
      </c>
      <c r="G15" s="1">
        <f ca="1">IF(RAND() &lt; 0.5,  Table1[[#This Row],[Join Date]]+ RANDBETWEEN(30, TODAY()- Table1[[#This Row],[Join Date]]), "-")</f>
        <v>44836</v>
      </c>
      <c r="H15" t="str">
        <f ca="1">IF(Table1[[#This Row],[Exit Date]]= "-", "Active", "Exited")</f>
        <v>Exited</v>
      </c>
      <c r="I15" s="5">
        <f t="shared" ca="1" si="2"/>
        <v>3768</v>
      </c>
      <c r="J15" t="str" cm="1">
        <f t="array" aca="1" ref="J15" ca="1">INDEX(sheet2!$C$2:$C$6, RANDBETWEEN(1, 5))</f>
        <v>Leadership Development</v>
      </c>
      <c r="K15" t="str">
        <f t="shared" ca="1" si="3"/>
        <v>Completed</v>
      </c>
      <c r="L15">
        <v>260</v>
      </c>
      <c r="M15">
        <f t="shared" ca="1" si="4"/>
        <v>19</v>
      </c>
      <c r="N15" t="str">
        <f t="shared" ca="1" si="5"/>
        <v>Male</v>
      </c>
      <c r="O15" s="6">
        <f t="shared" ca="1" si="6"/>
        <v>2139</v>
      </c>
      <c r="P15">
        <f ca="1">Table1[[#This Row],[Hire Date]]-Table1[[#This Row],[Job Posting Date]]</f>
        <v>53</v>
      </c>
      <c r="Q15" s="7">
        <f ca="1">Table1[[#This Row],[Join Date]]-Table1[[#This Row],[Hire Date]]</f>
        <v>3</v>
      </c>
      <c r="R15" s="8">
        <f ca="1">(IF(Table1[[#This Row],[Status]]="Exited",Table1[[#This Row],[Exit Date]]-Table1[[#This Row],[Join Date]],TODAY()-Table1[[#This Row],[Join Date]]))/30</f>
        <v>28.933333333333334</v>
      </c>
      <c r="S15">
        <f ca="1">Table1[[#This Row],[Hire Date]]-Table1[[#This Row],[Job Posting Date]]</f>
        <v>53</v>
      </c>
      <c r="T15" s="7">
        <f ca="1">Table1[[#This Row],[Time to Onboard]]/Table1[[#This Row],[Time to Fill]]*100</f>
        <v>5.6603773584905666</v>
      </c>
      <c r="U15" s="8">
        <f ca="1">Table1[[#This Row],[Time to Onboard]]/Table1[[#This Row],[Time to Fill]]*100</f>
        <v>5.6603773584905666</v>
      </c>
      <c r="V15">
        <f ca="1">Table1[[#This Row],[Join Date]]-Table1[[#This Row],[Job Posting Date]]</f>
        <v>56</v>
      </c>
      <c r="W15">
        <f t="shared" ca="1" si="7"/>
        <v>174</v>
      </c>
      <c r="X15" s="8">
        <f ca="1">Table1[[#This Row],[Absentee Days]]/Table1[[#This Row],[Total Work Days]]*100</f>
        <v>7.3076923076923084</v>
      </c>
      <c r="Y15">
        <f ca="1">YEAR(Table1[[#This Row],[Join Date]])</f>
        <v>2020</v>
      </c>
      <c r="Z15">
        <f ca="1">IF(Table1[[#This Row],[Status]]="Active",1,0)</f>
        <v>0</v>
      </c>
      <c r="AA15">
        <f ca="1">IF(Table1[[#This Row],[Status]]="Exited",Table1[[#This Row],[Recruitment Cost]]+Table1[[#This Row],[Onboarding Cost]]+Table1[[#This Row],[Training Cost]],0)</f>
        <v>6081</v>
      </c>
    </row>
    <row r="16" spans="1:35" x14ac:dyDescent="0.2">
      <c r="A16" t="str">
        <f t="shared" si="0"/>
        <v>E015</v>
      </c>
      <c r="B16" t="str" cm="1">
        <f t="array" aca="1" ref="B16" ca="1">INDEX(sheet2!$A$2:$A$6, RANDBETWEEN(1, 5))</f>
        <v>Analytics</v>
      </c>
      <c r="C16" t="str">
        <f ca="1">_xlfn.XLOOKUP(Table1[[#This Row],[Department]],sheet2!$A$2:$A$6,sheet2!$B$2:$B$6,_xleta.NA,0)</f>
        <v>Data Analyst</v>
      </c>
      <c r="D16" s="1">
        <f t="shared" ca="1" si="1"/>
        <v>43923</v>
      </c>
      <c r="E16" s="1">
        <f ca="1">Table1[[#This Row],[Job Posting Date]]+ RANDBETWEEN(15, 90)</f>
        <v>43989</v>
      </c>
      <c r="F16" s="1">
        <f ca="1">Table1[[#This Row],[Hire Date]]+ RANDBETWEEN(1, 15)</f>
        <v>44003</v>
      </c>
      <c r="G16" s="1">
        <f ca="1">IF(RAND() &lt; 0.5,  Table1[[#This Row],[Join Date]]+ RANDBETWEEN(30, TODAY()- Table1[[#This Row],[Join Date]]), "-")</f>
        <v>44668</v>
      </c>
      <c r="H16" t="str">
        <f ca="1">IF(Table1[[#This Row],[Exit Date]]= "-", "Active", "Exited")</f>
        <v>Exited</v>
      </c>
      <c r="I16" s="5">
        <f t="shared" ca="1" si="2"/>
        <v>3852</v>
      </c>
      <c r="J16" t="str" cm="1">
        <f t="array" aca="1" ref="J16" ca="1">INDEX(sheet2!$C$2:$C$6, RANDBETWEEN(1, 5))</f>
        <v>Leadership Development</v>
      </c>
      <c r="K16" t="str">
        <f t="shared" ca="1" si="3"/>
        <v>Not Completed</v>
      </c>
      <c r="L16">
        <v>260</v>
      </c>
      <c r="M16">
        <f t="shared" ca="1" si="4"/>
        <v>14</v>
      </c>
      <c r="N16" t="str">
        <f t="shared" ca="1" si="5"/>
        <v>Other</v>
      </c>
      <c r="O16" s="6">
        <f t="shared" ca="1" si="6"/>
        <v>2071</v>
      </c>
      <c r="P16">
        <f ca="1">Table1[[#This Row],[Hire Date]]-Table1[[#This Row],[Job Posting Date]]</f>
        <v>66</v>
      </c>
      <c r="Q16" s="7">
        <f ca="1">Table1[[#This Row],[Join Date]]-Table1[[#This Row],[Hire Date]]</f>
        <v>14</v>
      </c>
      <c r="R16" s="8">
        <f ca="1">(IF(Table1[[#This Row],[Status]]="Exited",Table1[[#This Row],[Exit Date]]-Table1[[#This Row],[Join Date]],TODAY()-Table1[[#This Row],[Join Date]]))/30</f>
        <v>22.166666666666668</v>
      </c>
      <c r="S16">
        <f ca="1">Table1[[#This Row],[Hire Date]]-Table1[[#This Row],[Job Posting Date]]</f>
        <v>66</v>
      </c>
      <c r="T16" s="7">
        <f ca="1">Table1[[#This Row],[Time to Onboard]]/Table1[[#This Row],[Time to Fill]]*100</f>
        <v>21.212121212121211</v>
      </c>
      <c r="U16" s="8">
        <f ca="1">Table1[[#This Row],[Time to Onboard]]/Table1[[#This Row],[Time to Fill]]*100</f>
        <v>21.212121212121211</v>
      </c>
      <c r="V16">
        <f ca="1">Table1[[#This Row],[Join Date]]-Table1[[#This Row],[Job Posting Date]]</f>
        <v>80</v>
      </c>
      <c r="W16">
        <f t="shared" ca="1" si="7"/>
        <v>130</v>
      </c>
      <c r="X16" s="8">
        <f ca="1">Table1[[#This Row],[Absentee Days]]/Table1[[#This Row],[Total Work Days]]*100</f>
        <v>5.384615384615385</v>
      </c>
      <c r="Y16">
        <f ca="1">YEAR(Table1[[#This Row],[Join Date]])</f>
        <v>2020</v>
      </c>
      <c r="Z16">
        <f ca="1">IF(Table1[[#This Row],[Status]]="Active",1,0)</f>
        <v>0</v>
      </c>
      <c r="AA16">
        <f ca="1">IF(Table1[[#This Row],[Status]]="Exited",Table1[[#This Row],[Recruitment Cost]]+Table1[[#This Row],[Onboarding Cost]]+Table1[[#This Row],[Training Cost]],0)</f>
        <v>6053</v>
      </c>
    </row>
    <row r="17" spans="1:27" x14ac:dyDescent="0.2">
      <c r="A17" t="str">
        <f t="shared" si="0"/>
        <v>E016</v>
      </c>
      <c r="B17" t="str" cm="1">
        <f t="array" aca="1" ref="B17" ca="1">INDEX(sheet2!$A$2:$A$6, RANDBETWEEN(1, 5))</f>
        <v>IT</v>
      </c>
      <c r="C17" t="str">
        <f ca="1">_xlfn.XLOOKUP(Table1[[#This Row],[Department]],sheet2!$A$2:$A$6,sheet2!$B$2:$B$6,_xleta.NA,0)</f>
        <v>Software Engineer</v>
      </c>
      <c r="D17" s="1">
        <f t="shared" ca="1" si="1"/>
        <v>44252</v>
      </c>
      <c r="E17" s="1">
        <f ca="1">Table1[[#This Row],[Job Posting Date]]+ RANDBETWEEN(15, 90)</f>
        <v>44318</v>
      </c>
      <c r="F17" s="1">
        <f ca="1">Table1[[#This Row],[Hire Date]]+ RANDBETWEEN(1, 15)</f>
        <v>44333</v>
      </c>
      <c r="G17" s="1" t="str">
        <f ca="1">IF(RAND() &lt; 0.5,  Table1[[#This Row],[Join Date]]+ RANDBETWEEN(30, TODAY()- Table1[[#This Row],[Join Date]]), "-")</f>
        <v>-</v>
      </c>
      <c r="H17" t="str">
        <f ca="1">IF(Table1[[#This Row],[Exit Date]]= "-", "Active", "Exited")</f>
        <v>Active</v>
      </c>
      <c r="I17" s="5">
        <f t="shared" ca="1" si="2"/>
        <v>2882</v>
      </c>
      <c r="J17" t="str" cm="1">
        <f t="array" aca="1" ref="J17" ca="1">INDEX(sheet2!$C$2:$C$6, RANDBETWEEN(1, 5))</f>
        <v>Communication Skills</v>
      </c>
      <c r="K17" t="str">
        <f t="shared" ca="1" si="3"/>
        <v>Completed</v>
      </c>
      <c r="L17">
        <v>260</v>
      </c>
      <c r="M17">
        <f t="shared" ca="1" si="4"/>
        <v>16</v>
      </c>
      <c r="N17" t="str">
        <f t="shared" ca="1" si="5"/>
        <v>Other</v>
      </c>
      <c r="O17" s="6">
        <f t="shared" ca="1" si="6"/>
        <v>1291</v>
      </c>
      <c r="P17">
        <f ca="1">Table1[[#This Row],[Hire Date]]-Table1[[#This Row],[Job Posting Date]]</f>
        <v>66</v>
      </c>
      <c r="Q17" s="7">
        <f ca="1">Table1[[#This Row],[Join Date]]-Table1[[#This Row],[Hire Date]]</f>
        <v>15</v>
      </c>
      <c r="R17" s="8">
        <f ca="1">(IF(Table1[[#This Row],[Status]]="Exited",Table1[[#This Row],[Exit Date]]-Table1[[#This Row],[Join Date]],TODAY()-Table1[[#This Row],[Join Date]]))/30</f>
        <v>45</v>
      </c>
      <c r="S17">
        <f ca="1">Table1[[#This Row],[Hire Date]]-Table1[[#This Row],[Job Posting Date]]</f>
        <v>66</v>
      </c>
      <c r="T17" s="7">
        <f ca="1">Table1[[#This Row],[Time to Onboard]]/Table1[[#This Row],[Time to Fill]]*100</f>
        <v>22.727272727272727</v>
      </c>
      <c r="U17" s="8">
        <f ca="1">Table1[[#This Row],[Time to Onboard]]/Table1[[#This Row],[Time to Fill]]*100</f>
        <v>22.727272727272727</v>
      </c>
      <c r="V17">
        <f ca="1">Table1[[#This Row],[Join Date]]-Table1[[#This Row],[Job Posting Date]]</f>
        <v>81</v>
      </c>
      <c r="W17">
        <f t="shared" ca="1" si="7"/>
        <v>174</v>
      </c>
      <c r="X17" s="8">
        <f ca="1">Table1[[#This Row],[Absentee Days]]/Table1[[#This Row],[Total Work Days]]*100</f>
        <v>6.1538461538461542</v>
      </c>
      <c r="Y17">
        <f ca="1">YEAR(Table1[[#This Row],[Join Date]])</f>
        <v>2021</v>
      </c>
      <c r="Z17">
        <f ca="1">IF(Table1[[#This Row],[Status]]="Active",1,0)</f>
        <v>1</v>
      </c>
      <c r="AA17">
        <f ca="1">IF(Table1[[#This Row],[Status]]="Exited",Table1[[#This Row],[Recruitment Cost]]+Table1[[#This Row],[Onboarding Cost]]+Table1[[#This Row],[Training Cost]],0)</f>
        <v>0</v>
      </c>
    </row>
    <row r="18" spans="1:27" x14ac:dyDescent="0.2">
      <c r="A18" t="str">
        <f t="shared" si="0"/>
        <v>E017</v>
      </c>
      <c r="B18" t="str" cm="1">
        <f t="array" aca="1" ref="B18" ca="1">INDEX(sheet2!$A$2:$A$6, RANDBETWEEN(1, 5))</f>
        <v>Analytics</v>
      </c>
      <c r="C18" t="str">
        <f ca="1">_xlfn.XLOOKUP(Table1[[#This Row],[Department]],sheet2!$A$2:$A$6,sheet2!$B$2:$B$6,_xleta.NA,0)</f>
        <v>Data Analyst</v>
      </c>
      <c r="D18" s="1">
        <f t="shared" ca="1" si="1"/>
        <v>43870</v>
      </c>
      <c r="E18" s="1">
        <f ca="1">Table1[[#This Row],[Job Posting Date]]+ RANDBETWEEN(15, 90)</f>
        <v>43911</v>
      </c>
      <c r="F18" s="1">
        <f ca="1">Table1[[#This Row],[Hire Date]]+ RANDBETWEEN(1, 15)</f>
        <v>43921</v>
      </c>
      <c r="G18" s="1" t="str">
        <f ca="1">IF(RAND() &lt; 0.5,  Table1[[#This Row],[Join Date]]+ RANDBETWEEN(30, TODAY()- Table1[[#This Row],[Join Date]]), "-")</f>
        <v>-</v>
      </c>
      <c r="H18" t="str">
        <f ca="1">IF(Table1[[#This Row],[Exit Date]]= "-", "Active", "Exited")</f>
        <v>Active</v>
      </c>
      <c r="I18" s="5">
        <f t="shared" ca="1" si="2"/>
        <v>2084</v>
      </c>
      <c r="J18" t="str" cm="1">
        <f t="array" aca="1" ref="J18" ca="1">INDEX(sheet2!$C$2:$C$6, RANDBETWEEN(1, 5))</f>
        <v>Ethics and Responsibilities</v>
      </c>
      <c r="K18" t="str">
        <f t="shared" ca="1" si="3"/>
        <v>Completed</v>
      </c>
      <c r="L18">
        <v>260</v>
      </c>
      <c r="M18">
        <f t="shared" ca="1" si="4"/>
        <v>1</v>
      </c>
      <c r="N18" t="str">
        <f t="shared" ca="1" si="5"/>
        <v>Female</v>
      </c>
      <c r="O18" s="6">
        <f t="shared" ca="1" si="6"/>
        <v>1850</v>
      </c>
      <c r="P18">
        <f ca="1">Table1[[#This Row],[Hire Date]]-Table1[[#This Row],[Job Posting Date]]</f>
        <v>41</v>
      </c>
      <c r="Q18" s="7">
        <f ca="1">Table1[[#This Row],[Join Date]]-Table1[[#This Row],[Hire Date]]</f>
        <v>10</v>
      </c>
      <c r="R18" s="8">
        <f ca="1">(IF(Table1[[#This Row],[Status]]="Exited",Table1[[#This Row],[Exit Date]]-Table1[[#This Row],[Join Date]],TODAY()-Table1[[#This Row],[Join Date]]))/30</f>
        <v>58.733333333333334</v>
      </c>
      <c r="S18">
        <f ca="1">Table1[[#This Row],[Hire Date]]-Table1[[#This Row],[Job Posting Date]]</f>
        <v>41</v>
      </c>
      <c r="T18" s="7">
        <f ca="1">Table1[[#This Row],[Time to Onboard]]/Table1[[#This Row],[Time to Fill]]*100</f>
        <v>24.390243902439025</v>
      </c>
      <c r="U18" s="8">
        <f ca="1">Table1[[#This Row],[Time to Onboard]]/Table1[[#This Row],[Time to Fill]]*100</f>
        <v>24.390243902439025</v>
      </c>
      <c r="V18">
        <f ca="1">Table1[[#This Row],[Join Date]]-Table1[[#This Row],[Job Posting Date]]</f>
        <v>51</v>
      </c>
      <c r="W18">
        <f t="shared" ca="1" si="7"/>
        <v>131</v>
      </c>
      <c r="X18" s="8">
        <f ca="1">Table1[[#This Row],[Absentee Days]]/Table1[[#This Row],[Total Work Days]]*100</f>
        <v>0.38461538461538464</v>
      </c>
      <c r="Y18">
        <f ca="1">YEAR(Table1[[#This Row],[Join Date]])</f>
        <v>2020</v>
      </c>
      <c r="Z18">
        <f ca="1">IF(Table1[[#This Row],[Status]]="Active",1,0)</f>
        <v>1</v>
      </c>
      <c r="AA18">
        <f ca="1">IF(Table1[[#This Row],[Status]]="Exited",Table1[[#This Row],[Recruitment Cost]]+Table1[[#This Row],[Onboarding Cost]]+Table1[[#This Row],[Training Cost]],0)</f>
        <v>0</v>
      </c>
    </row>
    <row r="19" spans="1:27" x14ac:dyDescent="0.2">
      <c r="A19" t="str">
        <f t="shared" si="0"/>
        <v>E018</v>
      </c>
      <c r="B19" t="str" cm="1">
        <f t="array" aca="1" ref="B19" ca="1">INDEX(sheet2!$A$2:$A$6, RANDBETWEEN(1, 5))</f>
        <v>Analytics</v>
      </c>
      <c r="C19" t="str">
        <f ca="1">_xlfn.XLOOKUP(Table1[[#This Row],[Department]],sheet2!$A$2:$A$6,sheet2!$B$2:$B$6,_xleta.NA,0)</f>
        <v>Data Analyst</v>
      </c>
      <c r="D19" s="1">
        <f t="shared" ca="1" si="1"/>
        <v>44256</v>
      </c>
      <c r="E19" s="1">
        <f ca="1">Table1[[#This Row],[Job Posting Date]]+ RANDBETWEEN(15, 90)</f>
        <v>44298</v>
      </c>
      <c r="F19" s="1">
        <f ca="1">Table1[[#This Row],[Hire Date]]+ RANDBETWEEN(1, 15)</f>
        <v>44307</v>
      </c>
      <c r="G19" s="1" t="str">
        <f ca="1">IF(RAND() &lt; 0.5,  Table1[[#This Row],[Join Date]]+ RANDBETWEEN(30, TODAY()- Table1[[#This Row],[Join Date]]), "-")</f>
        <v>-</v>
      </c>
      <c r="H19" t="str">
        <f ca="1">IF(Table1[[#This Row],[Exit Date]]= "-", "Active", "Exited")</f>
        <v>Active</v>
      </c>
      <c r="I19" s="5">
        <f t="shared" ca="1" si="2"/>
        <v>4977</v>
      </c>
      <c r="J19" t="str" cm="1">
        <f t="array" aca="1" ref="J19" ca="1">INDEX(sheet2!$C$2:$C$6, RANDBETWEEN(1, 5))</f>
        <v>Communication Skills</v>
      </c>
      <c r="K19" t="str">
        <f t="shared" ca="1" si="3"/>
        <v>Not Completed</v>
      </c>
      <c r="L19">
        <v>260</v>
      </c>
      <c r="M19">
        <f t="shared" ca="1" si="4"/>
        <v>7</v>
      </c>
      <c r="N19" t="str">
        <f t="shared" ca="1" si="5"/>
        <v>Other</v>
      </c>
      <c r="O19" s="6">
        <f t="shared" ca="1" si="6"/>
        <v>2027</v>
      </c>
      <c r="P19">
        <f ca="1">Table1[[#This Row],[Hire Date]]-Table1[[#This Row],[Job Posting Date]]</f>
        <v>42</v>
      </c>
      <c r="Q19" s="7">
        <f ca="1">Table1[[#This Row],[Join Date]]-Table1[[#This Row],[Hire Date]]</f>
        <v>9</v>
      </c>
      <c r="R19" s="8">
        <f ca="1">(IF(Table1[[#This Row],[Status]]="Exited",Table1[[#This Row],[Exit Date]]-Table1[[#This Row],[Join Date]],TODAY()-Table1[[#This Row],[Join Date]]))/30</f>
        <v>45.866666666666667</v>
      </c>
      <c r="S19">
        <f ca="1">Table1[[#This Row],[Hire Date]]-Table1[[#This Row],[Job Posting Date]]</f>
        <v>42</v>
      </c>
      <c r="T19" s="7">
        <f ca="1">Table1[[#This Row],[Time to Onboard]]/Table1[[#This Row],[Time to Fill]]*100</f>
        <v>21.428571428571427</v>
      </c>
      <c r="U19" s="8">
        <f ca="1">Table1[[#This Row],[Time to Onboard]]/Table1[[#This Row],[Time to Fill]]*100</f>
        <v>21.428571428571427</v>
      </c>
      <c r="V19">
        <f ca="1">Table1[[#This Row],[Join Date]]-Table1[[#This Row],[Job Posting Date]]</f>
        <v>51</v>
      </c>
      <c r="W19">
        <f t="shared" ca="1" si="7"/>
        <v>178</v>
      </c>
      <c r="X19" s="8">
        <f ca="1">Table1[[#This Row],[Absentee Days]]/Table1[[#This Row],[Total Work Days]]*100</f>
        <v>2.6923076923076925</v>
      </c>
      <c r="Y19">
        <f ca="1">YEAR(Table1[[#This Row],[Join Date]])</f>
        <v>2021</v>
      </c>
      <c r="Z19">
        <f ca="1">IF(Table1[[#This Row],[Status]]="Active",1,0)</f>
        <v>1</v>
      </c>
      <c r="AA19">
        <f ca="1">IF(Table1[[#This Row],[Status]]="Exited",Table1[[#This Row],[Recruitment Cost]]+Table1[[#This Row],[Onboarding Cost]]+Table1[[#This Row],[Training Cost]],0)</f>
        <v>0</v>
      </c>
    </row>
    <row r="20" spans="1:27" x14ac:dyDescent="0.2">
      <c r="A20" t="str">
        <f t="shared" si="0"/>
        <v>E019</v>
      </c>
      <c r="B20" t="str" cm="1">
        <f t="array" aca="1" ref="B20" ca="1">INDEX(sheet2!$A$2:$A$6, RANDBETWEEN(1, 5))</f>
        <v>IT</v>
      </c>
      <c r="C20" t="str">
        <f ca="1">_xlfn.XLOOKUP(Table1[[#This Row],[Department]],sheet2!$A$2:$A$6,sheet2!$B$2:$B$6,_xleta.NA,0)</f>
        <v>Software Engineer</v>
      </c>
      <c r="D20" s="1">
        <f t="shared" ca="1" si="1"/>
        <v>43438</v>
      </c>
      <c r="E20" s="1">
        <f ca="1">Table1[[#This Row],[Job Posting Date]]+ RANDBETWEEN(15, 90)</f>
        <v>43508</v>
      </c>
      <c r="F20" s="1">
        <f ca="1">Table1[[#This Row],[Hire Date]]+ RANDBETWEEN(1, 15)</f>
        <v>43510</v>
      </c>
      <c r="G20" s="1" t="str">
        <f ca="1">IF(RAND() &lt; 0.5,  Table1[[#This Row],[Join Date]]+ RANDBETWEEN(30, TODAY()- Table1[[#This Row],[Join Date]]), "-")</f>
        <v>-</v>
      </c>
      <c r="H20" t="str">
        <f ca="1">IF(Table1[[#This Row],[Exit Date]]= "-", "Active", "Exited")</f>
        <v>Active</v>
      </c>
      <c r="I20" s="5">
        <f t="shared" ca="1" si="2"/>
        <v>3054</v>
      </c>
      <c r="J20" t="str" cm="1">
        <f t="array" aca="1" ref="J20" ca="1">INDEX(sheet2!$C$2:$C$6, RANDBETWEEN(1, 5))</f>
        <v>Leadership Development</v>
      </c>
      <c r="K20" t="str">
        <f t="shared" ca="1" si="3"/>
        <v>Completed</v>
      </c>
      <c r="L20">
        <v>260</v>
      </c>
      <c r="M20">
        <f t="shared" ca="1" si="4"/>
        <v>9</v>
      </c>
      <c r="N20" t="str">
        <f t="shared" ca="1" si="5"/>
        <v>Female</v>
      </c>
      <c r="O20" s="6">
        <f t="shared" ca="1" si="6"/>
        <v>1928</v>
      </c>
      <c r="P20">
        <f ca="1">Table1[[#This Row],[Hire Date]]-Table1[[#This Row],[Job Posting Date]]</f>
        <v>70</v>
      </c>
      <c r="Q20" s="7">
        <f ca="1">Table1[[#This Row],[Join Date]]-Table1[[#This Row],[Hire Date]]</f>
        <v>2</v>
      </c>
      <c r="R20" s="8">
        <f ca="1">(IF(Table1[[#This Row],[Status]]="Exited",Table1[[#This Row],[Exit Date]]-Table1[[#This Row],[Join Date]],TODAY()-Table1[[#This Row],[Join Date]]))/30</f>
        <v>72.433333333333337</v>
      </c>
      <c r="S20">
        <f ca="1">Table1[[#This Row],[Hire Date]]-Table1[[#This Row],[Job Posting Date]]</f>
        <v>70</v>
      </c>
      <c r="T20" s="7">
        <f ca="1">Table1[[#This Row],[Time to Onboard]]/Table1[[#This Row],[Time to Fill]]*100</f>
        <v>2.8571428571428572</v>
      </c>
      <c r="U20" s="8">
        <f ca="1">Table1[[#This Row],[Time to Onboard]]/Table1[[#This Row],[Time to Fill]]*100</f>
        <v>2.8571428571428572</v>
      </c>
      <c r="V20">
        <f ca="1">Table1[[#This Row],[Join Date]]-Table1[[#This Row],[Job Posting Date]]</f>
        <v>72</v>
      </c>
      <c r="W20">
        <f t="shared" ca="1" si="7"/>
        <v>146</v>
      </c>
      <c r="X20" s="8">
        <f ca="1">Table1[[#This Row],[Absentee Days]]/Table1[[#This Row],[Total Work Days]]*100</f>
        <v>3.4615384615384617</v>
      </c>
      <c r="Y20">
        <f ca="1">YEAR(Table1[[#This Row],[Join Date]])</f>
        <v>2019</v>
      </c>
      <c r="Z20">
        <f ca="1">IF(Table1[[#This Row],[Status]]="Active",1,0)</f>
        <v>1</v>
      </c>
      <c r="AA20">
        <f ca="1">IF(Table1[[#This Row],[Status]]="Exited",Table1[[#This Row],[Recruitment Cost]]+Table1[[#This Row],[Onboarding Cost]]+Table1[[#This Row],[Training Cost]],0)</f>
        <v>0</v>
      </c>
    </row>
    <row r="21" spans="1:27" x14ac:dyDescent="0.2">
      <c r="A21" t="str">
        <f t="shared" si="0"/>
        <v>E020</v>
      </c>
      <c r="B21" t="str" cm="1">
        <f t="array" aca="1" ref="B21" ca="1">INDEX(sheet2!$A$2:$A$6, RANDBETWEEN(1, 5))</f>
        <v>Analytics</v>
      </c>
      <c r="C21" t="str">
        <f ca="1">_xlfn.XLOOKUP(Table1[[#This Row],[Department]],sheet2!$A$2:$A$6,sheet2!$B$2:$B$6,_xleta.NA,0)</f>
        <v>Data Analyst</v>
      </c>
      <c r="D21" s="1">
        <f t="shared" ca="1" si="1"/>
        <v>44496</v>
      </c>
      <c r="E21" s="1">
        <f ca="1">Table1[[#This Row],[Job Posting Date]]+ RANDBETWEEN(15, 90)</f>
        <v>44560</v>
      </c>
      <c r="F21" s="1">
        <f ca="1">Table1[[#This Row],[Hire Date]]+ RANDBETWEEN(1, 15)</f>
        <v>44563</v>
      </c>
      <c r="G21" s="1">
        <f ca="1">IF(RAND() &lt; 0.5,  Table1[[#This Row],[Join Date]]+ RANDBETWEEN(30, TODAY()- Table1[[#This Row],[Join Date]]), "-")</f>
        <v>44623</v>
      </c>
      <c r="H21" t="str">
        <f ca="1">IF(Table1[[#This Row],[Exit Date]]= "-", "Active", "Exited")</f>
        <v>Exited</v>
      </c>
      <c r="I21" s="5">
        <f t="shared" ca="1" si="2"/>
        <v>2966</v>
      </c>
      <c r="J21" t="str" cm="1">
        <f t="array" aca="1" ref="J21" ca="1">INDEX(sheet2!$C$2:$C$6, RANDBETWEEN(1, 5))</f>
        <v>Leadership Development</v>
      </c>
      <c r="K21" t="str">
        <f t="shared" ca="1" si="3"/>
        <v>Not Completed</v>
      </c>
      <c r="L21">
        <v>260</v>
      </c>
      <c r="M21">
        <f t="shared" ca="1" si="4"/>
        <v>9</v>
      </c>
      <c r="N21" t="str">
        <f t="shared" ca="1" si="5"/>
        <v>Male</v>
      </c>
      <c r="O21" s="6">
        <f t="shared" ca="1" si="6"/>
        <v>2186</v>
      </c>
      <c r="P21">
        <f ca="1">Table1[[#This Row],[Hire Date]]-Table1[[#This Row],[Job Posting Date]]</f>
        <v>64</v>
      </c>
      <c r="Q21" s="7">
        <f ca="1">Table1[[#This Row],[Join Date]]-Table1[[#This Row],[Hire Date]]</f>
        <v>3</v>
      </c>
      <c r="R21" s="8">
        <f ca="1">(IF(Table1[[#This Row],[Status]]="Exited",Table1[[#This Row],[Exit Date]]-Table1[[#This Row],[Join Date]],TODAY()-Table1[[#This Row],[Join Date]]))/30</f>
        <v>2</v>
      </c>
      <c r="S21">
        <f ca="1">Table1[[#This Row],[Hire Date]]-Table1[[#This Row],[Job Posting Date]]</f>
        <v>64</v>
      </c>
      <c r="T21" s="7">
        <f ca="1">Table1[[#This Row],[Time to Onboard]]/Table1[[#This Row],[Time to Fill]]*100</f>
        <v>4.6875</v>
      </c>
      <c r="U21" s="8">
        <f ca="1">Table1[[#This Row],[Time to Onboard]]/Table1[[#This Row],[Time to Fill]]*100</f>
        <v>4.6875</v>
      </c>
      <c r="V21">
        <f ca="1">Table1[[#This Row],[Join Date]]-Table1[[#This Row],[Job Posting Date]]</f>
        <v>67</v>
      </c>
      <c r="W21">
        <f t="shared" ca="1" si="7"/>
        <v>116</v>
      </c>
      <c r="X21" s="8">
        <f ca="1">Table1[[#This Row],[Absentee Days]]/Table1[[#This Row],[Total Work Days]]*100</f>
        <v>3.4615384615384617</v>
      </c>
      <c r="Y21">
        <f ca="1">YEAR(Table1[[#This Row],[Join Date]])</f>
        <v>2022</v>
      </c>
      <c r="Z21">
        <f ca="1">IF(Table1[[#This Row],[Status]]="Active",1,0)</f>
        <v>0</v>
      </c>
      <c r="AA21">
        <f ca="1">IF(Table1[[#This Row],[Status]]="Exited",Table1[[#This Row],[Recruitment Cost]]+Table1[[#This Row],[Onboarding Cost]]+Table1[[#This Row],[Training Cost]],0)</f>
        <v>5268</v>
      </c>
    </row>
    <row r="22" spans="1:27" x14ac:dyDescent="0.2">
      <c r="A22" t="str">
        <f t="shared" si="0"/>
        <v>E021</v>
      </c>
      <c r="B22" t="str" cm="1">
        <f t="array" aca="1" ref="B22" ca="1">INDEX(sheet2!$A$2:$A$6, RANDBETWEEN(1, 5))</f>
        <v>Finance</v>
      </c>
      <c r="C22" t="str">
        <f ca="1">_xlfn.XLOOKUP(Table1[[#This Row],[Department]],sheet2!$A$2:$A$6,sheet2!$B$2:$B$6,_xleta.NA,0)</f>
        <v>Finance Manager</v>
      </c>
      <c r="D22" s="1">
        <f t="shared" ca="1" si="1"/>
        <v>43195</v>
      </c>
      <c r="E22" s="1">
        <f ca="1">Table1[[#This Row],[Job Posting Date]]+ RANDBETWEEN(15, 90)</f>
        <v>43243</v>
      </c>
      <c r="F22" s="1">
        <f ca="1">Table1[[#This Row],[Hire Date]]+ RANDBETWEEN(1, 15)</f>
        <v>43257</v>
      </c>
      <c r="G22" s="1" t="str">
        <f ca="1">IF(RAND() &lt; 0.5,  Table1[[#This Row],[Join Date]]+ RANDBETWEEN(30, TODAY()- Table1[[#This Row],[Join Date]]), "-")</f>
        <v>-</v>
      </c>
      <c r="H22" t="str">
        <f ca="1">IF(Table1[[#This Row],[Exit Date]]= "-", "Active", "Exited")</f>
        <v>Active</v>
      </c>
      <c r="I22" s="5">
        <f t="shared" ca="1" si="2"/>
        <v>2685</v>
      </c>
      <c r="J22" t="str" cm="1">
        <f t="array" aca="1" ref="J22" ca="1">INDEX(sheet2!$C$2:$C$6, RANDBETWEEN(1, 5))</f>
        <v>Advanced Excel Skills </v>
      </c>
      <c r="K22" t="str">
        <f t="shared" ca="1" si="3"/>
        <v>Completed</v>
      </c>
      <c r="L22">
        <v>260</v>
      </c>
      <c r="M22">
        <f t="shared" ca="1" si="4"/>
        <v>13</v>
      </c>
      <c r="N22" t="str">
        <f t="shared" ca="1" si="5"/>
        <v>Other</v>
      </c>
      <c r="O22" s="6">
        <f t="shared" ca="1" si="6"/>
        <v>2150</v>
      </c>
      <c r="P22">
        <f ca="1">Table1[[#This Row],[Hire Date]]-Table1[[#This Row],[Job Posting Date]]</f>
        <v>48</v>
      </c>
      <c r="Q22" s="7">
        <f ca="1">Table1[[#This Row],[Join Date]]-Table1[[#This Row],[Hire Date]]</f>
        <v>14</v>
      </c>
      <c r="R22" s="8">
        <f ca="1">(IF(Table1[[#This Row],[Status]]="Exited",Table1[[#This Row],[Exit Date]]-Table1[[#This Row],[Join Date]],TODAY()-Table1[[#This Row],[Join Date]]))/30</f>
        <v>80.86666666666666</v>
      </c>
      <c r="S22">
        <f ca="1">Table1[[#This Row],[Hire Date]]-Table1[[#This Row],[Job Posting Date]]</f>
        <v>48</v>
      </c>
      <c r="T22" s="7">
        <f ca="1">Table1[[#This Row],[Time to Onboard]]/Table1[[#This Row],[Time to Fill]]*100</f>
        <v>29.166666666666668</v>
      </c>
      <c r="U22" s="8">
        <f ca="1">Table1[[#This Row],[Time to Onboard]]/Table1[[#This Row],[Time to Fill]]*100</f>
        <v>29.166666666666668</v>
      </c>
      <c r="V22">
        <f ca="1">Table1[[#This Row],[Join Date]]-Table1[[#This Row],[Job Posting Date]]</f>
        <v>62</v>
      </c>
      <c r="W22">
        <f t="shared" ca="1" si="7"/>
        <v>141</v>
      </c>
      <c r="X22" s="8">
        <f ca="1">Table1[[#This Row],[Absentee Days]]/Table1[[#This Row],[Total Work Days]]*100</f>
        <v>5</v>
      </c>
      <c r="Y22">
        <f ca="1">YEAR(Table1[[#This Row],[Join Date]])</f>
        <v>2018</v>
      </c>
      <c r="Z22">
        <f ca="1">IF(Table1[[#This Row],[Status]]="Active",1,0)</f>
        <v>1</v>
      </c>
      <c r="AA22">
        <f ca="1">IF(Table1[[#This Row],[Status]]="Exited",Table1[[#This Row],[Recruitment Cost]]+Table1[[#This Row],[Onboarding Cost]]+Table1[[#This Row],[Training Cost]],0)</f>
        <v>0</v>
      </c>
    </row>
    <row r="23" spans="1:27" x14ac:dyDescent="0.2">
      <c r="A23" t="str">
        <f t="shared" si="0"/>
        <v>E022</v>
      </c>
      <c r="B23" t="str" cm="1">
        <f t="array" aca="1" ref="B23" ca="1">INDEX(sheet2!$A$2:$A$6, RANDBETWEEN(1, 5))</f>
        <v>Finance</v>
      </c>
      <c r="C23" t="str">
        <f ca="1">_xlfn.XLOOKUP(Table1[[#This Row],[Department]],sheet2!$A$2:$A$6,sheet2!$B$2:$B$6,_xleta.NA,0)</f>
        <v>Finance Manager</v>
      </c>
      <c r="D23" s="1">
        <f t="shared" ca="1" si="1"/>
        <v>43288</v>
      </c>
      <c r="E23" s="1">
        <f ca="1">Table1[[#This Row],[Job Posting Date]]+ RANDBETWEEN(15, 90)</f>
        <v>43348</v>
      </c>
      <c r="F23" s="1">
        <f ca="1">Table1[[#This Row],[Hire Date]]+ RANDBETWEEN(1, 15)</f>
        <v>43360</v>
      </c>
      <c r="G23" s="1">
        <f ca="1">IF(RAND() &lt; 0.5,  Table1[[#This Row],[Join Date]]+ RANDBETWEEN(30, TODAY()- Table1[[#This Row],[Join Date]]), "-")</f>
        <v>43745</v>
      </c>
      <c r="H23" t="str">
        <f ca="1">IF(Table1[[#This Row],[Exit Date]]= "-", "Active", "Exited")</f>
        <v>Exited</v>
      </c>
      <c r="I23" s="5">
        <f t="shared" ca="1" si="2"/>
        <v>2177</v>
      </c>
      <c r="J23" t="str" cm="1">
        <f t="array" aca="1" ref="J23" ca="1">INDEX(sheet2!$C$2:$C$6, RANDBETWEEN(1, 5))</f>
        <v>Ethics and Responsibilities</v>
      </c>
      <c r="K23" t="str">
        <f t="shared" ca="1" si="3"/>
        <v>Completed</v>
      </c>
      <c r="L23">
        <v>260</v>
      </c>
      <c r="M23">
        <f t="shared" ca="1" si="4"/>
        <v>7</v>
      </c>
      <c r="N23" t="str">
        <f t="shared" ca="1" si="5"/>
        <v>Male</v>
      </c>
      <c r="O23" s="6">
        <f t="shared" ca="1" si="6"/>
        <v>2239</v>
      </c>
      <c r="P23">
        <f ca="1">Table1[[#This Row],[Hire Date]]-Table1[[#This Row],[Job Posting Date]]</f>
        <v>60</v>
      </c>
      <c r="Q23" s="7">
        <f ca="1">Table1[[#This Row],[Join Date]]-Table1[[#This Row],[Hire Date]]</f>
        <v>12</v>
      </c>
      <c r="R23" s="8">
        <f ca="1">(IF(Table1[[#This Row],[Status]]="Exited",Table1[[#This Row],[Exit Date]]-Table1[[#This Row],[Join Date]],TODAY()-Table1[[#This Row],[Join Date]]))/30</f>
        <v>12.833333333333334</v>
      </c>
      <c r="S23">
        <f ca="1">Table1[[#This Row],[Hire Date]]-Table1[[#This Row],[Job Posting Date]]</f>
        <v>60</v>
      </c>
      <c r="T23" s="7">
        <f ca="1">Table1[[#This Row],[Time to Onboard]]/Table1[[#This Row],[Time to Fill]]*100</f>
        <v>20</v>
      </c>
      <c r="U23" s="8">
        <f ca="1">Table1[[#This Row],[Time to Onboard]]/Table1[[#This Row],[Time to Fill]]*100</f>
        <v>20</v>
      </c>
      <c r="V23">
        <f ca="1">Table1[[#This Row],[Join Date]]-Table1[[#This Row],[Job Posting Date]]</f>
        <v>72</v>
      </c>
      <c r="W23">
        <f t="shared" ca="1" si="7"/>
        <v>183</v>
      </c>
      <c r="X23" s="8">
        <f ca="1">Table1[[#This Row],[Absentee Days]]/Table1[[#This Row],[Total Work Days]]*100</f>
        <v>2.6923076923076925</v>
      </c>
      <c r="Y23">
        <f ca="1">YEAR(Table1[[#This Row],[Join Date]])</f>
        <v>2018</v>
      </c>
      <c r="Z23">
        <f ca="1">IF(Table1[[#This Row],[Status]]="Active",1,0)</f>
        <v>0</v>
      </c>
      <c r="AA23">
        <f ca="1">IF(Table1[[#This Row],[Status]]="Exited",Table1[[#This Row],[Recruitment Cost]]+Table1[[#This Row],[Onboarding Cost]]+Table1[[#This Row],[Training Cost]],0)</f>
        <v>4599</v>
      </c>
    </row>
    <row r="24" spans="1:27" x14ac:dyDescent="0.2">
      <c r="A24" t="str">
        <f t="shared" si="0"/>
        <v>E023</v>
      </c>
      <c r="B24" t="str" cm="1">
        <f t="array" aca="1" ref="B24" ca="1">INDEX(sheet2!$A$2:$A$6, RANDBETWEEN(1, 5))</f>
        <v>HR</v>
      </c>
      <c r="C24" t="str">
        <f ca="1">_xlfn.XLOOKUP(Table1[[#This Row],[Department]],sheet2!$A$2:$A$6,sheet2!$B$2:$B$6,_xleta.NA,0)</f>
        <v>HR Manager</v>
      </c>
      <c r="D24" s="1">
        <f t="shared" ca="1" si="1"/>
        <v>44752</v>
      </c>
      <c r="E24" s="1">
        <f ca="1">Table1[[#This Row],[Job Posting Date]]+ RANDBETWEEN(15, 90)</f>
        <v>44778</v>
      </c>
      <c r="F24" s="1">
        <f ca="1">Table1[[#This Row],[Hire Date]]+ RANDBETWEEN(1, 15)</f>
        <v>44780</v>
      </c>
      <c r="G24" s="1">
        <f ca="1">IF(RAND() &lt; 0.5,  Table1[[#This Row],[Join Date]]+ RANDBETWEEN(30, TODAY()- Table1[[#This Row],[Join Date]]), "-")</f>
        <v>45179</v>
      </c>
      <c r="H24" t="str">
        <f ca="1">IF(Table1[[#This Row],[Exit Date]]= "-", "Active", "Exited")</f>
        <v>Exited</v>
      </c>
      <c r="I24" s="5">
        <f t="shared" ca="1" si="2"/>
        <v>2863</v>
      </c>
      <c r="J24" t="str" cm="1">
        <f t="array" aca="1" ref="J24" ca="1">INDEX(sheet2!$C$2:$C$6, RANDBETWEEN(1, 5))</f>
        <v>Communication Skills</v>
      </c>
      <c r="K24" t="str">
        <f t="shared" ca="1" si="3"/>
        <v>Not Completed</v>
      </c>
      <c r="L24">
        <v>260</v>
      </c>
      <c r="M24">
        <f t="shared" ca="1" si="4"/>
        <v>9</v>
      </c>
      <c r="N24" t="str">
        <f t="shared" ca="1" si="5"/>
        <v>Female</v>
      </c>
      <c r="O24" s="6">
        <f t="shared" ca="1" si="6"/>
        <v>1636</v>
      </c>
      <c r="P24">
        <f ca="1">Table1[[#This Row],[Hire Date]]-Table1[[#This Row],[Job Posting Date]]</f>
        <v>26</v>
      </c>
      <c r="Q24" s="7">
        <f ca="1">Table1[[#This Row],[Join Date]]-Table1[[#This Row],[Hire Date]]</f>
        <v>2</v>
      </c>
      <c r="R24" s="8">
        <f ca="1">(IF(Table1[[#This Row],[Status]]="Exited",Table1[[#This Row],[Exit Date]]-Table1[[#This Row],[Join Date]],TODAY()-Table1[[#This Row],[Join Date]]))/30</f>
        <v>13.3</v>
      </c>
      <c r="S24">
        <f ca="1">Table1[[#This Row],[Hire Date]]-Table1[[#This Row],[Job Posting Date]]</f>
        <v>26</v>
      </c>
      <c r="T24" s="7">
        <f ca="1">Table1[[#This Row],[Time to Onboard]]/Table1[[#This Row],[Time to Fill]]*100</f>
        <v>7.6923076923076925</v>
      </c>
      <c r="U24" s="8">
        <f ca="1">Table1[[#This Row],[Time to Onboard]]/Table1[[#This Row],[Time to Fill]]*100</f>
        <v>7.6923076923076925</v>
      </c>
      <c r="V24">
        <f ca="1">Table1[[#This Row],[Join Date]]-Table1[[#This Row],[Job Posting Date]]</f>
        <v>28</v>
      </c>
      <c r="W24">
        <f t="shared" ca="1" si="7"/>
        <v>161</v>
      </c>
      <c r="X24" s="8">
        <f ca="1">Table1[[#This Row],[Absentee Days]]/Table1[[#This Row],[Total Work Days]]*100</f>
        <v>3.4615384615384617</v>
      </c>
      <c r="Y24">
        <f ca="1">YEAR(Table1[[#This Row],[Join Date]])</f>
        <v>2022</v>
      </c>
      <c r="Z24">
        <f ca="1">IF(Table1[[#This Row],[Status]]="Active",1,0)</f>
        <v>0</v>
      </c>
      <c r="AA24">
        <f ca="1">IF(Table1[[#This Row],[Status]]="Exited",Table1[[#This Row],[Recruitment Cost]]+Table1[[#This Row],[Onboarding Cost]]+Table1[[#This Row],[Training Cost]],0)</f>
        <v>4660</v>
      </c>
    </row>
    <row r="25" spans="1:27" x14ac:dyDescent="0.2">
      <c r="A25" t="str">
        <f t="shared" si="0"/>
        <v>E024</v>
      </c>
      <c r="B25" t="str" cm="1">
        <f t="array" aca="1" ref="B25" ca="1">INDEX(sheet2!$A$2:$A$6, RANDBETWEEN(1, 5))</f>
        <v>Sales</v>
      </c>
      <c r="C25" t="str">
        <f ca="1">_xlfn.XLOOKUP(Table1[[#This Row],[Department]],sheet2!$A$2:$A$6,sheet2!$B$2:$B$6,_xleta.NA,0)</f>
        <v>Marketing Manager</v>
      </c>
      <c r="D25" s="1">
        <f t="shared" ca="1" si="1"/>
        <v>44010</v>
      </c>
      <c r="E25" s="1">
        <f ca="1">Table1[[#This Row],[Job Posting Date]]+ RANDBETWEEN(15, 90)</f>
        <v>44027</v>
      </c>
      <c r="F25" s="1">
        <f ca="1">Table1[[#This Row],[Hire Date]]+ RANDBETWEEN(1, 15)</f>
        <v>44042</v>
      </c>
      <c r="G25" s="1" t="str">
        <f ca="1">IF(RAND() &lt; 0.5,  Table1[[#This Row],[Join Date]]+ RANDBETWEEN(30, TODAY()- Table1[[#This Row],[Join Date]]), "-")</f>
        <v>-</v>
      </c>
      <c r="H25" t="str">
        <f ca="1">IF(Table1[[#This Row],[Exit Date]]= "-", "Active", "Exited")</f>
        <v>Active</v>
      </c>
      <c r="I25" s="5">
        <f t="shared" ca="1" si="2"/>
        <v>4545</v>
      </c>
      <c r="J25" t="str" cm="1">
        <f t="array" aca="1" ref="J25" ca="1">INDEX(sheet2!$C$2:$C$6, RANDBETWEEN(1, 5))</f>
        <v>Leadership Development</v>
      </c>
      <c r="K25" t="str">
        <f t="shared" ca="1" si="3"/>
        <v>Completed</v>
      </c>
      <c r="L25">
        <v>260</v>
      </c>
      <c r="M25">
        <f t="shared" ca="1" si="4"/>
        <v>0</v>
      </c>
      <c r="N25" t="str">
        <f t="shared" ca="1" si="5"/>
        <v>Other</v>
      </c>
      <c r="O25" s="6">
        <f t="shared" ca="1" si="6"/>
        <v>1274</v>
      </c>
      <c r="P25">
        <f ca="1">Table1[[#This Row],[Hire Date]]-Table1[[#This Row],[Job Posting Date]]</f>
        <v>17</v>
      </c>
      <c r="Q25" s="7">
        <f ca="1">Table1[[#This Row],[Join Date]]-Table1[[#This Row],[Hire Date]]</f>
        <v>15</v>
      </c>
      <c r="R25" s="8">
        <f ca="1">(IF(Table1[[#This Row],[Status]]="Exited",Table1[[#This Row],[Exit Date]]-Table1[[#This Row],[Join Date]],TODAY()-Table1[[#This Row],[Join Date]]))/30</f>
        <v>54.7</v>
      </c>
      <c r="S25">
        <f ca="1">Table1[[#This Row],[Hire Date]]-Table1[[#This Row],[Job Posting Date]]</f>
        <v>17</v>
      </c>
      <c r="T25" s="7">
        <f ca="1">Table1[[#This Row],[Time to Onboard]]/Table1[[#This Row],[Time to Fill]]*100</f>
        <v>88.235294117647058</v>
      </c>
      <c r="U25" s="8">
        <f ca="1">Table1[[#This Row],[Time to Onboard]]/Table1[[#This Row],[Time to Fill]]*100</f>
        <v>88.235294117647058</v>
      </c>
      <c r="V25">
        <f ca="1">Table1[[#This Row],[Join Date]]-Table1[[#This Row],[Job Posting Date]]</f>
        <v>32</v>
      </c>
      <c r="W25">
        <f t="shared" ca="1" si="7"/>
        <v>154</v>
      </c>
      <c r="X25" s="8">
        <f ca="1">Table1[[#This Row],[Absentee Days]]/Table1[[#This Row],[Total Work Days]]*100</f>
        <v>0</v>
      </c>
      <c r="Y25">
        <f ca="1">YEAR(Table1[[#This Row],[Join Date]])</f>
        <v>2020</v>
      </c>
      <c r="Z25">
        <f ca="1">IF(Table1[[#This Row],[Status]]="Active",1,0)</f>
        <v>1</v>
      </c>
      <c r="AA25">
        <f ca="1">IF(Table1[[#This Row],[Status]]="Exited",Table1[[#This Row],[Recruitment Cost]]+Table1[[#This Row],[Onboarding Cost]]+Table1[[#This Row],[Training Cost]],0)</f>
        <v>0</v>
      </c>
    </row>
    <row r="26" spans="1:27" x14ac:dyDescent="0.2">
      <c r="A26" t="str">
        <f t="shared" si="0"/>
        <v>E025</v>
      </c>
      <c r="B26" t="str" cm="1">
        <f t="array" aca="1" ref="B26" ca="1">INDEX(sheet2!$A$2:$A$6, RANDBETWEEN(1, 5))</f>
        <v>Finance</v>
      </c>
      <c r="C26" t="str">
        <f ca="1">_xlfn.XLOOKUP(Table1[[#This Row],[Department]],sheet2!$A$2:$A$6,sheet2!$B$2:$B$6,_xleta.NA,0)</f>
        <v>Finance Manager</v>
      </c>
      <c r="D26" s="1">
        <f t="shared" ca="1" si="1"/>
        <v>43922</v>
      </c>
      <c r="E26" s="1">
        <f ca="1">Table1[[#This Row],[Job Posting Date]]+ RANDBETWEEN(15, 90)</f>
        <v>43953</v>
      </c>
      <c r="F26" s="1">
        <f ca="1">Table1[[#This Row],[Hire Date]]+ RANDBETWEEN(1, 15)</f>
        <v>43968</v>
      </c>
      <c r="G26" s="1" t="str">
        <f ca="1">IF(RAND() &lt; 0.5,  Table1[[#This Row],[Join Date]]+ RANDBETWEEN(30, TODAY()- Table1[[#This Row],[Join Date]]), "-")</f>
        <v>-</v>
      </c>
      <c r="H26" t="str">
        <f ca="1">IF(Table1[[#This Row],[Exit Date]]= "-", "Active", "Exited")</f>
        <v>Active</v>
      </c>
      <c r="I26" s="5">
        <f t="shared" ca="1" si="2"/>
        <v>2048</v>
      </c>
      <c r="J26" t="str" cm="1">
        <f t="array" aca="1" ref="J26" ca="1">INDEX(sheet2!$C$2:$C$6, RANDBETWEEN(1, 5))</f>
        <v>Conflict Resolution</v>
      </c>
      <c r="K26" t="str">
        <f t="shared" ca="1" si="3"/>
        <v>Not Completed</v>
      </c>
      <c r="L26">
        <v>260</v>
      </c>
      <c r="M26">
        <f t="shared" ca="1" si="4"/>
        <v>9</v>
      </c>
      <c r="N26" t="str">
        <f t="shared" ca="1" si="5"/>
        <v>Male</v>
      </c>
      <c r="O26" s="6">
        <f t="shared" ca="1" si="6"/>
        <v>2370</v>
      </c>
      <c r="P26">
        <f ca="1">Table1[[#This Row],[Hire Date]]-Table1[[#This Row],[Job Posting Date]]</f>
        <v>31</v>
      </c>
      <c r="Q26" s="7">
        <f ca="1">Table1[[#This Row],[Join Date]]-Table1[[#This Row],[Hire Date]]</f>
        <v>15</v>
      </c>
      <c r="R26" s="8">
        <f ca="1">(IF(Table1[[#This Row],[Status]]="Exited",Table1[[#This Row],[Exit Date]]-Table1[[#This Row],[Join Date]],TODAY()-Table1[[#This Row],[Join Date]]))/30</f>
        <v>57.166666666666664</v>
      </c>
      <c r="S26">
        <f ca="1">Table1[[#This Row],[Hire Date]]-Table1[[#This Row],[Job Posting Date]]</f>
        <v>31</v>
      </c>
      <c r="T26" s="7">
        <f ca="1">Table1[[#This Row],[Time to Onboard]]/Table1[[#This Row],[Time to Fill]]*100</f>
        <v>48.387096774193552</v>
      </c>
      <c r="U26" s="8">
        <f ca="1">Table1[[#This Row],[Time to Onboard]]/Table1[[#This Row],[Time to Fill]]*100</f>
        <v>48.387096774193552</v>
      </c>
      <c r="V26">
        <f ca="1">Table1[[#This Row],[Join Date]]-Table1[[#This Row],[Job Posting Date]]</f>
        <v>46</v>
      </c>
      <c r="W26">
        <f t="shared" ca="1" si="7"/>
        <v>146</v>
      </c>
      <c r="X26" s="8">
        <f ca="1">Table1[[#This Row],[Absentee Days]]/Table1[[#This Row],[Total Work Days]]*100</f>
        <v>3.4615384615384617</v>
      </c>
      <c r="Y26">
        <f ca="1">YEAR(Table1[[#This Row],[Join Date]])</f>
        <v>2020</v>
      </c>
      <c r="Z26">
        <f ca="1">IF(Table1[[#This Row],[Status]]="Active",1,0)</f>
        <v>1</v>
      </c>
      <c r="AA26">
        <f ca="1">IF(Table1[[#This Row],[Status]]="Exited",Table1[[#This Row],[Recruitment Cost]]+Table1[[#This Row],[Onboarding Cost]]+Table1[[#This Row],[Training Cost]],0)</f>
        <v>0</v>
      </c>
    </row>
    <row r="27" spans="1:27" x14ac:dyDescent="0.2">
      <c r="A27" t="str">
        <f t="shared" si="0"/>
        <v>E026</v>
      </c>
      <c r="B27" t="str" cm="1">
        <f t="array" aca="1" ref="B27" ca="1">INDEX(sheet2!$A$2:$A$6, RANDBETWEEN(1, 5))</f>
        <v>Analytics</v>
      </c>
      <c r="C27" t="str">
        <f ca="1">_xlfn.XLOOKUP(Table1[[#This Row],[Department]],sheet2!$A$2:$A$6,sheet2!$B$2:$B$6,_xleta.NA,0)</f>
        <v>Data Analyst</v>
      </c>
      <c r="D27" s="1">
        <f t="shared" ca="1" si="1"/>
        <v>43258</v>
      </c>
      <c r="E27" s="1">
        <f ca="1">Table1[[#This Row],[Job Posting Date]]+ RANDBETWEEN(15, 90)</f>
        <v>43311</v>
      </c>
      <c r="F27" s="1">
        <f ca="1">Table1[[#This Row],[Hire Date]]+ RANDBETWEEN(1, 15)</f>
        <v>43320</v>
      </c>
      <c r="G27" s="1">
        <f ca="1">IF(RAND() &lt; 0.5,  Table1[[#This Row],[Join Date]]+ RANDBETWEEN(30, TODAY()- Table1[[#This Row],[Join Date]]), "-")</f>
        <v>44803</v>
      </c>
      <c r="H27" t="str">
        <f ca="1">IF(Table1[[#This Row],[Exit Date]]= "-", "Active", "Exited")</f>
        <v>Exited</v>
      </c>
      <c r="I27" s="5">
        <f t="shared" ca="1" si="2"/>
        <v>2022</v>
      </c>
      <c r="J27" t="str" cm="1">
        <f t="array" aca="1" ref="J27" ca="1">INDEX(sheet2!$C$2:$C$6, RANDBETWEEN(1, 5))</f>
        <v>Conflict Resolution</v>
      </c>
      <c r="K27" t="str">
        <f t="shared" ca="1" si="3"/>
        <v>Completed</v>
      </c>
      <c r="L27">
        <v>260</v>
      </c>
      <c r="M27">
        <f t="shared" ca="1" si="4"/>
        <v>19</v>
      </c>
      <c r="N27" t="str">
        <f t="shared" ca="1" si="5"/>
        <v>Male</v>
      </c>
      <c r="O27" s="6">
        <f t="shared" ca="1" si="6"/>
        <v>1542</v>
      </c>
      <c r="P27">
        <f ca="1">Table1[[#This Row],[Hire Date]]-Table1[[#This Row],[Job Posting Date]]</f>
        <v>53</v>
      </c>
      <c r="Q27" s="7">
        <f ca="1">Table1[[#This Row],[Join Date]]-Table1[[#This Row],[Hire Date]]</f>
        <v>9</v>
      </c>
      <c r="R27" s="8">
        <f ca="1">(IF(Table1[[#This Row],[Status]]="Exited",Table1[[#This Row],[Exit Date]]-Table1[[#This Row],[Join Date]],TODAY()-Table1[[#This Row],[Join Date]]))/30</f>
        <v>49.43333333333333</v>
      </c>
      <c r="S27">
        <f ca="1">Table1[[#This Row],[Hire Date]]-Table1[[#This Row],[Job Posting Date]]</f>
        <v>53</v>
      </c>
      <c r="T27" s="7">
        <f ca="1">Table1[[#This Row],[Time to Onboard]]/Table1[[#This Row],[Time to Fill]]*100</f>
        <v>16.981132075471699</v>
      </c>
      <c r="U27" s="8">
        <f ca="1">Table1[[#This Row],[Time to Onboard]]/Table1[[#This Row],[Time to Fill]]*100</f>
        <v>16.981132075471699</v>
      </c>
      <c r="V27">
        <f ca="1">Table1[[#This Row],[Join Date]]-Table1[[#This Row],[Job Posting Date]]</f>
        <v>62</v>
      </c>
      <c r="W27">
        <f t="shared" ca="1" si="7"/>
        <v>159</v>
      </c>
      <c r="X27" s="8">
        <f ca="1">Table1[[#This Row],[Absentee Days]]/Table1[[#This Row],[Total Work Days]]*100</f>
        <v>7.3076923076923084</v>
      </c>
      <c r="Y27">
        <f ca="1">YEAR(Table1[[#This Row],[Join Date]])</f>
        <v>2018</v>
      </c>
      <c r="Z27">
        <f ca="1">IF(Table1[[#This Row],[Status]]="Active",1,0)</f>
        <v>0</v>
      </c>
      <c r="AA27">
        <f ca="1">IF(Table1[[#This Row],[Status]]="Exited",Table1[[#This Row],[Recruitment Cost]]+Table1[[#This Row],[Onboarding Cost]]+Table1[[#This Row],[Training Cost]],0)</f>
        <v>3723</v>
      </c>
    </row>
    <row r="28" spans="1:27" x14ac:dyDescent="0.2">
      <c r="A28" t="str">
        <f t="shared" si="0"/>
        <v>E027</v>
      </c>
      <c r="B28" t="str" cm="1">
        <f t="array" aca="1" ref="B28" ca="1">INDEX(sheet2!$A$2:$A$6, RANDBETWEEN(1, 5))</f>
        <v>Analytics</v>
      </c>
      <c r="C28" t="str">
        <f ca="1">_xlfn.XLOOKUP(Table1[[#This Row],[Department]],sheet2!$A$2:$A$6,sheet2!$B$2:$B$6,_xleta.NA,0)</f>
        <v>Data Analyst</v>
      </c>
      <c r="D28" s="1">
        <f t="shared" ca="1" si="1"/>
        <v>43815</v>
      </c>
      <c r="E28" s="1">
        <f ca="1">Table1[[#This Row],[Job Posting Date]]+ RANDBETWEEN(15, 90)</f>
        <v>43873</v>
      </c>
      <c r="F28" s="1">
        <f ca="1">Table1[[#This Row],[Hire Date]]+ RANDBETWEEN(1, 15)</f>
        <v>43875</v>
      </c>
      <c r="G28" s="1" t="str">
        <f ca="1">IF(RAND() &lt; 0.5,  Table1[[#This Row],[Join Date]]+ RANDBETWEEN(30, TODAY()- Table1[[#This Row],[Join Date]]), "-")</f>
        <v>-</v>
      </c>
      <c r="H28" t="str">
        <f ca="1">IF(Table1[[#This Row],[Exit Date]]= "-", "Active", "Exited")</f>
        <v>Active</v>
      </c>
      <c r="I28" s="5">
        <f t="shared" ca="1" si="2"/>
        <v>4044</v>
      </c>
      <c r="J28" t="str" cm="1">
        <f t="array" aca="1" ref="J28" ca="1">INDEX(sheet2!$C$2:$C$6, RANDBETWEEN(1, 5))</f>
        <v>Advanced Excel Skills </v>
      </c>
      <c r="K28" t="str">
        <f t="shared" ca="1" si="3"/>
        <v>Completed</v>
      </c>
      <c r="L28">
        <v>260</v>
      </c>
      <c r="M28">
        <f t="shared" ca="1" si="4"/>
        <v>14</v>
      </c>
      <c r="N28" t="str">
        <f t="shared" ca="1" si="5"/>
        <v>Female</v>
      </c>
      <c r="O28" s="6">
        <f t="shared" ca="1" si="6"/>
        <v>1769</v>
      </c>
      <c r="P28">
        <f ca="1">Table1[[#This Row],[Hire Date]]-Table1[[#This Row],[Job Posting Date]]</f>
        <v>58</v>
      </c>
      <c r="Q28" s="7">
        <f ca="1">Table1[[#This Row],[Join Date]]-Table1[[#This Row],[Hire Date]]</f>
        <v>2</v>
      </c>
      <c r="R28" s="8">
        <f ca="1">(IF(Table1[[#This Row],[Status]]="Exited",Table1[[#This Row],[Exit Date]]-Table1[[#This Row],[Join Date]],TODAY()-Table1[[#This Row],[Join Date]]))/30</f>
        <v>60.266666666666666</v>
      </c>
      <c r="S28">
        <f ca="1">Table1[[#This Row],[Hire Date]]-Table1[[#This Row],[Job Posting Date]]</f>
        <v>58</v>
      </c>
      <c r="T28" s="7">
        <f ca="1">Table1[[#This Row],[Time to Onboard]]/Table1[[#This Row],[Time to Fill]]*100</f>
        <v>3.4482758620689653</v>
      </c>
      <c r="U28" s="8">
        <f ca="1">Table1[[#This Row],[Time to Onboard]]/Table1[[#This Row],[Time to Fill]]*100</f>
        <v>3.4482758620689653</v>
      </c>
      <c r="V28">
        <f ca="1">Table1[[#This Row],[Join Date]]-Table1[[#This Row],[Job Posting Date]]</f>
        <v>60</v>
      </c>
      <c r="W28">
        <f t="shared" ca="1" si="7"/>
        <v>149</v>
      </c>
      <c r="X28" s="8">
        <f ca="1">Table1[[#This Row],[Absentee Days]]/Table1[[#This Row],[Total Work Days]]*100</f>
        <v>5.384615384615385</v>
      </c>
      <c r="Y28">
        <f ca="1">YEAR(Table1[[#This Row],[Join Date]])</f>
        <v>2020</v>
      </c>
      <c r="Z28">
        <f ca="1">IF(Table1[[#This Row],[Status]]="Active",1,0)</f>
        <v>1</v>
      </c>
      <c r="AA28">
        <f ca="1">IF(Table1[[#This Row],[Status]]="Exited",Table1[[#This Row],[Recruitment Cost]]+Table1[[#This Row],[Onboarding Cost]]+Table1[[#This Row],[Training Cost]],0)</f>
        <v>0</v>
      </c>
    </row>
    <row r="29" spans="1:27" x14ac:dyDescent="0.2">
      <c r="A29" t="str">
        <f t="shared" si="0"/>
        <v>E028</v>
      </c>
      <c r="B29" t="str" cm="1">
        <f t="array" aca="1" ref="B29" ca="1">INDEX(sheet2!$A$2:$A$6, RANDBETWEEN(1, 5))</f>
        <v>Finance</v>
      </c>
      <c r="C29" t="str">
        <f ca="1">_xlfn.XLOOKUP(Table1[[#This Row],[Department]],sheet2!$A$2:$A$6,sheet2!$B$2:$B$6,_xleta.NA,0)</f>
        <v>Finance Manager</v>
      </c>
      <c r="D29" s="1">
        <f t="shared" ca="1" si="1"/>
        <v>44501</v>
      </c>
      <c r="E29" s="1">
        <f ca="1">Table1[[#This Row],[Job Posting Date]]+ RANDBETWEEN(15, 90)</f>
        <v>44582</v>
      </c>
      <c r="F29" s="1">
        <f ca="1">Table1[[#This Row],[Hire Date]]+ RANDBETWEEN(1, 15)</f>
        <v>44593</v>
      </c>
      <c r="G29" s="1" t="str">
        <f ca="1">IF(RAND() &lt; 0.5,  Table1[[#This Row],[Join Date]]+ RANDBETWEEN(30, TODAY()- Table1[[#This Row],[Join Date]]), "-")</f>
        <v>-</v>
      </c>
      <c r="H29" t="str">
        <f ca="1">IF(Table1[[#This Row],[Exit Date]]= "-", "Active", "Exited")</f>
        <v>Active</v>
      </c>
      <c r="I29" s="5">
        <f t="shared" ca="1" si="2"/>
        <v>1509</v>
      </c>
      <c r="J29" t="str" cm="1">
        <f t="array" aca="1" ref="J29" ca="1">INDEX(sheet2!$C$2:$C$6, RANDBETWEEN(1, 5))</f>
        <v>Conflict Resolution</v>
      </c>
      <c r="K29" t="str">
        <f t="shared" ca="1" si="3"/>
        <v>Not Completed</v>
      </c>
      <c r="L29">
        <v>260</v>
      </c>
      <c r="M29">
        <f t="shared" ca="1" si="4"/>
        <v>12</v>
      </c>
      <c r="N29" t="str">
        <f t="shared" ca="1" si="5"/>
        <v>Other</v>
      </c>
      <c r="O29" s="6">
        <f t="shared" ca="1" si="6"/>
        <v>1397</v>
      </c>
      <c r="P29">
        <f ca="1">Table1[[#This Row],[Hire Date]]-Table1[[#This Row],[Job Posting Date]]</f>
        <v>81</v>
      </c>
      <c r="Q29" s="7">
        <f ca="1">Table1[[#This Row],[Join Date]]-Table1[[#This Row],[Hire Date]]</f>
        <v>11</v>
      </c>
      <c r="R29" s="8">
        <f ca="1">(IF(Table1[[#This Row],[Status]]="Exited",Table1[[#This Row],[Exit Date]]-Table1[[#This Row],[Join Date]],TODAY()-Table1[[#This Row],[Join Date]]))/30</f>
        <v>36.333333333333336</v>
      </c>
      <c r="S29">
        <f ca="1">Table1[[#This Row],[Hire Date]]-Table1[[#This Row],[Job Posting Date]]</f>
        <v>81</v>
      </c>
      <c r="T29" s="7">
        <f ca="1">Table1[[#This Row],[Time to Onboard]]/Table1[[#This Row],[Time to Fill]]*100</f>
        <v>13.580246913580247</v>
      </c>
      <c r="U29" s="8">
        <f ca="1">Table1[[#This Row],[Time to Onboard]]/Table1[[#This Row],[Time to Fill]]*100</f>
        <v>13.580246913580247</v>
      </c>
      <c r="V29">
        <f ca="1">Table1[[#This Row],[Join Date]]-Table1[[#This Row],[Job Posting Date]]</f>
        <v>92</v>
      </c>
      <c r="W29">
        <f t="shared" ca="1" si="7"/>
        <v>176</v>
      </c>
      <c r="X29" s="8">
        <f ca="1">Table1[[#This Row],[Absentee Days]]/Table1[[#This Row],[Total Work Days]]*100</f>
        <v>4.6153846153846159</v>
      </c>
      <c r="Y29">
        <f ca="1">YEAR(Table1[[#This Row],[Join Date]])</f>
        <v>2022</v>
      </c>
      <c r="Z29">
        <f ca="1">IF(Table1[[#This Row],[Status]]="Active",1,0)</f>
        <v>1</v>
      </c>
      <c r="AA29">
        <f ca="1">IF(Table1[[#This Row],[Status]]="Exited",Table1[[#This Row],[Recruitment Cost]]+Table1[[#This Row],[Onboarding Cost]]+Table1[[#This Row],[Training Cost]],0)</f>
        <v>0</v>
      </c>
    </row>
    <row r="30" spans="1:27" x14ac:dyDescent="0.2">
      <c r="A30" t="str">
        <f t="shared" si="0"/>
        <v>E029</v>
      </c>
      <c r="B30" t="str" cm="1">
        <f t="array" aca="1" ref="B30" ca="1">INDEX(sheet2!$A$2:$A$6, RANDBETWEEN(1, 5))</f>
        <v>IT</v>
      </c>
      <c r="C30" t="str">
        <f ca="1">_xlfn.XLOOKUP(Table1[[#This Row],[Department]],sheet2!$A$2:$A$6,sheet2!$B$2:$B$6,_xleta.NA,0)</f>
        <v>Software Engineer</v>
      </c>
      <c r="D30" s="1">
        <f t="shared" ca="1" si="1"/>
        <v>44044</v>
      </c>
      <c r="E30" s="1">
        <f ca="1">Table1[[#This Row],[Job Posting Date]]+ RANDBETWEEN(15, 90)</f>
        <v>44096</v>
      </c>
      <c r="F30" s="1">
        <f ca="1">Table1[[#This Row],[Hire Date]]+ RANDBETWEEN(1, 15)</f>
        <v>44105</v>
      </c>
      <c r="G30" s="1" t="str">
        <f ca="1">IF(RAND() &lt; 0.5,  Table1[[#This Row],[Join Date]]+ RANDBETWEEN(30, TODAY()- Table1[[#This Row],[Join Date]]), "-")</f>
        <v>-</v>
      </c>
      <c r="H30" t="str">
        <f ca="1">IF(Table1[[#This Row],[Exit Date]]= "-", "Active", "Exited")</f>
        <v>Active</v>
      </c>
      <c r="I30" s="5">
        <f t="shared" ca="1" si="2"/>
        <v>3892</v>
      </c>
      <c r="J30" t="str" cm="1">
        <f t="array" aca="1" ref="J30" ca="1">INDEX(sheet2!$C$2:$C$6, RANDBETWEEN(1, 5))</f>
        <v>Leadership Development</v>
      </c>
      <c r="K30" t="str">
        <f t="shared" ca="1" si="3"/>
        <v>Completed</v>
      </c>
      <c r="L30">
        <v>260</v>
      </c>
      <c r="M30">
        <f t="shared" ca="1" si="4"/>
        <v>17</v>
      </c>
      <c r="N30" t="str">
        <f t="shared" ca="1" si="5"/>
        <v>Male</v>
      </c>
      <c r="O30" s="6">
        <f t="shared" ca="1" si="6"/>
        <v>1328</v>
      </c>
      <c r="P30">
        <f ca="1">Table1[[#This Row],[Hire Date]]-Table1[[#This Row],[Job Posting Date]]</f>
        <v>52</v>
      </c>
      <c r="Q30" s="7">
        <f ca="1">Table1[[#This Row],[Join Date]]-Table1[[#This Row],[Hire Date]]</f>
        <v>9</v>
      </c>
      <c r="R30" s="8">
        <f ca="1">(IF(Table1[[#This Row],[Status]]="Exited",Table1[[#This Row],[Exit Date]]-Table1[[#This Row],[Join Date]],TODAY()-Table1[[#This Row],[Join Date]]))/30</f>
        <v>52.6</v>
      </c>
      <c r="S30">
        <f ca="1">Table1[[#This Row],[Hire Date]]-Table1[[#This Row],[Job Posting Date]]</f>
        <v>52</v>
      </c>
      <c r="T30" s="7">
        <f ca="1">Table1[[#This Row],[Time to Onboard]]/Table1[[#This Row],[Time to Fill]]*100</f>
        <v>17.307692307692307</v>
      </c>
      <c r="U30" s="8">
        <f ca="1">Table1[[#This Row],[Time to Onboard]]/Table1[[#This Row],[Time to Fill]]*100</f>
        <v>17.307692307692307</v>
      </c>
      <c r="V30">
        <f ca="1">Table1[[#This Row],[Join Date]]-Table1[[#This Row],[Job Posting Date]]</f>
        <v>61</v>
      </c>
      <c r="W30">
        <f t="shared" ca="1" si="7"/>
        <v>143</v>
      </c>
      <c r="X30" s="8">
        <f ca="1">Table1[[#This Row],[Absentee Days]]/Table1[[#This Row],[Total Work Days]]*100</f>
        <v>6.5384615384615392</v>
      </c>
      <c r="Y30">
        <f ca="1">YEAR(Table1[[#This Row],[Join Date]])</f>
        <v>2020</v>
      </c>
      <c r="Z30">
        <f ca="1">IF(Table1[[#This Row],[Status]]="Active",1,0)</f>
        <v>1</v>
      </c>
      <c r="AA30">
        <f ca="1">IF(Table1[[#This Row],[Status]]="Exited",Table1[[#This Row],[Recruitment Cost]]+Table1[[#This Row],[Onboarding Cost]]+Table1[[#This Row],[Training Cost]],0)</f>
        <v>0</v>
      </c>
    </row>
    <row r="31" spans="1:27" x14ac:dyDescent="0.2">
      <c r="A31" t="str">
        <f t="shared" si="0"/>
        <v>E030</v>
      </c>
      <c r="B31" t="str" cm="1">
        <f t="array" aca="1" ref="B31" ca="1">INDEX(sheet2!$A$2:$A$6, RANDBETWEEN(1, 5))</f>
        <v>Analytics</v>
      </c>
      <c r="C31" t="str">
        <f ca="1">_xlfn.XLOOKUP(Table1[[#This Row],[Department]],sheet2!$A$2:$A$6,sheet2!$B$2:$B$6,_xleta.NA,0)</f>
        <v>Data Analyst</v>
      </c>
      <c r="D31" s="1">
        <f t="shared" ca="1" si="1"/>
        <v>43816</v>
      </c>
      <c r="E31" s="1">
        <f ca="1">Table1[[#This Row],[Job Posting Date]]+ RANDBETWEEN(15, 90)</f>
        <v>43878</v>
      </c>
      <c r="F31" s="1">
        <f ca="1">Table1[[#This Row],[Hire Date]]+ RANDBETWEEN(1, 15)</f>
        <v>43881</v>
      </c>
      <c r="G31" s="1">
        <f ca="1">IF(RAND() &lt; 0.5,  Table1[[#This Row],[Join Date]]+ RANDBETWEEN(30, TODAY()- Table1[[#This Row],[Join Date]]), "-")</f>
        <v>45600</v>
      </c>
      <c r="H31" t="str">
        <f ca="1">IF(Table1[[#This Row],[Exit Date]]= "-", "Active", "Exited")</f>
        <v>Exited</v>
      </c>
      <c r="I31" s="5">
        <f t="shared" ca="1" si="2"/>
        <v>1904</v>
      </c>
      <c r="J31" t="str" cm="1">
        <f t="array" aca="1" ref="J31" ca="1">INDEX(sheet2!$C$2:$C$6, RANDBETWEEN(1, 5))</f>
        <v>Leadership Development</v>
      </c>
      <c r="K31" t="str">
        <f t="shared" ca="1" si="3"/>
        <v>Completed</v>
      </c>
      <c r="L31">
        <v>260</v>
      </c>
      <c r="M31">
        <f t="shared" ca="1" si="4"/>
        <v>14</v>
      </c>
      <c r="N31" t="str">
        <f t="shared" ca="1" si="5"/>
        <v>Male</v>
      </c>
      <c r="O31" s="6">
        <f t="shared" ca="1" si="6"/>
        <v>1244</v>
      </c>
      <c r="P31">
        <f ca="1">Table1[[#This Row],[Hire Date]]-Table1[[#This Row],[Job Posting Date]]</f>
        <v>62</v>
      </c>
      <c r="Q31" s="7">
        <f ca="1">Table1[[#This Row],[Join Date]]-Table1[[#This Row],[Hire Date]]</f>
        <v>3</v>
      </c>
      <c r="R31" s="8">
        <f ca="1">(IF(Table1[[#This Row],[Status]]="Exited",Table1[[#This Row],[Exit Date]]-Table1[[#This Row],[Join Date]],TODAY()-Table1[[#This Row],[Join Date]]))/30</f>
        <v>57.3</v>
      </c>
      <c r="S31">
        <f ca="1">Table1[[#This Row],[Hire Date]]-Table1[[#This Row],[Job Posting Date]]</f>
        <v>62</v>
      </c>
      <c r="T31" s="7">
        <f ca="1">Table1[[#This Row],[Time to Onboard]]/Table1[[#This Row],[Time to Fill]]*100</f>
        <v>4.838709677419355</v>
      </c>
      <c r="U31" s="8">
        <f ca="1">Table1[[#This Row],[Time to Onboard]]/Table1[[#This Row],[Time to Fill]]*100</f>
        <v>4.838709677419355</v>
      </c>
      <c r="V31">
        <f ca="1">Table1[[#This Row],[Join Date]]-Table1[[#This Row],[Job Posting Date]]</f>
        <v>65</v>
      </c>
      <c r="W31">
        <f t="shared" ca="1" si="7"/>
        <v>184</v>
      </c>
      <c r="X31" s="8">
        <f ca="1">Table1[[#This Row],[Absentee Days]]/Table1[[#This Row],[Total Work Days]]*100</f>
        <v>5.384615384615385</v>
      </c>
      <c r="Y31">
        <f ca="1">YEAR(Table1[[#This Row],[Join Date]])</f>
        <v>2020</v>
      </c>
      <c r="Z31">
        <f ca="1">IF(Table1[[#This Row],[Status]]="Active",1,0)</f>
        <v>0</v>
      </c>
      <c r="AA31">
        <f ca="1">IF(Table1[[#This Row],[Status]]="Exited",Table1[[#This Row],[Recruitment Cost]]+Table1[[#This Row],[Onboarding Cost]]+Table1[[#This Row],[Training Cost]],0)</f>
        <v>3332</v>
      </c>
    </row>
    <row r="32" spans="1:27" x14ac:dyDescent="0.2">
      <c r="A32" t="str">
        <f t="shared" si="0"/>
        <v>E031</v>
      </c>
      <c r="B32" t="str" cm="1">
        <f t="array" aca="1" ref="B32" ca="1">INDEX(sheet2!$A$2:$A$6, RANDBETWEEN(1, 5))</f>
        <v>Sales</v>
      </c>
      <c r="C32" t="str">
        <f ca="1">_xlfn.XLOOKUP(Table1[[#This Row],[Department]],sheet2!$A$2:$A$6,sheet2!$B$2:$B$6,_xleta.NA,0)</f>
        <v>Marketing Manager</v>
      </c>
      <c r="D32" s="1">
        <f t="shared" ca="1" si="1"/>
        <v>43808</v>
      </c>
      <c r="E32" s="1">
        <f ca="1">Table1[[#This Row],[Job Posting Date]]+ RANDBETWEEN(15, 90)</f>
        <v>43869</v>
      </c>
      <c r="F32" s="1">
        <f ca="1">Table1[[#This Row],[Hire Date]]+ RANDBETWEEN(1, 15)</f>
        <v>43877</v>
      </c>
      <c r="G32" s="1" t="str">
        <f ca="1">IF(RAND() &lt; 0.5,  Table1[[#This Row],[Join Date]]+ RANDBETWEEN(30, TODAY()- Table1[[#This Row],[Join Date]]), "-")</f>
        <v>-</v>
      </c>
      <c r="H32" t="str">
        <f ca="1">IF(Table1[[#This Row],[Exit Date]]= "-", "Active", "Exited")</f>
        <v>Active</v>
      </c>
      <c r="I32" s="5">
        <f t="shared" ca="1" si="2"/>
        <v>3235</v>
      </c>
      <c r="J32" t="str" cm="1">
        <f t="array" aca="1" ref="J32" ca="1">INDEX(sheet2!$C$2:$C$6, RANDBETWEEN(1, 5))</f>
        <v>Communication Skills</v>
      </c>
      <c r="K32" t="str">
        <f t="shared" ca="1" si="3"/>
        <v>Completed</v>
      </c>
      <c r="L32">
        <v>260</v>
      </c>
      <c r="M32">
        <f t="shared" ca="1" si="4"/>
        <v>14</v>
      </c>
      <c r="N32" t="str">
        <f t="shared" ca="1" si="5"/>
        <v>Male</v>
      </c>
      <c r="O32" s="6">
        <f t="shared" ca="1" si="6"/>
        <v>1893</v>
      </c>
      <c r="P32">
        <f ca="1">Table1[[#This Row],[Hire Date]]-Table1[[#This Row],[Job Posting Date]]</f>
        <v>61</v>
      </c>
      <c r="Q32" s="7">
        <f ca="1">Table1[[#This Row],[Join Date]]-Table1[[#This Row],[Hire Date]]</f>
        <v>8</v>
      </c>
      <c r="R32" s="8">
        <f ca="1">(IF(Table1[[#This Row],[Status]]="Exited",Table1[[#This Row],[Exit Date]]-Table1[[#This Row],[Join Date]],TODAY()-Table1[[#This Row],[Join Date]]))/30</f>
        <v>60.2</v>
      </c>
      <c r="S32">
        <f ca="1">Table1[[#This Row],[Hire Date]]-Table1[[#This Row],[Job Posting Date]]</f>
        <v>61</v>
      </c>
      <c r="T32" s="7">
        <f ca="1">Table1[[#This Row],[Time to Onboard]]/Table1[[#This Row],[Time to Fill]]*100</f>
        <v>13.114754098360656</v>
      </c>
      <c r="U32" s="8">
        <f ca="1">Table1[[#This Row],[Time to Onboard]]/Table1[[#This Row],[Time to Fill]]*100</f>
        <v>13.114754098360656</v>
      </c>
      <c r="V32">
        <f ca="1">Table1[[#This Row],[Join Date]]-Table1[[#This Row],[Job Posting Date]]</f>
        <v>69</v>
      </c>
      <c r="W32">
        <f t="shared" ca="1" si="7"/>
        <v>147</v>
      </c>
      <c r="X32" s="8">
        <f ca="1">Table1[[#This Row],[Absentee Days]]/Table1[[#This Row],[Total Work Days]]*100</f>
        <v>5.384615384615385</v>
      </c>
      <c r="Y32">
        <f ca="1">YEAR(Table1[[#This Row],[Join Date]])</f>
        <v>2020</v>
      </c>
      <c r="Z32">
        <f ca="1">IF(Table1[[#This Row],[Status]]="Active",1,0)</f>
        <v>1</v>
      </c>
      <c r="AA32">
        <f ca="1">IF(Table1[[#This Row],[Status]]="Exited",Table1[[#This Row],[Recruitment Cost]]+Table1[[#This Row],[Onboarding Cost]]+Table1[[#This Row],[Training Cost]],0)</f>
        <v>0</v>
      </c>
    </row>
    <row r="33" spans="1:27" x14ac:dyDescent="0.2">
      <c r="A33" t="str">
        <f t="shared" si="0"/>
        <v>E032</v>
      </c>
      <c r="B33" t="str" cm="1">
        <f t="array" aca="1" ref="B33" ca="1">INDEX(sheet2!$A$2:$A$6, RANDBETWEEN(1, 5))</f>
        <v>Finance</v>
      </c>
      <c r="C33" t="str">
        <f ca="1">_xlfn.XLOOKUP(Table1[[#This Row],[Department]],sheet2!$A$2:$A$6,sheet2!$B$2:$B$6,_xleta.NA,0)</f>
        <v>Finance Manager</v>
      </c>
      <c r="D33" s="1">
        <f t="shared" ca="1" si="1"/>
        <v>43567</v>
      </c>
      <c r="E33" s="1">
        <f ca="1">Table1[[#This Row],[Job Posting Date]]+ RANDBETWEEN(15, 90)</f>
        <v>43649</v>
      </c>
      <c r="F33" s="1">
        <f ca="1">Table1[[#This Row],[Hire Date]]+ RANDBETWEEN(1, 15)</f>
        <v>43651</v>
      </c>
      <c r="G33" s="1">
        <f ca="1">IF(RAND() &lt; 0.5,  Table1[[#This Row],[Join Date]]+ RANDBETWEEN(30, TODAY()- Table1[[#This Row],[Join Date]]), "-")</f>
        <v>45287</v>
      </c>
      <c r="H33" t="str">
        <f ca="1">IF(Table1[[#This Row],[Exit Date]]= "-", "Active", "Exited")</f>
        <v>Exited</v>
      </c>
      <c r="I33" s="5">
        <f t="shared" ca="1" si="2"/>
        <v>4355</v>
      </c>
      <c r="J33" t="str" cm="1">
        <f t="array" aca="1" ref="J33" ca="1">INDEX(sheet2!$C$2:$C$6, RANDBETWEEN(1, 5))</f>
        <v>Conflict Resolution</v>
      </c>
      <c r="K33" t="str">
        <f t="shared" ca="1" si="3"/>
        <v>Completed</v>
      </c>
      <c r="L33">
        <v>260</v>
      </c>
      <c r="M33">
        <f t="shared" ca="1" si="4"/>
        <v>15</v>
      </c>
      <c r="N33" t="str">
        <f t="shared" ca="1" si="5"/>
        <v>Other</v>
      </c>
      <c r="O33" s="6">
        <f t="shared" ca="1" si="6"/>
        <v>1967</v>
      </c>
      <c r="P33">
        <f ca="1">Table1[[#This Row],[Hire Date]]-Table1[[#This Row],[Job Posting Date]]</f>
        <v>82</v>
      </c>
      <c r="Q33" s="7">
        <f ca="1">Table1[[#This Row],[Join Date]]-Table1[[#This Row],[Hire Date]]</f>
        <v>2</v>
      </c>
      <c r="R33" s="8">
        <f ca="1">(IF(Table1[[#This Row],[Status]]="Exited",Table1[[#This Row],[Exit Date]]-Table1[[#This Row],[Join Date]],TODAY()-Table1[[#This Row],[Join Date]]))/30</f>
        <v>54.533333333333331</v>
      </c>
      <c r="S33">
        <f ca="1">Table1[[#This Row],[Hire Date]]-Table1[[#This Row],[Job Posting Date]]</f>
        <v>82</v>
      </c>
      <c r="T33" s="7">
        <f ca="1">Table1[[#This Row],[Time to Onboard]]/Table1[[#This Row],[Time to Fill]]*100</f>
        <v>2.4390243902439024</v>
      </c>
      <c r="U33" s="8">
        <f ca="1">Table1[[#This Row],[Time to Onboard]]/Table1[[#This Row],[Time to Fill]]*100</f>
        <v>2.4390243902439024</v>
      </c>
      <c r="V33">
        <f ca="1">Table1[[#This Row],[Join Date]]-Table1[[#This Row],[Job Posting Date]]</f>
        <v>84</v>
      </c>
      <c r="W33">
        <f t="shared" ca="1" si="7"/>
        <v>182</v>
      </c>
      <c r="X33" s="8">
        <f ca="1">Table1[[#This Row],[Absentee Days]]/Table1[[#This Row],[Total Work Days]]*100</f>
        <v>5.7692307692307692</v>
      </c>
      <c r="Y33">
        <f ca="1">YEAR(Table1[[#This Row],[Join Date]])</f>
        <v>2019</v>
      </c>
      <c r="Z33">
        <f ca="1">IF(Table1[[#This Row],[Status]]="Active",1,0)</f>
        <v>0</v>
      </c>
      <c r="AA33">
        <f ca="1">IF(Table1[[#This Row],[Status]]="Exited",Table1[[#This Row],[Recruitment Cost]]+Table1[[#This Row],[Onboarding Cost]]+Table1[[#This Row],[Training Cost]],0)</f>
        <v>6504</v>
      </c>
    </row>
    <row r="34" spans="1:27" x14ac:dyDescent="0.2">
      <c r="A34" t="str">
        <f t="shared" si="0"/>
        <v>E033</v>
      </c>
      <c r="B34" t="str" cm="1">
        <f t="array" aca="1" ref="B34" ca="1">INDEX(sheet2!$A$2:$A$6, RANDBETWEEN(1, 5))</f>
        <v>Sales</v>
      </c>
      <c r="C34" t="str">
        <f ca="1">_xlfn.XLOOKUP(Table1[[#This Row],[Department]],sheet2!$A$2:$A$6,sheet2!$B$2:$B$6,_xleta.NA,0)</f>
        <v>Marketing Manager</v>
      </c>
      <c r="D34" s="1">
        <f t="shared" ca="1" si="1"/>
        <v>43321</v>
      </c>
      <c r="E34" s="1">
        <f ca="1">Table1[[#This Row],[Job Posting Date]]+ RANDBETWEEN(15, 90)</f>
        <v>43362</v>
      </c>
      <c r="F34" s="1">
        <f ca="1">Table1[[#This Row],[Hire Date]]+ RANDBETWEEN(1, 15)</f>
        <v>43363</v>
      </c>
      <c r="G34" s="1" t="str">
        <f ca="1">IF(RAND() &lt; 0.5,  Table1[[#This Row],[Join Date]]+ RANDBETWEEN(30, TODAY()- Table1[[#This Row],[Join Date]]), "-")</f>
        <v>-</v>
      </c>
      <c r="H34" t="str">
        <f ca="1">IF(Table1[[#This Row],[Exit Date]]= "-", "Active", "Exited")</f>
        <v>Active</v>
      </c>
      <c r="I34" s="5">
        <f t="shared" ca="1" si="2"/>
        <v>2140</v>
      </c>
      <c r="J34" t="str" cm="1">
        <f t="array" aca="1" ref="J34" ca="1">INDEX(sheet2!$C$2:$C$6, RANDBETWEEN(1, 5))</f>
        <v>Conflict Resolution</v>
      </c>
      <c r="K34" t="str">
        <f t="shared" ca="1" si="3"/>
        <v>Completed</v>
      </c>
      <c r="L34">
        <v>260</v>
      </c>
      <c r="M34">
        <f t="shared" ca="1" si="4"/>
        <v>1</v>
      </c>
      <c r="N34" t="str">
        <f t="shared" ca="1" si="5"/>
        <v>Other</v>
      </c>
      <c r="O34" s="6">
        <f t="shared" ca="1" si="6"/>
        <v>1786</v>
      </c>
      <c r="P34">
        <f ca="1">Table1[[#This Row],[Hire Date]]-Table1[[#This Row],[Job Posting Date]]</f>
        <v>41</v>
      </c>
      <c r="Q34" s="7">
        <f ca="1">Table1[[#This Row],[Join Date]]-Table1[[#This Row],[Hire Date]]</f>
        <v>1</v>
      </c>
      <c r="R34" s="8">
        <f ca="1">(IF(Table1[[#This Row],[Status]]="Exited",Table1[[#This Row],[Exit Date]]-Table1[[#This Row],[Join Date]],TODAY()-Table1[[#This Row],[Join Date]]))/30</f>
        <v>77.333333333333329</v>
      </c>
      <c r="S34">
        <f ca="1">Table1[[#This Row],[Hire Date]]-Table1[[#This Row],[Job Posting Date]]</f>
        <v>41</v>
      </c>
      <c r="T34" s="7">
        <f ca="1">Table1[[#This Row],[Time to Onboard]]/Table1[[#This Row],[Time to Fill]]*100</f>
        <v>2.4390243902439024</v>
      </c>
      <c r="U34" s="8">
        <f ca="1">Table1[[#This Row],[Time to Onboard]]/Table1[[#This Row],[Time to Fill]]*100</f>
        <v>2.4390243902439024</v>
      </c>
      <c r="V34">
        <f ca="1">Table1[[#This Row],[Join Date]]-Table1[[#This Row],[Job Posting Date]]</f>
        <v>42</v>
      </c>
      <c r="W34">
        <f t="shared" ca="1" si="7"/>
        <v>154</v>
      </c>
      <c r="X34" s="8">
        <f ca="1">Table1[[#This Row],[Absentee Days]]/Table1[[#This Row],[Total Work Days]]*100</f>
        <v>0.38461538461538464</v>
      </c>
      <c r="Y34">
        <f ca="1">YEAR(Table1[[#This Row],[Join Date]])</f>
        <v>2018</v>
      </c>
      <c r="Z34">
        <f ca="1">IF(Table1[[#This Row],[Status]]="Active",1,0)</f>
        <v>1</v>
      </c>
      <c r="AA34">
        <f ca="1">IF(Table1[[#This Row],[Status]]="Exited",Table1[[#This Row],[Recruitment Cost]]+Table1[[#This Row],[Onboarding Cost]]+Table1[[#This Row],[Training Cost]],0)</f>
        <v>0</v>
      </c>
    </row>
    <row r="35" spans="1:27" x14ac:dyDescent="0.2">
      <c r="A35" t="str">
        <f t="shared" si="0"/>
        <v>E034</v>
      </c>
      <c r="B35" t="str" cm="1">
        <f t="array" aca="1" ref="B35" ca="1">INDEX(sheet2!$A$2:$A$6, RANDBETWEEN(1, 5))</f>
        <v>Finance</v>
      </c>
      <c r="C35" t="str">
        <f ca="1">_xlfn.XLOOKUP(Table1[[#This Row],[Department]],sheet2!$A$2:$A$6,sheet2!$B$2:$B$6,_xleta.NA,0)</f>
        <v>Finance Manager</v>
      </c>
      <c r="D35" s="1">
        <f t="shared" ca="1" si="1"/>
        <v>44767</v>
      </c>
      <c r="E35" s="1">
        <f ca="1">Table1[[#This Row],[Job Posting Date]]+ RANDBETWEEN(15, 90)</f>
        <v>44817</v>
      </c>
      <c r="F35" s="1">
        <f ca="1">Table1[[#This Row],[Hire Date]]+ RANDBETWEEN(1, 15)</f>
        <v>44826</v>
      </c>
      <c r="G35" s="1">
        <f ca="1">IF(RAND() &lt; 0.5,  Table1[[#This Row],[Join Date]]+ RANDBETWEEN(30, TODAY()- Table1[[#This Row],[Join Date]]), "-")</f>
        <v>45074</v>
      </c>
      <c r="H35" t="str">
        <f ca="1">IF(Table1[[#This Row],[Exit Date]]= "-", "Active", "Exited")</f>
        <v>Exited</v>
      </c>
      <c r="I35" s="5">
        <f t="shared" ca="1" si="2"/>
        <v>2312</v>
      </c>
      <c r="J35" t="str" cm="1">
        <f t="array" aca="1" ref="J35" ca="1">INDEX(sheet2!$C$2:$C$6, RANDBETWEEN(1, 5))</f>
        <v>Conflict Resolution</v>
      </c>
      <c r="K35" t="str">
        <f t="shared" ca="1" si="3"/>
        <v>Completed</v>
      </c>
      <c r="L35">
        <v>260</v>
      </c>
      <c r="M35">
        <f t="shared" ca="1" si="4"/>
        <v>15</v>
      </c>
      <c r="N35" t="str">
        <f t="shared" ca="1" si="5"/>
        <v>Other</v>
      </c>
      <c r="O35" s="6">
        <f t="shared" ca="1" si="6"/>
        <v>1204</v>
      </c>
      <c r="P35">
        <f ca="1">Table1[[#This Row],[Hire Date]]-Table1[[#This Row],[Job Posting Date]]</f>
        <v>50</v>
      </c>
      <c r="Q35" s="7">
        <f ca="1">Table1[[#This Row],[Join Date]]-Table1[[#This Row],[Hire Date]]</f>
        <v>9</v>
      </c>
      <c r="R35" s="8">
        <f ca="1">(IF(Table1[[#This Row],[Status]]="Exited",Table1[[#This Row],[Exit Date]]-Table1[[#This Row],[Join Date]],TODAY()-Table1[[#This Row],[Join Date]]))/30</f>
        <v>8.2666666666666675</v>
      </c>
      <c r="S35">
        <f ca="1">Table1[[#This Row],[Hire Date]]-Table1[[#This Row],[Job Posting Date]]</f>
        <v>50</v>
      </c>
      <c r="T35" s="7">
        <f ca="1">Table1[[#This Row],[Time to Onboard]]/Table1[[#This Row],[Time to Fill]]*100</f>
        <v>18</v>
      </c>
      <c r="U35" s="8">
        <f ca="1">Table1[[#This Row],[Time to Onboard]]/Table1[[#This Row],[Time to Fill]]*100</f>
        <v>18</v>
      </c>
      <c r="V35">
        <f ca="1">Table1[[#This Row],[Join Date]]-Table1[[#This Row],[Job Posting Date]]</f>
        <v>59</v>
      </c>
      <c r="W35">
        <f t="shared" ca="1" si="7"/>
        <v>136</v>
      </c>
      <c r="X35" s="8">
        <f ca="1">Table1[[#This Row],[Absentee Days]]/Table1[[#This Row],[Total Work Days]]*100</f>
        <v>5.7692307692307692</v>
      </c>
      <c r="Y35">
        <f ca="1">YEAR(Table1[[#This Row],[Join Date]])</f>
        <v>2022</v>
      </c>
      <c r="Z35">
        <f ca="1">IF(Table1[[#This Row],[Status]]="Active",1,0)</f>
        <v>0</v>
      </c>
      <c r="AA35">
        <f ca="1">IF(Table1[[#This Row],[Status]]="Exited",Table1[[#This Row],[Recruitment Cost]]+Table1[[#This Row],[Onboarding Cost]]+Table1[[#This Row],[Training Cost]],0)</f>
        <v>3652</v>
      </c>
    </row>
    <row r="36" spans="1:27" x14ac:dyDescent="0.2">
      <c r="A36" t="str">
        <f t="shared" si="0"/>
        <v>E035</v>
      </c>
      <c r="B36" t="str" cm="1">
        <f t="array" aca="1" ref="B36" ca="1">INDEX(sheet2!$A$2:$A$6, RANDBETWEEN(1, 5))</f>
        <v>IT</v>
      </c>
      <c r="C36" t="str">
        <f ca="1">_xlfn.XLOOKUP(Table1[[#This Row],[Department]],sheet2!$A$2:$A$6,sheet2!$B$2:$B$6,_xleta.NA,0)</f>
        <v>Software Engineer</v>
      </c>
      <c r="D36" s="1">
        <f t="shared" ca="1" si="1"/>
        <v>43711</v>
      </c>
      <c r="E36" s="1">
        <f ca="1">Table1[[#This Row],[Job Posting Date]]+ RANDBETWEEN(15, 90)</f>
        <v>43729</v>
      </c>
      <c r="F36" s="1">
        <f ca="1">Table1[[#This Row],[Hire Date]]+ RANDBETWEEN(1, 15)</f>
        <v>43731</v>
      </c>
      <c r="G36" s="1">
        <f ca="1">IF(RAND() &lt; 0.5,  Table1[[#This Row],[Join Date]]+ RANDBETWEEN(30, TODAY()- Table1[[#This Row],[Join Date]]), "-")</f>
        <v>45446</v>
      </c>
      <c r="H36" t="str">
        <f ca="1">IF(Table1[[#This Row],[Exit Date]]= "-", "Active", "Exited")</f>
        <v>Exited</v>
      </c>
      <c r="I36" s="5">
        <f t="shared" ca="1" si="2"/>
        <v>2238</v>
      </c>
      <c r="J36" t="str" cm="1">
        <f t="array" aca="1" ref="J36" ca="1">INDEX(sheet2!$C$2:$C$6, RANDBETWEEN(1, 5))</f>
        <v>Leadership Development</v>
      </c>
      <c r="K36" t="str">
        <f t="shared" ca="1" si="3"/>
        <v>Not Completed</v>
      </c>
      <c r="L36">
        <v>260</v>
      </c>
      <c r="M36">
        <f t="shared" ca="1" si="4"/>
        <v>13</v>
      </c>
      <c r="N36" t="str">
        <f t="shared" ca="1" si="5"/>
        <v>Female</v>
      </c>
      <c r="O36" s="6">
        <f t="shared" ca="1" si="6"/>
        <v>1806</v>
      </c>
      <c r="P36">
        <f ca="1">Table1[[#This Row],[Hire Date]]-Table1[[#This Row],[Job Posting Date]]</f>
        <v>18</v>
      </c>
      <c r="Q36" s="7">
        <f ca="1">Table1[[#This Row],[Join Date]]-Table1[[#This Row],[Hire Date]]</f>
        <v>2</v>
      </c>
      <c r="R36" s="8">
        <f ca="1">(IF(Table1[[#This Row],[Status]]="Exited",Table1[[#This Row],[Exit Date]]-Table1[[#This Row],[Join Date]],TODAY()-Table1[[#This Row],[Join Date]]))/30</f>
        <v>57.166666666666664</v>
      </c>
      <c r="S36">
        <f ca="1">Table1[[#This Row],[Hire Date]]-Table1[[#This Row],[Job Posting Date]]</f>
        <v>18</v>
      </c>
      <c r="T36" s="7">
        <f ca="1">Table1[[#This Row],[Time to Onboard]]/Table1[[#This Row],[Time to Fill]]*100</f>
        <v>11.111111111111111</v>
      </c>
      <c r="U36" s="8">
        <f ca="1">Table1[[#This Row],[Time to Onboard]]/Table1[[#This Row],[Time to Fill]]*100</f>
        <v>11.111111111111111</v>
      </c>
      <c r="V36">
        <f ca="1">Table1[[#This Row],[Join Date]]-Table1[[#This Row],[Job Posting Date]]</f>
        <v>20</v>
      </c>
      <c r="W36">
        <f t="shared" ca="1" si="7"/>
        <v>138</v>
      </c>
      <c r="X36" s="8">
        <f ca="1">Table1[[#This Row],[Absentee Days]]/Table1[[#This Row],[Total Work Days]]*100</f>
        <v>5</v>
      </c>
      <c r="Y36">
        <f ca="1">YEAR(Table1[[#This Row],[Join Date]])</f>
        <v>2019</v>
      </c>
      <c r="Z36">
        <f ca="1">IF(Table1[[#This Row],[Status]]="Active",1,0)</f>
        <v>0</v>
      </c>
      <c r="AA36">
        <f ca="1">IF(Table1[[#This Row],[Status]]="Exited",Table1[[#This Row],[Recruitment Cost]]+Table1[[#This Row],[Onboarding Cost]]+Table1[[#This Row],[Training Cost]],0)</f>
        <v>4182</v>
      </c>
    </row>
    <row r="37" spans="1:27" x14ac:dyDescent="0.2">
      <c r="A37" t="str">
        <f t="shared" si="0"/>
        <v>E036</v>
      </c>
      <c r="B37" t="str" cm="1">
        <f t="array" aca="1" ref="B37" ca="1">INDEX(sheet2!$A$2:$A$6, RANDBETWEEN(1, 5))</f>
        <v>Finance</v>
      </c>
      <c r="C37" t="str">
        <f ca="1">_xlfn.XLOOKUP(Table1[[#This Row],[Department]],sheet2!$A$2:$A$6,sheet2!$B$2:$B$6,_xleta.NA,0)</f>
        <v>Finance Manager</v>
      </c>
      <c r="D37" s="1">
        <f t="shared" ca="1" si="1"/>
        <v>43541</v>
      </c>
      <c r="E37" s="1">
        <f ca="1">Table1[[#This Row],[Job Posting Date]]+ RANDBETWEEN(15, 90)</f>
        <v>43564</v>
      </c>
      <c r="F37" s="1">
        <f ca="1">Table1[[#This Row],[Hire Date]]+ RANDBETWEEN(1, 15)</f>
        <v>43571</v>
      </c>
      <c r="G37" s="1" t="str">
        <f ca="1">IF(RAND() &lt; 0.5,  Table1[[#This Row],[Join Date]]+ RANDBETWEEN(30, TODAY()- Table1[[#This Row],[Join Date]]), "-")</f>
        <v>-</v>
      </c>
      <c r="H37" t="str">
        <f ca="1">IF(Table1[[#This Row],[Exit Date]]= "-", "Active", "Exited")</f>
        <v>Active</v>
      </c>
      <c r="I37" s="5">
        <f t="shared" ca="1" si="2"/>
        <v>4735</v>
      </c>
      <c r="J37" t="str" cm="1">
        <f t="array" aca="1" ref="J37" ca="1">INDEX(sheet2!$C$2:$C$6, RANDBETWEEN(1, 5))</f>
        <v>Conflict Resolution</v>
      </c>
      <c r="K37" t="str">
        <f t="shared" ca="1" si="3"/>
        <v>Not Completed</v>
      </c>
      <c r="L37">
        <v>260</v>
      </c>
      <c r="M37">
        <f t="shared" ca="1" si="4"/>
        <v>4</v>
      </c>
      <c r="N37" t="str">
        <f t="shared" ca="1" si="5"/>
        <v>Male</v>
      </c>
      <c r="O37" s="6">
        <f t="shared" ca="1" si="6"/>
        <v>2190</v>
      </c>
      <c r="P37">
        <f ca="1">Table1[[#This Row],[Hire Date]]-Table1[[#This Row],[Job Posting Date]]</f>
        <v>23</v>
      </c>
      <c r="Q37" s="7">
        <f ca="1">Table1[[#This Row],[Join Date]]-Table1[[#This Row],[Hire Date]]</f>
        <v>7</v>
      </c>
      <c r="R37" s="8">
        <f ca="1">(IF(Table1[[#This Row],[Status]]="Exited",Table1[[#This Row],[Exit Date]]-Table1[[#This Row],[Join Date]],TODAY()-Table1[[#This Row],[Join Date]]))/30</f>
        <v>70.400000000000006</v>
      </c>
      <c r="S37">
        <f ca="1">Table1[[#This Row],[Hire Date]]-Table1[[#This Row],[Job Posting Date]]</f>
        <v>23</v>
      </c>
      <c r="T37" s="7">
        <f ca="1">Table1[[#This Row],[Time to Onboard]]/Table1[[#This Row],[Time to Fill]]*100</f>
        <v>30.434782608695656</v>
      </c>
      <c r="U37" s="8">
        <f ca="1">Table1[[#This Row],[Time to Onboard]]/Table1[[#This Row],[Time to Fill]]*100</f>
        <v>30.434782608695656</v>
      </c>
      <c r="V37">
        <f ca="1">Table1[[#This Row],[Join Date]]-Table1[[#This Row],[Job Posting Date]]</f>
        <v>30</v>
      </c>
      <c r="W37">
        <f t="shared" ca="1" si="7"/>
        <v>178</v>
      </c>
      <c r="X37" s="8">
        <f ca="1">Table1[[#This Row],[Absentee Days]]/Table1[[#This Row],[Total Work Days]]*100</f>
        <v>1.5384615384615385</v>
      </c>
      <c r="Y37">
        <f ca="1">YEAR(Table1[[#This Row],[Join Date]])</f>
        <v>2019</v>
      </c>
      <c r="Z37">
        <f ca="1">IF(Table1[[#This Row],[Status]]="Active",1,0)</f>
        <v>1</v>
      </c>
      <c r="AA37">
        <f ca="1">IF(Table1[[#This Row],[Status]]="Exited",Table1[[#This Row],[Recruitment Cost]]+Table1[[#This Row],[Onboarding Cost]]+Table1[[#This Row],[Training Cost]],0)</f>
        <v>0</v>
      </c>
    </row>
    <row r="38" spans="1:27" x14ac:dyDescent="0.2">
      <c r="A38" t="str">
        <f t="shared" si="0"/>
        <v>E037</v>
      </c>
      <c r="B38" t="str" cm="1">
        <f t="array" aca="1" ref="B38" ca="1">INDEX(sheet2!$A$2:$A$6, RANDBETWEEN(1, 5))</f>
        <v>Finance</v>
      </c>
      <c r="C38" t="str">
        <f ca="1">_xlfn.XLOOKUP(Table1[[#This Row],[Department]],sheet2!$A$2:$A$6,sheet2!$B$2:$B$6,_xleta.NA,0)</f>
        <v>Finance Manager</v>
      </c>
      <c r="D38" s="1">
        <f t="shared" ca="1" si="1"/>
        <v>44123</v>
      </c>
      <c r="E38" s="1">
        <f ca="1">Table1[[#This Row],[Job Posting Date]]+ RANDBETWEEN(15, 90)</f>
        <v>44154</v>
      </c>
      <c r="F38" s="1">
        <f ca="1">Table1[[#This Row],[Hire Date]]+ RANDBETWEEN(1, 15)</f>
        <v>44160</v>
      </c>
      <c r="G38" s="1">
        <f ca="1">IF(RAND() &lt; 0.5,  Table1[[#This Row],[Join Date]]+ RANDBETWEEN(30, TODAY()- Table1[[#This Row],[Join Date]]), "-")</f>
        <v>45271</v>
      </c>
      <c r="H38" t="str">
        <f ca="1">IF(Table1[[#This Row],[Exit Date]]= "-", "Active", "Exited")</f>
        <v>Exited</v>
      </c>
      <c r="I38" s="5">
        <f t="shared" ca="1" si="2"/>
        <v>4092</v>
      </c>
      <c r="J38" t="str" cm="1">
        <f t="array" aca="1" ref="J38" ca="1">INDEX(sheet2!$C$2:$C$6, RANDBETWEEN(1, 5))</f>
        <v>Communication Skills</v>
      </c>
      <c r="K38" t="str">
        <f t="shared" ca="1" si="3"/>
        <v>Completed</v>
      </c>
      <c r="L38">
        <v>260</v>
      </c>
      <c r="M38">
        <f t="shared" ca="1" si="4"/>
        <v>10</v>
      </c>
      <c r="N38" t="str">
        <f t="shared" ca="1" si="5"/>
        <v>Other</v>
      </c>
      <c r="O38" s="6">
        <f t="shared" ca="1" si="6"/>
        <v>2076</v>
      </c>
      <c r="P38">
        <f ca="1">Table1[[#This Row],[Hire Date]]-Table1[[#This Row],[Job Posting Date]]</f>
        <v>31</v>
      </c>
      <c r="Q38" s="7">
        <f ca="1">Table1[[#This Row],[Join Date]]-Table1[[#This Row],[Hire Date]]</f>
        <v>6</v>
      </c>
      <c r="R38" s="8">
        <f ca="1">(IF(Table1[[#This Row],[Status]]="Exited",Table1[[#This Row],[Exit Date]]-Table1[[#This Row],[Join Date]],TODAY()-Table1[[#This Row],[Join Date]]))/30</f>
        <v>37.033333333333331</v>
      </c>
      <c r="S38">
        <f ca="1">Table1[[#This Row],[Hire Date]]-Table1[[#This Row],[Job Posting Date]]</f>
        <v>31</v>
      </c>
      <c r="T38" s="7">
        <f ca="1">Table1[[#This Row],[Time to Onboard]]/Table1[[#This Row],[Time to Fill]]*100</f>
        <v>19.35483870967742</v>
      </c>
      <c r="U38" s="8">
        <f ca="1">Table1[[#This Row],[Time to Onboard]]/Table1[[#This Row],[Time to Fill]]*100</f>
        <v>19.35483870967742</v>
      </c>
      <c r="V38">
        <f ca="1">Table1[[#This Row],[Join Date]]-Table1[[#This Row],[Job Posting Date]]</f>
        <v>37</v>
      </c>
      <c r="W38">
        <f t="shared" ca="1" si="7"/>
        <v>151</v>
      </c>
      <c r="X38" s="8">
        <f ca="1">Table1[[#This Row],[Absentee Days]]/Table1[[#This Row],[Total Work Days]]*100</f>
        <v>3.8461538461538463</v>
      </c>
      <c r="Y38">
        <f ca="1">YEAR(Table1[[#This Row],[Join Date]])</f>
        <v>2020</v>
      </c>
      <c r="Z38">
        <f ca="1">IF(Table1[[#This Row],[Status]]="Active",1,0)</f>
        <v>0</v>
      </c>
      <c r="AA38">
        <f ca="1">IF(Table1[[#This Row],[Status]]="Exited",Table1[[#This Row],[Recruitment Cost]]+Table1[[#This Row],[Onboarding Cost]]+Table1[[#This Row],[Training Cost]],0)</f>
        <v>6319</v>
      </c>
    </row>
    <row r="39" spans="1:27" x14ac:dyDescent="0.2">
      <c r="A39" t="str">
        <f t="shared" si="0"/>
        <v>E038</v>
      </c>
      <c r="B39" t="str" cm="1">
        <f t="array" aca="1" ref="B39" ca="1">INDEX(sheet2!$A$2:$A$6, RANDBETWEEN(1, 5))</f>
        <v>Analytics</v>
      </c>
      <c r="C39" t="str">
        <f ca="1">_xlfn.XLOOKUP(Table1[[#This Row],[Department]],sheet2!$A$2:$A$6,sheet2!$B$2:$B$6,_xleta.NA,0)</f>
        <v>Data Analyst</v>
      </c>
      <c r="D39" s="1">
        <f t="shared" ca="1" si="1"/>
        <v>44224</v>
      </c>
      <c r="E39" s="1">
        <f ca="1">Table1[[#This Row],[Job Posting Date]]+ RANDBETWEEN(15, 90)</f>
        <v>44273</v>
      </c>
      <c r="F39" s="1">
        <f ca="1">Table1[[#This Row],[Hire Date]]+ RANDBETWEEN(1, 15)</f>
        <v>44280</v>
      </c>
      <c r="G39" s="1" t="str">
        <f ca="1">IF(RAND() &lt; 0.5,  Table1[[#This Row],[Join Date]]+ RANDBETWEEN(30, TODAY()- Table1[[#This Row],[Join Date]]), "-")</f>
        <v>-</v>
      </c>
      <c r="H39" t="str">
        <f ca="1">IF(Table1[[#This Row],[Exit Date]]= "-", "Active", "Exited")</f>
        <v>Active</v>
      </c>
      <c r="I39" s="5">
        <f t="shared" ca="1" si="2"/>
        <v>2969</v>
      </c>
      <c r="J39" t="str" cm="1">
        <f t="array" aca="1" ref="J39" ca="1">INDEX(sheet2!$C$2:$C$6, RANDBETWEEN(1, 5))</f>
        <v>Ethics and Responsibilities</v>
      </c>
      <c r="K39" t="str">
        <f t="shared" ca="1" si="3"/>
        <v>Completed</v>
      </c>
      <c r="L39">
        <v>260</v>
      </c>
      <c r="M39">
        <f t="shared" ca="1" si="4"/>
        <v>4</v>
      </c>
      <c r="N39" t="str">
        <f t="shared" ca="1" si="5"/>
        <v>Female</v>
      </c>
      <c r="O39" s="6">
        <f t="shared" ca="1" si="6"/>
        <v>1869</v>
      </c>
      <c r="P39">
        <f ca="1">Table1[[#This Row],[Hire Date]]-Table1[[#This Row],[Job Posting Date]]</f>
        <v>49</v>
      </c>
      <c r="Q39" s="7">
        <f ca="1">Table1[[#This Row],[Join Date]]-Table1[[#This Row],[Hire Date]]</f>
        <v>7</v>
      </c>
      <c r="R39" s="8">
        <f ca="1">(IF(Table1[[#This Row],[Status]]="Exited",Table1[[#This Row],[Exit Date]]-Table1[[#This Row],[Join Date]],TODAY()-Table1[[#This Row],[Join Date]]))/30</f>
        <v>46.766666666666666</v>
      </c>
      <c r="S39">
        <f ca="1">Table1[[#This Row],[Hire Date]]-Table1[[#This Row],[Job Posting Date]]</f>
        <v>49</v>
      </c>
      <c r="T39" s="7">
        <f ca="1">Table1[[#This Row],[Time to Onboard]]/Table1[[#This Row],[Time to Fill]]*100</f>
        <v>14.285714285714285</v>
      </c>
      <c r="U39" s="8">
        <f ca="1">Table1[[#This Row],[Time to Onboard]]/Table1[[#This Row],[Time to Fill]]*100</f>
        <v>14.285714285714285</v>
      </c>
      <c r="V39">
        <f ca="1">Table1[[#This Row],[Join Date]]-Table1[[#This Row],[Job Posting Date]]</f>
        <v>56</v>
      </c>
      <c r="W39">
        <f t="shared" ca="1" si="7"/>
        <v>196</v>
      </c>
      <c r="X39" s="8">
        <f ca="1">Table1[[#This Row],[Absentee Days]]/Table1[[#This Row],[Total Work Days]]*100</f>
        <v>1.5384615384615385</v>
      </c>
      <c r="Y39">
        <f ca="1">YEAR(Table1[[#This Row],[Join Date]])</f>
        <v>2021</v>
      </c>
      <c r="Z39">
        <f ca="1">IF(Table1[[#This Row],[Status]]="Active",1,0)</f>
        <v>1</v>
      </c>
      <c r="AA39">
        <f ca="1">IF(Table1[[#This Row],[Status]]="Exited",Table1[[#This Row],[Recruitment Cost]]+Table1[[#This Row],[Onboarding Cost]]+Table1[[#This Row],[Training Cost]],0)</f>
        <v>0</v>
      </c>
    </row>
    <row r="40" spans="1:27" x14ac:dyDescent="0.2">
      <c r="A40" t="str">
        <f t="shared" si="0"/>
        <v>E039</v>
      </c>
      <c r="B40" t="str" cm="1">
        <f t="array" aca="1" ref="B40" ca="1">INDEX(sheet2!$A$2:$A$6, RANDBETWEEN(1, 5))</f>
        <v>HR</v>
      </c>
      <c r="C40" t="str">
        <f ca="1">_xlfn.XLOOKUP(Table1[[#This Row],[Department]],sheet2!$A$2:$A$6,sheet2!$B$2:$B$6,_xleta.NA,0)</f>
        <v>HR Manager</v>
      </c>
      <c r="D40" s="1">
        <f t="shared" ca="1" si="1"/>
        <v>44109</v>
      </c>
      <c r="E40" s="1">
        <f ca="1">Table1[[#This Row],[Job Posting Date]]+ RANDBETWEEN(15, 90)</f>
        <v>44139</v>
      </c>
      <c r="F40" s="1">
        <f ca="1">Table1[[#This Row],[Hire Date]]+ RANDBETWEEN(1, 15)</f>
        <v>44148</v>
      </c>
      <c r="G40" s="1">
        <f ca="1">IF(RAND() &lt; 0.5,  Table1[[#This Row],[Join Date]]+ RANDBETWEEN(30, TODAY()- Table1[[#This Row],[Join Date]]), "-")</f>
        <v>45129</v>
      </c>
      <c r="H40" t="str">
        <f ca="1">IF(Table1[[#This Row],[Exit Date]]= "-", "Active", "Exited")</f>
        <v>Exited</v>
      </c>
      <c r="I40" s="5">
        <f t="shared" ca="1" si="2"/>
        <v>4471</v>
      </c>
      <c r="J40" t="str" cm="1">
        <f t="array" aca="1" ref="J40" ca="1">INDEX(sheet2!$C$2:$C$6, RANDBETWEEN(1, 5))</f>
        <v>Advanced Excel Skills </v>
      </c>
      <c r="K40" t="str">
        <f t="shared" ca="1" si="3"/>
        <v>Completed</v>
      </c>
      <c r="L40">
        <v>260</v>
      </c>
      <c r="M40">
        <f t="shared" ca="1" si="4"/>
        <v>13</v>
      </c>
      <c r="N40" t="str">
        <f t="shared" ca="1" si="5"/>
        <v>Other</v>
      </c>
      <c r="O40" s="6">
        <f t="shared" ca="1" si="6"/>
        <v>2048</v>
      </c>
      <c r="P40">
        <f ca="1">Table1[[#This Row],[Hire Date]]-Table1[[#This Row],[Job Posting Date]]</f>
        <v>30</v>
      </c>
      <c r="Q40" s="7">
        <f ca="1">Table1[[#This Row],[Join Date]]-Table1[[#This Row],[Hire Date]]</f>
        <v>9</v>
      </c>
      <c r="R40" s="8">
        <f ca="1">(IF(Table1[[#This Row],[Status]]="Exited",Table1[[#This Row],[Exit Date]]-Table1[[#This Row],[Join Date]],TODAY()-Table1[[#This Row],[Join Date]]))/30</f>
        <v>32.700000000000003</v>
      </c>
      <c r="S40">
        <f ca="1">Table1[[#This Row],[Hire Date]]-Table1[[#This Row],[Job Posting Date]]</f>
        <v>30</v>
      </c>
      <c r="T40" s="7">
        <f ca="1">Table1[[#This Row],[Time to Onboard]]/Table1[[#This Row],[Time to Fill]]*100</f>
        <v>30</v>
      </c>
      <c r="U40" s="8">
        <f ca="1">Table1[[#This Row],[Time to Onboard]]/Table1[[#This Row],[Time to Fill]]*100</f>
        <v>30</v>
      </c>
      <c r="V40">
        <f ca="1">Table1[[#This Row],[Join Date]]-Table1[[#This Row],[Job Posting Date]]</f>
        <v>39</v>
      </c>
      <c r="W40">
        <f t="shared" ca="1" si="7"/>
        <v>188</v>
      </c>
      <c r="X40" s="8">
        <f ca="1">Table1[[#This Row],[Absentee Days]]/Table1[[#This Row],[Total Work Days]]*100</f>
        <v>5</v>
      </c>
      <c r="Y40">
        <f ca="1">YEAR(Table1[[#This Row],[Join Date]])</f>
        <v>2020</v>
      </c>
      <c r="Z40">
        <f ca="1">IF(Table1[[#This Row],[Status]]="Active",1,0)</f>
        <v>0</v>
      </c>
      <c r="AA40">
        <f ca="1">IF(Table1[[#This Row],[Status]]="Exited",Table1[[#This Row],[Recruitment Cost]]+Table1[[#This Row],[Onboarding Cost]]+Table1[[#This Row],[Training Cost]],0)</f>
        <v>6707</v>
      </c>
    </row>
    <row r="41" spans="1:27" x14ac:dyDescent="0.2">
      <c r="A41" t="str">
        <f t="shared" si="0"/>
        <v>E040</v>
      </c>
      <c r="B41" t="str" cm="1">
        <f t="array" aca="1" ref="B41" ca="1">INDEX(sheet2!$A$2:$A$6, RANDBETWEEN(1, 5))</f>
        <v>IT</v>
      </c>
      <c r="C41" t="str">
        <f ca="1">_xlfn.XLOOKUP(Table1[[#This Row],[Department]],sheet2!$A$2:$A$6,sheet2!$B$2:$B$6,_xleta.NA,0)</f>
        <v>Software Engineer</v>
      </c>
      <c r="D41" s="1">
        <f t="shared" ca="1" si="1"/>
        <v>43653</v>
      </c>
      <c r="E41" s="1">
        <f ca="1">Table1[[#This Row],[Job Posting Date]]+ RANDBETWEEN(15, 90)</f>
        <v>43718</v>
      </c>
      <c r="F41" s="1">
        <f ca="1">Table1[[#This Row],[Hire Date]]+ RANDBETWEEN(1, 15)</f>
        <v>43723</v>
      </c>
      <c r="G41" s="1">
        <f ca="1">IF(RAND() &lt; 0.5,  Table1[[#This Row],[Join Date]]+ RANDBETWEEN(30, TODAY()- Table1[[#This Row],[Join Date]]), "-")</f>
        <v>44730</v>
      </c>
      <c r="H41" t="str">
        <f ca="1">IF(Table1[[#This Row],[Exit Date]]= "-", "Active", "Exited")</f>
        <v>Exited</v>
      </c>
      <c r="I41" s="5">
        <f t="shared" ca="1" si="2"/>
        <v>4322</v>
      </c>
      <c r="J41" t="str" cm="1">
        <f t="array" aca="1" ref="J41" ca="1">INDEX(sheet2!$C$2:$C$6, RANDBETWEEN(1, 5))</f>
        <v>Communication Skills</v>
      </c>
      <c r="K41" t="str">
        <f t="shared" ca="1" si="3"/>
        <v>Not Completed</v>
      </c>
      <c r="L41">
        <v>260</v>
      </c>
      <c r="M41">
        <f t="shared" ca="1" si="4"/>
        <v>14</v>
      </c>
      <c r="N41" t="str">
        <f t="shared" ca="1" si="5"/>
        <v>Female</v>
      </c>
      <c r="O41" s="6">
        <f t="shared" ca="1" si="6"/>
        <v>1638</v>
      </c>
      <c r="P41">
        <f ca="1">Table1[[#This Row],[Hire Date]]-Table1[[#This Row],[Job Posting Date]]</f>
        <v>65</v>
      </c>
      <c r="Q41" s="7">
        <f ca="1">Table1[[#This Row],[Join Date]]-Table1[[#This Row],[Hire Date]]</f>
        <v>5</v>
      </c>
      <c r="R41" s="8">
        <f ca="1">(IF(Table1[[#This Row],[Status]]="Exited",Table1[[#This Row],[Exit Date]]-Table1[[#This Row],[Join Date]],TODAY()-Table1[[#This Row],[Join Date]]))/30</f>
        <v>33.56666666666667</v>
      </c>
      <c r="S41">
        <f ca="1">Table1[[#This Row],[Hire Date]]-Table1[[#This Row],[Job Posting Date]]</f>
        <v>65</v>
      </c>
      <c r="T41" s="7">
        <f ca="1">Table1[[#This Row],[Time to Onboard]]/Table1[[#This Row],[Time to Fill]]*100</f>
        <v>7.6923076923076925</v>
      </c>
      <c r="U41" s="8">
        <f ca="1">Table1[[#This Row],[Time to Onboard]]/Table1[[#This Row],[Time to Fill]]*100</f>
        <v>7.6923076923076925</v>
      </c>
      <c r="V41">
        <f ca="1">Table1[[#This Row],[Join Date]]-Table1[[#This Row],[Job Posting Date]]</f>
        <v>70</v>
      </c>
      <c r="W41">
        <f t="shared" ca="1" si="7"/>
        <v>145</v>
      </c>
      <c r="X41" s="8">
        <f ca="1">Table1[[#This Row],[Absentee Days]]/Table1[[#This Row],[Total Work Days]]*100</f>
        <v>5.384615384615385</v>
      </c>
      <c r="Y41">
        <f ca="1">YEAR(Table1[[#This Row],[Join Date]])</f>
        <v>2019</v>
      </c>
      <c r="Z41">
        <f ca="1">IF(Table1[[#This Row],[Status]]="Active",1,0)</f>
        <v>0</v>
      </c>
      <c r="AA41">
        <f ca="1">IF(Table1[[#This Row],[Status]]="Exited",Table1[[#This Row],[Recruitment Cost]]+Table1[[#This Row],[Onboarding Cost]]+Table1[[#This Row],[Training Cost]],0)</f>
        <v>6105</v>
      </c>
    </row>
    <row r="42" spans="1:27" x14ac:dyDescent="0.2">
      <c r="A42" t="str">
        <f t="shared" si="0"/>
        <v>E041</v>
      </c>
      <c r="B42" t="str" cm="1">
        <f t="array" aca="1" ref="B42" ca="1">INDEX(sheet2!$A$2:$A$6, RANDBETWEEN(1, 5))</f>
        <v>HR</v>
      </c>
      <c r="C42" t="str">
        <f ca="1">_xlfn.XLOOKUP(Table1[[#This Row],[Department]],sheet2!$A$2:$A$6,sheet2!$B$2:$B$6,_xleta.NA,0)</f>
        <v>HR Manager</v>
      </c>
      <c r="D42" s="1">
        <f t="shared" ca="1" si="1"/>
        <v>43692</v>
      </c>
      <c r="E42" s="1">
        <f ca="1">Table1[[#This Row],[Job Posting Date]]+ RANDBETWEEN(15, 90)</f>
        <v>43779</v>
      </c>
      <c r="F42" s="1">
        <f ca="1">Table1[[#This Row],[Hire Date]]+ RANDBETWEEN(1, 15)</f>
        <v>43786</v>
      </c>
      <c r="G42" s="1" t="str">
        <f ca="1">IF(RAND() &lt; 0.5,  Table1[[#This Row],[Join Date]]+ RANDBETWEEN(30, TODAY()- Table1[[#This Row],[Join Date]]), "-")</f>
        <v>-</v>
      </c>
      <c r="H42" t="str">
        <f ca="1">IF(Table1[[#This Row],[Exit Date]]= "-", "Active", "Exited")</f>
        <v>Active</v>
      </c>
      <c r="I42" s="5">
        <f t="shared" ca="1" si="2"/>
        <v>2350</v>
      </c>
      <c r="J42" t="str" cm="1">
        <f t="array" aca="1" ref="J42" ca="1">INDEX(sheet2!$C$2:$C$6, RANDBETWEEN(1, 5))</f>
        <v>Advanced Excel Skills </v>
      </c>
      <c r="K42" t="str">
        <f t="shared" ca="1" si="3"/>
        <v>Completed</v>
      </c>
      <c r="L42">
        <v>260</v>
      </c>
      <c r="M42">
        <f t="shared" ca="1" si="4"/>
        <v>16</v>
      </c>
      <c r="N42" t="str">
        <f t="shared" ca="1" si="5"/>
        <v>Other</v>
      </c>
      <c r="O42" s="6">
        <f t="shared" ca="1" si="6"/>
        <v>1461</v>
      </c>
      <c r="P42">
        <f ca="1">Table1[[#This Row],[Hire Date]]-Table1[[#This Row],[Job Posting Date]]</f>
        <v>87</v>
      </c>
      <c r="Q42" s="7">
        <f ca="1">Table1[[#This Row],[Join Date]]-Table1[[#This Row],[Hire Date]]</f>
        <v>7</v>
      </c>
      <c r="R42" s="8">
        <f ca="1">(IF(Table1[[#This Row],[Status]]="Exited",Table1[[#This Row],[Exit Date]]-Table1[[#This Row],[Join Date]],TODAY()-Table1[[#This Row],[Join Date]]))/30</f>
        <v>63.233333333333334</v>
      </c>
      <c r="S42">
        <f ca="1">Table1[[#This Row],[Hire Date]]-Table1[[#This Row],[Job Posting Date]]</f>
        <v>87</v>
      </c>
      <c r="T42" s="7">
        <f ca="1">Table1[[#This Row],[Time to Onboard]]/Table1[[#This Row],[Time to Fill]]*100</f>
        <v>8.0459770114942533</v>
      </c>
      <c r="U42" s="8">
        <f ca="1">Table1[[#This Row],[Time to Onboard]]/Table1[[#This Row],[Time to Fill]]*100</f>
        <v>8.0459770114942533</v>
      </c>
      <c r="V42">
        <f ca="1">Table1[[#This Row],[Join Date]]-Table1[[#This Row],[Job Posting Date]]</f>
        <v>94</v>
      </c>
      <c r="W42">
        <f t="shared" ca="1" si="7"/>
        <v>139</v>
      </c>
      <c r="X42" s="8">
        <f ca="1">Table1[[#This Row],[Absentee Days]]/Table1[[#This Row],[Total Work Days]]*100</f>
        <v>6.1538461538461542</v>
      </c>
      <c r="Y42">
        <f ca="1">YEAR(Table1[[#This Row],[Join Date]])</f>
        <v>2019</v>
      </c>
      <c r="Z42">
        <f ca="1">IF(Table1[[#This Row],[Status]]="Active",1,0)</f>
        <v>1</v>
      </c>
      <c r="AA42">
        <f ca="1">IF(Table1[[#This Row],[Status]]="Exited",Table1[[#This Row],[Recruitment Cost]]+Table1[[#This Row],[Onboarding Cost]]+Table1[[#This Row],[Training Cost]],0)</f>
        <v>0</v>
      </c>
    </row>
    <row r="43" spans="1:27" x14ac:dyDescent="0.2">
      <c r="A43" t="str">
        <f t="shared" si="0"/>
        <v>E042</v>
      </c>
      <c r="B43" t="str" cm="1">
        <f t="array" aca="1" ref="B43" ca="1">INDEX(sheet2!$A$2:$A$6, RANDBETWEEN(1, 5))</f>
        <v>IT</v>
      </c>
      <c r="C43" t="str">
        <f ca="1">_xlfn.XLOOKUP(Table1[[#This Row],[Department]],sheet2!$A$2:$A$6,sheet2!$B$2:$B$6,_xleta.NA,0)</f>
        <v>Software Engineer</v>
      </c>
      <c r="D43" s="1">
        <f t="shared" ca="1" si="1"/>
        <v>44483</v>
      </c>
      <c r="E43" s="1">
        <f ca="1">Table1[[#This Row],[Job Posting Date]]+ RANDBETWEEN(15, 90)</f>
        <v>44509</v>
      </c>
      <c r="F43" s="1">
        <f ca="1">Table1[[#This Row],[Hire Date]]+ RANDBETWEEN(1, 15)</f>
        <v>44516</v>
      </c>
      <c r="G43" s="1">
        <f ca="1">IF(RAND() &lt; 0.5,  Table1[[#This Row],[Join Date]]+ RANDBETWEEN(30, TODAY()- Table1[[#This Row],[Join Date]]), "-")</f>
        <v>45332</v>
      </c>
      <c r="H43" t="str">
        <f ca="1">IF(Table1[[#This Row],[Exit Date]]= "-", "Active", "Exited")</f>
        <v>Exited</v>
      </c>
      <c r="I43" s="5">
        <f t="shared" ca="1" si="2"/>
        <v>3855</v>
      </c>
      <c r="J43" t="str" cm="1">
        <f t="array" aca="1" ref="J43" ca="1">INDEX(sheet2!$C$2:$C$6, RANDBETWEEN(1, 5))</f>
        <v>Ethics and Responsibilities</v>
      </c>
      <c r="K43" t="str">
        <f t="shared" ca="1" si="3"/>
        <v>Completed</v>
      </c>
      <c r="L43">
        <v>260</v>
      </c>
      <c r="M43">
        <f t="shared" ca="1" si="4"/>
        <v>13</v>
      </c>
      <c r="N43" t="str">
        <f t="shared" ca="1" si="5"/>
        <v>Female</v>
      </c>
      <c r="O43" s="6">
        <f t="shared" ca="1" si="6"/>
        <v>2325</v>
      </c>
      <c r="P43">
        <f ca="1">Table1[[#This Row],[Hire Date]]-Table1[[#This Row],[Job Posting Date]]</f>
        <v>26</v>
      </c>
      <c r="Q43" s="7">
        <f ca="1">Table1[[#This Row],[Join Date]]-Table1[[#This Row],[Hire Date]]</f>
        <v>7</v>
      </c>
      <c r="R43" s="8">
        <f ca="1">(IF(Table1[[#This Row],[Status]]="Exited",Table1[[#This Row],[Exit Date]]-Table1[[#This Row],[Join Date]],TODAY()-Table1[[#This Row],[Join Date]]))/30</f>
        <v>27.2</v>
      </c>
      <c r="S43">
        <f ca="1">Table1[[#This Row],[Hire Date]]-Table1[[#This Row],[Job Posting Date]]</f>
        <v>26</v>
      </c>
      <c r="T43" s="7">
        <f ca="1">Table1[[#This Row],[Time to Onboard]]/Table1[[#This Row],[Time to Fill]]*100</f>
        <v>26.923076923076923</v>
      </c>
      <c r="U43" s="8">
        <f ca="1">Table1[[#This Row],[Time to Onboard]]/Table1[[#This Row],[Time to Fill]]*100</f>
        <v>26.923076923076923</v>
      </c>
      <c r="V43">
        <f ca="1">Table1[[#This Row],[Join Date]]-Table1[[#This Row],[Job Posting Date]]</f>
        <v>33</v>
      </c>
      <c r="W43">
        <f t="shared" ca="1" si="7"/>
        <v>196</v>
      </c>
      <c r="X43" s="8">
        <f ca="1">Table1[[#This Row],[Absentee Days]]/Table1[[#This Row],[Total Work Days]]*100</f>
        <v>5</v>
      </c>
      <c r="Y43">
        <f ca="1">YEAR(Table1[[#This Row],[Join Date]])</f>
        <v>2021</v>
      </c>
      <c r="Z43">
        <f ca="1">IF(Table1[[#This Row],[Status]]="Active",1,0)</f>
        <v>0</v>
      </c>
      <c r="AA43">
        <f ca="1">IF(Table1[[#This Row],[Status]]="Exited",Table1[[#This Row],[Recruitment Cost]]+Table1[[#This Row],[Onboarding Cost]]+Table1[[#This Row],[Training Cost]],0)</f>
        <v>6376</v>
      </c>
    </row>
    <row r="44" spans="1:27" x14ac:dyDescent="0.2">
      <c r="A44" t="str">
        <f t="shared" si="0"/>
        <v>E043</v>
      </c>
      <c r="B44" t="str" cm="1">
        <f t="array" aca="1" ref="B44" ca="1">INDEX(sheet2!$A$2:$A$6, RANDBETWEEN(1, 5))</f>
        <v>HR</v>
      </c>
      <c r="C44" t="str">
        <f ca="1">_xlfn.XLOOKUP(Table1[[#This Row],[Department]],sheet2!$A$2:$A$6,sheet2!$B$2:$B$6,_xleta.NA,0)</f>
        <v>HR Manager</v>
      </c>
      <c r="D44" s="1">
        <f t="shared" ca="1" si="1"/>
        <v>44750</v>
      </c>
      <c r="E44" s="1">
        <f ca="1">Table1[[#This Row],[Job Posting Date]]+ RANDBETWEEN(15, 90)</f>
        <v>44833</v>
      </c>
      <c r="F44" s="1">
        <f ca="1">Table1[[#This Row],[Hire Date]]+ RANDBETWEEN(1, 15)</f>
        <v>44842</v>
      </c>
      <c r="G44" s="1" t="str">
        <f ca="1">IF(RAND() &lt; 0.5,  Table1[[#This Row],[Join Date]]+ RANDBETWEEN(30, TODAY()- Table1[[#This Row],[Join Date]]), "-")</f>
        <v>-</v>
      </c>
      <c r="H44" t="str">
        <f ca="1">IF(Table1[[#This Row],[Exit Date]]= "-", "Active", "Exited")</f>
        <v>Active</v>
      </c>
      <c r="I44" s="5">
        <f t="shared" ca="1" si="2"/>
        <v>3692</v>
      </c>
      <c r="J44" t="str" cm="1">
        <f t="array" aca="1" ref="J44" ca="1">INDEX(sheet2!$C$2:$C$6, RANDBETWEEN(1, 5))</f>
        <v>Leadership Development</v>
      </c>
      <c r="K44" t="str">
        <f t="shared" ca="1" si="3"/>
        <v>Completed</v>
      </c>
      <c r="L44">
        <v>260</v>
      </c>
      <c r="M44">
        <f t="shared" ca="1" si="4"/>
        <v>1</v>
      </c>
      <c r="N44" t="str">
        <f t="shared" ca="1" si="5"/>
        <v>Other</v>
      </c>
      <c r="O44" s="6">
        <f t="shared" ca="1" si="6"/>
        <v>2400</v>
      </c>
      <c r="P44">
        <f ca="1">Table1[[#This Row],[Hire Date]]-Table1[[#This Row],[Job Posting Date]]</f>
        <v>83</v>
      </c>
      <c r="Q44" s="7">
        <f ca="1">Table1[[#This Row],[Join Date]]-Table1[[#This Row],[Hire Date]]</f>
        <v>9</v>
      </c>
      <c r="R44" s="8">
        <f ca="1">(IF(Table1[[#This Row],[Status]]="Exited",Table1[[#This Row],[Exit Date]]-Table1[[#This Row],[Join Date]],TODAY()-Table1[[#This Row],[Join Date]]))/30</f>
        <v>28.033333333333335</v>
      </c>
      <c r="S44">
        <f ca="1">Table1[[#This Row],[Hire Date]]-Table1[[#This Row],[Job Posting Date]]</f>
        <v>83</v>
      </c>
      <c r="T44" s="7">
        <f ca="1">Table1[[#This Row],[Time to Onboard]]/Table1[[#This Row],[Time to Fill]]*100</f>
        <v>10.843373493975903</v>
      </c>
      <c r="U44" s="8">
        <f ca="1">Table1[[#This Row],[Time to Onboard]]/Table1[[#This Row],[Time to Fill]]*100</f>
        <v>10.843373493975903</v>
      </c>
      <c r="V44">
        <f ca="1">Table1[[#This Row],[Join Date]]-Table1[[#This Row],[Job Posting Date]]</f>
        <v>92</v>
      </c>
      <c r="W44">
        <f t="shared" ca="1" si="7"/>
        <v>150</v>
      </c>
      <c r="X44" s="8">
        <f ca="1">Table1[[#This Row],[Absentee Days]]/Table1[[#This Row],[Total Work Days]]*100</f>
        <v>0.38461538461538464</v>
      </c>
      <c r="Y44">
        <f ca="1">YEAR(Table1[[#This Row],[Join Date]])</f>
        <v>2022</v>
      </c>
      <c r="Z44">
        <f ca="1">IF(Table1[[#This Row],[Status]]="Active",1,0)</f>
        <v>1</v>
      </c>
      <c r="AA44">
        <f ca="1">IF(Table1[[#This Row],[Status]]="Exited",Table1[[#This Row],[Recruitment Cost]]+Table1[[#This Row],[Onboarding Cost]]+Table1[[#This Row],[Training Cost]],0)</f>
        <v>0</v>
      </c>
    </row>
    <row r="45" spans="1:27" x14ac:dyDescent="0.2">
      <c r="A45" t="str">
        <f t="shared" si="0"/>
        <v>E044</v>
      </c>
      <c r="B45" t="str" cm="1">
        <f t="array" aca="1" ref="B45" ca="1">INDEX(sheet2!$A$2:$A$6, RANDBETWEEN(1, 5))</f>
        <v>Finance</v>
      </c>
      <c r="C45" t="str">
        <f ca="1">_xlfn.XLOOKUP(Table1[[#This Row],[Department]],sheet2!$A$2:$A$6,sheet2!$B$2:$B$6,_xleta.NA,0)</f>
        <v>Finance Manager</v>
      </c>
      <c r="D45" s="1">
        <f t="shared" ca="1" si="1"/>
        <v>43514</v>
      </c>
      <c r="E45" s="1">
        <f ca="1">Table1[[#This Row],[Job Posting Date]]+ RANDBETWEEN(15, 90)</f>
        <v>43570</v>
      </c>
      <c r="F45" s="1">
        <f ca="1">Table1[[#This Row],[Hire Date]]+ RANDBETWEEN(1, 15)</f>
        <v>43571</v>
      </c>
      <c r="G45" s="1" t="str">
        <f ca="1">IF(RAND() &lt; 0.5,  Table1[[#This Row],[Join Date]]+ RANDBETWEEN(30, TODAY()- Table1[[#This Row],[Join Date]]), "-")</f>
        <v>-</v>
      </c>
      <c r="H45" t="str">
        <f ca="1">IF(Table1[[#This Row],[Exit Date]]= "-", "Active", "Exited")</f>
        <v>Active</v>
      </c>
      <c r="I45" s="5">
        <f t="shared" ca="1" si="2"/>
        <v>4437</v>
      </c>
      <c r="J45" t="str" cm="1">
        <f t="array" aca="1" ref="J45" ca="1">INDEX(sheet2!$C$2:$C$6, RANDBETWEEN(1, 5))</f>
        <v>Communication Skills</v>
      </c>
      <c r="K45" t="str">
        <f t="shared" ca="1" si="3"/>
        <v>Completed</v>
      </c>
      <c r="L45">
        <v>260</v>
      </c>
      <c r="M45">
        <f t="shared" ca="1" si="4"/>
        <v>14</v>
      </c>
      <c r="N45" t="str">
        <f t="shared" ca="1" si="5"/>
        <v>Female</v>
      </c>
      <c r="O45" s="6">
        <f t="shared" ca="1" si="6"/>
        <v>1796</v>
      </c>
      <c r="P45">
        <f ca="1">Table1[[#This Row],[Hire Date]]-Table1[[#This Row],[Job Posting Date]]</f>
        <v>56</v>
      </c>
      <c r="Q45" s="7">
        <f ca="1">Table1[[#This Row],[Join Date]]-Table1[[#This Row],[Hire Date]]</f>
        <v>1</v>
      </c>
      <c r="R45" s="8">
        <f ca="1">(IF(Table1[[#This Row],[Status]]="Exited",Table1[[#This Row],[Exit Date]]-Table1[[#This Row],[Join Date]],TODAY()-Table1[[#This Row],[Join Date]]))/30</f>
        <v>70.400000000000006</v>
      </c>
      <c r="S45">
        <f ca="1">Table1[[#This Row],[Hire Date]]-Table1[[#This Row],[Job Posting Date]]</f>
        <v>56</v>
      </c>
      <c r="T45" s="7">
        <f ca="1">Table1[[#This Row],[Time to Onboard]]/Table1[[#This Row],[Time to Fill]]*100</f>
        <v>1.7857142857142856</v>
      </c>
      <c r="U45" s="8">
        <f ca="1">Table1[[#This Row],[Time to Onboard]]/Table1[[#This Row],[Time to Fill]]*100</f>
        <v>1.7857142857142856</v>
      </c>
      <c r="V45">
        <f ca="1">Table1[[#This Row],[Join Date]]-Table1[[#This Row],[Job Posting Date]]</f>
        <v>57</v>
      </c>
      <c r="W45">
        <f t="shared" ca="1" si="7"/>
        <v>138</v>
      </c>
      <c r="X45" s="8">
        <f ca="1">Table1[[#This Row],[Absentee Days]]/Table1[[#This Row],[Total Work Days]]*100</f>
        <v>5.384615384615385</v>
      </c>
      <c r="Y45">
        <f ca="1">YEAR(Table1[[#This Row],[Join Date]])</f>
        <v>2019</v>
      </c>
      <c r="Z45">
        <f ca="1">IF(Table1[[#This Row],[Status]]="Active",1,0)</f>
        <v>1</v>
      </c>
      <c r="AA45">
        <f ca="1">IF(Table1[[#This Row],[Status]]="Exited",Table1[[#This Row],[Recruitment Cost]]+Table1[[#This Row],[Onboarding Cost]]+Table1[[#This Row],[Training Cost]],0)</f>
        <v>0</v>
      </c>
    </row>
    <row r="46" spans="1:27" x14ac:dyDescent="0.2">
      <c r="A46" t="str">
        <f t="shared" si="0"/>
        <v>E045</v>
      </c>
      <c r="B46" t="str" cm="1">
        <f t="array" aca="1" ref="B46" ca="1">INDEX(sheet2!$A$2:$A$6, RANDBETWEEN(1, 5))</f>
        <v>Finance</v>
      </c>
      <c r="C46" t="str">
        <f ca="1">_xlfn.XLOOKUP(Table1[[#This Row],[Department]],sheet2!$A$2:$A$6,sheet2!$B$2:$B$6,_xleta.NA,0)</f>
        <v>Finance Manager</v>
      </c>
      <c r="D46" s="1">
        <f t="shared" ca="1" si="1"/>
        <v>43766</v>
      </c>
      <c r="E46" s="1">
        <f ca="1">Table1[[#This Row],[Job Posting Date]]+ RANDBETWEEN(15, 90)</f>
        <v>43797</v>
      </c>
      <c r="F46" s="1">
        <f ca="1">Table1[[#This Row],[Hire Date]]+ RANDBETWEEN(1, 15)</f>
        <v>43805</v>
      </c>
      <c r="G46" s="1" t="str">
        <f ca="1">IF(RAND() &lt; 0.5,  Table1[[#This Row],[Join Date]]+ RANDBETWEEN(30, TODAY()- Table1[[#This Row],[Join Date]]), "-")</f>
        <v>-</v>
      </c>
      <c r="H46" t="str">
        <f ca="1">IF(Table1[[#This Row],[Exit Date]]= "-", "Active", "Exited")</f>
        <v>Active</v>
      </c>
      <c r="I46" s="5">
        <f t="shared" ca="1" si="2"/>
        <v>3506</v>
      </c>
      <c r="J46" t="str" cm="1">
        <f t="array" aca="1" ref="J46" ca="1">INDEX(sheet2!$C$2:$C$6, RANDBETWEEN(1, 5))</f>
        <v>Communication Skills</v>
      </c>
      <c r="K46" t="str">
        <f t="shared" ca="1" si="3"/>
        <v>Completed</v>
      </c>
      <c r="L46">
        <v>260</v>
      </c>
      <c r="M46">
        <f t="shared" ca="1" si="4"/>
        <v>4</v>
      </c>
      <c r="N46" t="str">
        <f t="shared" ca="1" si="5"/>
        <v>Other</v>
      </c>
      <c r="O46" s="6">
        <f t="shared" ca="1" si="6"/>
        <v>2480</v>
      </c>
      <c r="P46">
        <f ca="1">Table1[[#This Row],[Hire Date]]-Table1[[#This Row],[Job Posting Date]]</f>
        <v>31</v>
      </c>
      <c r="Q46" s="7">
        <f ca="1">Table1[[#This Row],[Join Date]]-Table1[[#This Row],[Hire Date]]</f>
        <v>8</v>
      </c>
      <c r="R46" s="8">
        <f ca="1">(IF(Table1[[#This Row],[Status]]="Exited",Table1[[#This Row],[Exit Date]]-Table1[[#This Row],[Join Date]],TODAY()-Table1[[#This Row],[Join Date]]))/30</f>
        <v>62.6</v>
      </c>
      <c r="S46">
        <f ca="1">Table1[[#This Row],[Hire Date]]-Table1[[#This Row],[Job Posting Date]]</f>
        <v>31</v>
      </c>
      <c r="T46" s="7">
        <f ca="1">Table1[[#This Row],[Time to Onboard]]/Table1[[#This Row],[Time to Fill]]*100</f>
        <v>25.806451612903224</v>
      </c>
      <c r="U46" s="8">
        <f ca="1">Table1[[#This Row],[Time to Onboard]]/Table1[[#This Row],[Time to Fill]]*100</f>
        <v>25.806451612903224</v>
      </c>
      <c r="V46">
        <f ca="1">Table1[[#This Row],[Join Date]]-Table1[[#This Row],[Job Posting Date]]</f>
        <v>39</v>
      </c>
      <c r="W46">
        <f t="shared" ca="1" si="7"/>
        <v>139</v>
      </c>
      <c r="X46" s="8">
        <f ca="1">Table1[[#This Row],[Absentee Days]]/Table1[[#This Row],[Total Work Days]]*100</f>
        <v>1.5384615384615385</v>
      </c>
      <c r="Y46">
        <f ca="1">YEAR(Table1[[#This Row],[Join Date]])</f>
        <v>2019</v>
      </c>
      <c r="Z46">
        <f ca="1">IF(Table1[[#This Row],[Status]]="Active",1,0)</f>
        <v>1</v>
      </c>
      <c r="AA46">
        <f ca="1">IF(Table1[[#This Row],[Status]]="Exited",Table1[[#This Row],[Recruitment Cost]]+Table1[[#This Row],[Onboarding Cost]]+Table1[[#This Row],[Training Cost]],0)</f>
        <v>0</v>
      </c>
    </row>
    <row r="47" spans="1:27" x14ac:dyDescent="0.2">
      <c r="A47" t="str">
        <f t="shared" si="0"/>
        <v>E046</v>
      </c>
      <c r="B47" t="str" cm="1">
        <f t="array" aca="1" ref="B47" ca="1">INDEX(sheet2!$A$2:$A$6, RANDBETWEEN(1, 5))</f>
        <v>HR</v>
      </c>
      <c r="C47" t="str">
        <f ca="1">_xlfn.XLOOKUP(Table1[[#This Row],[Department]],sheet2!$A$2:$A$6,sheet2!$B$2:$B$6,_xleta.NA,0)</f>
        <v>HR Manager</v>
      </c>
      <c r="D47" s="1">
        <f t="shared" ca="1" si="1"/>
        <v>43704</v>
      </c>
      <c r="E47" s="1">
        <f ca="1">Table1[[#This Row],[Job Posting Date]]+ RANDBETWEEN(15, 90)</f>
        <v>43755</v>
      </c>
      <c r="F47" s="1">
        <f ca="1">Table1[[#This Row],[Hire Date]]+ RANDBETWEEN(1, 15)</f>
        <v>43760</v>
      </c>
      <c r="G47" s="1">
        <f ca="1">IF(RAND() &lt; 0.5,  Table1[[#This Row],[Join Date]]+ RANDBETWEEN(30, TODAY()- Table1[[#This Row],[Join Date]]), "-")</f>
        <v>44602</v>
      </c>
      <c r="H47" t="str">
        <f ca="1">IF(Table1[[#This Row],[Exit Date]]= "-", "Active", "Exited")</f>
        <v>Exited</v>
      </c>
      <c r="I47" s="5">
        <f t="shared" ca="1" si="2"/>
        <v>4471</v>
      </c>
      <c r="J47" t="str" cm="1">
        <f t="array" aca="1" ref="J47" ca="1">INDEX(sheet2!$C$2:$C$6, RANDBETWEEN(1, 5))</f>
        <v>Conflict Resolution</v>
      </c>
      <c r="K47" t="str">
        <f t="shared" ca="1" si="3"/>
        <v>Completed</v>
      </c>
      <c r="L47">
        <v>260</v>
      </c>
      <c r="M47">
        <f t="shared" ca="1" si="4"/>
        <v>2</v>
      </c>
      <c r="N47" t="str">
        <f t="shared" ca="1" si="5"/>
        <v>Other</v>
      </c>
      <c r="O47" s="6">
        <f t="shared" ca="1" si="6"/>
        <v>2251</v>
      </c>
      <c r="P47">
        <f ca="1">Table1[[#This Row],[Hire Date]]-Table1[[#This Row],[Job Posting Date]]</f>
        <v>51</v>
      </c>
      <c r="Q47" s="7">
        <f ca="1">Table1[[#This Row],[Join Date]]-Table1[[#This Row],[Hire Date]]</f>
        <v>5</v>
      </c>
      <c r="R47" s="8">
        <f ca="1">(IF(Table1[[#This Row],[Status]]="Exited",Table1[[#This Row],[Exit Date]]-Table1[[#This Row],[Join Date]],TODAY()-Table1[[#This Row],[Join Date]]))/30</f>
        <v>28.066666666666666</v>
      </c>
      <c r="S47">
        <f ca="1">Table1[[#This Row],[Hire Date]]-Table1[[#This Row],[Job Posting Date]]</f>
        <v>51</v>
      </c>
      <c r="T47" s="7">
        <f ca="1">Table1[[#This Row],[Time to Onboard]]/Table1[[#This Row],[Time to Fill]]*100</f>
        <v>9.8039215686274517</v>
      </c>
      <c r="U47" s="8">
        <f ca="1">Table1[[#This Row],[Time to Onboard]]/Table1[[#This Row],[Time to Fill]]*100</f>
        <v>9.8039215686274517</v>
      </c>
      <c r="V47">
        <f ca="1">Table1[[#This Row],[Join Date]]-Table1[[#This Row],[Job Posting Date]]</f>
        <v>56</v>
      </c>
      <c r="W47">
        <f t="shared" ca="1" si="7"/>
        <v>166</v>
      </c>
      <c r="X47" s="8">
        <f ca="1">Table1[[#This Row],[Absentee Days]]/Table1[[#This Row],[Total Work Days]]*100</f>
        <v>0.76923076923076927</v>
      </c>
      <c r="Y47">
        <f ca="1">YEAR(Table1[[#This Row],[Join Date]])</f>
        <v>2019</v>
      </c>
      <c r="Z47">
        <f ca="1">IF(Table1[[#This Row],[Status]]="Active",1,0)</f>
        <v>0</v>
      </c>
      <c r="AA47">
        <f ca="1">IF(Table1[[#This Row],[Status]]="Exited",Table1[[#This Row],[Recruitment Cost]]+Table1[[#This Row],[Onboarding Cost]]+Table1[[#This Row],[Training Cost]],0)</f>
        <v>6888</v>
      </c>
    </row>
    <row r="48" spans="1:27" x14ac:dyDescent="0.2">
      <c r="A48" t="str">
        <f t="shared" si="0"/>
        <v>E047</v>
      </c>
      <c r="B48" t="str" cm="1">
        <f t="array" aca="1" ref="B48" ca="1">INDEX(sheet2!$A$2:$A$6, RANDBETWEEN(1, 5))</f>
        <v>IT</v>
      </c>
      <c r="C48" t="str">
        <f ca="1">_xlfn.XLOOKUP(Table1[[#This Row],[Department]],sheet2!$A$2:$A$6,sheet2!$B$2:$B$6,_xleta.NA,0)</f>
        <v>Software Engineer</v>
      </c>
      <c r="D48" s="1">
        <f t="shared" ca="1" si="1"/>
        <v>43432</v>
      </c>
      <c r="E48" s="1">
        <f ca="1">Table1[[#This Row],[Job Posting Date]]+ RANDBETWEEN(15, 90)</f>
        <v>43485</v>
      </c>
      <c r="F48" s="1">
        <f ca="1">Table1[[#This Row],[Hire Date]]+ RANDBETWEEN(1, 15)</f>
        <v>43495</v>
      </c>
      <c r="G48" s="1">
        <f ca="1">IF(RAND() &lt; 0.5,  Table1[[#This Row],[Join Date]]+ RANDBETWEEN(30, TODAY()- Table1[[#This Row],[Join Date]]), "-")</f>
        <v>43652</v>
      </c>
      <c r="H48" t="str">
        <f ca="1">IF(Table1[[#This Row],[Exit Date]]= "-", "Active", "Exited")</f>
        <v>Exited</v>
      </c>
      <c r="I48" s="5">
        <f t="shared" ca="1" si="2"/>
        <v>1845</v>
      </c>
      <c r="J48" t="str" cm="1">
        <f t="array" aca="1" ref="J48" ca="1">INDEX(sheet2!$C$2:$C$6, RANDBETWEEN(1, 5))</f>
        <v>Communication Skills</v>
      </c>
      <c r="K48" t="str">
        <f t="shared" ca="1" si="3"/>
        <v>Completed</v>
      </c>
      <c r="L48">
        <v>260</v>
      </c>
      <c r="M48">
        <f t="shared" ca="1" si="4"/>
        <v>5</v>
      </c>
      <c r="N48" t="str">
        <f t="shared" ca="1" si="5"/>
        <v>Female</v>
      </c>
      <c r="O48" s="6">
        <f t="shared" ca="1" si="6"/>
        <v>1693</v>
      </c>
      <c r="P48">
        <f ca="1">Table1[[#This Row],[Hire Date]]-Table1[[#This Row],[Job Posting Date]]</f>
        <v>53</v>
      </c>
      <c r="Q48" s="7">
        <f ca="1">Table1[[#This Row],[Join Date]]-Table1[[#This Row],[Hire Date]]</f>
        <v>10</v>
      </c>
      <c r="R48" s="8">
        <f ca="1">(IF(Table1[[#This Row],[Status]]="Exited",Table1[[#This Row],[Exit Date]]-Table1[[#This Row],[Join Date]],TODAY()-Table1[[#This Row],[Join Date]]))/30</f>
        <v>5.2333333333333334</v>
      </c>
      <c r="S48">
        <f ca="1">Table1[[#This Row],[Hire Date]]-Table1[[#This Row],[Job Posting Date]]</f>
        <v>53</v>
      </c>
      <c r="T48" s="7">
        <f ca="1">Table1[[#This Row],[Time to Onboard]]/Table1[[#This Row],[Time to Fill]]*100</f>
        <v>18.867924528301888</v>
      </c>
      <c r="U48" s="8">
        <f ca="1">Table1[[#This Row],[Time to Onboard]]/Table1[[#This Row],[Time to Fill]]*100</f>
        <v>18.867924528301888</v>
      </c>
      <c r="V48">
        <f ca="1">Table1[[#This Row],[Join Date]]-Table1[[#This Row],[Job Posting Date]]</f>
        <v>63</v>
      </c>
      <c r="W48">
        <f t="shared" ca="1" si="7"/>
        <v>169</v>
      </c>
      <c r="X48" s="8">
        <f ca="1">Table1[[#This Row],[Absentee Days]]/Table1[[#This Row],[Total Work Days]]*100</f>
        <v>1.9230769230769231</v>
      </c>
      <c r="Y48">
        <f ca="1">YEAR(Table1[[#This Row],[Join Date]])</f>
        <v>2019</v>
      </c>
      <c r="Z48">
        <f ca="1">IF(Table1[[#This Row],[Status]]="Active",1,0)</f>
        <v>0</v>
      </c>
      <c r="AA48">
        <f ca="1">IF(Table1[[#This Row],[Status]]="Exited",Table1[[#This Row],[Recruitment Cost]]+Table1[[#This Row],[Onboarding Cost]]+Table1[[#This Row],[Training Cost]],0)</f>
        <v>3707</v>
      </c>
    </row>
    <row r="49" spans="1:27" x14ac:dyDescent="0.2">
      <c r="A49" t="str">
        <f t="shared" si="0"/>
        <v>E048</v>
      </c>
      <c r="B49" t="str" cm="1">
        <f t="array" aca="1" ref="B49" ca="1">INDEX(sheet2!$A$2:$A$6, RANDBETWEEN(1, 5))</f>
        <v>Sales</v>
      </c>
      <c r="C49" t="str">
        <f ca="1">_xlfn.XLOOKUP(Table1[[#This Row],[Department]],sheet2!$A$2:$A$6,sheet2!$B$2:$B$6,_xleta.NA,0)</f>
        <v>Marketing Manager</v>
      </c>
      <c r="D49" s="1">
        <f t="shared" ca="1" si="1"/>
        <v>44848</v>
      </c>
      <c r="E49" s="1">
        <f ca="1">Table1[[#This Row],[Job Posting Date]]+ RANDBETWEEN(15, 90)</f>
        <v>44920</v>
      </c>
      <c r="F49" s="1">
        <f ca="1">Table1[[#This Row],[Hire Date]]+ RANDBETWEEN(1, 15)</f>
        <v>44933</v>
      </c>
      <c r="G49" s="1">
        <f ca="1">IF(RAND() &lt; 0.5,  Table1[[#This Row],[Join Date]]+ RANDBETWEEN(30, TODAY()- Table1[[#This Row],[Join Date]]), "-")</f>
        <v>45466</v>
      </c>
      <c r="H49" t="str">
        <f ca="1">IF(Table1[[#This Row],[Exit Date]]= "-", "Active", "Exited")</f>
        <v>Exited</v>
      </c>
      <c r="I49" s="5">
        <f t="shared" ca="1" si="2"/>
        <v>4960</v>
      </c>
      <c r="J49" t="str" cm="1">
        <f t="array" aca="1" ref="J49" ca="1">INDEX(sheet2!$C$2:$C$6, RANDBETWEEN(1, 5))</f>
        <v>Communication Skills</v>
      </c>
      <c r="K49" t="str">
        <f t="shared" ca="1" si="3"/>
        <v>Completed</v>
      </c>
      <c r="L49">
        <v>260</v>
      </c>
      <c r="M49">
        <f t="shared" ca="1" si="4"/>
        <v>3</v>
      </c>
      <c r="N49" t="str">
        <f t="shared" ca="1" si="5"/>
        <v>Male</v>
      </c>
      <c r="O49" s="6">
        <f t="shared" ca="1" si="6"/>
        <v>2088</v>
      </c>
      <c r="P49">
        <f ca="1">Table1[[#This Row],[Hire Date]]-Table1[[#This Row],[Job Posting Date]]</f>
        <v>72</v>
      </c>
      <c r="Q49" s="7">
        <f ca="1">Table1[[#This Row],[Join Date]]-Table1[[#This Row],[Hire Date]]</f>
        <v>13</v>
      </c>
      <c r="R49" s="8">
        <f ca="1">(IF(Table1[[#This Row],[Status]]="Exited",Table1[[#This Row],[Exit Date]]-Table1[[#This Row],[Join Date]],TODAY()-Table1[[#This Row],[Join Date]]))/30</f>
        <v>17.766666666666666</v>
      </c>
      <c r="S49">
        <f ca="1">Table1[[#This Row],[Hire Date]]-Table1[[#This Row],[Job Posting Date]]</f>
        <v>72</v>
      </c>
      <c r="T49" s="7">
        <f ca="1">Table1[[#This Row],[Time to Onboard]]/Table1[[#This Row],[Time to Fill]]*100</f>
        <v>18.055555555555554</v>
      </c>
      <c r="U49" s="8">
        <f ca="1">Table1[[#This Row],[Time to Onboard]]/Table1[[#This Row],[Time to Fill]]*100</f>
        <v>18.055555555555554</v>
      </c>
      <c r="V49">
        <f ca="1">Table1[[#This Row],[Join Date]]-Table1[[#This Row],[Job Posting Date]]</f>
        <v>85</v>
      </c>
      <c r="W49">
        <f t="shared" ca="1" si="7"/>
        <v>184</v>
      </c>
      <c r="X49" s="8">
        <f ca="1">Table1[[#This Row],[Absentee Days]]/Table1[[#This Row],[Total Work Days]]*100</f>
        <v>1.153846153846154</v>
      </c>
      <c r="Y49">
        <f ca="1">YEAR(Table1[[#This Row],[Join Date]])</f>
        <v>2023</v>
      </c>
      <c r="Z49">
        <f ca="1">IF(Table1[[#This Row],[Status]]="Active",1,0)</f>
        <v>0</v>
      </c>
      <c r="AA49">
        <f ca="1">IF(Table1[[#This Row],[Status]]="Exited",Table1[[#This Row],[Recruitment Cost]]+Table1[[#This Row],[Onboarding Cost]]+Table1[[#This Row],[Training Cost]],0)</f>
        <v>7232</v>
      </c>
    </row>
    <row r="50" spans="1:27" x14ac:dyDescent="0.2">
      <c r="A50" t="str">
        <f t="shared" si="0"/>
        <v>E049</v>
      </c>
      <c r="B50" t="str" cm="1">
        <f t="array" aca="1" ref="B50" ca="1">INDEX(sheet2!$A$2:$A$6, RANDBETWEEN(1, 5))</f>
        <v>HR</v>
      </c>
      <c r="C50" t="str">
        <f ca="1">_xlfn.XLOOKUP(Table1[[#This Row],[Department]],sheet2!$A$2:$A$6,sheet2!$B$2:$B$6,_xleta.NA,0)</f>
        <v>HR Manager</v>
      </c>
      <c r="D50" s="1">
        <f t="shared" ca="1" si="1"/>
        <v>44744</v>
      </c>
      <c r="E50" s="1">
        <f ca="1">Table1[[#This Row],[Job Posting Date]]+ RANDBETWEEN(15, 90)</f>
        <v>44829</v>
      </c>
      <c r="F50" s="1">
        <f ca="1">Table1[[#This Row],[Hire Date]]+ RANDBETWEEN(1, 15)</f>
        <v>44840</v>
      </c>
      <c r="G50" s="1" t="str">
        <f ca="1">IF(RAND() &lt; 0.5,  Table1[[#This Row],[Join Date]]+ RANDBETWEEN(30, TODAY()- Table1[[#This Row],[Join Date]]), "-")</f>
        <v>-</v>
      </c>
      <c r="H50" t="str">
        <f ca="1">IF(Table1[[#This Row],[Exit Date]]= "-", "Active", "Exited")</f>
        <v>Active</v>
      </c>
      <c r="I50" s="5">
        <f t="shared" ca="1" si="2"/>
        <v>4933</v>
      </c>
      <c r="J50" t="str" cm="1">
        <f t="array" aca="1" ref="J50" ca="1">INDEX(sheet2!$C$2:$C$6, RANDBETWEEN(1, 5))</f>
        <v>Conflict Resolution</v>
      </c>
      <c r="K50" t="str">
        <f t="shared" ca="1" si="3"/>
        <v>Completed</v>
      </c>
      <c r="L50">
        <v>260</v>
      </c>
      <c r="M50">
        <f t="shared" ca="1" si="4"/>
        <v>17</v>
      </c>
      <c r="N50" t="str">
        <f t="shared" ca="1" si="5"/>
        <v>Male</v>
      </c>
      <c r="O50" s="6">
        <f t="shared" ca="1" si="6"/>
        <v>1439</v>
      </c>
      <c r="P50">
        <f ca="1">Table1[[#This Row],[Hire Date]]-Table1[[#This Row],[Job Posting Date]]</f>
        <v>85</v>
      </c>
      <c r="Q50" s="7">
        <f ca="1">Table1[[#This Row],[Join Date]]-Table1[[#This Row],[Hire Date]]</f>
        <v>11</v>
      </c>
      <c r="R50" s="8">
        <f ca="1">(IF(Table1[[#This Row],[Status]]="Exited",Table1[[#This Row],[Exit Date]]-Table1[[#This Row],[Join Date]],TODAY()-Table1[[#This Row],[Join Date]]))/30</f>
        <v>28.1</v>
      </c>
      <c r="S50">
        <f ca="1">Table1[[#This Row],[Hire Date]]-Table1[[#This Row],[Job Posting Date]]</f>
        <v>85</v>
      </c>
      <c r="T50" s="7">
        <f ca="1">Table1[[#This Row],[Time to Onboard]]/Table1[[#This Row],[Time to Fill]]*100</f>
        <v>12.941176470588237</v>
      </c>
      <c r="U50" s="8">
        <f ca="1">Table1[[#This Row],[Time to Onboard]]/Table1[[#This Row],[Time to Fill]]*100</f>
        <v>12.941176470588237</v>
      </c>
      <c r="V50">
        <f ca="1">Table1[[#This Row],[Join Date]]-Table1[[#This Row],[Job Posting Date]]</f>
        <v>96</v>
      </c>
      <c r="W50">
        <f t="shared" ca="1" si="7"/>
        <v>104</v>
      </c>
      <c r="X50" s="8">
        <f ca="1">Table1[[#This Row],[Absentee Days]]/Table1[[#This Row],[Total Work Days]]*100</f>
        <v>6.5384615384615392</v>
      </c>
      <c r="Y50">
        <f ca="1">YEAR(Table1[[#This Row],[Join Date]])</f>
        <v>2022</v>
      </c>
      <c r="Z50">
        <f ca="1">IF(Table1[[#This Row],[Status]]="Active",1,0)</f>
        <v>1</v>
      </c>
      <c r="AA50">
        <f ca="1">IF(Table1[[#This Row],[Status]]="Exited",Table1[[#This Row],[Recruitment Cost]]+Table1[[#This Row],[Onboarding Cost]]+Table1[[#This Row],[Training Cost]],0)</f>
        <v>0</v>
      </c>
    </row>
    <row r="51" spans="1:27" x14ac:dyDescent="0.2">
      <c r="A51" t="str">
        <f t="shared" si="0"/>
        <v>E050</v>
      </c>
      <c r="B51" t="str" cm="1">
        <f t="array" aca="1" ref="B51" ca="1">INDEX(sheet2!$A$2:$A$6, RANDBETWEEN(1, 5))</f>
        <v>Sales</v>
      </c>
      <c r="C51" t="str">
        <f ca="1">_xlfn.XLOOKUP(Table1[[#This Row],[Department]],sheet2!$A$2:$A$6,sheet2!$B$2:$B$6,_xleta.NA,0)</f>
        <v>Marketing Manager</v>
      </c>
      <c r="D51" s="1">
        <f t="shared" ca="1" si="1"/>
        <v>44077</v>
      </c>
      <c r="E51" s="1">
        <f ca="1">Table1[[#This Row],[Job Posting Date]]+ RANDBETWEEN(15, 90)</f>
        <v>44120</v>
      </c>
      <c r="F51" s="1">
        <f ca="1">Table1[[#This Row],[Hire Date]]+ RANDBETWEEN(1, 15)</f>
        <v>44131</v>
      </c>
      <c r="G51" s="1">
        <f ca="1">IF(RAND() &lt; 0.5,  Table1[[#This Row],[Join Date]]+ RANDBETWEEN(30, TODAY()- Table1[[#This Row],[Join Date]]), "-")</f>
        <v>45644</v>
      </c>
      <c r="H51" t="str">
        <f ca="1">IF(Table1[[#This Row],[Exit Date]]= "-", "Active", "Exited")</f>
        <v>Exited</v>
      </c>
      <c r="I51" s="5">
        <f t="shared" ca="1" si="2"/>
        <v>2472</v>
      </c>
      <c r="J51" t="str" cm="1">
        <f t="array" aca="1" ref="J51" ca="1">INDEX(sheet2!$C$2:$C$6, RANDBETWEEN(1, 5))</f>
        <v>Advanced Excel Skills </v>
      </c>
      <c r="K51" t="str">
        <f t="shared" ca="1" si="3"/>
        <v>Completed</v>
      </c>
      <c r="L51">
        <v>260</v>
      </c>
      <c r="M51">
        <f t="shared" ca="1" si="4"/>
        <v>14</v>
      </c>
      <c r="N51" t="str">
        <f t="shared" ca="1" si="5"/>
        <v>Male</v>
      </c>
      <c r="O51" s="6">
        <f t="shared" ca="1" si="6"/>
        <v>1511</v>
      </c>
      <c r="P51">
        <f ca="1">Table1[[#This Row],[Hire Date]]-Table1[[#This Row],[Job Posting Date]]</f>
        <v>43</v>
      </c>
      <c r="Q51" s="7">
        <f ca="1">Table1[[#This Row],[Join Date]]-Table1[[#This Row],[Hire Date]]</f>
        <v>11</v>
      </c>
      <c r="R51" s="8">
        <f ca="1">(IF(Table1[[#This Row],[Status]]="Exited",Table1[[#This Row],[Exit Date]]-Table1[[#This Row],[Join Date]],TODAY()-Table1[[#This Row],[Join Date]]))/30</f>
        <v>50.43333333333333</v>
      </c>
      <c r="S51">
        <f ca="1">Table1[[#This Row],[Hire Date]]-Table1[[#This Row],[Job Posting Date]]</f>
        <v>43</v>
      </c>
      <c r="T51" s="7">
        <f ca="1">Table1[[#This Row],[Time to Onboard]]/Table1[[#This Row],[Time to Fill]]*100</f>
        <v>25.581395348837212</v>
      </c>
      <c r="U51" s="8">
        <f ca="1">Table1[[#This Row],[Time to Onboard]]/Table1[[#This Row],[Time to Fill]]*100</f>
        <v>25.581395348837212</v>
      </c>
      <c r="V51">
        <f ca="1">Table1[[#This Row],[Join Date]]-Table1[[#This Row],[Job Posting Date]]</f>
        <v>54</v>
      </c>
      <c r="W51">
        <f t="shared" ca="1" si="7"/>
        <v>144</v>
      </c>
      <c r="X51" s="8">
        <f ca="1">Table1[[#This Row],[Absentee Days]]/Table1[[#This Row],[Total Work Days]]*100</f>
        <v>5.384615384615385</v>
      </c>
      <c r="Y51">
        <f ca="1">YEAR(Table1[[#This Row],[Join Date]])</f>
        <v>2020</v>
      </c>
      <c r="Z51">
        <f ca="1">IF(Table1[[#This Row],[Status]]="Active",1,0)</f>
        <v>0</v>
      </c>
      <c r="AA51">
        <f ca="1">IF(Table1[[#This Row],[Status]]="Exited",Table1[[#This Row],[Recruitment Cost]]+Table1[[#This Row],[Onboarding Cost]]+Table1[[#This Row],[Training Cost]],0)</f>
        <v>4127</v>
      </c>
    </row>
    <row r="52" spans="1:27" x14ac:dyDescent="0.2">
      <c r="A52" t="str">
        <f t="shared" si="0"/>
        <v>E051</v>
      </c>
      <c r="B52" t="str" cm="1">
        <f t="array" aca="1" ref="B52" ca="1">INDEX(sheet2!$A$2:$A$6, RANDBETWEEN(1, 5))</f>
        <v>IT</v>
      </c>
      <c r="C52" t="str">
        <f ca="1">_xlfn.XLOOKUP(Table1[[#This Row],[Department]],sheet2!$A$2:$A$6,sheet2!$B$2:$B$6,_xleta.NA,0)</f>
        <v>Software Engineer</v>
      </c>
      <c r="D52" s="1">
        <f t="shared" ca="1" si="1"/>
        <v>44554</v>
      </c>
      <c r="E52" s="1">
        <f ca="1">Table1[[#This Row],[Job Posting Date]]+ RANDBETWEEN(15, 90)</f>
        <v>44618</v>
      </c>
      <c r="F52" s="1">
        <f ca="1">Table1[[#This Row],[Hire Date]]+ RANDBETWEEN(1, 15)</f>
        <v>44629</v>
      </c>
      <c r="G52" s="1" t="str">
        <f ca="1">IF(RAND() &lt; 0.5,  Table1[[#This Row],[Join Date]]+ RANDBETWEEN(30, TODAY()- Table1[[#This Row],[Join Date]]), "-")</f>
        <v>-</v>
      </c>
      <c r="H52" t="str">
        <f ca="1">IF(Table1[[#This Row],[Exit Date]]= "-", "Active", "Exited")</f>
        <v>Active</v>
      </c>
      <c r="I52" s="5">
        <f t="shared" ca="1" si="2"/>
        <v>3739</v>
      </c>
      <c r="J52" t="str" cm="1">
        <f t="array" aca="1" ref="J52" ca="1">INDEX(sheet2!$C$2:$C$6, RANDBETWEEN(1, 5))</f>
        <v>Communication Skills</v>
      </c>
      <c r="K52" t="str">
        <f t="shared" ca="1" si="3"/>
        <v>Completed</v>
      </c>
      <c r="L52">
        <v>260</v>
      </c>
      <c r="M52">
        <f t="shared" ca="1" si="4"/>
        <v>18</v>
      </c>
      <c r="N52" t="str">
        <f t="shared" ca="1" si="5"/>
        <v>Other</v>
      </c>
      <c r="O52" s="6">
        <f t="shared" ca="1" si="6"/>
        <v>1495</v>
      </c>
      <c r="P52">
        <f ca="1">Table1[[#This Row],[Hire Date]]-Table1[[#This Row],[Job Posting Date]]</f>
        <v>64</v>
      </c>
      <c r="Q52" s="7">
        <f ca="1">Table1[[#This Row],[Join Date]]-Table1[[#This Row],[Hire Date]]</f>
        <v>11</v>
      </c>
      <c r="R52" s="8">
        <f ca="1">(IF(Table1[[#This Row],[Status]]="Exited",Table1[[#This Row],[Exit Date]]-Table1[[#This Row],[Join Date]],TODAY()-Table1[[#This Row],[Join Date]]))/30</f>
        <v>35.133333333333333</v>
      </c>
      <c r="S52">
        <f ca="1">Table1[[#This Row],[Hire Date]]-Table1[[#This Row],[Job Posting Date]]</f>
        <v>64</v>
      </c>
      <c r="T52" s="7">
        <f ca="1">Table1[[#This Row],[Time to Onboard]]/Table1[[#This Row],[Time to Fill]]*100</f>
        <v>17.1875</v>
      </c>
      <c r="U52" s="8">
        <f ca="1">Table1[[#This Row],[Time to Onboard]]/Table1[[#This Row],[Time to Fill]]*100</f>
        <v>17.1875</v>
      </c>
      <c r="V52">
        <f ca="1">Table1[[#This Row],[Join Date]]-Table1[[#This Row],[Job Posting Date]]</f>
        <v>75</v>
      </c>
      <c r="W52">
        <f t="shared" ca="1" si="7"/>
        <v>107</v>
      </c>
      <c r="X52" s="8">
        <f ca="1">Table1[[#This Row],[Absentee Days]]/Table1[[#This Row],[Total Work Days]]*100</f>
        <v>6.9230769230769234</v>
      </c>
      <c r="Y52">
        <f ca="1">YEAR(Table1[[#This Row],[Join Date]])</f>
        <v>2022</v>
      </c>
      <c r="Z52">
        <f ca="1">IF(Table1[[#This Row],[Status]]="Active",1,0)</f>
        <v>1</v>
      </c>
      <c r="AA52">
        <f ca="1">IF(Table1[[#This Row],[Status]]="Exited",Table1[[#This Row],[Recruitment Cost]]+Table1[[#This Row],[Onboarding Cost]]+Table1[[#This Row],[Training Cost]],0)</f>
        <v>0</v>
      </c>
    </row>
    <row r="53" spans="1:27" x14ac:dyDescent="0.2">
      <c r="A53" t="str">
        <f t="shared" si="0"/>
        <v>E052</v>
      </c>
      <c r="B53" t="str" cm="1">
        <f t="array" aca="1" ref="B53" ca="1">INDEX(sheet2!$A$2:$A$6, RANDBETWEEN(1, 5))</f>
        <v>HR</v>
      </c>
      <c r="C53" t="str">
        <f ca="1">_xlfn.XLOOKUP(Table1[[#This Row],[Department]],sheet2!$A$2:$A$6,sheet2!$B$2:$B$6,_xleta.NA,0)</f>
        <v>HR Manager</v>
      </c>
      <c r="D53" s="1">
        <f t="shared" ca="1" si="1"/>
        <v>44510</v>
      </c>
      <c r="E53" s="1">
        <f ca="1">Table1[[#This Row],[Job Posting Date]]+ RANDBETWEEN(15, 90)</f>
        <v>44580</v>
      </c>
      <c r="F53" s="1">
        <f ca="1">Table1[[#This Row],[Hire Date]]+ RANDBETWEEN(1, 15)</f>
        <v>44590</v>
      </c>
      <c r="G53" s="1">
        <f ca="1">IF(RAND() &lt; 0.5,  Table1[[#This Row],[Join Date]]+ RANDBETWEEN(30, TODAY()- Table1[[#This Row],[Join Date]]), "-")</f>
        <v>45156</v>
      </c>
      <c r="H53" t="str">
        <f ca="1">IF(Table1[[#This Row],[Exit Date]]= "-", "Active", "Exited")</f>
        <v>Exited</v>
      </c>
      <c r="I53" s="5">
        <f t="shared" ca="1" si="2"/>
        <v>3506</v>
      </c>
      <c r="J53" t="str" cm="1">
        <f t="array" aca="1" ref="J53" ca="1">INDEX(sheet2!$C$2:$C$6, RANDBETWEEN(1, 5))</f>
        <v>Conflict Resolution</v>
      </c>
      <c r="K53" t="str">
        <f t="shared" ca="1" si="3"/>
        <v>Completed</v>
      </c>
      <c r="L53">
        <v>260</v>
      </c>
      <c r="M53">
        <f t="shared" ca="1" si="4"/>
        <v>20</v>
      </c>
      <c r="N53" t="str">
        <f t="shared" ca="1" si="5"/>
        <v>Male</v>
      </c>
      <c r="O53" s="6">
        <f t="shared" ca="1" si="6"/>
        <v>2081</v>
      </c>
      <c r="P53">
        <f ca="1">Table1[[#This Row],[Hire Date]]-Table1[[#This Row],[Job Posting Date]]</f>
        <v>70</v>
      </c>
      <c r="Q53" s="7">
        <f ca="1">Table1[[#This Row],[Join Date]]-Table1[[#This Row],[Hire Date]]</f>
        <v>10</v>
      </c>
      <c r="R53" s="8">
        <f ca="1">(IF(Table1[[#This Row],[Status]]="Exited",Table1[[#This Row],[Exit Date]]-Table1[[#This Row],[Join Date]],TODAY()-Table1[[#This Row],[Join Date]]))/30</f>
        <v>18.866666666666667</v>
      </c>
      <c r="S53">
        <f ca="1">Table1[[#This Row],[Hire Date]]-Table1[[#This Row],[Job Posting Date]]</f>
        <v>70</v>
      </c>
      <c r="T53" s="7">
        <f ca="1">Table1[[#This Row],[Time to Onboard]]/Table1[[#This Row],[Time to Fill]]*100</f>
        <v>14.285714285714285</v>
      </c>
      <c r="U53" s="8">
        <f ca="1">Table1[[#This Row],[Time to Onboard]]/Table1[[#This Row],[Time to Fill]]*100</f>
        <v>14.285714285714285</v>
      </c>
      <c r="V53">
        <f ca="1">Table1[[#This Row],[Join Date]]-Table1[[#This Row],[Job Posting Date]]</f>
        <v>80</v>
      </c>
      <c r="W53">
        <f t="shared" ca="1" si="7"/>
        <v>167</v>
      </c>
      <c r="X53" s="8">
        <f ca="1">Table1[[#This Row],[Absentee Days]]/Table1[[#This Row],[Total Work Days]]*100</f>
        <v>7.6923076923076925</v>
      </c>
      <c r="Y53">
        <f ca="1">YEAR(Table1[[#This Row],[Join Date]])</f>
        <v>2022</v>
      </c>
      <c r="Z53">
        <f ca="1">IF(Table1[[#This Row],[Status]]="Active",1,0)</f>
        <v>0</v>
      </c>
      <c r="AA53">
        <f ca="1">IF(Table1[[#This Row],[Status]]="Exited",Table1[[#This Row],[Recruitment Cost]]+Table1[[#This Row],[Onboarding Cost]]+Table1[[#This Row],[Training Cost]],0)</f>
        <v>5754</v>
      </c>
    </row>
    <row r="54" spans="1:27" x14ac:dyDescent="0.2">
      <c r="A54" t="str">
        <f t="shared" si="0"/>
        <v>E053</v>
      </c>
      <c r="B54" t="str" cm="1">
        <f t="array" aca="1" ref="B54" ca="1">INDEX(sheet2!$A$2:$A$6, RANDBETWEEN(1, 5))</f>
        <v>Analytics</v>
      </c>
      <c r="C54" t="str">
        <f ca="1">_xlfn.XLOOKUP(Table1[[#This Row],[Department]],sheet2!$A$2:$A$6,sheet2!$B$2:$B$6,_xleta.NA,0)</f>
        <v>Data Analyst</v>
      </c>
      <c r="D54" s="1">
        <f t="shared" ca="1" si="1"/>
        <v>44889</v>
      </c>
      <c r="E54" s="1">
        <f ca="1">Table1[[#This Row],[Job Posting Date]]+ RANDBETWEEN(15, 90)</f>
        <v>44953</v>
      </c>
      <c r="F54" s="1">
        <f ca="1">Table1[[#This Row],[Hire Date]]+ RANDBETWEEN(1, 15)</f>
        <v>44968</v>
      </c>
      <c r="G54" s="1">
        <f ca="1">IF(RAND() &lt; 0.5,  Table1[[#This Row],[Join Date]]+ RANDBETWEEN(30, TODAY()- Table1[[#This Row],[Join Date]]), "-")</f>
        <v>45349</v>
      </c>
      <c r="H54" t="str">
        <f ca="1">IF(Table1[[#This Row],[Exit Date]]= "-", "Active", "Exited")</f>
        <v>Exited</v>
      </c>
      <c r="I54" s="5">
        <f t="shared" ca="1" si="2"/>
        <v>2068</v>
      </c>
      <c r="J54" t="str" cm="1">
        <f t="array" aca="1" ref="J54" ca="1">INDEX(sheet2!$C$2:$C$6, RANDBETWEEN(1, 5))</f>
        <v>Ethics and Responsibilities</v>
      </c>
      <c r="K54" t="str">
        <f t="shared" ca="1" si="3"/>
        <v>Not Completed</v>
      </c>
      <c r="L54">
        <v>260</v>
      </c>
      <c r="M54">
        <f t="shared" ca="1" si="4"/>
        <v>1</v>
      </c>
      <c r="N54" t="str">
        <f t="shared" ca="1" si="5"/>
        <v>Male</v>
      </c>
      <c r="O54" s="6">
        <f t="shared" ca="1" si="6"/>
        <v>1322</v>
      </c>
      <c r="P54">
        <f ca="1">Table1[[#This Row],[Hire Date]]-Table1[[#This Row],[Job Posting Date]]</f>
        <v>64</v>
      </c>
      <c r="Q54" s="7">
        <f ca="1">Table1[[#This Row],[Join Date]]-Table1[[#This Row],[Hire Date]]</f>
        <v>15</v>
      </c>
      <c r="R54" s="8">
        <f ca="1">(IF(Table1[[#This Row],[Status]]="Exited",Table1[[#This Row],[Exit Date]]-Table1[[#This Row],[Join Date]],TODAY()-Table1[[#This Row],[Join Date]]))/30</f>
        <v>12.7</v>
      </c>
      <c r="S54">
        <f ca="1">Table1[[#This Row],[Hire Date]]-Table1[[#This Row],[Job Posting Date]]</f>
        <v>64</v>
      </c>
      <c r="T54" s="7">
        <f ca="1">Table1[[#This Row],[Time to Onboard]]/Table1[[#This Row],[Time to Fill]]*100</f>
        <v>23.4375</v>
      </c>
      <c r="U54" s="8">
        <f ca="1">Table1[[#This Row],[Time to Onboard]]/Table1[[#This Row],[Time to Fill]]*100</f>
        <v>23.4375</v>
      </c>
      <c r="V54">
        <f ca="1">Table1[[#This Row],[Join Date]]-Table1[[#This Row],[Job Posting Date]]</f>
        <v>79</v>
      </c>
      <c r="W54">
        <f t="shared" ca="1" si="7"/>
        <v>122</v>
      </c>
      <c r="X54" s="8">
        <f ca="1">Table1[[#This Row],[Absentee Days]]/Table1[[#This Row],[Total Work Days]]*100</f>
        <v>0.38461538461538464</v>
      </c>
      <c r="Y54">
        <f ca="1">YEAR(Table1[[#This Row],[Join Date]])</f>
        <v>2023</v>
      </c>
      <c r="Z54">
        <f ca="1">IF(Table1[[#This Row],[Status]]="Active",1,0)</f>
        <v>0</v>
      </c>
      <c r="AA54">
        <f ca="1">IF(Table1[[#This Row],[Status]]="Exited",Table1[[#This Row],[Recruitment Cost]]+Table1[[#This Row],[Onboarding Cost]]+Table1[[#This Row],[Training Cost]],0)</f>
        <v>3512</v>
      </c>
    </row>
    <row r="55" spans="1:27" x14ac:dyDescent="0.2">
      <c r="A55" t="str">
        <f t="shared" si="0"/>
        <v>E054</v>
      </c>
      <c r="B55" t="str" cm="1">
        <f t="array" aca="1" ref="B55" ca="1">INDEX(sheet2!$A$2:$A$6, RANDBETWEEN(1, 5))</f>
        <v>Finance</v>
      </c>
      <c r="C55" t="str">
        <f ca="1">_xlfn.XLOOKUP(Table1[[#This Row],[Department]],sheet2!$A$2:$A$6,sheet2!$B$2:$B$6,_xleta.NA,0)</f>
        <v>Finance Manager</v>
      </c>
      <c r="D55" s="1">
        <f t="shared" ca="1" si="1"/>
        <v>43503</v>
      </c>
      <c r="E55" s="1">
        <f ca="1">Table1[[#This Row],[Job Posting Date]]+ RANDBETWEEN(15, 90)</f>
        <v>43589</v>
      </c>
      <c r="F55" s="1">
        <f ca="1">Table1[[#This Row],[Hire Date]]+ RANDBETWEEN(1, 15)</f>
        <v>43590</v>
      </c>
      <c r="G55" s="1">
        <f ca="1">IF(RAND() &lt; 0.5,  Table1[[#This Row],[Join Date]]+ RANDBETWEEN(30, TODAY()- Table1[[#This Row],[Join Date]]), "-")</f>
        <v>43862</v>
      </c>
      <c r="H55" t="str">
        <f ca="1">IF(Table1[[#This Row],[Exit Date]]= "-", "Active", "Exited")</f>
        <v>Exited</v>
      </c>
      <c r="I55" s="5">
        <f t="shared" ca="1" si="2"/>
        <v>1885</v>
      </c>
      <c r="J55" t="str" cm="1">
        <f t="array" aca="1" ref="J55" ca="1">INDEX(sheet2!$C$2:$C$6, RANDBETWEEN(1, 5))</f>
        <v>Ethics and Responsibilities</v>
      </c>
      <c r="K55" t="str">
        <f t="shared" ca="1" si="3"/>
        <v>Completed</v>
      </c>
      <c r="L55">
        <v>260</v>
      </c>
      <c r="M55">
        <f t="shared" ca="1" si="4"/>
        <v>10</v>
      </c>
      <c r="N55" t="str">
        <f t="shared" ca="1" si="5"/>
        <v>Female</v>
      </c>
      <c r="O55" s="6">
        <f t="shared" ca="1" si="6"/>
        <v>2399</v>
      </c>
      <c r="P55">
        <f ca="1">Table1[[#This Row],[Hire Date]]-Table1[[#This Row],[Job Posting Date]]</f>
        <v>86</v>
      </c>
      <c r="Q55" s="7">
        <f ca="1">Table1[[#This Row],[Join Date]]-Table1[[#This Row],[Hire Date]]</f>
        <v>1</v>
      </c>
      <c r="R55" s="8">
        <f ca="1">(IF(Table1[[#This Row],[Status]]="Exited",Table1[[#This Row],[Exit Date]]-Table1[[#This Row],[Join Date]],TODAY()-Table1[[#This Row],[Join Date]]))/30</f>
        <v>9.0666666666666664</v>
      </c>
      <c r="S55">
        <f ca="1">Table1[[#This Row],[Hire Date]]-Table1[[#This Row],[Job Posting Date]]</f>
        <v>86</v>
      </c>
      <c r="T55" s="7">
        <f ca="1">Table1[[#This Row],[Time to Onboard]]/Table1[[#This Row],[Time to Fill]]*100</f>
        <v>1.1627906976744187</v>
      </c>
      <c r="U55" s="8">
        <f ca="1">Table1[[#This Row],[Time to Onboard]]/Table1[[#This Row],[Time to Fill]]*100</f>
        <v>1.1627906976744187</v>
      </c>
      <c r="V55">
        <f ca="1">Table1[[#This Row],[Join Date]]-Table1[[#This Row],[Job Posting Date]]</f>
        <v>87</v>
      </c>
      <c r="W55">
        <f t="shared" ca="1" si="7"/>
        <v>110</v>
      </c>
      <c r="X55" s="8">
        <f ca="1">Table1[[#This Row],[Absentee Days]]/Table1[[#This Row],[Total Work Days]]*100</f>
        <v>3.8461538461538463</v>
      </c>
      <c r="Y55">
        <f ca="1">YEAR(Table1[[#This Row],[Join Date]])</f>
        <v>2019</v>
      </c>
      <c r="Z55">
        <f ca="1">IF(Table1[[#This Row],[Status]]="Active",1,0)</f>
        <v>0</v>
      </c>
      <c r="AA55">
        <f ca="1">IF(Table1[[#This Row],[Status]]="Exited",Table1[[#This Row],[Recruitment Cost]]+Table1[[#This Row],[Onboarding Cost]]+Table1[[#This Row],[Training Cost]],0)</f>
        <v>4394</v>
      </c>
    </row>
    <row r="56" spans="1:27" x14ac:dyDescent="0.2">
      <c r="A56" t="str">
        <f t="shared" si="0"/>
        <v>E055</v>
      </c>
      <c r="B56" t="str" cm="1">
        <f t="array" aca="1" ref="B56" ca="1">INDEX(sheet2!$A$2:$A$6, RANDBETWEEN(1, 5))</f>
        <v>Sales</v>
      </c>
      <c r="C56" t="str">
        <f ca="1">_xlfn.XLOOKUP(Table1[[#This Row],[Department]],sheet2!$A$2:$A$6,sheet2!$B$2:$B$6,_xleta.NA,0)</f>
        <v>Marketing Manager</v>
      </c>
      <c r="D56" s="1">
        <f t="shared" ca="1" si="1"/>
        <v>44808</v>
      </c>
      <c r="E56" s="1">
        <f ca="1">Table1[[#This Row],[Job Posting Date]]+ RANDBETWEEN(15, 90)</f>
        <v>44824</v>
      </c>
      <c r="F56" s="1">
        <f ca="1">Table1[[#This Row],[Hire Date]]+ RANDBETWEEN(1, 15)</f>
        <v>44836</v>
      </c>
      <c r="G56" s="1" t="str">
        <f ca="1">IF(RAND() &lt; 0.5,  Table1[[#This Row],[Join Date]]+ RANDBETWEEN(30, TODAY()- Table1[[#This Row],[Join Date]]), "-")</f>
        <v>-</v>
      </c>
      <c r="H56" t="str">
        <f ca="1">IF(Table1[[#This Row],[Exit Date]]= "-", "Active", "Exited")</f>
        <v>Active</v>
      </c>
      <c r="I56" s="5">
        <f t="shared" ca="1" si="2"/>
        <v>1987</v>
      </c>
      <c r="J56" t="str" cm="1">
        <f t="array" aca="1" ref="J56" ca="1">INDEX(sheet2!$C$2:$C$6, RANDBETWEEN(1, 5))</f>
        <v>Ethics and Responsibilities</v>
      </c>
      <c r="K56" t="str">
        <f t="shared" ca="1" si="3"/>
        <v>Not Completed</v>
      </c>
      <c r="L56">
        <v>260</v>
      </c>
      <c r="M56">
        <f t="shared" ca="1" si="4"/>
        <v>2</v>
      </c>
      <c r="N56" t="str">
        <f t="shared" ca="1" si="5"/>
        <v>Female</v>
      </c>
      <c r="O56" s="6">
        <f t="shared" ca="1" si="6"/>
        <v>1725</v>
      </c>
      <c r="P56">
        <f ca="1">Table1[[#This Row],[Hire Date]]-Table1[[#This Row],[Job Posting Date]]</f>
        <v>16</v>
      </c>
      <c r="Q56" s="7">
        <f ca="1">Table1[[#This Row],[Join Date]]-Table1[[#This Row],[Hire Date]]</f>
        <v>12</v>
      </c>
      <c r="R56" s="8">
        <f ca="1">(IF(Table1[[#This Row],[Status]]="Exited",Table1[[#This Row],[Exit Date]]-Table1[[#This Row],[Join Date]],TODAY()-Table1[[#This Row],[Join Date]]))/30</f>
        <v>28.233333333333334</v>
      </c>
      <c r="S56">
        <f ca="1">Table1[[#This Row],[Hire Date]]-Table1[[#This Row],[Job Posting Date]]</f>
        <v>16</v>
      </c>
      <c r="T56" s="7">
        <f ca="1">Table1[[#This Row],[Time to Onboard]]/Table1[[#This Row],[Time to Fill]]*100</f>
        <v>75</v>
      </c>
      <c r="U56" s="8">
        <f ca="1">Table1[[#This Row],[Time to Onboard]]/Table1[[#This Row],[Time to Fill]]*100</f>
        <v>75</v>
      </c>
      <c r="V56">
        <f ca="1">Table1[[#This Row],[Join Date]]-Table1[[#This Row],[Job Posting Date]]</f>
        <v>28</v>
      </c>
      <c r="W56">
        <f t="shared" ca="1" si="7"/>
        <v>144</v>
      </c>
      <c r="X56" s="8">
        <f ca="1">Table1[[#This Row],[Absentee Days]]/Table1[[#This Row],[Total Work Days]]*100</f>
        <v>0.76923076923076927</v>
      </c>
      <c r="Y56">
        <f ca="1">YEAR(Table1[[#This Row],[Join Date]])</f>
        <v>2022</v>
      </c>
      <c r="Z56">
        <f ca="1">IF(Table1[[#This Row],[Status]]="Active",1,0)</f>
        <v>1</v>
      </c>
      <c r="AA56">
        <f ca="1">IF(Table1[[#This Row],[Status]]="Exited",Table1[[#This Row],[Recruitment Cost]]+Table1[[#This Row],[Onboarding Cost]]+Table1[[#This Row],[Training Cost]],0)</f>
        <v>0</v>
      </c>
    </row>
    <row r="57" spans="1:27" x14ac:dyDescent="0.2">
      <c r="A57" t="str">
        <f t="shared" si="0"/>
        <v>E056</v>
      </c>
      <c r="B57" t="str" cm="1">
        <f t="array" aca="1" ref="B57" ca="1">INDEX(sheet2!$A$2:$A$6, RANDBETWEEN(1, 5))</f>
        <v>IT</v>
      </c>
      <c r="C57" t="str">
        <f ca="1">_xlfn.XLOOKUP(Table1[[#This Row],[Department]],sheet2!$A$2:$A$6,sheet2!$B$2:$B$6,_xleta.NA,0)</f>
        <v>Software Engineer</v>
      </c>
      <c r="D57" s="1">
        <f t="shared" ca="1" si="1"/>
        <v>43318</v>
      </c>
      <c r="E57" s="1">
        <f ca="1">Table1[[#This Row],[Job Posting Date]]+ RANDBETWEEN(15, 90)</f>
        <v>43334</v>
      </c>
      <c r="F57" s="1">
        <f ca="1">Table1[[#This Row],[Hire Date]]+ RANDBETWEEN(1, 15)</f>
        <v>43339</v>
      </c>
      <c r="G57" s="1">
        <f ca="1">IF(RAND() &lt; 0.5,  Table1[[#This Row],[Join Date]]+ RANDBETWEEN(30, TODAY()- Table1[[#This Row],[Join Date]]), "-")</f>
        <v>44734</v>
      </c>
      <c r="H57" t="str">
        <f ca="1">IF(Table1[[#This Row],[Exit Date]]= "-", "Active", "Exited")</f>
        <v>Exited</v>
      </c>
      <c r="I57" s="5">
        <f t="shared" ca="1" si="2"/>
        <v>2785</v>
      </c>
      <c r="J57" t="str" cm="1">
        <f t="array" aca="1" ref="J57" ca="1">INDEX(sheet2!$C$2:$C$6, RANDBETWEEN(1, 5))</f>
        <v>Ethics and Responsibilities</v>
      </c>
      <c r="K57" t="str">
        <f t="shared" ca="1" si="3"/>
        <v>Not Completed</v>
      </c>
      <c r="L57">
        <v>260</v>
      </c>
      <c r="M57">
        <f t="shared" ca="1" si="4"/>
        <v>17</v>
      </c>
      <c r="N57" t="str">
        <f t="shared" ca="1" si="5"/>
        <v>Female</v>
      </c>
      <c r="O57" s="6">
        <f t="shared" ca="1" si="6"/>
        <v>1651</v>
      </c>
      <c r="P57">
        <f ca="1">Table1[[#This Row],[Hire Date]]-Table1[[#This Row],[Job Posting Date]]</f>
        <v>16</v>
      </c>
      <c r="Q57" s="7">
        <f ca="1">Table1[[#This Row],[Join Date]]-Table1[[#This Row],[Hire Date]]</f>
        <v>5</v>
      </c>
      <c r="R57" s="8">
        <f ca="1">(IF(Table1[[#This Row],[Status]]="Exited",Table1[[#This Row],[Exit Date]]-Table1[[#This Row],[Join Date]],TODAY()-Table1[[#This Row],[Join Date]]))/30</f>
        <v>46.5</v>
      </c>
      <c r="S57">
        <f ca="1">Table1[[#This Row],[Hire Date]]-Table1[[#This Row],[Job Posting Date]]</f>
        <v>16</v>
      </c>
      <c r="T57" s="7">
        <f ca="1">Table1[[#This Row],[Time to Onboard]]/Table1[[#This Row],[Time to Fill]]*100</f>
        <v>31.25</v>
      </c>
      <c r="U57" s="8">
        <f ca="1">Table1[[#This Row],[Time to Onboard]]/Table1[[#This Row],[Time to Fill]]*100</f>
        <v>31.25</v>
      </c>
      <c r="V57">
        <f ca="1">Table1[[#This Row],[Join Date]]-Table1[[#This Row],[Job Posting Date]]</f>
        <v>21</v>
      </c>
      <c r="W57">
        <f t="shared" ca="1" si="7"/>
        <v>134</v>
      </c>
      <c r="X57" s="8">
        <f ca="1">Table1[[#This Row],[Absentee Days]]/Table1[[#This Row],[Total Work Days]]*100</f>
        <v>6.5384615384615392</v>
      </c>
      <c r="Y57">
        <f ca="1">YEAR(Table1[[#This Row],[Join Date]])</f>
        <v>2018</v>
      </c>
      <c r="Z57">
        <f ca="1">IF(Table1[[#This Row],[Status]]="Active",1,0)</f>
        <v>0</v>
      </c>
      <c r="AA57">
        <f ca="1">IF(Table1[[#This Row],[Status]]="Exited",Table1[[#This Row],[Recruitment Cost]]+Table1[[#This Row],[Onboarding Cost]]+Table1[[#This Row],[Training Cost]],0)</f>
        <v>4570</v>
      </c>
    </row>
    <row r="58" spans="1:27" x14ac:dyDescent="0.2">
      <c r="A58" t="str">
        <f t="shared" si="0"/>
        <v>E057</v>
      </c>
      <c r="B58" t="str" cm="1">
        <f t="array" aca="1" ref="B58" ca="1">INDEX(sheet2!$A$2:$A$6, RANDBETWEEN(1, 5))</f>
        <v>Analytics</v>
      </c>
      <c r="C58" t="str">
        <f ca="1">_xlfn.XLOOKUP(Table1[[#This Row],[Department]],sheet2!$A$2:$A$6,sheet2!$B$2:$B$6,_xleta.NA,0)</f>
        <v>Data Analyst</v>
      </c>
      <c r="D58" s="1">
        <f t="shared" ca="1" si="1"/>
        <v>43534</v>
      </c>
      <c r="E58" s="1">
        <f ca="1">Table1[[#This Row],[Job Posting Date]]+ RANDBETWEEN(15, 90)</f>
        <v>43562</v>
      </c>
      <c r="F58" s="1">
        <f ca="1">Table1[[#This Row],[Hire Date]]+ RANDBETWEEN(1, 15)</f>
        <v>43565</v>
      </c>
      <c r="G58" s="1">
        <f ca="1">IF(RAND() &lt; 0.5,  Table1[[#This Row],[Join Date]]+ RANDBETWEEN(30, TODAY()- Table1[[#This Row],[Join Date]]), "-")</f>
        <v>43996</v>
      </c>
      <c r="H58" t="str">
        <f ca="1">IF(Table1[[#This Row],[Exit Date]]= "-", "Active", "Exited")</f>
        <v>Exited</v>
      </c>
      <c r="I58" s="5">
        <f t="shared" ca="1" si="2"/>
        <v>3318</v>
      </c>
      <c r="J58" t="str" cm="1">
        <f t="array" aca="1" ref="J58" ca="1">INDEX(sheet2!$C$2:$C$6, RANDBETWEEN(1, 5))</f>
        <v>Leadership Development</v>
      </c>
      <c r="K58" t="str">
        <f t="shared" ca="1" si="3"/>
        <v>Completed</v>
      </c>
      <c r="L58">
        <v>260</v>
      </c>
      <c r="M58">
        <f t="shared" ca="1" si="4"/>
        <v>12</v>
      </c>
      <c r="N58" t="str">
        <f t="shared" ca="1" si="5"/>
        <v>Male</v>
      </c>
      <c r="O58" s="6">
        <f t="shared" ca="1" si="6"/>
        <v>1507</v>
      </c>
      <c r="P58">
        <f ca="1">Table1[[#This Row],[Hire Date]]-Table1[[#This Row],[Job Posting Date]]</f>
        <v>28</v>
      </c>
      <c r="Q58" s="7">
        <f ca="1">Table1[[#This Row],[Join Date]]-Table1[[#This Row],[Hire Date]]</f>
        <v>3</v>
      </c>
      <c r="R58" s="8">
        <f ca="1">(IF(Table1[[#This Row],[Status]]="Exited",Table1[[#This Row],[Exit Date]]-Table1[[#This Row],[Join Date]],TODAY()-Table1[[#This Row],[Join Date]]))/30</f>
        <v>14.366666666666667</v>
      </c>
      <c r="S58">
        <f ca="1">Table1[[#This Row],[Hire Date]]-Table1[[#This Row],[Job Posting Date]]</f>
        <v>28</v>
      </c>
      <c r="T58" s="7">
        <f ca="1">Table1[[#This Row],[Time to Onboard]]/Table1[[#This Row],[Time to Fill]]*100</f>
        <v>10.714285714285714</v>
      </c>
      <c r="U58" s="8">
        <f ca="1">Table1[[#This Row],[Time to Onboard]]/Table1[[#This Row],[Time to Fill]]*100</f>
        <v>10.714285714285714</v>
      </c>
      <c r="V58">
        <f ca="1">Table1[[#This Row],[Join Date]]-Table1[[#This Row],[Job Posting Date]]</f>
        <v>31</v>
      </c>
      <c r="W58">
        <f t="shared" ca="1" si="7"/>
        <v>190</v>
      </c>
      <c r="X58" s="8">
        <f ca="1">Table1[[#This Row],[Absentee Days]]/Table1[[#This Row],[Total Work Days]]*100</f>
        <v>4.6153846153846159</v>
      </c>
      <c r="Y58">
        <f ca="1">YEAR(Table1[[#This Row],[Join Date]])</f>
        <v>2019</v>
      </c>
      <c r="Z58">
        <f ca="1">IF(Table1[[#This Row],[Status]]="Active",1,0)</f>
        <v>0</v>
      </c>
      <c r="AA58">
        <f ca="1">IF(Table1[[#This Row],[Status]]="Exited",Table1[[#This Row],[Recruitment Cost]]+Table1[[#This Row],[Onboarding Cost]]+Table1[[#This Row],[Training Cost]],0)</f>
        <v>5015</v>
      </c>
    </row>
    <row r="59" spans="1:27" x14ac:dyDescent="0.2">
      <c r="A59" t="str">
        <f t="shared" si="0"/>
        <v>E058</v>
      </c>
      <c r="B59" t="str" cm="1">
        <f t="array" aca="1" ref="B59" ca="1">INDEX(sheet2!$A$2:$A$6, RANDBETWEEN(1, 5))</f>
        <v>Sales</v>
      </c>
      <c r="C59" t="str">
        <f ca="1">_xlfn.XLOOKUP(Table1[[#This Row],[Department]],sheet2!$A$2:$A$6,sheet2!$B$2:$B$6,_xleta.NA,0)</f>
        <v>Marketing Manager</v>
      </c>
      <c r="D59" s="1">
        <f t="shared" ca="1" si="1"/>
        <v>44010</v>
      </c>
      <c r="E59" s="1">
        <f ca="1">Table1[[#This Row],[Job Posting Date]]+ RANDBETWEEN(15, 90)</f>
        <v>44026</v>
      </c>
      <c r="F59" s="1">
        <f ca="1">Table1[[#This Row],[Hire Date]]+ RANDBETWEEN(1, 15)</f>
        <v>44029</v>
      </c>
      <c r="G59" s="1">
        <f ca="1">IF(RAND() &lt; 0.5,  Table1[[#This Row],[Join Date]]+ RANDBETWEEN(30, TODAY()- Table1[[#This Row],[Join Date]]), "-")</f>
        <v>44509</v>
      </c>
      <c r="H59" t="str">
        <f ca="1">IF(Table1[[#This Row],[Exit Date]]= "-", "Active", "Exited")</f>
        <v>Exited</v>
      </c>
      <c r="I59" s="5">
        <f t="shared" ca="1" si="2"/>
        <v>4661</v>
      </c>
      <c r="J59" t="str" cm="1">
        <f t="array" aca="1" ref="J59" ca="1">INDEX(sheet2!$C$2:$C$6, RANDBETWEEN(1, 5))</f>
        <v>Leadership Development</v>
      </c>
      <c r="K59" t="str">
        <f t="shared" ca="1" si="3"/>
        <v>Completed</v>
      </c>
      <c r="L59">
        <v>260</v>
      </c>
      <c r="M59">
        <f t="shared" ca="1" si="4"/>
        <v>9</v>
      </c>
      <c r="N59" t="str">
        <f t="shared" ca="1" si="5"/>
        <v>Female</v>
      </c>
      <c r="O59" s="6">
        <f t="shared" ca="1" si="6"/>
        <v>2231</v>
      </c>
      <c r="P59">
        <f ca="1">Table1[[#This Row],[Hire Date]]-Table1[[#This Row],[Job Posting Date]]</f>
        <v>16</v>
      </c>
      <c r="Q59" s="7">
        <f ca="1">Table1[[#This Row],[Join Date]]-Table1[[#This Row],[Hire Date]]</f>
        <v>3</v>
      </c>
      <c r="R59" s="8">
        <f ca="1">(IF(Table1[[#This Row],[Status]]="Exited",Table1[[#This Row],[Exit Date]]-Table1[[#This Row],[Join Date]],TODAY()-Table1[[#This Row],[Join Date]]))/30</f>
        <v>16</v>
      </c>
      <c r="S59">
        <f ca="1">Table1[[#This Row],[Hire Date]]-Table1[[#This Row],[Job Posting Date]]</f>
        <v>16</v>
      </c>
      <c r="T59" s="7">
        <f ca="1">Table1[[#This Row],[Time to Onboard]]/Table1[[#This Row],[Time to Fill]]*100</f>
        <v>18.75</v>
      </c>
      <c r="U59" s="8">
        <f ca="1">Table1[[#This Row],[Time to Onboard]]/Table1[[#This Row],[Time to Fill]]*100</f>
        <v>18.75</v>
      </c>
      <c r="V59">
        <f ca="1">Table1[[#This Row],[Join Date]]-Table1[[#This Row],[Job Posting Date]]</f>
        <v>19</v>
      </c>
      <c r="W59">
        <f t="shared" ca="1" si="7"/>
        <v>114</v>
      </c>
      <c r="X59" s="8">
        <f ca="1">Table1[[#This Row],[Absentee Days]]/Table1[[#This Row],[Total Work Days]]*100</f>
        <v>3.4615384615384617</v>
      </c>
      <c r="Y59">
        <f ca="1">YEAR(Table1[[#This Row],[Join Date]])</f>
        <v>2020</v>
      </c>
      <c r="Z59">
        <f ca="1">IF(Table1[[#This Row],[Status]]="Active",1,0)</f>
        <v>0</v>
      </c>
      <c r="AA59">
        <f ca="1">IF(Table1[[#This Row],[Status]]="Exited",Table1[[#This Row],[Recruitment Cost]]+Table1[[#This Row],[Onboarding Cost]]+Table1[[#This Row],[Training Cost]],0)</f>
        <v>7006</v>
      </c>
    </row>
    <row r="60" spans="1:27" x14ac:dyDescent="0.2">
      <c r="A60" t="str">
        <f t="shared" si="0"/>
        <v>E059</v>
      </c>
      <c r="B60" t="str" cm="1">
        <f t="array" aca="1" ref="B60" ca="1">INDEX(sheet2!$A$2:$A$6, RANDBETWEEN(1, 5))</f>
        <v>HR</v>
      </c>
      <c r="C60" t="str">
        <f ca="1">_xlfn.XLOOKUP(Table1[[#This Row],[Department]],sheet2!$A$2:$A$6,sheet2!$B$2:$B$6,_xleta.NA,0)</f>
        <v>HR Manager</v>
      </c>
      <c r="D60" s="1">
        <f t="shared" ca="1" si="1"/>
        <v>44628</v>
      </c>
      <c r="E60" s="1">
        <f ca="1">Table1[[#This Row],[Job Posting Date]]+ RANDBETWEEN(15, 90)</f>
        <v>44685</v>
      </c>
      <c r="F60" s="1">
        <f ca="1">Table1[[#This Row],[Hire Date]]+ RANDBETWEEN(1, 15)</f>
        <v>44690</v>
      </c>
      <c r="G60" s="1" t="str">
        <f ca="1">IF(RAND() &lt; 0.5,  Table1[[#This Row],[Join Date]]+ RANDBETWEEN(30, TODAY()- Table1[[#This Row],[Join Date]]), "-")</f>
        <v>-</v>
      </c>
      <c r="H60" t="str">
        <f ca="1">IF(Table1[[#This Row],[Exit Date]]= "-", "Active", "Exited")</f>
        <v>Active</v>
      </c>
      <c r="I60" s="5">
        <f t="shared" ca="1" si="2"/>
        <v>3818</v>
      </c>
      <c r="J60" t="str" cm="1">
        <f t="array" aca="1" ref="J60" ca="1">INDEX(sheet2!$C$2:$C$6, RANDBETWEEN(1, 5))</f>
        <v>Leadership Development</v>
      </c>
      <c r="K60" t="str">
        <f t="shared" ca="1" si="3"/>
        <v>Not Completed</v>
      </c>
      <c r="L60">
        <v>260</v>
      </c>
      <c r="M60">
        <f t="shared" ca="1" si="4"/>
        <v>3</v>
      </c>
      <c r="N60" t="str">
        <f t="shared" ca="1" si="5"/>
        <v>Other</v>
      </c>
      <c r="O60" s="6">
        <f t="shared" ca="1" si="6"/>
        <v>1316</v>
      </c>
      <c r="P60">
        <f ca="1">Table1[[#This Row],[Hire Date]]-Table1[[#This Row],[Job Posting Date]]</f>
        <v>57</v>
      </c>
      <c r="Q60" s="7">
        <f ca="1">Table1[[#This Row],[Join Date]]-Table1[[#This Row],[Hire Date]]</f>
        <v>5</v>
      </c>
      <c r="R60" s="8">
        <f ca="1">(IF(Table1[[#This Row],[Status]]="Exited",Table1[[#This Row],[Exit Date]]-Table1[[#This Row],[Join Date]],TODAY()-Table1[[#This Row],[Join Date]]))/30</f>
        <v>33.1</v>
      </c>
      <c r="S60">
        <f ca="1">Table1[[#This Row],[Hire Date]]-Table1[[#This Row],[Job Posting Date]]</f>
        <v>57</v>
      </c>
      <c r="T60" s="7">
        <f ca="1">Table1[[#This Row],[Time to Onboard]]/Table1[[#This Row],[Time to Fill]]*100</f>
        <v>8.7719298245614024</v>
      </c>
      <c r="U60" s="8">
        <f ca="1">Table1[[#This Row],[Time to Onboard]]/Table1[[#This Row],[Time to Fill]]*100</f>
        <v>8.7719298245614024</v>
      </c>
      <c r="V60">
        <f ca="1">Table1[[#This Row],[Join Date]]-Table1[[#This Row],[Job Posting Date]]</f>
        <v>62</v>
      </c>
      <c r="W60">
        <f t="shared" ca="1" si="7"/>
        <v>187</v>
      </c>
      <c r="X60" s="8">
        <f ca="1">Table1[[#This Row],[Absentee Days]]/Table1[[#This Row],[Total Work Days]]*100</f>
        <v>1.153846153846154</v>
      </c>
      <c r="Y60">
        <f ca="1">YEAR(Table1[[#This Row],[Join Date]])</f>
        <v>2022</v>
      </c>
      <c r="Z60">
        <f ca="1">IF(Table1[[#This Row],[Status]]="Active",1,0)</f>
        <v>1</v>
      </c>
      <c r="AA60">
        <f ca="1">IF(Table1[[#This Row],[Status]]="Exited",Table1[[#This Row],[Recruitment Cost]]+Table1[[#This Row],[Onboarding Cost]]+Table1[[#This Row],[Training Cost]],0)</f>
        <v>0</v>
      </c>
    </row>
    <row r="61" spans="1:27" x14ac:dyDescent="0.2">
      <c r="A61" t="str">
        <f t="shared" si="0"/>
        <v>E060</v>
      </c>
      <c r="B61" t="str" cm="1">
        <f t="array" aca="1" ref="B61" ca="1">INDEX(sheet2!$A$2:$A$6, RANDBETWEEN(1, 5))</f>
        <v>IT</v>
      </c>
      <c r="C61" t="str">
        <f ca="1">_xlfn.XLOOKUP(Table1[[#This Row],[Department]],sheet2!$A$2:$A$6,sheet2!$B$2:$B$6,_xleta.NA,0)</f>
        <v>Software Engineer</v>
      </c>
      <c r="D61" s="1">
        <f t="shared" ca="1" si="1"/>
        <v>44201</v>
      </c>
      <c r="E61" s="1">
        <f ca="1">Table1[[#This Row],[Job Posting Date]]+ RANDBETWEEN(15, 90)</f>
        <v>44283</v>
      </c>
      <c r="F61" s="1">
        <f ca="1">Table1[[#This Row],[Hire Date]]+ RANDBETWEEN(1, 15)</f>
        <v>44291</v>
      </c>
      <c r="G61" s="1">
        <f ca="1">IF(RAND() &lt; 0.5,  Table1[[#This Row],[Join Date]]+ RANDBETWEEN(30, TODAY()- Table1[[#This Row],[Join Date]]), "-")</f>
        <v>45562</v>
      </c>
      <c r="H61" t="str">
        <f ca="1">IF(Table1[[#This Row],[Exit Date]]= "-", "Active", "Exited")</f>
        <v>Exited</v>
      </c>
      <c r="I61" s="5">
        <f t="shared" ca="1" si="2"/>
        <v>2006</v>
      </c>
      <c r="J61" t="str" cm="1">
        <f t="array" aca="1" ref="J61" ca="1">INDEX(sheet2!$C$2:$C$6, RANDBETWEEN(1, 5))</f>
        <v>Conflict Resolution</v>
      </c>
      <c r="K61" t="str">
        <f t="shared" ca="1" si="3"/>
        <v>Completed</v>
      </c>
      <c r="L61">
        <v>260</v>
      </c>
      <c r="M61">
        <f t="shared" ca="1" si="4"/>
        <v>5</v>
      </c>
      <c r="N61" t="str">
        <f t="shared" ca="1" si="5"/>
        <v>Other</v>
      </c>
      <c r="O61" s="6">
        <f t="shared" ca="1" si="6"/>
        <v>1773</v>
      </c>
      <c r="P61">
        <f ca="1">Table1[[#This Row],[Hire Date]]-Table1[[#This Row],[Job Posting Date]]</f>
        <v>82</v>
      </c>
      <c r="Q61" s="7">
        <f ca="1">Table1[[#This Row],[Join Date]]-Table1[[#This Row],[Hire Date]]</f>
        <v>8</v>
      </c>
      <c r="R61" s="8">
        <f ca="1">(IF(Table1[[#This Row],[Status]]="Exited",Table1[[#This Row],[Exit Date]]-Table1[[#This Row],[Join Date]],TODAY()-Table1[[#This Row],[Join Date]]))/30</f>
        <v>42.366666666666667</v>
      </c>
      <c r="S61">
        <f ca="1">Table1[[#This Row],[Hire Date]]-Table1[[#This Row],[Job Posting Date]]</f>
        <v>82</v>
      </c>
      <c r="T61" s="7">
        <f ca="1">Table1[[#This Row],[Time to Onboard]]/Table1[[#This Row],[Time to Fill]]*100</f>
        <v>9.7560975609756095</v>
      </c>
      <c r="U61" s="8">
        <f ca="1">Table1[[#This Row],[Time to Onboard]]/Table1[[#This Row],[Time to Fill]]*100</f>
        <v>9.7560975609756095</v>
      </c>
      <c r="V61">
        <f ca="1">Table1[[#This Row],[Join Date]]-Table1[[#This Row],[Job Posting Date]]</f>
        <v>90</v>
      </c>
      <c r="W61">
        <f t="shared" ca="1" si="7"/>
        <v>176</v>
      </c>
      <c r="X61" s="8">
        <f ca="1">Table1[[#This Row],[Absentee Days]]/Table1[[#This Row],[Total Work Days]]*100</f>
        <v>1.9230769230769231</v>
      </c>
      <c r="Y61">
        <f ca="1">YEAR(Table1[[#This Row],[Join Date]])</f>
        <v>2021</v>
      </c>
      <c r="Z61">
        <f ca="1">IF(Table1[[#This Row],[Status]]="Active",1,0)</f>
        <v>0</v>
      </c>
      <c r="AA61">
        <f ca="1">IF(Table1[[#This Row],[Status]]="Exited",Table1[[#This Row],[Recruitment Cost]]+Table1[[#This Row],[Onboarding Cost]]+Table1[[#This Row],[Training Cost]],0)</f>
        <v>3955</v>
      </c>
    </row>
    <row r="62" spans="1:27" x14ac:dyDescent="0.2">
      <c r="A62" t="str">
        <f t="shared" si="0"/>
        <v>E061</v>
      </c>
      <c r="B62" t="str" cm="1">
        <f t="array" aca="1" ref="B62" ca="1">INDEX(sheet2!$A$2:$A$6, RANDBETWEEN(1, 5))</f>
        <v>Finance</v>
      </c>
      <c r="C62" t="str">
        <f ca="1">_xlfn.XLOOKUP(Table1[[#This Row],[Department]],sheet2!$A$2:$A$6,sheet2!$B$2:$B$6,_xleta.NA,0)</f>
        <v>Finance Manager</v>
      </c>
      <c r="D62" s="1">
        <f t="shared" ca="1" si="1"/>
        <v>44293</v>
      </c>
      <c r="E62" s="1">
        <f ca="1">Table1[[#This Row],[Job Posting Date]]+ RANDBETWEEN(15, 90)</f>
        <v>44372</v>
      </c>
      <c r="F62" s="1">
        <f ca="1">Table1[[#This Row],[Hire Date]]+ RANDBETWEEN(1, 15)</f>
        <v>44376</v>
      </c>
      <c r="G62" s="1">
        <f ca="1">IF(RAND() &lt; 0.5,  Table1[[#This Row],[Join Date]]+ RANDBETWEEN(30, TODAY()- Table1[[#This Row],[Join Date]]), "-")</f>
        <v>44639</v>
      </c>
      <c r="H62" t="str">
        <f ca="1">IF(Table1[[#This Row],[Exit Date]]= "-", "Active", "Exited")</f>
        <v>Exited</v>
      </c>
      <c r="I62" s="5">
        <f t="shared" ca="1" si="2"/>
        <v>4704</v>
      </c>
      <c r="J62" t="str" cm="1">
        <f t="array" aca="1" ref="J62" ca="1">INDEX(sheet2!$C$2:$C$6, RANDBETWEEN(1, 5))</f>
        <v>Communication Skills</v>
      </c>
      <c r="K62" t="str">
        <f t="shared" ca="1" si="3"/>
        <v>Completed</v>
      </c>
      <c r="L62">
        <v>260</v>
      </c>
      <c r="M62">
        <f t="shared" ca="1" si="4"/>
        <v>1</v>
      </c>
      <c r="N62" t="str">
        <f t="shared" ca="1" si="5"/>
        <v>Other</v>
      </c>
      <c r="O62" s="6">
        <f t="shared" ca="1" si="6"/>
        <v>2019</v>
      </c>
      <c r="P62">
        <f ca="1">Table1[[#This Row],[Hire Date]]-Table1[[#This Row],[Job Posting Date]]</f>
        <v>79</v>
      </c>
      <c r="Q62" s="7">
        <f ca="1">Table1[[#This Row],[Join Date]]-Table1[[#This Row],[Hire Date]]</f>
        <v>4</v>
      </c>
      <c r="R62" s="8">
        <f ca="1">(IF(Table1[[#This Row],[Status]]="Exited",Table1[[#This Row],[Exit Date]]-Table1[[#This Row],[Join Date]],TODAY()-Table1[[#This Row],[Join Date]]))/30</f>
        <v>8.7666666666666675</v>
      </c>
      <c r="S62">
        <f ca="1">Table1[[#This Row],[Hire Date]]-Table1[[#This Row],[Job Posting Date]]</f>
        <v>79</v>
      </c>
      <c r="T62" s="7">
        <f ca="1">Table1[[#This Row],[Time to Onboard]]/Table1[[#This Row],[Time to Fill]]*100</f>
        <v>5.0632911392405067</v>
      </c>
      <c r="U62" s="8">
        <f ca="1">Table1[[#This Row],[Time to Onboard]]/Table1[[#This Row],[Time to Fill]]*100</f>
        <v>5.0632911392405067</v>
      </c>
      <c r="V62">
        <f ca="1">Table1[[#This Row],[Join Date]]-Table1[[#This Row],[Job Posting Date]]</f>
        <v>83</v>
      </c>
      <c r="W62">
        <f t="shared" ca="1" si="7"/>
        <v>189</v>
      </c>
      <c r="X62" s="8">
        <f ca="1">Table1[[#This Row],[Absentee Days]]/Table1[[#This Row],[Total Work Days]]*100</f>
        <v>0.38461538461538464</v>
      </c>
      <c r="Y62">
        <f ca="1">YEAR(Table1[[#This Row],[Join Date]])</f>
        <v>2021</v>
      </c>
      <c r="Z62">
        <f ca="1">IF(Table1[[#This Row],[Status]]="Active",1,0)</f>
        <v>0</v>
      </c>
      <c r="AA62">
        <f ca="1">IF(Table1[[#This Row],[Status]]="Exited",Table1[[#This Row],[Recruitment Cost]]+Table1[[#This Row],[Onboarding Cost]]+Table1[[#This Row],[Training Cost]],0)</f>
        <v>6912</v>
      </c>
    </row>
    <row r="63" spans="1:27" x14ac:dyDescent="0.2">
      <c r="A63" t="str">
        <f t="shared" si="0"/>
        <v>E062</v>
      </c>
      <c r="B63" t="str" cm="1">
        <f t="array" aca="1" ref="B63" ca="1">INDEX(sheet2!$A$2:$A$6, RANDBETWEEN(1, 5))</f>
        <v>Analytics</v>
      </c>
      <c r="C63" t="str">
        <f ca="1">_xlfn.XLOOKUP(Table1[[#This Row],[Department]],sheet2!$A$2:$A$6,sheet2!$B$2:$B$6,_xleta.NA,0)</f>
        <v>Data Analyst</v>
      </c>
      <c r="D63" s="1">
        <f t="shared" ca="1" si="1"/>
        <v>44273</v>
      </c>
      <c r="E63" s="1">
        <f ca="1">Table1[[#This Row],[Job Posting Date]]+ RANDBETWEEN(15, 90)</f>
        <v>44356</v>
      </c>
      <c r="F63" s="1">
        <f ca="1">Table1[[#This Row],[Hire Date]]+ RANDBETWEEN(1, 15)</f>
        <v>44365</v>
      </c>
      <c r="G63" s="1" t="str">
        <f ca="1">IF(RAND() &lt; 0.5,  Table1[[#This Row],[Join Date]]+ RANDBETWEEN(30, TODAY()- Table1[[#This Row],[Join Date]]), "-")</f>
        <v>-</v>
      </c>
      <c r="H63" t="str">
        <f ca="1">IF(Table1[[#This Row],[Exit Date]]= "-", "Active", "Exited")</f>
        <v>Active</v>
      </c>
      <c r="I63" s="5">
        <f t="shared" ca="1" si="2"/>
        <v>3684</v>
      </c>
      <c r="J63" t="str" cm="1">
        <f t="array" aca="1" ref="J63" ca="1">INDEX(sheet2!$C$2:$C$6, RANDBETWEEN(1, 5))</f>
        <v>Communication Skills</v>
      </c>
      <c r="K63" t="str">
        <f t="shared" ca="1" si="3"/>
        <v>Not Completed</v>
      </c>
      <c r="L63">
        <v>260</v>
      </c>
      <c r="M63">
        <f t="shared" ca="1" si="4"/>
        <v>14</v>
      </c>
      <c r="N63" t="str">
        <f t="shared" ca="1" si="5"/>
        <v>Male</v>
      </c>
      <c r="O63" s="6">
        <f t="shared" ca="1" si="6"/>
        <v>2076</v>
      </c>
      <c r="P63">
        <f ca="1">Table1[[#This Row],[Hire Date]]-Table1[[#This Row],[Job Posting Date]]</f>
        <v>83</v>
      </c>
      <c r="Q63" s="7">
        <f ca="1">Table1[[#This Row],[Join Date]]-Table1[[#This Row],[Hire Date]]</f>
        <v>9</v>
      </c>
      <c r="R63" s="8">
        <f ca="1">(IF(Table1[[#This Row],[Status]]="Exited",Table1[[#This Row],[Exit Date]]-Table1[[#This Row],[Join Date]],TODAY()-Table1[[#This Row],[Join Date]]))/30</f>
        <v>43.93333333333333</v>
      </c>
      <c r="S63">
        <f ca="1">Table1[[#This Row],[Hire Date]]-Table1[[#This Row],[Job Posting Date]]</f>
        <v>83</v>
      </c>
      <c r="T63" s="7">
        <f ca="1">Table1[[#This Row],[Time to Onboard]]/Table1[[#This Row],[Time to Fill]]*100</f>
        <v>10.843373493975903</v>
      </c>
      <c r="U63" s="8">
        <f ca="1">Table1[[#This Row],[Time to Onboard]]/Table1[[#This Row],[Time to Fill]]*100</f>
        <v>10.843373493975903</v>
      </c>
      <c r="V63">
        <f ca="1">Table1[[#This Row],[Join Date]]-Table1[[#This Row],[Job Posting Date]]</f>
        <v>92</v>
      </c>
      <c r="W63">
        <f t="shared" ca="1" si="7"/>
        <v>152</v>
      </c>
      <c r="X63" s="8">
        <f ca="1">Table1[[#This Row],[Absentee Days]]/Table1[[#This Row],[Total Work Days]]*100</f>
        <v>5.384615384615385</v>
      </c>
      <c r="Y63">
        <f ca="1">YEAR(Table1[[#This Row],[Join Date]])</f>
        <v>2021</v>
      </c>
      <c r="Z63">
        <f ca="1">IF(Table1[[#This Row],[Status]]="Active",1,0)</f>
        <v>1</v>
      </c>
      <c r="AA63">
        <f ca="1">IF(Table1[[#This Row],[Status]]="Exited",Table1[[#This Row],[Recruitment Cost]]+Table1[[#This Row],[Onboarding Cost]]+Table1[[#This Row],[Training Cost]],0)</f>
        <v>0</v>
      </c>
    </row>
    <row r="64" spans="1:27" x14ac:dyDescent="0.2">
      <c r="A64" t="str">
        <f t="shared" si="0"/>
        <v>E063</v>
      </c>
      <c r="B64" t="str" cm="1">
        <f t="array" aca="1" ref="B64" ca="1">INDEX(sheet2!$A$2:$A$6, RANDBETWEEN(1, 5))</f>
        <v>Analytics</v>
      </c>
      <c r="C64" t="str">
        <f ca="1">_xlfn.XLOOKUP(Table1[[#This Row],[Department]],sheet2!$A$2:$A$6,sheet2!$B$2:$B$6,_xleta.NA,0)</f>
        <v>Data Analyst</v>
      </c>
      <c r="D64" s="1">
        <f t="shared" ca="1" si="1"/>
        <v>43487</v>
      </c>
      <c r="E64" s="1">
        <f ca="1">Table1[[#This Row],[Job Posting Date]]+ RANDBETWEEN(15, 90)</f>
        <v>43517</v>
      </c>
      <c r="F64" s="1">
        <f ca="1">Table1[[#This Row],[Hire Date]]+ RANDBETWEEN(1, 15)</f>
        <v>43518</v>
      </c>
      <c r="G64" s="1" t="str">
        <f ca="1">IF(RAND() &lt; 0.5,  Table1[[#This Row],[Join Date]]+ RANDBETWEEN(30, TODAY()- Table1[[#This Row],[Join Date]]), "-")</f>
        <v>-</v>
      </c>
      <c r="H64" t="str">
        <f ca="1">IF(Table1[[#This Row],[Exit Date]]= "-", "Active", "Exited")</f>
        <v>Active</v>
      </c>
      <c r="I64" s="5">
        <f t="shared" ca="1" si="2"/>
        <v>1761</v>
      </c>
      <c r="J64" t="str" cm="1">
        <f t="array" aca="1" ref="J64" ca="1">INDEX(sheet2!$C$2:$C$6, RANDBETWEEN(1, 5))</f>
        <v>Communication Skills</v>
      </c>
      <c r="K64" t="str">
        <f t="shared" ca="1" si="3"/>
        <v>Completed</v>
      </c>
      <c r="L64">
        <v>260</v>
      </c>
      <c r="M64">
        <f t="shared" ca="1" si="4"/>
        <v>4</v>
      </c>
      <c r="N64" t="str">
        <f t="shared" ca="1" si="5"/>
        <v>Male</v>
      </c>
      <c r="O64" s="6">
        <f t="shared" ca="1" si="6"/>
        <v>2408</v>
      </c>
      <c r="P64">
        <f ca="1">Table1[[#This Row],[Hire Date]]-Table1[[#This Row],[Job Posting Date]]</f>
        <v>30</v>
      </c>
      <c r="Q64" s="7">
        <f ca="1">Table1[[#This Row],[Join Date]]-Table1[[#This Row],[Hire Date]]</f>
        <v>1</v>
      </c>
      <c r="R64" s="8">
        <f ca="1">(IF(Table1[[#This Row],[Status]]="Exited",Table1[[#This Row],[Exit Date]]-Table1[[#This Row],[Join Date]],TODAY()-Table1[[#This Row],[Join Date]]))/30</f>
        <v>72.166666666666671</v>
      </c>
      <c r="S64">
        <f ca="1">Table1[[#This Row],[Hire Date]]-Table1[[#This Row],[Job Posting Date]]</f>
        <v>30</v>
      </c>
      <c r="T64" s="7">
        <f ca="1">Table1[[#This Row],[Time to Onboard]]/Table1[[#This Row],[Time to Fill]]*100</f>
        <v>3.3333333333333335</v>
      </c>
      <c r="U64" s="8">
        <f ca="1">Table1[[#This Row],[Time to Onboard]]/Table1[[#This Row],[Time to Fill]]*100</f>
        <v>3.3333333333333335</v>
      </c>
      <c r="V64">
        <f ca="1">Table1[[#This Row],[Join Date]]-Table1[[#This Row],[Job Posting Date]]</f>
        <v>31</v>
      </c>
      <c r="W64">
        <f t="shared" ca="1" si="7"/>
        <v>104</v>
      </c>
      <c r="X64" s="8">
        <f ca="1">Table1[[#This Row],[Absentee Days]]/Table1[[#This Row],[Total Work Days]]*100</f>
        <v>1.5384615384615385</v>
      </c>
      <c r="Y64">
        <f ca="1">YEAR(Table1[[#This Row],[Join Date]])</f>
        <v>2019</v>
      </c>
      <c r="Z64">
        <f ca="1">IF(Table1[[#This Row],[Status]]="Active",1,0)</f>
        <v>1</v>
      </c>
      <c r="AA64">
        <f ca="1">IF(Table1[[#This Row],[Status]]="Exited",Table1[[#This Row],[Recruitment Cost]]+Table1[[#This Row],[Onboarding Cost]]+Table1[[#This Row],[Training Cost]],0)</f>
        <v>0</v>
      </c>
    </row>
    <row r="65" spans="1:27" x14ac:dyDescent="0.2">
      <c r="A65" t="str">
        <f t="shared" si="0"/>
        <v>E064</v>
      </c>
      <c r="B65" t="str" cm="1">
        <f t="array" aca="1" ref="B65" ca="1">INDEX(sheet2!$A$2:$A$6, RANDBETWEEN(1, 5))</f>
        <v>Finance</v>
      </c>
      <c r="C65" t="str">
        <f ca="1">_xlfn.XLOOKUP(Table1[[#This Row],[Department]],sheet2!$A$2:$A$6,sheet2!$B$2:$B$6,_xleta.NA,0)</f>
        <v>Finance Manager</v>
      </c>
      <c r="D65" s="1">
        <f t="shared" ca="1" si="1"/>
        <v>44635</v>
      </c>
      <c r="E65" s="1">
        <f ca="1">Table1[[#This Row],[Job Posting Date]]+ RANDBETWEEN(15, 90)</f>
        <v>44693</v>
      </c>
      <c r="F65" s="1">
        <f ca="1">Table1[[#This Row],[Hire Date]]+ RANDBETWEEN(1, 15)</f>
        <v>44706</v>
      </c>
      <c r="G65" s="1">
        <f ca="1">IF(RAND() &lt; 0.5,  Table1[[#This Row],[Join Date]]+ RANDBETWEEN(30, TODAY()- Table1[[#This Row],[Join Date]]), "-")</f>
        <v>45110</v>
      </c>
      <c r="H65" t="str">
        <f ca="1">IF(Table1[[#This Row],[Exit Date]]= "-", "Active", "Exited")</f>
        <v>Exited</v>
      </c>
      <c r="I65" s="5">
        <f t="shared" ca="1" si="2"/>
        <v>2309</v>
      </c>
      <c r="J65" t="str" cm="1">
        <f t="array" aca="1" ref="J65" ca="1">INDEX(sheet2!$C$2:$C$6, RANDBETWEEN(1, 5))</f>
        <v>Communication Skills</v>
      </c>
      <c r="K65" t="str">
        <f t="shared" ca="1" si="3"/>
        <v>Completed</v>
      </c>
      <c r="L65">
        <v>260</v>
      </c>
      <c r="M65">
        <f t="shared" ca="1" si="4"/>
        <v>9</v>
      </c>
      <c r="N65" t="str">
        <f t="shared" ca="1" si="5"/>
        <v>Other</v>
      </c>
      <c r="O65" s="6">
        <f t="shared" ca="1" si="6"/>
        <v>2496</v>
      </c>
      <c r="P65">
        <f ca="1">Table1[[#This Row],[Hire Date]]-Table1[[#This Row],[Job Posting Date]]</f>
        <v>58</v>
      </c>
      <c r="Q65" s="7">
        <f ca="1">Table1[[#This Row],[Join Date]]-Table1[[#This Row],[Hire Date]]</f>
        <v>13</v>
      </c>
      <c r="R65" s="8">
        <f ca="1">(IF(Table1[[#This Row],[Status]]="Exited",Table1[[#This Row],[Exit Date]]-Table1[[#This Row],[Join Date]],TODAY()-Table1[[#This Row],[Join Date]]))/30</f>
        <v>13.466666666666667</v>
      </c>
      <c r="S65">
        <f ca="1">Table1[[#This Row],[Hire Date]]-Table1[[#This Row],[Job Posting Date]]</f>
        <v>58</v>
      </c>
      <c r="T65" s="7">
        <f ca="1">Table1[[#This Row],[Time to Onboard]]/Table1[[#This Row],[Time to Fill]]*100</f>
        <v>22.413793103448278</v>
      </c>
      <c r="U65" s="8">
        <f ca="1">Table1[[#This Row],[Time to Onboard]]/Table1[[#This Row],[Time to Fill]]*100</f>
        <v>22.413793103448278</v>
      </c>
      <c r="V65">
        <f ca="1">Table1[[#This Row],[Join Date]]-Table1[[#This Row],[Job Posting Date]]</f>
        <v>71</v>
      </c>
      <c r="W65">
        <f t="shared" ca="1" si="7"/>
        <v>188</v>
      </c>
      <c r="X65" s="8">
        <f ca="1">Table1[[#This Row],[Absentee Days]]/Table1[[#This Row],[Total Work Days]]*100</f>
        <v>3.4615384615384617</v>
      </c>
      <c r="Y65">
        <f ca="1">YEAR(Table1[[#This Row],[Join Date]])</f>
        <v>2022</v>
      </c>
      <c r="Z65">
        <f ca="1">IF(Table1[[#This Row],[Status]]="Active",1,0)</f>
        <v>0</v>
      </c>
      <c r="AA65">
        <f ca="1">IF(Table1[[#This Row],[Status]]="Exited",Table1[[#This Row],[Recruitment Cost]]+Table1[[#This Row],[Onboarding Cost]]+Table1[[#This Row],[Training Cost]],0)</f>
        <v>4993</v>
      </c>
    </row>
    <row r="66" spans="1:27" x14ac:dyDescent="0.2">
      <c r="A66" t="str">
        <f t="shared" ref="A66:A129" si="8">"E" &amp; TEXT(ROW(A65), "000")</f>
        <v>E065</v>
      </c>
      <c r="B66" t="str" cm="1">
        <f t="array" aca="1" ref="B66" ca="1">INDEX(sheet2!$A$2:$A$6, RANDBETWEEN(1, 5))</f>
        <v>Finance</v>
      </c>
      <c r="C66" t="str">
        <f ca="1">_xlfn.XLOOKUP(Table1[[#This Row],[Department]],sheet2!$A$2:$A$6,sheet2!$B$2:$B$6,_xleta.NA,0)</f>
        <v>Finance Manager</v>
      </c>
      <c r="D66" s="1">
        <f t="shared" ref="D66:D129" ca="1" si="9">DATE(RANDBETWEEN(2018, 2022), RANDBETWEEN(1, 12), RANDBETWEEN(1, 28))</f>
        <v>43344</v>
      </c>
      <c r="E66" s="1">
        <f ca="1">Table1[[#This Row],[Job Posting Date]]+ RANDBETWEEN(15, 90)</f>
        <v>43430</v>
      </c>
      <c r="F66" s="1">
        <f ca="1">Table1[[#This Row],[Hire Date]]+ RANDBETWEEN(1, 15)</f>
        <v>43444</v>
      </c>
      <c r="G66" s="1">
        <f ca="1">IF(RAND() &lt; 0.5,  Table1[[#This Row],[Join Date]]+ RANDBETWEEN(30, TODAY()- Table1[[#This Row],[Join Date]]), "-")</f>
        <v>44148</v>
      </c>
      <c r="H66" t="str">
        <f ca="1">IF(Table1[[#This Row],[Exit Date]]= "-", "Active", "Exited")</f>
        <v>Exited</v>
      </c>
      <c r="I66" s="5">
        <f t="shared" ref="I66:I129" ca="1" si="10">RANDBETWEEN(1500, 5000)</f>
        <v>2662</v>
      </c>
      <c r="J66" t="str" cm="1">
        <f t="array" aca="1" ref="J66" ca="1">INDEX(sheet2!$C$2:$C$6, RANDBETWEEN(1, 5))</f>
        <v>Advanced Excel Skills </v>
      </c>
      <c r="K66" t="str">
        <f t="shared" ref="K66:K129" ca="1" si="11">IF(RAND() &lt; 0.7, "Completed", "Not Completed")</f>
        <v>Completed</v>
      </c>
      <c r="L66">
        <v>260</v>
      </c>
      <c r="M66">
        <f t="shared" ref="M66:M129" ca="1" si="12">RANDBETWEEN(0, 20)</f>
        <v>20</v>
      </c>
      <c r="N66" t="str">
        <f t="shared" ref="N66:N129" ca="1" si="13">CHOOSE(RANDBETWEEN(1, 3), "Male", "Female", "Other")</f>
        <v>Female</v>
      </c>
      <c r="O66" s="6">
        <f t="shared" ref="O66:O129" ca="1" si="14">RANDBETWEEN(1200, 2500)</f>
        <v>1903</v>
      </c>
      <c r="P66">
        <f ca="1">Table1[[#This Row],[Hire Date]]-Table1[[#This Row],[Job Posting Date]]</f>
        <v>86</v>
      </c>
      <c r="Q66" s="7">
        <f ca="1">Table1[[#This Row],[Join Date]]-Table1[[#This Row],[Hire Date]]</f>
        <v>14</v>
      </c>
      <c r="R66" s="8">
        <f ca="1">(IF(Table1[[#This Row],[Status]]="Exited",Table1[[#This Row],[Exit Date]]-Table1[[#This Row],[Join Date]],TODAY()-Table1[[#This Row],[Join Date]]))/30</f>
        <v>23.466666666666665</v>
      </c>
      <c r="S66">
        <f ca="1">Table1[[#This Row],[Hire Date]]-Table1[[#This Row],[Job Posting Date]]</f>
        <v>86</v>
      </c>
      <c r="T66" s="7">
        <f ca="1">Table1[[#This Row],[Time to Onboard]]/Table1[[#This Row],[Time to Fill]]*100</f>
        <v>16.279069767441861</v>
      </c>
      <c r="U66" s="8">
        <f ca="1">Table1[[#This Row],[Time to Onboard]]/Table1[[#This Row],[Time to Fill]]*100</f>
        <v>16.279069767441861</v>
      </c>
      <c r="V66">
        <f ca="1">Table1[[#This Row],[Join Date]]-Table1[[#This Row],[Job Posting Date]]</f>
        <v>100</v>
      </c>
      <c r="W66">
        <f t="shared" ref="W66:W129" ca="1" si="15">RANDBETWEEN(100,200)</f>
        <v>183</v>
      </c>
      <c r="X66" s="8">
        <f ca="1">Table1[[#This Row],[Absentee Days]]/Table1[[#This Row],[Total Work Days]]*100</f>
        <v>7.6923076923076925</v>
      </c>
      <c r="Y66">
        <f ca="1">YEAR(Table1[[#This Row],[Join Date]])</f>
        <v>2018</v>
      </c>
      <c r="Z66">
        <f ca="1">IF(Table1[[#This Row],[Status]]="Active",1,0)</f>
        <v>0</v>
      </c>
      <c r="AA66">
        <f ca="1">IF(Table1[[#This Row],[Status]]="Exited",Table1[[#This Row],[Recruitment Cost]]+Table1[[#This Row],[Onboarding Cost]]+Table1[[#This Row],[Training Cost]],0)</f>
        <v>4748</v>
      </c>
    </row>
    <row r="67" spans="1:27" x14ac:dyDescent="0.2">
      <c r="A67" t="str">
        <f t="shared" si="8"/>
        <v>E066</v>
      </c>
      <c r="B67" t="str" cm="1">
        <f t="array" aca="1" ref="B67" ca="1">INDEX(sheet2!$A$2:$A$6, RANDBETWEEN(1, 5))</f>
        <v>Sales</v>
      </c>
      <c r="C67" t="str">
        <f ca="1">_xlfn.XLOOKUP(Table1[[#This Row],[Department]],sheet2!$A$2:$A$6,sheet2!$B$2:$B$6,_xleta.NA,0)</f>
        <v>Marketing Manager</v>
      </c>
      <c r="D67" s="1">
        <f t="shared" ca="1" si="9"/>
        <v>44039</v>
      </c>
      <c r="E67" s="1">
        <f ca="1">Table1[[#This Row],[Job Posting Date]]+ RANDBETWEEN(15, 90)</f>
        <v>44107</v>
      </c>
      <c r="F67" s="1">
        <f ca="1">Table1[[#This Row],[Hire Date]]+ RANDBETWEEN(1, 15)</f>
        <v>44117</v>
      </c>
      <c r="G67" s="1">
        <f ca="1">IF(RAND() &lt; 0.5,  Table1[[#This Row],[Join Date]]+ RANDBETWEEN(30, TODAY()- Table1[[#This Row],[Join Date]]), "-")</f>
        <v>44326</v>
      </c>
      <c r="H67" t="str">
        <f ca="1">IF(Table1[[#This Row],[Exit Date]]= "-", "Active", "Exited")</f>
        <v>Exited</v>
      </c>
      <c r="I67" s="5">
        <f t="shared" ca="1" si="10"/>
        <v>3884</v>
      </c>
      <c r="J67" t="str" cm="1">
        <f t="array" aca="1" ref="J67" ca="1">INDEX(sheet2!$C$2:$C$6, RANDBETWEEN(1, 5))</f>
        <v>Leadership Development</v>
      </c>
      <c r="K67" t="str">
        <f t="shared" ca="1" si="11"/>
        <v>Completed</v>
      </c>
      <c r="L67">
        <v>260</v>
      </c>
      <c r="M67">
        <f t="shared" ca="1" si="12"/>
        <v>10</v>
      </c>
      <c r="N67" t="str">
        <f t="shared" ca="1" si="13"/>
        <v>Male</v>
      </c>
      <c r="O67" s="6">
        <f t="shared" ca="1" si="14"/>
        <v>1702</v>
      </c>
      <c r="P67">
        <f ca="1">Table1[[#This Row],[Hire Date]]-Table1[[#This Row],[Job Posting Date]]</f>
        <v>68</v>
      </c>
      <c r="Q67" s="7">
        <f ca="1">Table1[[#This Row],[Join Date]]-Table1[[#This Row],[Hire Date]]</f>
        <v>10</v>
      </c>
      <c r="R67" s="8">
        <f ca="1">(IF(Table1[[#This Row],[Status]]="Exited",Table1[[#This Row],[Exit Date]]-Table1[[#This Row],[Join Date]],TODAY()-Table1[[#This Row],[Join Date]]))/30</f>
        <v>6.9666666666666668</v>
      </c>
      <c r="S67">
        <f ca="1">Table1[[#This Row],[Hire Date]]-Table1[[#This Row],[Job Posting Date]]</f>
        <v>68</v>
      </c>
      <c r="T67" s="7">
        <f ca="1">Table1[[#This Row],[Time to Onboard]]/Table1[[#This Row],[Time to Fill]]*100</f>
        <v>14.705882352941178</v>
      </c>
      <c r="U67" s="8">
        <f ca="1">Table1[[#This Row],[Time to Onboard]]/Table1[[#This Row],[Time to Fill]]*100</f>
        <v>14.705882352941178</v>
      </c>
      <c r="V67">
        <f ca="1">Table1[[#This Row],[Join Date]]-Table1[[#This Row],[Job Posting Date]]</f>
        <v>78</v>
      </c>
      <c r="W67">
        <f t="shared" ca="1" si="15"/>
        <v>156</v>
      </c>
      <c r="X67" s="8">
        <f ca="1">Table1[[#This Row],[Absentee Days]]/Table1[[#This Row],[Total Work Days]]*100</f>
        <v>3.8461538461538463</v>
      </c>
      <c r="Y67">
        <f ca="1">YEAR(Table1[[#This Row],[Join Date]])</f>
        <v>2020</v>
      </c>
      <c r="Z67">
        <f ca="1">IF(Table1[[#This Row],[Status]]="Active",1,0)</f>
        <v>0</v>
      </c>
      <c r="AA67">
        <f ca="1">IF(Table1[[#This Row],[Status]]="Exited",Table1[[#This Row],[Recruitment Cost]]+Table1[[#This Row],[Onboarding Cost]]+Table1[[#This Row],[Training Cost]],0)</f>
        <v>5742</v>
      </c>
    </row>
    <row r="68" spans="1:27" x14ac:dyDescent="0.2">
      <c r="A68" t="str">
        <f t="shared" si="8"/>
        <v>E067</v>
      </c>
      <c r="B68" t="str" cm="1">
        <f t="array" aca="1" ref="B68" ca="1">INDEX(sheet2!$A$2:$A$6, RANDBETWEEN(1, 5))</f>
        <v>HR</v>
      </c>
      <c r="C68" t="str">
        <f ca="1">_xlfn.XLOOKUP(Table1[[#This Row],[Department]],sheet2!$A$2:$A$6,sheet2!$B$2:$B$6,_xleta.NA,0)</f>
        <v>HR Manager</v>
      </c>
      <c r="D68" s="1">
        <f t="shared" ca="1" si="9"/>
        <v>43864</v>
      </c>
      <c r="E68" s="1">
        <f ca="1">Table1[[#This Row],[Job Posting Date]]+ RANDBETWEEN(15, 90)</f>
        <v>43938</v>
      </c>
      <c r="F68" s="1">
        <f ca="1">Table1[[#This Row],[Hire Date]]+ RANDBETWEEN(1, 15)</f>
        <v>43950</v>
      </c>
      <c r="G68" s="1">
        <f ca="1">IF(RAND() &lt; 0.5,  Table1[[#This Row],[Join Date]]+ RANDBETWEEN(30, TODAY()- Table1[[#This Row],[Join Date]]), "-")</f>
        <v>44187</v>
      </c>
      <c r="H68" t="str">
        <f ca="1">IF(Table1[[#This Row],[Exit Date]]= "-", "Active", "Exited")</f>
        <v>Exited</v>
      </c>
      <c r="I68" s="5">
        <f t="shared" ca="1" si="10"/>
        <v>2345</v>
      </c>
      <c r="J68" t="str" cm="1">
        <f t="array" aca="1" ref="J68" ca="1">INDEX(sheet2!$C$2:$C$6, RANDBETWEEN(1, 5))</f>
        <v>Ethics and Responsibilities</v>
      </c>
      <c r="K68" t="str">
        <f t="shared" ca="1" si="11"/>
        <v>Completed</v>
      </c>
      <c r="L68">
        <v>260</v>
      </c>
      <c r="M68">
        <f t="shared" ca="1" si="12"/>
        <v>0</v>
      </c>
      <c r="N68" t="str">
        <f t="shared" ca="1" si="13"/>
        <v>Male</v>
      </c>
      <c r="O68" s="6">
        <f t="shared" ca="1" si="14"/>
        <v>1260</v>
      </c>
      <c r="P68">
        <f ca="1">Table1[[#This Row],[Hire Date]]-Table1[[#This Row],[Job Posting Date]]</f>
        <v>74</v>
      </c>
      <c r="Q68" s="7">
        <f ca="1">Table1[[#This Row],[Join Date]]-Table1[[#This Row],[Hire Date]]</f>
        <v>12</v>
      </c>
      <c r="R68" s="8">
        <f ca="1">(IF(Table1[[#This Row],[Status]]="Exited",Table1[[#This Row],[Exit Date]]-Table1[[#This Row],[Join Date]],TODAY()-Table1[[#This Row],[Join Date]]))/30</f>
        <v>7.9</v>
      </c>
      <c r="S68">
        <f ca="1">Table1[[#This Row],[Hire Date]]-Table1[[#This Row],[Job Posting Date]]</f>
        <v>74</v>
      </c>
      <c r="T68" s="7">
        <f ca="1">Table1[[#This Row],[Time to Onboard]]/Table1[[#This Row],[Time to Fill]]*100</f>
        <v>16.216216216216218</v>
      </c>
      <c r="U68" s="8">
        <f ca="1">Table1[[#This Row],[Time to Onboard]]/Table1[[#This Row],[Time to Fill]]*100</f>
        <v>16.216216216216218</v>
      </c>
      <c r="V68">
        <f ca="1">Table1[[#This Row],[Join Date]]-Table1[[#This Row],[Job Posting Date]]</f>
        <v>86</v>
      </c>
      <c r="W68">
        <f t="shared" ca="1" si="15"/>
        <v>162</v>
      </c>
      <c r="X68" s="8">
        <f ca="1">Table1[[#This Row],[Absentee Days]]/Table1[[#This Row],[Total Work Days]]*100</f>
        <v>0</v>
      </c>
      <c r="Y68">
        <f ca="1">YEAR(Table1[[#This Row],[Join Date]])</f>
        <v>2020</v>
      </c>
      <c r="Z68">
        <f ca="1">IF(Table1[[#This Row],[Status]]="Active",1,0)</f>
        <v>0</v>
      </c>
      <c r="AA68">
        <f ca="1">IF(Table1[[#This Row],[Status]]="Exited",Table1[[#This Row],[Recruitment Cost]]+Table1[[#This Row],[Onboarding Cost]]+Table1[[#This Row],[Training Cost]],0)</f>
        <v>3767</v>
      </c>
    </row>
    <row r="69" spans="1:27" x14ac:dyDescent="0.2">
      <c r="A69" t="str">
        <f t="shared" si="8"/>
        <v>E068</v>
      </c>
      <c r="B69" t="str" cm="1">
        <f t="array" aca="1" ref="B69" ca="1">INDEX(sheet2!$A$2:$A$6, RANDBETWEEN(1, 5))</f>
        <v>IT</v>
      </c>
      <c r="C69" t="str">
        <f ca="1">_xlfn.XLOOKUP(Table1[[#This Row],[Department]],sheet2!$A$2:$A$6,sheet2!$B$2:$B$6,_xleta.NA,0)</f>
        <v>Software Engineer</v>
      </c>
      <c r="D69" s="1">
        <f t="shared" ca="1" si="9"/>
        <v>43720</v>
      </c>
      <c r="E69" s="1">
        <f ca="1">Table1[[#This Row],[Job Posting Date]]+ RANDBETWEEN(15, 90)</f>
        <v>43768</v>
      </c>
      <c r="F69" s="1">
        <f ca="1">Table1[[#This Row],[Hire Date]]+ RANDBETWEEN(1, 15)</f>
        <v>43781</v>
      </c>
      <c r="G69" s="1">
        <f ca="1">IF(RAND() &lt; 0.5,  Table1[[#This Row],[Join Date]]+ RANDBETWEEN(30, TODAY()- Table1[[#This Row],[Join Date]]), "-")</f>
        <v>44008</v>
      </c>
      <c r="H69" t="str">
        <f ca="1">IF(Table1[[#This Row],[Exit Date]]= "-", "Active", "Exited")</f>
        <v>Exited</v>
      </c>
      <c r="I69" s="5">
        <f t="shared" ca="1" si="10"/>
        <v>4859</v>
      </c>
      <c r="J69" t="str" cm="1">
        <f t="array" aca="1" ref="J69" ca="1">INDEX(sheet2!$C$2:$C$6, RANDBETWEEN(1, 5))</f>
        <v>Advanced Excel Skills </v>
      </c>
      <c r="K69" t="str">
        <f t="shared" ca="1" si="11"/>
        <v>Not Completed</v>
      </c>
      <c r="L69">
        <v>260</v>
      </c>
      <c r="M69">
        <f t="shared" ca="1" si="12"/>
        <v>7</v>
      </c>
      <c r="N69" t="str">
        <f t="shared" ca="1" si="13"/>
        <v>Male</v>
      </c>
      <c r="O69" s="6">
        <f t="shared" ca="1" si="14"/>
        <v>2345</v>
      </c>
      <c r="P69">
        <f ca="1">Table1[[#This Row],[Hire Date]]-Table1[[#This Row],[Job Posting Date]]</f>
        <v>48</v>
      </c>
      <c r="Q69" s="7">
        <f ca="1">Table1[[#This Row],[Join Date]]-Table1[[#This Row],[Hire Date]]</f>
        <v>13</v>
      </c>
      <c r="R69" s="8">
        <f ca="1">(IF(Table1[[#This Row],[Status]]="Exited",Table1[[#This Row],[Exit Date]]-Table1[[#This Row],[Join Date]],TODAY()-Table1[[#This Row],[Join Date]]))/30</f>
        <v>7.5666666666666664</v>
      </c>
      <c r="S69">
        <f ca="1">Table1[[#This Row],[Hire Date]]-Table1[[#This Row],[Job Posting Date]]</f>
        <v>48</v>
      </c>
      <c r="T69" s="7">
        <f ca="1">Table1[[#This Row],[Time to Onboard]]/Table1[[#This Row],[Time to Fill]]*100</f>
        <v>27.083333333333332</v>
      </c>
      <c r="U69" s="8">
        <f ca="1">Table1[[#This Row],[Time to Onboard]]/Table1[[#This Row],[Time to Fill]]*100</f>
        <v>27.083333333333332</v>
      </c>
      <c r="V69">
        <f ca="1">Table1[[#This Row],[Join Date]]-Table1[[#This Row],[Job Posting Date]]</f>
        <v>61</v>
      </c>
      <c r="W69">
        <f t="shared" ca="1" si="15"/>
        <v>186</v>
      </c>
      <c r="X69" s="8">
        <f ca="1">Table1[[#This Row],[Absentee Days]]/Table1[[#This Row],[Total Work Days]]*100</f>
        <v>2.6923076923076925</v>
      </c>
      <c r="Y69">
        <f ca="1">YEAR(Table1[[#This Row],[Join Date]])</f>
        <v>2019</v>
      </c>
      <c r="Z69">
        <f ca="1">IF(Table1[[#This Row],[Status]]="Active",1,0)</f>
        <v>0</v>
      </c>
      <c r="AA69">
        <f ca="1">IF(Table1[[#This Row],[Status]]="Exited",Table1[[#This Row],[Recruitment Cost]]+Table1[[#This Row],[Onboarding Cost]]+Table1[[#This Row],[Training Cost]],0)</f>
        <v>7390</v>
      </c>
    </row>
    <row r="70" spans="1:27" x14ac:dyDescent="0.2">
      <c r="A70" t="str">
        <f t="shared" si="8"/>
        <v>E069</v>
      </c>
      <c r="B70" t="str" cm="1">
        <f t="array" aca="1" ref="B70" ca="1">INDEX(sheet2!$A$2:$A$6, RANDBETWEEN(1, 5))</f>
        <v>Finance</v>
      </c>
      <c r="C70" t="str">
        <f ca="1">_xlfn.XLOOKUP(Table1[[#This Row],[Department]],sheet2!$A$2:$A$6,sheet2!$B$2:$B$6,_xleta.NA,0)</f>
        <v>Finance Manager</v>
      </c>
      <c r="D70" s="1">
        <f t="shared" ca="1" si="9"/>
        <v>43821</v>
      </c>
      <c r="E70" s="1">
        <f ca="1">Table1[[#This Row],[Job Posting Date]]+ RANDBETWEEN(15, 90)</f>
        <v>43866</v>
      </c>
      <c r="F70" s="1">
        <f ca="1">Table1[[#This Row],[Hire Date]]+ RANDBETWEEN(1, 15)</f>
        <v>43871</v>
      </c>
      <c r="G70" s="1" t="str">
        <f ca="1">IF(RAND() &lt; 0.5,  Table1[[#This Row],[Join Date]]+ RANDBETWEEN(30, TODAY()- Table1[[#This Row],[Join Date]]), "-")</f>
        <v>-</v>
      </c>
      <c r="H70" t="str">
        <f ca="1">IF(Table1[[#This Row],[Exit Date]]= "-", "Active", "Exited")</f>
        <v>Active</v>
      </c>
      <c r="I70" s="5">
        <f t="shared" ca="1" si="10"/>
        <v>4820</v>
      </c>
      <c r="J70" t="str" cm="1">
        <f t="array" aca="1" ref="J70" ca="1">INDEX(sheet2!$C$2:$C$6, RANDBETWEEN(1, 5))</f>
        <v>Conflict Resolution</v>
      </c>
      <c r="K70" t="str">
        <f t="shared" ca="1" si="11"/>
        <v>Completed</v>
      </c>
      <c r="L70">
        <v>260</v>
      </c>
      <c r="M70">
        <f t="shared" ca="1" si="12"/>
        <v>5</v>
      </c>
      <c r="N70" t="str">
        <f t="shared" ca="1" si="13"/>
        <v>Other</v>
      </c>
      <c r="O70" s="6">
        <f t="shared" ca="1" si="14"/>
        <v>1998</v>
      </c>
      <c r="P70">
        <f ca="1">Table1[[#This Row],[Hire Date]]-Table1[[#This Row],[Job Posting Date]]</f>
        <v>45</v>
      </c>
      <c r="Q70" s="7">
        <f ca="1">Table1[[#This Row],[Join Date]]-Table1[[#This Row],[Hire Date]]</f>
        <v>5</v>
      </c>
      <c r="R70" s="8">
        <f ca="1">(IF(Table1[[#This Row],[Status]]="Exited",Table1[[#This Row],[Exit Date]]-Table1[[#This Row],[Join Date]],TODAY()-Table1[[#This Row],[Join Date]]))/30</f>
        <v>60.4</v>
      </c>
      <c r="S70">
        <f ca="1">Table1[[#This Row],[Hire Date]]-Table1[[#This Row],[Job Posting Date]]</f>
        <v>45</v>
      </c>
      <c r="T70" s="7">
        <f ca="1">Table1[[#This Row],[Time to Onboard]]/Table1[[#This Row],[Time to Fill]]*100</f>
        <v>11.111111111111111</v>
      </c>
      <c r="U70" s="8">
        <f ca="1">Table1[[#This Row],[Time to Onboard]]/Table1[[#This Row],[Time to Fill]]*100</f>
        <v>11.111111111111111</v>
      </c>
      <c r="V70">
        <f ca="1">Table1[[#This Row],[Join Date]]-Table1[[#This Row],[Job Posting Date]]</f>
        <v>50</v>
      </c>
      <c r="W70">
        <f t="shared" ca="1" si="15"/>
        <v>151</v>
      </c>
      <c r="X70" s="8">
        <f ca="1">Table1[[#This Row],[Absentee Days]]/Table1[[#This Row],[Total Work Days]]*100</f>
        <v>1.9230769230769231</v>
      </c>
      <c r="Y70">
        <f ca="1">YEAR(Table1[[#This Row],[Join Date]])</f>
        <v>2020</v>
      </c>
      <c r="Z70">
        <f ca="1">IF(Table1[[#This Row],[Status]]="Active",1,0)</f>
        <v>1</v>
      </c>
      <c r="AA70">
        <f ca="1">IF(Table1[[#This Row],[Status]]="Exited",Table1[[#This Row],[Recruitment Cost]]+Table1[[#This Row],[Onboarding Cost]]+Table1[[#This Row],[Training Cost]],0)</f>
        <v>0</v>
      </c>
    </row>
    <row r="71" spans="1:27" x14ac:dyDescent="0.2">
      <c r="A71" t="str">
        <f t="shared" si="8"/>
        <v>E070</v>
      </c>
      <c r="B71" t="str" cm="1">
        <f t="array" aca="1" ref="B71" ca="1">INDEX(sheet2!$A$2:$A$6, RANDBETWEEN(1, 5))</f>
        <v>Analytics</v>
      </c>
      <c r="C71" t="str">
        <f ca="1">_xlfn.XLOOKUP(Table1[[#This Row],[Department]],sheet2!$A$2:$A$6,sheet2!$B$2:$B$6,_xleta.NA,0)</f>
        <v>Data Analyst</v>
      </c>
      <c r="D71" s="1">
        <f t="shared" ca="1" si="9"/>
        <v>44221</v>
      </c>
      <c r="E71" s="1">
        <f ca="1">Table1[[#This Row],[Job Posting Date]]+ RANDBETWEEN(15, 90)</f>
        <v>44296</v>
      </c>
      <c r="F71" s="1">
        <f ca="1">Table1[[#This Row],[Hire Date]]+ RANDBETWEEN(1, 15)</f>
        <v>44310</v>
      </c>
      <c r="G71" s="1">
        <f ca="1">IF(RAND() &lt; 0.5,  Table1[[#This Row],[Join Date]]+ RANDBETWEEN(30, TODAY()- Table1[[#This Row],[Join Date]]), "-")</f>
        <v>45327</v>
      </c>
      <c r="H71" t="str">
        <f ca="1">IF(Table1[[#This Row],[Exit Date]]= "-", "Active", "Exited")</f>
        <v>Exited</v>
      </c>
      <c r="I71" s="5">
        <f t="shared" ca="1" si="10"/>
        <v>1594</v>
      </c>
      <c r="J71" t="str" cm="1">
        <f t="array" aca="1" ref="J71" ca="1">INDEX(sheet2!$C$2:$C$6, RANDBETWEEN(1, 5))</f>
        <v>Conflict Resolution</v>
      </c>
      <c r="K71" t="str">
        <f t="shared" ca="1" si="11"/>
        <v>Completed</v>
      </c>
      <c r="L71">
        <v>260</v>
      </c>
      <c r="M71">
        <f t="shared" ca="1" si="12"/>
        <v>15</v>
      </c>
      <c r="N71" t="str">
        <f t="shared" ca="1" si="13"/>
        <v>Other</v>
      </c>
      <c r="O71" s="6">
        <f t="shared" ca="1" si="14"/>
        <v>1903</v>
      </c>
      <c r="P71">
        <f ca="1">Table1[[#This Row],[Hire Date]]-Table1[[#This Row],[Job Posting Date]]</f>
        <v>75</v>
      </c>
      <c r="Q71" s="7">
        <f ca="1">Table1[[#This Row],[Join Date]]-Table1[[#This Row],[Hire Date]]</f>
        <v>14</v>
      </c>
      <c r="R71" s="8">
        <f ca="1">(IF(Table1[[#This Row],[Status]]="Exited",Table1[[#This Row],[Exit Date]]-Table1[[#This Row],[Join Date]],TODAY()-Table1[[#This Row],[Join Date]]))/30</f>
        <v>33.9</v>
      </c>
      <c r="S71">
        <f ca="1">Table1[[#This Row],[Hire Date]]-Table1[[#This Row],[Job Posting Date]]</f>
        <v>75</v>
      </c>
      <c r="T71" s="7">
        <f ca="1">Table1[[#This Row],[Time to Onboard]]/Table1[[#This Row],[Time to Fill]]*100</f>
        <v>18.666666666666668</v>
      </c>
      <c r="U71" s="8">
        <f ca="1">Table1[[#This Row],[Time to Onboard]]/Table1[[#This Row],[Time to Fill]]*100</f>
        <v>18.666666666666668</v>
      </c>
      <c r="V71">
        <f ca="1">Table1[[#This Row],[Join Date]]-Table1[[#This Row],[Job Posting Date]]</f>
        <v>89</v>
      </c>
      <c r="W71">
        <f t="shared" ca="1" si="15"/>
        <v>184</v>
      </c>
      <c r="X71" s="8">
        <f ca="1">Table1[[#This Row],[Absentee Days]]/Table1[[#This Row],[Total Work Days]]*100</f>
        <v>5.7692307692307692</v>
      </c>
      <c r="Y71">
        <f ca="1">YEAR(Table1[[#This Row],[Join Date]])</f>
        <v>2021</v>
      </c>
      <c r="Z71">
        <f ca="1">IF(Table1[[#This Row],[Status]]="Active",1,0)</f>
        <v>0</v>
      </c>
      <c r="AA71">
        <f ca="1">IF(Table1[[#This Row],[Status]]="Exited",Table1[[#This Row],[Recruitment Cost]]+Table1[[#This Row],[Onboarding Cost]]+Table1[[#This Row],[Training Cost]],0)</f>
        <v>3681</v>
      </c>
    </row>
    <row r="72" spans="1:27" x14ac:dyDescent="0.2">
      <c r="A72" t="str">
        <f t="shared" si="8"/>
        <v>E071</v>
      </c>
      <c r="B72" t="str" cm="1">
        <f t="array" aca="1" ref="B72" ca="1">INDEX(sheet2!$A$2:$A$6, RANDBETWEEN(1, 5))</f>
        <v>IT</v>
      </c>
      <c r="C72" t="str">
        <f ca="1">_xlfn.XLOOKUP(Table1[[#This Row],[Department]],sheet2!$A$2:$A$6,sheet2!$B$2:$B$6,_xleta.NA,0)</f>
        <v>Software Engineer</v>
      </c>
      <c r="D72" s="1">
        <f t="shared" ca="1" si="9"/>
        <v>43997</v>
      </c>
      <c r="E72" s="1">
        <f ca="1">Table1[[#This Row],[Job Posting Date]]+ RANDBETWEEN(15, 90)</f>
        <v>44041</v>
      </c>
      <c r="F72" s="1">
        <f ca="1">Table1[[#This Row],[Hire Date]]+ RANDBETWEEN(1, 15)</f>
        <v>44046</v>
      </c>
      <c r="G72" s="1" t="str">
        <f ca="1">IF(RAND() &lt; 0.5,  Table1[[#This Row],[Join Date]]+ RANDBETWEEN(30, TODAY()- Table1[[#This Row],[Join Date]]), "-")</f>
        <v>-</v>
      </c>
      <c r="H72" t="str">
        <f ca="1">IF(Table1[[#This Row],[Exit Date]]= "-", "Active", "Exited")</f>
        <v>Active</v>
      </c>
      <c r="I72" s="5">
        <f t="shared" ca="1" si="10"/>
        <v>4366</v>
      </c>
      <c r="J72" t="str" cm="1">
        <f t="array" aca="1" ref="J72" ca="1">INDEX(sheet2!$C$2:$C$6, RANDBETWEEN(1, 5))</f>
        <v>Advanced Excel Skills </v>
      </c>
      <c r="K72" t="str">
        <f t="shared" ca="1" si="11"/>
        <v>Completed</v>
      </c>
      <c r="L72">
        <v>260</v>
      </c>
      <c r="M72">
        <f t="shared" ca="1" si="12"/>
        <v>2</v>
      </c>
      <c r="N72" t="str">
        <f t="shared" ca="1" si="13"/>
        <v>Female</v>
      </c>
      <c r="O72" s="6">
        <f t="shared" ca="1" si="14"/>
        <v>1741</v>
      </c>
      <c r="P72">
        <f ca="1">Table1[[#This Row],[Hire Date]]-Table1[[#This Row],[Job Posting Date]]</f>
        <v>44</v>
      </c>
      <c r="Q72" s="7">
        <f ca="1">Table1[[#This Row],[Join Date]]-Table1[[#This Row],[Hire Date]]</f>
        <v>5</v>
      </c>
      <c r="R72" s="8">
        <f ca="1">(IF(Table1[[#This Row],[Status]]="Exited",Table1[[#This Row],[Exit Date]]-Table1[[#This Row],[Join Date]],TODAY()-Table1[[#This Row],[Join Date]]))/30</f>
        <v>54.56666666666667</v>
      </c>
      <c r="S72">
        <f ca="1">Table1[[#This Row],[Hire Date]]-Table1[[#This Row],[Job Posting Date]]</f>
        <v>44</v>
      </c>
      <c r="T72" s="7">
        <f ca="1">Table1[[#This Row],[Time to Onboard]]/Table1[[#This Row],[Time to Fill]]*100</f>
        <v>11.363636363636363</v>
      </c>
      <c r="U72" s="8">
        <f ca="1">Table1[[#This Row],[Time to Onboard]]/Table1[[#This Row],[Time to Fill]]*100</f>
        <v>11.363636363636363</v>
      </c>
      <c r="V72">
        <f ca="1">Table1[[#This Row],[Join Date]]-Table1[[#This Row],[Job Posting Date]]</f>
        <v>49</v>
      </c>
      <c r="W72">
        <f t="shared" ca="1" si="15"/>
        <v>124</v>
      </c>
      <c r="X72" s="8">
        <f ca="1">Table1[[#This Row],[Absentee Days]]/Table1[[#This Row],[Total Work Days]]*100</f>
        <v>0.76923076923076927</v>
      </c>
      <c r="Y72">
        <f ca="1">YEAR(Table1[[#This Row],[Join Date]])</f>
        <v>2020</v>
      </c>
      <c r="Z72">
        <f ca="1">IF(Table1[[#This Row],[Status]]="Active",1,0)</f>
        <v>1</v>
      </c>
      <c r="AA72">
        <f ca="1">IF(Table1[[#This Row],[Status]]="Exited",Table1[[#This Row],[Recruitment Cost]]+Table1[[#This Row],[Onboarding Cost]]+Table1[[#This Row],[Training Cost]],0)</f>
        <v>0</v>
      </c>
    </row>
    <row r="73" spans="1:27" x14ac:dyDescent="0.2">
      <c r="A73" t="str">
        <f t="shared" si="8"/>
        <v>E072</v>
      </c>
      <c r="B73" t="str" cm="1">
        <f t="array" aca="1" ref="B73" ca="1">INDEX(sheet2!$A$2:$A$6, RANDBETWEEN(1, 5))</f>
        <v>Finance</v>
      </c>
      <c r="C73" t="str">
        <f ca="1">_xlfn.XLOOKUP(Table1[[#This Row],[Department]],sheet2!$A$2:$A$6,sheet2!$B$2:$B$6,_xleta.NA,0)</f>
        <v>Finance Manager</v>
      </c>
      <c r="D73" s="1">
        <f t="shared" ca="1" si="9"/>
        <v>43460</v>
      </c>
      <c r="E73" s="1">
        <f ca="1">Table1[[#This Row],[Job Posting Date]]+ RANDBETWEEN(15, 90)</f>
        <v>43539</v>
      </c>
      <c r="F73" s="1">
        <f ca="1">Table1[[#This Row],[Hire Date]]+ RANDBETWEEN(1, 15)</f>
        <v>43550</v>
      </c>
      <c r="G73" s="1">
        <f ca="1">IF(RAND() &lt; 0.5,  Table1[[#This Row],[Join Date]]+ RANDBETWEEN(30, TODAY()- Table1[[#This Row],[Join Date]]), "-")</f>
        <v>44076</v>
      </c>
      <c r="H73" t="str">
        <f ca="1">IF(Table1[[#This Row],[Exit Date]]= "-", "Active", "Exited")</f>
        <v>Exited</v>
      </c>
      <c r="I73" s="5">
        <f t="shared" ca="1" si="10"/>
        <v>3182</v>
      </c>
      <c r="J73" t="str" cm="1">
        <f t="array" aca="1" ref="J73" ca="1">INDEX(sheet2!$C$2:$C$6, RANDBETWEEN(1, 5))</f>
        <v>Leadership Development</v>
      </c>
      <c r="K73" t="str">
        <f t="shared" ca="1" si="11"/>
        <v>Not Completed</v>
      </c>
      <c r="L73">
        <v>260</v>
      </c>
      <c r="M73">
        <f t="shared" ca="1" si="12"/>
        <v>8</v>
      </c>
      <c r="N73" t="str">
        <f t="shared" ca="1" si="13"/>
        <v>Other</v>
      </c>
      <c r="O73" s="6">
        <f t="shared" ca="1" si="14"/>
        <v>1474</v>
      </c>
      <c r="P73">
        <f ca="1">Table1[[#This Row],[Hire Date]]-Table1[[#This Row],[Job Posting Date]]</f>
        <v>79</v>
      </c>
      <c r="Q73" s="7">
        <f ca="1">Table1[[#This Row],[Join Date]]-Table1[[#This Row],[Hire Date]]</f>
        <v>11</v>
      </c>
      <c r="R73" s="8">
        <f ca="1">(IF(Table1[[#This Row],[Status]]="Exited",Table1[[#This Row],[Exit Date]]-Table1[[#This Row],[Join Date]],TODAY()-Table1[[#This Row],[Join Date]]))/30</f>
        <v>17.533333333333335</v>
      </c>
      <c r="S73">
        <f ca="1">Table1[[#This Row],[Hire Date]]-Table1[[#This Row],[Job Posting Date]]</f>
        <v>79</v>
      </c>
      <c r="T73" s="7">
        <f ca="1">Table1[[#This Row],[Time to Onboard]]/Table1[[#This Row],[Time to Fill]]*100</f>
        <v>13.924050632911392</v>
      </c>
      <c r="U73" s="8">
        <f ca="1">Table1[[#This Row],[Time to Onboard]]/Table1[[#This Row],[Time to Fill]]*100</f>
        <v>13.924050632911392</v>
      </c>
      <c r="V73">
        <f ca="1">Table1[[#This Row],[Join Date]]-Table1[[#This Row],[Job Posting Date]]</f>
        <v>90</v>
      </c>
      <c r="W73">
        <f t="shared" ca="1" si="15"/>
        <v>119</v>
      </c>
      <c r="X73" s="8">
        <f ca="1">Table1[[#This Row],[Absentee Days]]/Table1[[#This Row],[Total Work Days]]*100</f>
        <v>3.0769230769230771</v>
      </c>
      <c r="Y73">
        <f ca="1">YEAR(Table1[[#This Row],[Join Date]])</f>
        <v>2019</v>
      </c>
      <c r="Z73">
        <f ca="1">IF(Table1[[#This Row],[Status]]="Active",1,0)</f>
        <v>0</v>
      </c>
      <c r="AA73">
        <f ca="1">IF(Table1[[#This Row],[Status]]="Exited",Table1[[#This Row],[Recruitment Cost]]+Table1[[#This Row],[Onboarding Cost]]+Table1[[#This Row],[Training Cost]],0)</f>
        <v>4775</v>
      </c>
    </row>
    <row r="74" spans="1:27" x14ac:dyDescent="0.2">
      <c r="A74" t="str">
        <f t="shared" si="8"/>
        <v>E073</v>
      </c>
      <c r="B74" t="str" cm="1">
        <f t="array" aca="1" ref="B74" ca="1">INDEX(sheet2!$A$2:$A$6, RANDBETWEEN(1, 5))</f>
        <v>Sales</v>
      </c>
      <c r="C74" t="str">
        <f ca="1">_xlfn.XLOOKUP(Table1[[#This Row],[Department]],sheet2!$A$2:$A$6,sheet2!$B$2:$B$6,_xleta.NA,0)</f>
        <v>Marketing Manager</v>
      </c>
      <c r="D74" s="1">
        <f t="shared" ca="1" si="9"/>
        <v>43108</v>
      </c>
      <c r="E74" s="1">
        <f ca="1">Table1[[#This Row],[Job Posting Date]]+ RANDBETWEEN(15, 90)</f>
        <v>43168</v>
      </c>
      <c r="F74" s="1">
        <f ca="1">Table1[[#This Row],[Hire Date]]+ RANDBETWEEN(1, 15)</f>
        <v>43182</v>
      </c>
      <c r="G74" s="1">
        <f ca="1">IF(RAND() &lt; 0.5,  Table1[[#This Row],[Join Date]]+ RANDBETWEEN(30, TODAY()- Table1[[#This Row],[Join Date]]), "-")</f>
        <v>44535</v>
      </c>
      <c r="H74" t="str">
        <f ca="1">IF(Table1[[#This Row],[Exit Date]]= "-", "Active", "Exited")</f>
        <v>Exited</v>
      </c>
      <c r="I74" s="5">
        <f t="shared" ca="1" si="10"/>
        <v>3064</v>
      </c>
      <c r="J74" t="str" cm="1">
        <f t="array" aca="1" ref="J74" ca="1">INDEX(sheet2!$C$2:$C$6, RANDBETWEEN(1, 5))</f>
        <v>Advanced Excel Skills </v>
      </c>
      <c r="K74" t="str">
        <f t="shared" ca="1" si="11"/>
        <v>Completed</v>
      </c>
      <c r="L74">
        <v>260</v>
      </c>
      <c r="M74">
        <f t="shared" ca="1" si="12"/>
        <v>6</v>
      </c>
      <c r="N74" t="str">
        <f t="shared" ca="1" si="13"/>
        <v>Female</v>
      </c>
      <c r="O74" s="6">
        <f t="shared" ca="1" si="14"/>
        <v>2223</v>
      </c>
      <c r="P74">
        <f ca="1">Table1[[#This Row],[Hire Date]]-Table1[[#This Row],[Job Posting Date]]</f>
        <v>60</v>
      </c>
      <c r="Q74" s="7">
        <f ca="1">Table1[[#This Row],[Join Date]]-Table1[[#This Row],[Hire Date]]</f>
        <v>14</v>
      </c>
      <c r="R74" s="8">
        <f ca="1">(IF(Table1[[#This Row],[Status]]="Exited",Table1[[#This Row],[Exit Date]]-Table1[[#This Row],[Join Date]],TODAY()-Table1[[#This Row],[Join Date]]))/30</f>
        <v>45.1</v>
      </c>
      <c r="S74">
        <f ca="1">Table1[[#This Row],[Hire Date]]-Table1[[#This Row],[Job Posting Date]]</f>
        <v>60</v>
      </c>
      <c r="T74" s="7">
        <f ca="1">Table1[[#This Row],[Time to Onboard]]/Table1[[#This Row],[Time to Fill]]*100</f>
        <v>23.333333333333332</v>
      </c>
      <c r="U74" s="8">
        <f ca="1">Table1[[#This Row],[Time to Onboard]]/Table1[[#This Row],[Time to Fill]]*100</f>
        <v>23.333333333333332</v>
      </c>
      <c r="V74">
        <f ca="1">Table1[[#This Row],[Join Date]]-Table1[[#This Row],[Job Posting Date]]</f>
        <v>74</v>
      </c>
      <c r="W74">
        <f t="shared" ca="1" si="15"/>
        <v>144</v>
      </c>
      <c r="X74" s="8">
        <f ca="1">Table1[[#This Row],[Absentee Days]]/Table1[[#This Row],[Total Work Days]]*100</f>
        <v>2.3076923076923079</v>
      </c>
      <c r="Y74">
        <f ca="1">YEAR(Table1[[#This Row],[Join Date]])</f>
        <v>2018</v>
      </c>
      <c r="Z74">
        <f ca="1">IF(Table1[[#This Row],[Status]]="Active",1,0)</f>
        <v>0</v>
      </c>
      <c r="AA74">
        <f ca="1">IF(Table1[[#This Row],[Status]]="Exited",Table1[[#This Row],[Recruitment Cost]]+Table1[[#This Row],[Onboarding Cost]]+Table1[[#This Row],[Training Cost]],0)</f>
        <v>5431</v>
      </c>
    </row>
    <row r="75" spans="1:27" x14ac:dyDescent="0.2">
      <c r="A75" t="str">
        <f t="shared" si="8"/>
        <v>E074</v>
      </c>
      <c r="B75" t="str" cm="1">
        <f t="array" aca="1" ref="B75" ca="1">INDEX(sheet2!$A$2:$A$6, RANDBETWEEN(1, 5))</f>
        <v>Sales</v>
      </c>
      <c r="C75" t="str">
        <f ca="1">_xlfn.XLOOKUP(Table1[[#This Row],[Department]],sheet2!$A$2:$A$6,sheet2!$B$2:$B$6,_xleta.NA,0)</f>
        <v>Marketing Manager</v>
      </c>
      <c r="D75" s="1">
        <f t="shared" ca="1" si="9"/>
        <v>44328</v>
      </c>
      <c r="E75" s="1">
        <f ca="1">Table1[[#This Row],[Job Posting Date]]+ RANDBETWEEN(15, 90)</f>
        <v>44357</v>
      </c>
      <c r="F75" s="1">
        <f ca="1">Table1[[#This Row],[Hire Date]]+ RANDBETWEEN(1, 15)</f>
        <v>44367</v>
      </c>
      <c r="G75" s="1">
        <f ca="1">IF(RAND() &lt; 0.5,  Table1[[#This Row],[Join Date]]+ RANDBETWEEN(30, TODAY()- Table1[[#This Row],[Join Date]]), "-")</f>
        <v>44570</v>
      </c>
      <c r="H75" t="str">
        <f ca="1">IF(Table1[[#This Row],[Exit Date]]= "-", "Active", "Exited")</f>
        <v>Exited</v>
      </c>
      <c r="I75" s="5">
        <f t="shared" ca="1" si="10"/>
        <v>4958</v>
      </c>
      <c r="J75" t="str" cm="1">
        <f t="array" aca="1" ref="J75" ca="1">INDEX(sheet2!$C$2:$C$6, RANDBETWEEN(1, 5))</f>
        <v>Leadership Development</v>
      </c>
      <c r="K75" t="str">
        <f t="shared" ca="1" si="11"/>
        <v>Completed</v>
      </c>
      <c r="L75">
        <v>260</v>
      </c>
      <c r="M75">
        <f t="shared" ca="1" si="12"/>
        <v>3</v>
      </c>
      <c r="N75" t="str">
        <f t="shared" ca="1" si="13"/>
        <v>Female</v>
      </c>
      <c r="O75" s="6">
        <f t="shared" ca="1" si="14"/>
        <v>1506</v>
      </c>
      <c r="P75">
        <f ca="1">Table1[[#This Row],[Hire Date]]-Table1[[#This Row],[Job Posting Date]]</f>
        <v>29</v>
      </c>
      <c r="Q75" s="7">
        <f ca="1">Table1[[#This Row],[Join Date]]-Table1[[#This Row],[Hire Date]]</f>
        <v>10</v>
      </c>
      <c r="R75" s="8">
        <f ca="1">(IF(Table1[[#This Row],[Status]]="Exited",Table1[[#This Row],[Exit Date]]-Table1[[#This Row],[Join Date]],TODAY()-Table1[[#This Row],[Join Date]]))/30</f>
        <v>6.7666666666666666</v>
      </c>
      <c r="S75">
        <f ca="1">Table1[[#This Row],[Hire Date]]-Table1[[#This Row],[Job Posting Date]]</f>
        <v>29</v>
      </c>
      <c r="T75" s="7">
        <f ca="1">Table1[[#This Row],[Time to Onboard]]/Table1[[#This Row],[Time to Fill]]*100</f>
        <v>34.482758620689658</v>
      </c>
      <c r="U75" s="8">
        <f ca="1">Table1[[#This Row],[Time to Onboard]]/Table1[[#This Row],[Time to Fill]]*100</f>
        <v>34.482758620689658</v>
      </c>
      <c r="V75">
        <f ca="1">Table1[[#This Row],[Join Date]]-Table1[[#This Row],[Job Posting Date]]</f>
        <v>39</v>
      </c>
      <c r="W75">
        <f t="shared" ca="1" si="15"/>
        <v>117</v>
      </c>
      <c r="X75" s="8">
        <f ca="1">Table1[[#This Row],[Absentee Days]]/Table1[[#This Row],[Total Work Days]]*100</f>
        <v>1.153846153846154</v>
      </c>
      <c r="Y75">
        <f ca="1">YEAR(Table1[[#This Row],[Join Date]])</f>
        <v>2021</v>
      </c>
      <c r="Z75">
        <f ca="1">IF(Table1[[#This Row],[Status]]="Active",1,0)</f>
        <v>0</v>
      </c>
      <c r="AA75">
        <f ca="1">IF(Table1[[#This Row],[Status]]="Exited",Table1[[#This Row],[Recruitment Cost]]+Table1[[#This Row],[Onboarding Cost]]+Table1[[#This Row],[Training Cost]],0)</f>
        <v>6581</v>
      </c>
    </row>
    <row r="76" spans="1:27" x14ac:dyDescent="0.2">
      <c r="A76" t="str">
        <f t="shared" si="8"/>
        <v>E075</v>
      </c>
      <c r="B76" t="str" cm="1">
        <f t="array" aca="1" ref="B76" ca="1">INDEX(sheet2!$A$2:$A$6, RANDBETWEEN(1, 5))</f>
        <v>HR</v>
      </c>
      <c r="C76" t="str">
        <f ca="1">_xlfn.XLOOKUP(Table1[[#This Row],[Department]],sheet2!$A$2:$A$6,sheet2!$B$2:$B$6,_xleta.NA,0)</f>
        <v>HR Manager</v>
      </c>
      <c r="D76" s="1">
        <f t="shared" ca="1" si="9"/>
        <v>43627</v>
      </c>
      <c r="E76" s="1">
        <f ca="1">Table1[[#This Row],[Job Posting Date]]+ RANDBETWEEN(15, 90)</f>
        <v>43648</v>
      </c>
      <c r="F76" s="1">
        <f ca="1">Table1[[#This Row],[Hire Date]]+ RANDBETWEEN(1, 15)</f>
        <v>43659</v>
      </c>
      <c r="G76" s="1" t="str">
        <f ca="1">IF(RAND() &lt; 0.5,  Table1[[#This Row],[Join Date]]+ RANDBETWEEN(30, TODAY()- Table1[[#This Row],[Join Date]]), "-")</f>
        <v>-</v>
      </c>
      <c r="H76" t="str">
        <f ca="1">IF(Table1[[#This Row],[Exit Date]]= "-", "Active", "Exited")</f>
        <v>Active</v>
      </c>
      <c r="I76" s="5">
        <f t="shared" ca="1" si="10"/>
        <v>4767</v>
      </c>
      <c r="J76" t="str" cm="1">
        <f t="array" aca="1" ref="J76" ca="1">INDEX(sheet2!$C$2:$C$6, RANDBETWEEN(1, 5))</f>
        <v>Conflict Resolution</v>
      </c>
      <c r="K76" t="str">
        <f t="shared" ca="1" si="11"/>
        <v>Completed</v>
      </c>
      <c r="L76">
        <v>260</v>
      </c>
      <c r="M76">
        <f t="shared" ca="1" si="12"/>
        <v>1</v>
      </c>
      <c r="N76" t="str">
        <f t="shared" ca="1" si="13"/>
        <v>Female</v>
      </c>
      <c r="O76" s="6">
        <f t="shared" ca="1" si="14"/>
        <v>1297</v>
      </c>
      <c r="P76">
        <f ca="1">Table1[[#This Row],[Hire Date]]-Table1[[#This Row],[Job Posting Date]]</f>
        <v>21</v>
      </c>
      <c r="Q76" s="7">
        <f ca="1">Table1[[#This Row],[Join Date]]-Table1[[#This Row],[Hire Date]]</f>
        <v>11</v>
      </c>
      <c r="R76" s="8">
        <f ca="1">(IF(Table1[[#This Row],[Status]]="Exited",Table1[[#This Row],[Exit Date]]-Table1[[#This Row],[Join Date]],TODAY()-Table1[[#This Row],[Join Date]]))/30</f>
        <v>67.466666666666669</v>
      </c>
      <c r="S76">
        <f ca="1">Table1[[#This Row],[Hire Date]]-Table1[[#This Row],[Job Posting Date]]</f>
        <v>21</v>
      </c>
      <c r="T76" s="7">
        <f ca="1">Table1[[#This Row],[Time to Onboard]]/Table1[[#This Row],[Time to Fill]]*100</f>
        <v>52.380952380952387</v>
      </c>
      <c r="U76" s="8">
        <f ca="1">Table1[[#This Row],[Time to Onboard]]/Table1[[#This Row],[Time to Fill]]*100</f>
        <v>52.380952380952387</v>
      </c>
      <c r="V76">
        <f ca="1">Table1[[#This Row],[Join Date]]-Table1[[#This Row],[Job Posting Date]]</f>
        <v>32</v>
      </c>
      <c r="W76">
        <f t="shared" ca="1" si="15"/>
        <v>105</v>
      </c>
      <c r="X76" s="8">
        <f ca="1">Table1[[#This Row],[Absentee Days]]/Table1[[#This Row],[Total Work Days]]*100</f>
        <v>0.38461538461538464</v>
      </c>
      <c r="Y76">
        <f ca="1">YEAR(Table1[[#This Row],[Join Date]])</f>
        <v>2019</v>
      </c>
      <c r="Z76">
        <f ca="1">IF(Table1[[#This Row],[Status]]="Active",1,0)</f>
        <v>1</v>
      </c>
      <c r="AA76">
        <f ca="1">IF(Table1[[#This Row],[Status]]="Exited",Table1[[#This Row],[Recruitment Cost]]+Table1[[#This Row],[Onboarding Cost]]+Table1[[#This Row],[Training Cost]],0)</f>
        <v>0</v>
      </c>
    </row>
    <row r="77" spans="1:27" x14ac:dyDescent="0.2">
      <c r="A77" t="str">
        <f t="shared" si="8"/>
        <v>E076</v>
      </c>
      <c r="B77" t="str" cm="1">
        <f t="array" aca="1" ref="B77" ca="1">INDEX(sheet2!$A$2:$A$6, RANDBETWEEN(1, 5))</f>
        <v>Sales</v>
      </c>
      <c r="C77" t="str">
        <f ca="1">_xlfn.XLOOKUP(Table1[[#This Row],[Department]],sheet2!$A$2:$A$6,sheet2!$B$2:$B$6,_xleta.NA,0)</f>
        <v>Marketing Manager</v>
      </c>
      <c r="D77" s="1">
        <f t="shared" ca="1" si="9"/>
        <v>44549</v>
      </c>
      <c r="E77" s="1">
        <f ca="1">Table1[[#This Row],[Job Posting Date]]+ RANDBETWEEN(15, 90)</f>
        <v>44572</v>
      </c>
      <c r="F77" s="1">
        <f ca="1">Table1[[#This Row],[Hire Date]]+ RANDBETWEEN(1, 15)</f>
        <v>44578</v>
      </c>
      <c r="G77" s="1" t="str">
        <f ca="1">IF(RAND() &lt; 0.5,  Table1[[#This Row],[Join Date]]+ RANDBETWEEN(30, TODAY()- Table1[[#This Row],[Join Date]]), "-")</f>
        <v>-</v>
      </c>
      <c r="H77" t="str">
        <f ca="1">IF(Table1[[#This Row],[Exit Date]]= "-", "Active", "Exited")</f>
        <v>Active</v>
      </c>
      <c r="I77" s="5">
        <f t="shared" ca="1" si="10"/>
        <v>1809</v>
      </c>
      <c r="J77" t="str" cm="1">
        <f t="array" aca="1" ref="J77" ca="1">INDEX(sheet2!$C$2:$C$6, RANDBETWEEN(1, 5))</f>
        <v>Advanced Excel Skills </v>
      </c>
      <c r="K77" t="str">
        <f t="shared" ca="1" si="11"/>
        <v>Not Completed</v>
      </c>
      <c r="L77">
        <v>260</v>
      </c>
      <c r="M77">
        <f t="shared" ca="1" si="12"/>
        <v>2</v>
      </c>
      <c r="N77" t="str">
        <f t="shared" ca="1" si="13"/>
        <v>Other</v>
      </c>
      <c r="O77" s="6">
        <f t="shared" ca="1" si="14"/>
        <v>2179</v>
      </c>
      <c r="P77">
        <f ca="1">Table1[[#This Row],[Hire Date]]-Table1[[#This Row],[Job Posting Date]]</f>
        <v>23</v>
      </c>
      <c r="Q77" s="7">
        <f ca="1">Table1[[#This Row],[Join Date]]-Table1[[#This Row],[Hire Date]]</f>
        <v>6</v>
      </c>
      <c r="R77" s="8">
        <f ca="1">(IF(Table1[[#This Row],[Status]]="Exited",Table1[[#This Row],[Exit Date]]-Table1[[#This Row],[Join Date]],TODAY()-Table1[[#This Row],[Join Date]]))/30</f>
        <v>36.833333333333336</v>
      </c>
      <c r="S77">
        <f ca="1">Table1[[#This Row],[Hire Date]]-Table1[[#This Row],[Job Posting Date]]</f>
        <v>23</v>
      </c>
      <c r="T77" s="7">
        <f ca="1">Table1[[#This Row],[Time to Onboard]]/Table1[[#This Row],[Time to Fill]]*100</f>
        <v>26.086956521739129</v>
      </c>
      <c r="U77" s="8">
        <f ca="1">Table1[[#This Row],[Time to Onboard]]/Table1[[#This Row],[Time to Fill]]*100</f>
        <v>26.086956521739129</v>
      </c>
      <c r="V77">
        <f ca="1">Table1[[#This Row],[Join Date]]-Table1[[#This Row],[Job Posting Date]]</f>
        <v>29</v>
      </c>
      <c r="W77">
        <f t="shared" ca="1" si="15"/>
        <v>154</v>
      </c>
      <c r="X77" s="8">
        <f ca="1">Table1[[#This Row],[Absentee Days]]/Table1[[#This Row],[Total Work Days]]*100</f>
        <v>0.76923076923076927</v>
      </c>
      <c r="Y77">
        <f ca="1">YEAR(Table1[[#This Row],[Join Date]])</f>
        <v>2022</v>
      </c>
      <c r="Z77">
        <f ca="1">IF(Table1[[#This Row],[Status]]="Active",1,0)</f>
        <v>1</v>
      </c>
      <c r="AA77">
        <f ca="1">IF(Table1[[#This Row],[Status]]="Exited",Table1[[#This Row],[Recruitment Cost]]+Table1[[#This Row],[Onboarding Cost]]+Table1[[#This Row],[Training Cost]],0)</f>
        <v>0</v>
      </c>
    </row>
    <row r="78" spans="1:27" x14ac:dyDescent="0.2">
      <c r="A78" t="str">
        <f t="shared" si="8"/>
        <v>E077</v>
      </c>
      <c r="B78" t="str" cm="1">
        <f t="array" aca="1" ref="B78" ca="1">INDEX(sheet2!$A$2:$A$6, RANDBETWEEN(1, 5))</f>
        <v>Sales</v>
      </c>
      <c r="C78" t="str">
        <f ca="1">_xlfn.XLOOKUP(Table1[[#This Row],[Department]],sheet2!$A$2:$A$6,sheet2!$B$2:$B$6,_xleta.NA,0)</f>
        <v>Marketing Manager</v>
      </c>
      <c r="D78" s="1">
        <f t="shared" ca="1" si="9"/>
        <v>44754</v>
      </c>
      <c r="E78" s="1">
        <f ca="1">Table1[[#This Row],[Job Posting Date]]+ RANDBETWEEN(15, 90)</f>
        <v>44822</v>
      </c>
      <c r="F78" s="1">
        <f ca="1">Table1[[#This Row],[Hire Date]]+ RANDBETWEEN(1, 15)</f>
        <v>44834</v>
      </c>
      <c r="G78" s="1" t="str">
        <f ca="1">IF(RAND() &lt; 0.5,  Table1[[#This Row],[Join Date]]+ RANDBETWEEN(30, TODAY()- Table1[[#This Row],[Join Date]]), "-")</f>
        <v>-</v>
      </c>
      <c r="H78" t="str">
        <f ca="1">IF(Table1[[#This Row],[Exit Date]]= "-", "Active", "Exited")</f>
        <v>Active</v>
      </c>
      <c r="I78" s="5">
        <f t="shared" ca="1" si="10"/>
        <v>4476</v>
      </c>
      <c r="J78" t="str" cm="1">
        <f t="array" aca="1" ref="J78" ca="1">INDEX(sheet2!$C$2:$C$6, RANDBETWEEN(1, 5))</f>
        <v>Ethics and Responsibilities</v>
      </c>
      <c r="K78" t="str">
        <f t="shared" ca="1" si="11"/>
        <v>Not Completed</v>
      </c>
      <c r="L78">
        <v>260</v>
      </c>
      <c r="M78">
        <f t="shared" ca="1" si="12"/>
        <v>9</v>
      </c>
      <c r="N78" t="str">
        <f t="shared" ca="1" si="13"/>
        <v>Female</v>
      </c>
      <c r="O78" s="6">
        <f t="shared" ca="1" si="14"/>
        <v>1611</v>
      </c>
      <c r="P78">
        <f ca="1">Table1[[#This Row],[Hire Date]]-Table1[[#This Row],[Job Posting Date]]</f>
        <v>68</v>
      </c>
      <c r="Q78" s="7">
        <f ca="1">Table1[[#This Row],[Join Date]]-Table1[[#This Row],[Hire Date]]</f>
        <v>12</v>
      </c>
      <c r="R78" s="8">
        <f ca="1">(IF(Table1[[#This Row],[Status]]="Exited",Table1[[#This Row],[Exit Date]]-Table1[[#This Row],[Join Date]],TODAY()-Table1[[#This Row],[Join Date]]))/30</f>
        <v>28.3</v>
      </c>
      <c r="S78">
        <f ca="1">Table1[[#This Row],[Hire Date]]-Table1[[#This Row],[Job Posting Date]]</f>
        <v>68</v>
      </c>
      <c r="T78" s="7">
        <f ca="1">Table1[[#This Row],[Time to Onboard]]/Table1[[#This Row],[Time to Fill]]*100</f>
        <v>17.647058823529413</v>
      </c>
      <c r="U78" s="8">
        <f ca="1">Table1[[#This Row],[Time to Onboard]]/Table1[[#This Row],[Time to Fill]]*100</f>
        <v>17.647058823529413</v>
      </c>
      <c r="V78">
        <f ca="1">Table1[[#This Row],[Join Date]]-Table1[[#This Row],[Job Posting Date]]</f>
        <v>80</v>
      </c>
      <c r="W78">
        <f t="shared" ca="1" si="15"/>
        <v>153</v>
      </c>
      <c r="X78" s="8">
        <f ca="1">Table1[[#This Row],[Absentee Days]]/Table1[[#This Row],[Total Work Days]]*100</f>
        <v>3.4615384615384617</v>
      </c>
      <c r="Y78">
        <f ca="1">YEAR(Table1[[#This Row],[Join Date]])</f>
        <v>2022</v>
      </c>
      <c r="Z78">
        <f ca="1">IF(Table1[[#This Row],[Status]]="Active",1,0)</f>
        <v>1</v>
      </c>
      <c r="AA78">
        <f ca="1">IF(Table1[[#This Row],[Status]]="Exited",Table1[[#This Row],[Recruitment Cost]]+Table1[[#This Row],[Onboarding Cost]]+Table1[[#This Row],[Training Cost]],0)</f>
        <v>0</v>
      </c>
    </row>
    <row r="79" spans="1:27" x14ac:dyDescent="0.2">
      <c r="A79" t="str">
        <f t="shared" si="8"/>
        <v>E078</v>
      </c>
      <c r="B79" t="str" cm="1">
        <f t="array" aca="1" ref="B79" ca="1">INDEX(sheet2!$A$2:$A$6, RANDBETWEEN(1, 5))</f>
        <v>HR</v>
      </c>
      <c r="C79" t="str">
        <f ca="1">_xlfn.XLOOKUP(Table1[[#This Row],[Department]],sheet2!$A$2:$A$6,sheet2!$B$2:$B$6,_xleta.NA,0)</f>
        <v>HR Manager</v>
      </c>
      <c r="D79" s="1">
        <f t="shared" ca="1" si="9"/>
        <v>44378</v>
      </c>
      <c r="E79" s="1">
        <f ca="1">Table1[[#This Row],[Job Posting Date]]+ RANDBETWEEN(15, 90)</f>
        <v>44395</v>
      </c>
      <c r="F79" s="1">
        <f ca="1">Table1[[#This Row],[Hire Date]]+ RANDBETWEEN(1, 15)</f>
        <v>44408</v>
      </c>
      <c r="G79" s="1">
        <f ca="1">IF(RAND() &lt; 0.5,  Table1[[#This Row],[Join Date]]+ RANDBETWEEN(30, TODAY()- Table1[[#This Row],[Join Date]]), "-")</f>
        <v>44875</v>
      </c>
      <c r="H79" t="str">
        <f ca="1">IF(Table1[[#This Row],[Exit Date]]= "-", "Active", "Exited")</f>
        <v>Exited</v>
      </c>
      <c r="I79" s="5">
        <f t="shared" ca="1" si="10"/>
        <v>2630</v>
      </c>
      <c r="J79" t="str" cm="1">
        <f t="array" aca="1" ref="J79" ca="1">INDEX(sheet2!$C$2:$C$6, RANDBETWEEN(1, 5))</f>
        <v>Conflict Resolution</v>
      </c>
      <c r="K79" t="str">
        <f t="shared" ca="1" si="11"/>
        <v>Completed</v>
      </c>
      <c r="L79">
        <v>260</v>
      </c>
      <c r="M79">
        <f t="shared" ca="1" si="12"/>
        <v>10</v>
      </c>
      <c r="N79" t="str">
        <f t="shared" ca="1" si="13"/>
        <v>Other</v>
      </c>
      <c r="O79" s="6">
        <f t="shared" ca="1" si="14"/>
        <v>1777</v>
      </c>
      <c r="P79">
        <f ca="1">Table1[[#This Row],[Hire Date]]-Table1[[#This Row],[Job Posting Date]]</f>
        <v>17</v>
      </c>
      <c r="Q79" s="7">
        <f ca="1">Table1[[#This Row],[Join Date]]-Table1[[#This Row],[Hire Date]]</f>
        <v>13</v>
      </c>
      <c r="R79" s="8">
        <f ca="1">(IF(Table1[[#This Row],[Status]]="Exited",Table1[[#This Row],[Exit Date]]-Table1[[#This Row],[Join Date]],TODAY()-Table1[[#This Row],[Join Date]]))/30</f>
        <v>15.566666666666666</v>
      </c>
      <c r="S79">
        <f ca="1">Table1[[#This Row],[Hire Date]]-Table1[[#This Row],[Job Posting Date]]</f>
        <v>17</v>
      </c>
      <c r="T79" s="7">
        <f ca="1">Table1[[#This Row],[Time to Onboard]]/Table1[[#This Row],[Time to Fill]]*100</f>
        <v>76.470588235294116</v>
      </c>
      <c r="U79" s="8">
        <f ca="1">Table1[[#This Row],[Time to Onboard]]/Table1[[#This Row],[Time to Fill]]*100</f>
        <v>76.470588235294116</v>
      </c>
      <c r="V79">
        <f ca="1">Table1[[#This Row],[Join Date]]-Table1[[#This Row],[Job Posting Date]]</f>
        <v>30</v>
      </c>
      <c r="W79">
        <f t="shared" ca="1" si="15"/>
        <v>109</v>
      </c>
      <c r="X79" s="8">
        <f ca="1">Table1[[#This Row],[Absentee Days]]/Table1[[#This Row],[Total Work Days]]*100</f>
        <v>3.8461538461538463</v>
      </c>
      <c r="Y79">
        <f ca="1">YEAR(Table1[[#This Row],[Join Date]])</f>
        <v>2021</v>
      </c>
      <c r="Z79">
        <f ca="1">IF(Table1[[#This Row],[Status]]="Active",1,0)</f>
        <v>0</v>
      </c>
      <c r="AA79">
        <f ca="1">IF(Table1[[#This Row],[Status]]="Exited",Table1[[#This Row],[Recruitment Cost]]+Table1[[#This Row],[Onboarding Cost]]+Table1[[#This Row],[Training Cost]],0)</f>
        <v>4516</v>
      </c>
    </row>
    <row r="80" spans="1:27" x14ac:dyDescent="0.2">
      <c r="A80" t="str">
        <f t="shared" si="8"/>
        <v>E079</v>
      </c>
      <c r="B80" t="str" cm="1">
        <f t="array" aca="1" ref="B80" ca="1">INDEX(sheet2!$A$2:$A$6, RANDBETWEEN(1, 5))</f>
        <v>Analytics</v>
      </c>
      <c r="C80" t="str">
        <f ca="1">_xlfn.XLOOKUP(Table1[[#This Row],[Department]],sheet2!$A$2:$A$6,sheet2!$B$2:$B$6,_xleta.NA,0)</f>
        <v>Data Analyst</v>
      </c>
      <c r="D80" s="1">
        <f t="shared" ca="1" si="9"/>
        <v>44144</v>
      </c>
      <c r="E80" s="1">
        <f ca="1">Table1[[#This Row],[Job Posting Date]]+ RANDBETWEEN(15, 90)</f>
        <v>44167</v>
      </c>
      <c r="F80" s="1">
        <f ca="1">Table1[[#This Row],[Hire Date]]+ RANDBETWEEN(1, 15)</f>
        <v>44177</v>
      </c>
      <c r="G80" s="1">
        <f ca="1">IF(RAND() &lt; 0.5,  Table1[[#This Row],[Join Date]]+ RANDBETWEEN(30, TODAY()- Table1[[#This Row],[Join Date]]), "-")</f>
        <v>44570</v>
      </c>
      <c r="H80" t="str">
        <f ca="1">IF(Table1[[#This Row],[Exit Date]]= "-", "Active", "Exited")</f>
        <v>Exited</v>
      </c>
      <c r="I80" s="5">
        <f t="shared" ca="1" si="10"/>
        <v>4654</v>
      </c>
      <c r="J80" t="str" cm="1">
        <f t="array" aca="1" ref="J80" ca="1">INDEX(sheet2!$C$2:$C$6, RANDBETWEEN(1, 5))</f>
        <v>Communication Skills</v>
      </c>
      <c r="K80" t="str">
        <f t="shared" ca="1" si="11"/>
        <v>Not Completed</v>
      </c>
      <c r="L80">
        <v>260</v>
      </c>
      <c r="M80">
        <f t="shared" ca="1" si="12"/>
        <v>2</v>
      </c>
      <c r="N80" t="str">
        <f t="shared" ca="1" si="13"/>
        <v>Male</v>
      </c>
      <c r="O80" s="6">
        <f t="shared" ca="1" si="14"/>
        <v>2247</v>
      </c>
      <c r="P80">
        <f ca="1">Table1[[#This Row],[Hire Date]]-Table1[[#This Row],[Job Posting Date]]</f>
        <v>23</v>
      </c>
      <c r="Q80" s="7">
        <f ca="1">Table1[[#This Row],[Join Date]]-Table1[[#This Row],[Hire Date]]</f>
        <v>10</v>
      </c>
      <c r="R80" s="8">
        <f ca="1">(IF(Table1[[#This Row],[Status]]="Exited",Table1[[#This Row],[Exit Date]]-Table1[[#This Row],[Join Date]],TODAY()-Table1[[#This Row],[Join Date]]))/30</f>
        <v>13.1</v>
      </c>
      <c r="S80">
        <f ca="1">Table1[[#This Row],[Hire Date]]-Table1[[#This Row],[Job Posting Date]]</f>
        <v>23</v>
      </c>
      <c r="T80" s="7">
        <f ca="1">Table1[[#This Row],[Time to Onboard]]/Table1[[#This Row],[Time to Fill]]*100</f>
        <v>43.478260869565219</v>
      </c>
      <c r="U80" s="8">
        <f ca="1">Table1[[#This Row],[Time to Onboard]]/Table1[[#This Row],[Time to Fill]]*100</f>
        <v>43.478260869565219</v>
      </c>
      <c r="V80">
        <f ca="1">Table1[[#This Row],[Join Date]]-Table1[[#This Row],[Job Posting Date]]</f>
        <v>33</v>
      </c>
      <c r="W80">
        <f t="shared" ca="1" si="15"/>
        <v>130</v>
      </c>
      <c r="X80" s="8">
        <f ca="1">Table1[[#This Row],[Absentee Days]]/Table1[[#This Row],[Total Work Days]]*100</f>
        <v>0.76923076923076927</v>
      </c>
      <c r="Y80">
        <f ca="1">YEAR(Table1[[#This Row],[Join Date]])</f>
        <v>2020</v>
      </c>
      <c r="Z80">
        <f ca="1">IF(Table1[[#This Row],[Status]]="Active",1,0)</f>
        <v>0</v>
      </c>
      <c r="AA80">
        <f ca="1">IF(Table1[[#This Row],[Status]]="Exited",Table1[[#This Row],[Recruitment Cost]]+Table1[[#This Row],[Onboarding Cost]]+Table1[[#This Row],[Training Cost]],0)</f>
        <v>7031</v>
      </c>
    </row>
    <row r="81" spans="1:27" x14ac:dyDescent="0.2">
      <c r="A81" t="str">
        <f t="shared" si="8"/>
        <v>E080</v>
      </c>
      <c r="B81" t="str" cm="1">
        <f t="array" aca="1" ref="B81" ca="1">INDEX(sheet2!$A$2:$A$6, RANDBETWEEN(1, 5))</f>
        <v>Sales</v>
      </c>
      <c r="C81" t="str">
        <f ca="1">_xlfn.XLOOKUP(Table1[[#This Row],[Department]],sheet2!$A$2:$A$6,sheet2!$B$2:$B$6,_xleta.NA,0)</f>
        <v>Marketing Manager</v>
      </c>
      <c r="D81" s="1">
        <f t="shared" ca="1" si="9"/>
        <v>43399</v>
      </c>
      <c r="E81" s="1">
        <f ca="1">Table1[[#This Row],[Job Posting Date]]+ RANDBETWEEN(15, 90)</f>
        <v>43464</v>
      </c>
      <c r="F81" s="1">
        <f ca="1">Table1[[#This Row],[Hire Date]]+ RANDBETWEEN(1, 15)</f>
        <v>43478</v>
      </c>
      <c r="G81" s="1">
        <f ca="1">IF(RAND() &lt; 0.5,  Table1[[#This Row],[Join Date]]+ RANDBETWEEN(30, TODAY()- Table1[[#This Row],[Join Date]]), "-")</f>
        <v>45348</v>
      </c>
      <c r="H81" t="str">
        <f ca="1">IF(Table1[[#This Row],[Exit Date]]= "-", "Active", "Exited")</f>
        <v>Exited</v>
      </c>
      <c r="I81" s="5">
        <f t="shared" ca="1" si="10"/>
        <v>2379</v>
      </c>
      <c r="J81" t="str" cm="1">
        <f t="array" aca="1" ref="J81" ca="1">INDEX(sheet2!$C$2:$C$6, RANDBETWEEN(1, 5))</f>
        <v>Advanced Excel Skills </v>
      </c>
      <c r="K81" t="str">
        <f t="shared" ca="1" si="11"/>
        <v>Not Completed</v>
      </c>
      <c r="L81">
        <v>260</v>
      </c>
      <c r="M81">
        <f t="shared" ca="1" si="12"/>
        <v>5</v>
      </c>
      <c r="N81" t="str">
        <f t="shared" ca="1" si="13"/>
        <v>Female</v>
      </c>
      <c r="O81" s="6">
        <f t="shared" ca="1" si="14"/>
        <v>1954</v>
      </c>
      <c r="P81">
        <f ca="1">Table1[[#This Row],[Hire Date]]-Table1[[#This Row],[Job Posting Date]]</f>
        <v>65</v>
      </c>
      <c r="Q81" s="7">
        <f ca="1">Table1[[#This Row],[Join Date]]-Table1[[#This Row],[Hire Date]]</f>
        <v>14</v>
      </c>
      <c r="R81" s="8">
        <f ca="1">(IF(Table1[[#This Row],[Status]]="Exited",Table1[[#This Row],[Exit Date]]-Table1[[#This Row],[Join Date]],TODAY()-Table1[[#This Row],[Join Date]]))/30</f>
        <v>62.333333333333336</v>
      </c>
      <c r="S81">
        <f ca="1">Table1[[#This Row],[Hire Date]]-Table1[[#This Row],[Job Posting Date]]</f>
        <v>65</v>
      </c>
      <c r="T81" s="7">
        <f ca="1">Table1[[#This Row],[Time to Onboard]]/Table1[[#This Row],[Time to Fill]]*100</f>
        <v>21.53846153846154</v>
      </c>
      <c r="U81" s="8">
        <f ca="1">Table1[[#This Row],[Time to Onboard]]/Table1[[#This Row],[Time to Fill]]*100</f>
        <v>21.53846153846154</v>
      </c>
      <c r="V81">
        <f ca="1">Table1[[#This Row],[Join Date]]-Table1[[#This Row],[Job Posting Date]]</f>
        <v>79</v>
      </c>
      <c r="W81">
        <f t="shared" ca="1" si="15"/>
        <v>115</v>
      </c>
      <c r="X81" s="8">
        <f ca="1">Table1[[#This Row],[Absentee Days]]/Table1[[#This Row],[Total Work Days]]*100</f>
        <v>1.9230769230769231</v>
      </c>
      <c r="Y81">
        <f ca="1">YEAR(Table1[[#This Row],[Join Date]])</f>
        <v>2019</v>
      </c>
      <c r="Z81">
        <f ca="1">IF(Table1[[#This Row],[Status]]="Active",1,0)</f>
        <v>0</v>
      </c>
      <c r="AA81">
        <f ca="1">IF(Table1[[#This Row],[Status]]="Exited",Table1[[#This Row],[Recruitment Cost]]+Table1[[#This Row],[Onboarding Cost]]+Table1[[#This Row],[Training Cost]],0)</f>
        <v>4448</v>
      </c>
    </row>
    <row r="82" spans="1:27" x14ac:dyDescent="0.2">
      <c r="A82" t="str">
        <f t="shared" si="8"/>
        <v>E081</v>
      </c>
      <c r="B82" t="str" cm="1">
        <f t="array" aca="1" ref="B82" ca="1">INDEX(sheet2!$A$2:$A$6, RANDBETWEEN(1, 5))</f>
        <v>Finance</v>
      </c>
      <c r="C82" t="str">
        <f ca="1">_xlfn.XLOOKUP(Table1[[#This Row],[Department]],sheet2!$A$2:$A$6,sheet2!$B$2:$B$6,_xleta.NA,0)</f>
        <v>Finance Manager</v>
      </c>
      <c r="D82" s="1">
        <f t="shared" ca="1" si="9"/>
        <v>44769</v>
      </c>
      <c r="E82" s="1">
        <f ca="1">Table1[[#This Row],[Job Posting Date]]+ RANDBETWEEN(15, 90)</f>
        <v>44813</v>
      </c>
      <c r="F82" s="1">
        <f ca="1">Table1[[#This Row],[Hire Date]]+ RANDBETWEEN(1, 15)</f>
        <v>44821</v>
      </c>
      <c r="G82" s="1">
        <f ca="1">IF(RAND() &lt; 0.5,  Table1[[#This Row],[Join Date]]+ RANDBETWEEN(30, TODAY()- Table1[[#This Row],[Join Date]]), "-")</f>
        <v>45419</v>
      </c>
      <c r="H82" t="str">
        <f ca="1">IF(Table1[[#This Row],[Exit Date]]= "-", "Active", "Exited")</f>
        <v>Exited</v>
      </c>
      <c r="I82" s="5">
        <f t="shared" ca="1" si="10"/>
        <v>4176</v>
      </c>
      <c r="J82" t="str" cm="1">
        <f t="array" aca="1" ref="J82" ca="1">INDEX(sheet2!$C$2:$C$6, RANDBETWEEN(1, 5))</f>
        <v>Leadership Development</v>
      </c>
      <c r="K82" t="str">
        <f t="shared" ca="1" si="11"/>
        <v>Completed</v>
      </c>
      <c r="L82">
        <v>260</v>
      </c>
      <c r="M82">
        <f t="shared" ca="1" si="12"/>
        <v>0</v>
      </c>
      <c r="N82" t="str">
        <f t="shared" ca="1" si="13"/>
        <v>Female</v>
      </c>
      <c r="O82" s="6">
        <f t="shared" ca="1" si="14"/>
        <v>1957</v>
      </c>
      <c r="P82">
        <f ca="1">Table1[[#This Row],[Hire Date]]-Table1[[#This Row],[Job Posting Date]]</f>
        <v>44</v>
      </c>
      <c r="Q82" s="7">
        <f ca="1">Table1[[#This Row],[Join Date]]-Table1[[#This Row],[Hire Date]]</f>
        <v>8</v>
      </c>
      <c r="R82" s="8">
        <f ca="1">(IF(Table1[[#This Row],[Status]]="Exited",Table1[[#This Row],[Exit Date]]-Table1[[#This Row],[Join Date]],TODAY()-Table1[[#This Row],[Join Date]]))/30</f>
        <v>19.933333333333334</v>
      </c>
      <c r="S82">
        <f ca="1">Table1[[#This Row],[Hire Date]]-Table1[[#This Row],[Job Posting Date]]</f>
        <v>44</v>
      </c>
      <c r="T82" s="7">
        <f ca="1">Table1[[#This Row],[Time to Onboard]]/Table1[[#This Row],[Time to Fill]]*100</f>
        <v>18.181818181818183</v>
      </c>
      <c r="U82" s="8">
        <f ca="1">Table1[[#This Row],[Time to Onboard]]/Table1[[#This Row],[Time to Fill]]*100</f>
        <v>18.181818181818183</v>
      </c>
      <c r="V82">
        <f ca="1">Table1[[#This Row],[Join Date]]-Table1[[#This Row],[Job Posting Date]]</f>
        <v>52</v>
      </c>
      <c r="W82">
        <f t="shared" ca="1" si="15"/>
        <v>166</v>
      </c>
      <c r="X82" s="8">
        <f ca="1">Table1[[#This Row],[Absentee Days]]/Table1[[#This Row],[Total Work Days]]*100</f>
        <v>0</v>
      </c>
      <c r="Y82">
        <f ca="1">YEAR(Table1[[#This Row],[Join Date]])</f>
        <v>2022</v>
      </c>
      <c r="Z82">
        <f ca="1">IF(Table1[[#This Row],[Status]]="Active",1,0)</f>
        <v>0</v>
      </c>
      <c r="AA82">
        <f ca="1">IF(Table1[[#This Row],[Status]]="Exited",Table1[[#This Row],[Recruitment Cost]]+Table1[[#This Row],[Onboarding Cost]]+Table1[[#This Row],[Training Cost]],0)</f>
        <v>6299</v>
      </c>
    </row>
    <row r="83" spans="1:27" x14ac:dyDescent="0.2">
      <c r="A83" t="str">
        <f t="shared" si="8"/>
        <v>E082</v>
      </c>
      <c r="B83" t="str" cm="1">
        <f t="array" aca="1" ref="B83" ca="1">INDEX(sheet2!$A$2:$A$6, RANDBETWEEN(1, 5))</f>
        <v>HR</v>
      </c>
      <c r="C83" t="str">
        <f ca="1">_xlfn.XLOOKUP(Table1[[#This Row],[Department]],sheet2!$A$2:$A$6,sheet2!$B$2:$B$6,_xleta.NA,0)</f>
        <v>HR Manager</v>
      </c>
      <c r="D83" s="1">
        <f t="shared" ca="1" si="9"/>
        <v>44349</v>
      </c>
      <c r="E83" s="1">
        <f ca="1">Table1[[#This Row],[Job Posting Date]]+ RANDBETWEEN(15, 90)</f>
        <v>44438</v>
      </c>
      <c r="F83" s="1">
        <f ca="1">Table1[[#This Row],[Hire Date]]+ RANDBETWEEN(1, 15)</f>
        <v>44439</v>
      </c>
      <c r="G83" s="1">
        <f ca="1">IF(RAND() &lt; 0.5,  Table1[[#This Row],[Join Date]]+ RANDBETWEEN(30, TODAY()- Table1[[#This Row],[Join Date]]), "-")</f>
        <v>44678</v>
      </c>
      <c r="H83" t="str">
        <f ca="1">IF(Table1[[#This Row],[Exit Date]]= "-", "Active", "Exited")</f>
        <v>Exited</v>
      </c>
      <c r="I83" s="5">
        <f t="shared" ca="1" si="10"/>
        <v>2915</v>
      </c>
      <c r="J83" t="str" cm="1">
        <f t="array" aca="1" ref="J83" ca="1">INDEX(sheet2!$C$2:$C$6, RANDBETWEEN(1, 5))</f>
        <v>Ethics and Responsibilities</v>
      </c>
      <c r="K83" t="str">
        <f t="shared" ca="1" si="11"/>
        <v>Completed</v>
      </c>
      <c r="L83">
        <v>260</v>
      </c>
      <c r="M83">
        <f t="shared" ca="1" si="12"/>
        <v>3</v>
      </c>
      <c r="N83" t="str">
        <f t="shared" ca="1" si="13"/>
        <v>Male</v>
      </c>
      <c r="O83" s="6">
        <f t="shared" ca="1" si="14"/>
        <v>1912</v>
      </c>
      <c r="P83">
        <f ca="1">Table1[[#This Row],[Hire Date]]-Table1[[#This Row],[Job Posting Date]]</f>
        <v>89</v>
      </c>
      <c r="Q83" s="7">
        <f ca="1">Table1[[#This Row],[Join Date]]-Table1[[#This Row],[Hire Date]]</f>
        <v>1</v>
      </c>
      <c r="R83" s="8">
        <f ca="1">(IF(Table1[[#This Row],[Status]]="Exited",Table1[[#This Row],[Exit Date]]-Table1[[#This Row],[Join Date]],TODAY()-Table1[[#This Row],[Join Date]]))/30</f>
        <v>7.9666666666666668</v>
      </c>
      <c r="S83">
        <f ca="1">Table1[[#This Row],[Hire Date]]-Table1[[#This Row],[Job Posting Date]]</f>
        <v>89</v>
      </c>
      <c r="T83" s="7">
        <f ca="1">Table1[[#This Row],[Time to Onboard]]/Table1[[#This Row],[Time to Fill]]*100</f>
        <v>1.1235955056179776</v>
      </c>
      <c r="U83" s="8">
        <f ca="1">Table1[[#This Row],[Time to Onboard]]/Table1[[#This Row],[Time to Fill]]*100</f>
        <v>1.1235955056179776</v>
      </c>
      <c r="V83">
        <f ca="1">Table1[[#This Row],[Join Date]]-Table1[[#This Row],[Job Posting Date]]</f>
        <v>90</v>
      </c>
      <c r="W83">
        <f t="shared" ca="1" si="15"/>
        <v>173</v>
      </c>
      <c r="X83" s="8">
        <f ca="1">Table1[[#This Row],[Absentee Days]]/Table1[[#This Row],[Total Work Days]]*100</f>
        <v>1.153846153846154</v>
      </c>
      <c r="Y83">
        <f ca="1">YEAR(Table1[[#This Row],[Join Date]])</f>
        <v>2021</v>
      </c>
      <c r="Z83">
        <f ca="1">IF(Table1[[#This Row],[Status]]="Active",1,0)</f>
        <v>0</v>
      </c>
      <c r="AA83">
        <f ca="1">IF(Table1[[#This Row],[Status]]="Exited",Table1[[#This Row],[Recruitment Cost]]+Table1[[#This Row],[Onboarding Cost]]+Table1[[#This Row],[Training Cost]],0)</f>
        <v>5000</v>
      </c>
    </row>
    <row r="84" spans="1:27" x14ac:dyDescent="0.2">
      <c r="A84" t="str">
        <f t="shared" si="8"/>
        <v>E083</v>
      </c>
      <c r="B84" t="str" cm="1">
        <f t="array" aca="1" ref="B84" ca="1">INDEX(sheet2!$A$2:$A$6, RANDBETWEEN(1, 5))</f>
        <v>IT</v>
      </c>
      <c r="C84" t="str">
        <f ca="1">_xlfn.XLOOKUP(Table1[[#This Row],[Department]],sheet2!$A$2:$A$6,sheet2!$B$2:$B$6,_xleta.NA,0)</f>
        <v>Software Engineer</v>
      </c>
      <c r="D84" s="1">
        <f t="shared" ca="1" si="9"/>
        <v>44482</v>
      </c>
      <c r="E84" s="1">
        <f ca="1">Table1[[#This Row],[Job Posting Date]]+ RANDBETWEEN(15, 90)</f>
        <v>44554</v>
      </c>
      <c r="F84" s="1">
        <f ca="1">Table1[[#This Row],[Hire Date]]+ RANDBETWEEN(1, 15)</f>
        <v>44555</v>
      </c>
      <c r="G84" s="1" t="str">
        <f ca="1">IF(RAND() &lt; 0.5,  Table1[[#This Row],[Join Date]]+ RANDBETWEEN(30, TODAY()- Table1[[#This Row],[Join Date]]), "-")</f>
        <v>-</v>
      </c>
      <c r="H84" t="str">
        <f ca="1">IF(Table1[[#This Row],[Exit Date]]= "-", "Active", "Exited")</f>
        <v>Active</v>
      </c>
      <c r="I84" s="5">
        <f t="shared" ca="1" si="10"/>
        <v>3029</v>
      </c>
      <c r="J84" t="str" cm="1">
        <f t="array" aca="1" ref="J84" ca="1">INDEX(sheet2!$C$2:$C$6, RANDBETWEEN(1, 5))</f>
        <v>Ethics and Responsibilities</v>
      </c>
      <c r="K84" t="str">
        <f t="shared" ca="1" si="11"/>
        <v>Not Completed</v>
      </c>
      <c r="L84">
        <v>260</v>
      </c>
      <c r="M84">
        <f t="shared" ca="1" si="12"/>
        <v>20</v>
      </c>
      <c r="N84" t="str">
        <f t="shared" ca="1" si="13"/>
        <v>Female</v>
      </c>
      <c r="O84" s="6">
        <f t="shared" ca="1" si="14"/>
        <v>1321</v>
      </c>
      <c r="P84">
        <f ca="1">Table1[[#This Row],[Hire Date]]-Table1[[#This Row],[Job Posting Date]]</f>
        <v>72</v>
      </c>
      <c r="Q84" s="7">
        <f ca="1">Table1[[#This Row],[Join Date]]-Table1[[#This Row],[Hire Date]]</f>
        <v>1</v>
      </c>
      <c r="R84" s="8">
        <f ca="1">(IF(Table1[[#This Row],[Status]]="Exited",Table1[[#This Row],[Exit Date]]-Table1[[#This Row],[Join Date]],TODAY()-Table1[[#This Row],[Join Date]]))/30</f>
        <v>37.6</v>
      </c>
      <c r="S84">
        <f ca="1">Table1[[#This Row],[Hire Date]]-Table1[[#This Row],[Job Posting Date]]</f>
        <v>72</v>
      </c>
      <c r="T84" s="7">
        <f ca="1">Table1[[#This Row],[Time to Onboard]]/Table1[[#This Row],[Time to Fill]]*100</f>
        <v>1.3888888888888888</v>
      </c>
      <c r="U84" s="8">
        <f ca="1">Table1[[#This Row],[Time to Onboard]]/Table1[[#This Row],[Time to Fill]]*100</f>
        <v>1.3888888888888888</v>
      </c>
      <c r="V84">
        <f ca="1">Table1[[#This Row],[Join Date]]-Table1[[#This Row],[Job Posting Date]]</f>
        <v>73</v>
      </c>
      <c r="W84">
        <f t="shared" ca="1" si="15"/>
        <v>141</v>
      </c>
      <c r="X84" s="8">
        <f ca="1">Table1[[#This Row],[Absentee Days]]/Table1[[#This Row],[Total Work Days]]*100</f>
        <v>7.6923076923076925</v>
      </c>
      <c r="Y84">
        <f ca="1">YEAR(Table1[[#This Row],[Join Date]])</f>
        <v>2021</v>
      </c>
      <c r="Z84">
        <f ca="1">IF(Table1[[#This Row],[Status]]="Active",1,0)</f>
        <v>1</v>
      </c>
      <c r="AA84">
        <f ca="1">IF(Table1[[#This Row],[Status]]="Exited",Table1[[#This Row],[Recruitment Cost]]+Table1[[#This Row],[Onboarding Cost]]+Table1[[#This Row],[Training Cost]],0)</f>
        <v>0</v>
      </c>
    </row>
    <row r="85" spans="1:27" x14ac:dyDescent="0.2">
      <c r="A85" t="str">
        <f t="shared" si="8"/>
        <v>E084</v>
      </c>
      <c r="B85" t="str" cm="1">
        <f t="array" aca="1" ref="B85" ca="1">INDEX(sheet2!$A$2:$A$6, RANDBETWEEN(1, 5))</f>
        <v>HR</v>
      </c>
      <c r="C85" t="str">
        <f ca="1">_xlfn.XLOOKUP(Table1[[#This Row],[Department]],sheet2!$A$2:$A$6,sheet2!$B$2:$B$6,_xleta.NA,0)</f>
        <v>HR Manager</v>
      </c>
      <c r="D85" s="1">
        <f t="shared" ca="1" si="9"/>
        <v>43102</v>
      </c>
      <c r="E85" s="1">
        <f ca="1">Table1[[#This Row],[Job Posting Date]]+ RANDBETWEEN(15, 90)</f>
        <v>43190</v>
      </c>
      <c r="F85" s="1">
        <f ca="1">Table1[[#This Row],[Hire Date]]+ RANDBETWEEN(1, 15)</f>
        <v>43201</v>
      </c>
      <c r="G85" s="1" t="str">
        <f ca="1">IF(RAND() &lt; 0.5,  Table1[[#This Row],[Join Date]]+ RANDBETWEEN(30, TODAY()- Table1[[#This Row],[Join Date]]), "-")</f>
        <v>-</v>
      </c>
      <c r="H85" t="str">
        <f ca="1">IF(Table1[[#This Row],[Exit Date]]= "-", "Active", "Exited")</f>
        <v>Active</v>
      </c>
      <c r="I85" s="5">
        <f t="shared" ca="1" si="10"/>
        <v>1974</v>
      </c>
      <c r="J85" t="str" cm="1">
        <f t="array" aca="1" ref="J85" ca="1">INDEX(sheet2!$C$2:$C$6, RANDBETWEEN(1, 5))</f>
        <v>Leadership Development</v>
      </c>
      <c r="K85" t="str">
        <f t="shared" ca="1" si="11"/>
        <v>Not Completed</v>
      </c>
      <c r="L85">
        <v>260</v>
      </c>
      <c r="M85">
        <f t="shared" ca="1" si="12"/>
        <v>8</v>
      </c>
      <c r="N85" t="str">
        <f t="shared" ca="1" si="13"/>
        <v>Female</v>
      </c>
      <c r="O85" s="6">
        <f t="shared" ca="1" si="14"/>
        <v>2096</v>
      </c>
      <c r="P85">
        <f ca="1">Table1[[#This Row],[Hire Date]]-Table1[[#This Row],[Job Posting Date]]</f>
        <v>88</v>
      </c>
      <c r="Q85" s="7">
        <f ca="1">Table1[[#This Row],[Join Date]]-Table1[[#This Row],[Hire Date]]</f>
        <v>11</v>
      </c>
      <c r="R85" s="8">
        <f ca="1">(IF(Table1[[#This Row],[Status]]="Exited",Table1[[#This Row],[Exit Date]]-Table1[[#This Row],[Join Date]],TODAY()-Table1[[#This Row],[Join Date]]))/30</f>
        <v>82.733333333333334</v>
      </c>
      <c r="S85">
        <f ca="1">Table1[[#This Row],[Hire Date]]-Table1[[#This Row],[Job Posting Date]]</f>
        <v>88</v>
      </c>
      <c r="T85" s="7">
        <f ca="1">Table1[[#This Row],[Time to Onboard]]/Table1[[#This Row],[Time to Fill]]*100</f>
        <v>12.5</v>
      </c>
      <c r="U85" s="8">
        <f ca="1">Table1[[#This Row],[Time to Onboard]]/Table1[[#This Row],[Time to Fill]]*100</f>
        <v>12.5</v>
      </c>
      <c r="V85">
        <f ca="1">Table1[[#This Row],[Join Date]]-Table1[[#This Row],[Job Posting Date]]</f>
        <v>99</v>
      </c>
      <c r="W85">
        <f t="shared" ca="1" si="15"/>
        <v>130</v>
      </c>
      <c r="X85" s="8">
        <f ca="1">Table1[[#This Row],[Absentee Days]]/Table1[[#This Row],[Total Work Days]]*100</f>
        <v>3.0769230769230771</v>
      </c>
      <c r="Y85">
        <f ca="1">YEAR(Table1[[#This Row],[Join Date]])</f>
        <v>2018</v>
      </c>
      <c r="Z85">
        <f ca="1">IF(Table1[[#This Row],[Status]]="Active",1,0)</f>
        <v>1</v>
      </c>
      <c r="AA85">
        <f ca="1">IF(Table1[[#This Row],[Status]]="Exited",Table1[[#This Row],[Recruitment Cost]]+Table1[[#This Row],[Onboarding Cost]]+Table1[[#This Row],[Training Cost]],0)</f>
        <v>0</v>
      </c>
    </row>
    <row r="86" spans="1:27" x14ac:dyDescent="0.2">
      <c r="A86" t="str">
        <f t="shared" si="8"/>
        <v>E085</v>
      </c>
      <c r="B86" t="str" cm="1">
        <f t="array" aca="1" ref="B86" ca="1">INDEX(sheet2!$A$2:$A$6, RANDBETWEEN(1, 5))</f>
        <v>HR</v>
      </c>
      <c r="C86" t="str">
        <f ca="1">_xlfn.XLOOKUP(Table1[[#This Row],[Department]],sheet2!$A$2:$A$6,sheet2!$B$2:$B$6,_xleta.NA,0)</f>
        <v>HR Manager</v>
      </c>
      <c r="D86" s="1">
        <f t="shared" ca="1" si="9"/>
        <v>44062</v>
      </c>
      <c r="E86" s="1">
        <f ca="1">Table1[[#This Row],[Job Posting Date]]+ RANDBETWEEN(15, 90)</f>
        <v>44085</v>
      </c>
      <c r="F86" s="1">
        <f ca="1">Table1[[#This Row],[Hire Date]]+ RANDBETWEEN(1, 15)</f>
        <v>44088</v>
      </c>
      <c r="G86" s="1">
        <f ca="1">IF(RAND() &lt; 0.5,  Table1[[#This Row],[Join Date]]+ RANDBETWEEN(30, TODAY()- Table1[[#This Row],[Join Date]]), "-")</f>
        <v>45248</v>
      </c>
      <c r="H86" t="str">
        <f ca="1">IF(Table1[[#This Row],[Exit Date]]= "-", "Active", "Exited")</f>
        <v>Exited</v>
      </c>
      <c r="I86" s="5">
        <f t="shared" ca="1" si="10"/>
        <v>2848</v>
      </c>
      <c r="J86" t="str" cm="1">
        <f t="array" aca="1" ref="J86" ca="1">INDEX(sheet2!$C$2:$C$6, RANDBETWEEN(1, 5))</f>
        <v>Leadership Development</v>
      </c>
      <c r="K86" t="str">
        <f t="shared" ca="1" si="11"/>
        <v>Completed</v>
      </c>
      <c r="L86">
        <v>260</v>
      </c>
      <c r="M86">
        <f t="shared" ca="1" si="12"/>
        <v>0</v>
      </c>
      <c r="N86" t="str">
        <f t="shared" ca="1" si="13"/>
        <v>Female</v>
      </c>
      <c r="O86" s="6">
        <f t="shared" ca="1" si="14"/>
        <v>1976</v>
      </c>
      <c r="P86">
        <f ca="1">Table1[[#This Row],[Hire Date]]-Table1[[#This Row],[Job Posting Date]]</f>
        <v>23</v>
      </c>
      <c r="Q86" s="7">
        <f ca="1">Table1[[#This Row],[Join Date]]-Table1[[#This Row],[Hire Date]]</f>
        <v>3</v>
      </c>
      <c r="R86" s="8">
        <f ca="1">(IF(Table1[[#This Row],[Status]]="Exited",Table1[[#This Row],[Exit Date]]-Table1[[#This Row],[Join Date]],TODAY()-Table1[[#This Row],[Join Date]]))/30</f>
        <v>38.666666666666664</v>
      </c>
      <c r="S86">
        <f ca="1">Table1[[#This Row],[Hire Date]]-Table1[[#This Row],[Job Posting Date]]</f>
        <v>23</v>
      </c>
      <c r="T86" s="7">
        <f ca="1">Table1[[#This Row],[Time to Onboard]]/Table1[[#This Row],[Time to Fill]]*100</f>
        <v>13.043478260869565</v>
      </c>
      <c r="U86" s="8">
        <f ca="1">Table1[[#This Row],[Time to Onboard]]/Table1[[#This Row],[Time to Fill]]*100</f>
        <v>13.043478260869565</v>
      </c>
      <c r="V86">
        <f ca="1">Table1[[#This Row],[Join Date]]-Table1[[#This Row],[Job Posting Date]]</f>
        <v>26</v>
      </c>
      <c r="W86">
        <f t="shared" ca="1" si="15"/>
        <v>124</v>
      </c>
      <c r="X86" s="8">
        <f ca="1">Table1[[#This Row],[Absentee Days]]/Table1[[#This Row],[Total Work Days]]*100</f>
        <v>0</v>
      </c>
      <c r="Y86">
        <f ca="1">YEAR(Table1[[#This Row],[Join Date]])</f>
        <v>2020</v>
      </c>
      <c r="Z86">
        <f ca="1">IF(Table1[[#This Row],[Status]]="Active",1,0)</f>
        <v>0</v>
      </c>
      <c r="AA86">
        <f ca="1">IF(Table1[[#This Row],[Status]]="Exited",Table1[[#This Row],[Recruitment Cost]]+Table1[[#This Row],[Onboarding Cost]]+Table1[[#This Row],[Training Cost]],0)</f>
        <v>4948</v>
      </c>
    </row>
    <row r="87" spans="1:27" x14ac:dyDescent="0.2">
      <c r="A87" t="str">
        <f t="shared" si="8"/>
        <v>E086</v>
      </c>
      <c r="B87" t="str" cm="1">
        <f t="array" aca="1" ref="B87" ca="1">INDEX(sheet2!$A$2:$A$6, RANDBETWEEN(1, 5))</f>
        <v>Sales</v>
      </c>
      <c r="C87" t="str">
        <f ca="1">_xlfn.XLOOKUP(Table1[[#This Row],[Department]],sheet2!$A$2:$A$6,sheet2!$B$2:$B$6,_xleta.NA,0)</f>
        <v>Marketing Manager</v>
      </c>
      <c r="D87" s="1">
        <f t="shared" ca="1" si="9"/>
        <v>43619</v>
      </c>
      <c r="E87" s="1">
        <f ca="1">Table1[[#This Row],[Job Posting Date]]+ RANDBETWEEN(15, 90)</f>
        <v>43672</v>
      </c>
      <c r="F87" s="1">
        <f ca="1">Table1[[#This Row],[Hire Date]]+ RANDBETWEEN(1, 15)</f>
        <v>43676</v>
      </c>
      <c r="G87" s="1">
        <f ca="1">IF(RAND() &lt; 0.5,  Table1[[#This Row],[Join Date]]+ RANDBETWEEN(30, TODAY()- Table1[[#This Row],[Join Date]]), "-")</f>
        <v>44450</v>
      </c>
      <c r="H87" t="str">
        <f ca="1">IF(Table1[[#This Row],[Exit Date]]= "-", "Active", "Exited")</f>
        <v>Exited</v>
      </c>
      <c r="I87" s="5">
        <f t="shared" ca="1" si="10"/>
        <v>4738</v>
      </c>
      <c r="J87" t="str" cm="1">
        <f t="array" aca="1" ref="J87" ca="1">INDEX(sheet2!$C$2:$C$6, RANDBETWEEN(1, 5))</f>
        <v>Communication Skills</v>
      </c>
      <c r="K87" t="str">
        <f t="shared" ca="1" si="11"/>
        <v>Completed</v>
      </c>
      <c r="L87">
        <v>260</v>
      </c>
      <c r="M87">
        <f t="shared" ca="1" si="12"/>
        <v>17</v>
      </c>
      <c r="N87" t="str">
        <f t="shared" ca="1" si="13"/>
        <v>Other</v>
      </c>
      <c r="O87" s="6">
        <f t="shared" ca="1" si="14"/>
        <v>1328</v>
      </c>
      <c r="P87">
        <f ca="1">Table1[[#This Row],[Hire Date]]-Table1[[#This Row],[Job Posting Date]]</f>
        <v>53</v>
      </c>
      <c r="Q87" s="7">
        <f ca="1">Table1[[#This Row],[Join Date]]-Table1[[#This Row],[Hire Date]]</f>
        <v>4</v>
      </c>
      <c r="R87" s="8">
        <f ca="1">(IF(Table1[[#This Row],[Status]]="Exited",Table1[[#This Row],[Exit Date]]-Table1[[#This Row],[Join Date]],TODAY()-Table1[[#This Row],[Join Date]]))/30</f>
        <v>25.8</v>
      </c>
      <c r="S87">
        <f ca="1">Table1[[#This Row],[Hire Date]]-Table1[[#This Row],[Job Posting Date]]</f>
        <v>53</v>
      </c>
      <c r="T87" s="7">
        <f ca="1">Table1[[#This Row],[Time to Onboard]]/Table1[[#This Row],[Time to Fill]]*100</f>
        <v>7.5471698113207548</v>
      </c>
      <c r="U87" s="8">
        <f ca="1">Table1[[#This Row],[Time to Onboard]]/Table1[[#This Row],[Time to Fill]]*100</f>
        <v>7.5471698113207548</v>
      </c>
      <c r="V87">
        <f ca="1">Table1[[#This Row],[Join Date]]-Table1[[#This Row],[Job Posting Date]]</f>
        <v>57</v>
      </c>
      <c r="W87">
        <f t="shared" ca="1" si="15"/>
        <v>104</v>
      </c>
      <c r="X87" s="8">
        <f ca="1">Table1[[#This Row],[Absentee Days]]/Table1[[#This Row],[Total Work Days]]*100</f>
        <v>6.5384615384615392</v>
      </c>
      <c r="Y87">
        <f ca="1">YEAR(Table1[[#This Row],[Join Date]])</f>
        <v>2019</v>
      </c>
      <c r="Z87">
        <f ca="1">IF(Table1[[#This Row],[Status]]="Active",1,0)</f>
        <v>0</v>
      </c>
      <c r="AA87">
        <f ca="1">IF(Table1[[#This Row],[Status]]="Exited",Table1[[#This Row],[Recruitment Cost]]+Table1[[#This Row],[Onboarding Cost]]+Table1[[#This Row],[Training Cost]],0)</f>
        <v>6170</v>
      </c>
    </row>
    <row r="88" spans="1:27" x14ac:dyDescent="0.2">
      <c r="A88" t="str">
        <f t="shared" si="8"/>
        <v>E087</v>
      </c>
      <c r="B88" t="str" cm="1">
        <f t="array" aca="1" ref="B88" ca="1">INDEX(sheet2!$A$2:$A$6, RANDBETWEEN(1, 5))</f>
        <v>Analytics</v>
      </c>
      <c r="C88" t="str">
        <f ca="1">_xlfn.XLOOKUP(Table1[[#This Row],[Department]],sheet2!$A$2:$A$6,sheet2!$B$2:$B$6,_xleta.NA,0)</f>
        <v>Data Analyst</v>
      </c>
      <c r="D88" s="1">
        <f t="shared" ca="1" si="9"/>
        <v>43542</v>
      </c>
      <c r="E88" s="1">
        <f ca="1">Table1[[#This Row],[Job Posting Date]]+ RANDBETWEEN(15, 90)</f>
        <v>43573</v>
      </c>
      <c r="F88" s="1">
        <f ca="1">Table1[[#This Row],[Hire Date]]+ RANDBETWEEN(1, 15)</f>
        <v>43578</v>
      </c>
      <c r="G88" s="1" t="str">
        <f ca="1">IF(RAND() &lt; 0.5,  Table1[[#This Row],[Join Date]]+ RANDBETWEEN(30, TODAY()- Table1[[#This Row],[Join Date]]), "-")</f>
        <v>-</v>
      </c>
      <c r="H88" t="str">
        <f ca="1">IF(Table1[[#This Row],[Exit Date]]= "-", "Active", "Exited")</f>
        <v>Active</v>
      </c>
      <c r="I88" s="5">
        <f t="shared" ca="1" si="10"/>
        <v>4237</v>
      </c>
      <c r="J88" t="str" cm="1">
        <f t="array" aca="1" ref="J88" ca="1">INDEX(sheet2!$C$2:$C$6, RANDBETWEEN(1, 5))</f>
        <v>Communication Skills</v>
      </c>
      <c r="K88" t="str">
        <f t="shared" ca="1" si="11"/>
        <v>Completed</v>
      </c>
      <c r="L88">
        <v>260</v>
      </c>
      <c r="M88">
        <f t="shared" ca="1" si="12"/>
        <v>19</v>
      </c>
      <c r="N88" t="str">
        <f t="shared" ca="1" si="13"/>
        <v>Other</v>
      </c>
      <c r="O88" s="6">
        <f t="shared" ca="1" si="14"/>
        <v>2248</v>
      </c>
      <c r="P88">
        <f ca="1">Table1[[#This Row],[Hire Date]]-Table1[[#This Row],[Job Posting Date]]</f>
        <v>31</v>
      </c>
      <c r="Q88" s="7">
        <f ca="1">Table1[[#This Row],[Join Date]]-Table1[[#This Row],[Hire Date]]</f>
        <v>5</v>
      </c>
      <c r="R88" s="8">
        <f ca="1">(IF(Table1[[#This Row],[Status]]="Exited",Table1[[#This Row],[Exit Date]]-Table1[[#This Row],[Join Date]],TODAY()-Table1[[#This Row],[Join Date]]))/30</f>
        <v>70.166666666666671</v>
      </c>
      <c r="S88">
        <f ca="1">Table1[[#This Row],[Hire Date]]-Table1[[#This Row],[Job Posting Date]]</f>
        <v>31</v>
      </c>
      <c r="T88" s="7">
        <f ca="1">Table1[[#This Row],[Time to Onboard]]/Table1[[#This Row],[Time to Fill]]*100</f>
        <v>16.129032258064516</v>
      </c>
      <c r="U88" s="8">
        <f ca="1">Table1[[#This Row],[Time to Onboard]]/Table1[[#This Row],[Time to Fill]]*100</f>
        <v>16.129032258064516</v>
      </c>
      <c r="V88">
        <f ca="1">Table1[[#This Row],[Join Date]]-Table1[[#This Row],[Job Posting Date]]</f>
        <v>36</v>
      </c>
      <c r="W88">
        <f t="shared" ca="1" si="15"/>
        <v>100</v>
      </c>
      <c r="X88" s="8">
        <f ca="1">Table1[[#This Row],[Absentee Days]]/Table1[[#This Row],[Total Work Days]]*100</f>
        <v>7.3076923076923084</v>
      </c>
      <c r="Y88">
        <f ca="1">YEAR(Table1[[#This Row],[Join Date]])</f>
        <v>2019</v>
      </c>
      <c r="Z88">
        <f ca="1">IF(Table1[[#This Row],[Status]]="Active",1,0)</f>
        <v>1</v>
      </c>
      <c r="AA88">
        <f ca="1">IF(Table1[[#This Row],[Status]]="Exited",Table1[[#This Row],[Recruitment Cost]]+Table1[[#This Row],[Onboarding Cost]]+Table1[[#This Row],[Training Cost]],0)</f>
        <v>0</v>
      </c>
    </row>
    <row r="89" spans="1:27" x14ac:dyDescent="0.2">
      <c r="A89" t="str">
        <f t="shared" si="8"/>
        <v>E088</v>
      </c>
      <c r="B89" t="str" cm="1">
        <f t="array" aca="1" ref="B89" ca="1">INDEX(sheet2!$A$2:$A$6, RANDBETWEEN(1, 5))</f>
        <v>Sales</v>
      </c>
      <c r="C89" t="str">
        <f ca="1">_xlfn.XLOOKUP(Table1[[#This Row],[Department]],sheet2!$A$2:$A$6,sheet2!$B$2:$B$6,_xleta.NA,0)</f>
        <v>Marketing Manager</v>
      </c>
      <c r="D89" s="1">
        <f t="shared" ca="1" si="9"/>
        <v>44602</v>
      </c>
      <c r="E89" s="1">
        <f ca="1">Table1[[#This Row],[Job Posting Date]]+ RANDBETWEEN(15, 90)</f>
        <v>44619</v>
      </c>
      <c r="F89" s="1">
        <f ca="1">Table1[[#This Row],[Hire Date]]+ RANDBETWEEN(1, 15)</f>
        <v>44624</v>
      </c>
      <c r="G89" s="1" t="str">
        <f ca="1">IF(RAND() &lt; 0.5,  Table1[[#This Row],[Join Date]]+ RANDBETWEEN(30, TODAY()- Table1[[#This Row],[Join Date]]), "-")</f>
        <v>-</v>
      </c>
      <c r="H89" t="str">
        <f ca="1">IF(Table1[[#This Row],[Exit Date]]= "-", "Active", "Exited")</f>
        <v>Active</v>
      </c>
      <c r="I89" s="5">
        <f t="shared" ca="1" si="10"/>
        <v>3187</v>
      </c>
      <c r="J89" t="str" cm="1">
        <f t="array" aca="1" ref="J89" ca="1">INDEX(sheet2!$C$2:$C$6, RANDBETWEEN(1, 5))</f>
        <v>Communication Skills</v>
      </c>
      <c r="K89" t="str">
        <f t="shared" ca="1" si="11"/>
        <v>Not Completed</v>
      </c>
      <c r="L89">
        <v>260</v>
      </c>
      <c r="M89">
        <f t="shared" ca="1" si="12"/>
        <v>0</v>
      </c>
      <c r="N89" t="str">
        <f t="shared" ca="1" si="13"/>
        <v>Other</v>
      </c>
      <c r="O89" s="6">
        <f t="shared" ca="1" si="14"/>
        <v>2402</v>
      </c>
      <c r="P89">
        <f ca="1">Table1[[#This Row],[Hire Date]]-Table1[[#This Row],[Job Posting Date]]</f>
        <v>17</v>
      </c>
      <c r="Q89" s="7">
        <f ca="1">Table1[[#This Row],[Join Date]]-Table1[[#This Row],[Hire Date]]</f>
        <v>5</v>
      </c>
      <c r="R89" s="8">
        <f ca="1">(IF(Table1[[#This Row],[Status]]="Exited",Table1[[#This Row],[Exit Date]]-Table1[[#This Row],[Join Date]],TODAY()-Table1[[#This Row],[Join Date]]))/30</f>
        <v>35.299999999999997</v>
      </c>
      <c r="S89">
        <f ca="1">Table1[[#This Row],[Hire Date]]-Table1[[#This Row],[Job Posting Date]]</f>
        <v>17</v>
      </c>
      <c r="T89" s="7">
        <f ca="1">Table1[[#This Row],[Time to Onboard]]/Table1[[#This Row],[Time to Fill]]*100</f>
        <v>29.411764705882355</v>
      </c>
      <c r="U89" s="8">
        <f ca="1">Table1[[#This Row],[Time to Onboard]]/Table1[[#This Row],[Time to Fill]]*100</f>
        <v>29.411764705882355</v>
      </c>
      <c r="V89">
        <f ca="1">Table1[[#This Row],[Join Date]]-Table1[[#This Row],[Job Posting Date]]</f>
        <v>22</v>
      </c>
      <c r="W89">
        <f t="shared" ca="1" si="15"/>
        <v>100</v>
      </c>
      <c r="X89" s="8">
        <f ca="1">Table1[[#This Row],[Absentee Days]]/Table1[[#This Row],[Total Work Days]]*100</f>
        <v>0</v>
      </c>
      <c r="Y89">
        <f ca="1">YEAR(Table1[[#This Row],[Join Date]])</f>
        <v>2022</v>
      </c>
      <c r="Z89">
        <f ca="1">IF(Table1[[#This Row],[Status]]="Active",1,0)</f>
        <v>1</v>
      </c>
      <c r="AA89">
        <f ca="1">IF(Table1[[#This Row],[Status]]="Exited",Table1[[#This Row],[Recruitment Cost]]+Table1[[#This Row],[Onboarding Cost]]+Table1[[#This Row],[Training Cost]],0)</f>
        <v>0</v>
      </c>
    </row>
    <row r="90" spans="1:27" x14ac:dyDescent="0.2">
      <c r="A90" t="str">
        <f t="shared" si="8"/>
        <v>E089</v>
      </c>
      <c r="B90" t="str" cm="1">
        <f t="array" aca="1" ref="B90" ca="1">INDEX(sheet2!$A$2:$A$6, RANDBETWEEN(1, 5))</f>
        <v>Finance</v>
      </c>
      <c r="C90" t="str">
        <f ca="1">_xlfn.XLOOKUP(Table1[[#This Row],[Department]],sheet2!$A$2:$A$6,sheet2!$B$2:$B$6,_xleta.NA,0)</f>
        <v>Finance Manager</v>
      </c>
      <c r="D90" s="1">
        <f t="shared" ca="1" si="9"/>
        <v>44453</v>
      </c>
      <c r="E90" s="1">
        <f ca="1">Table1[[#This Row],[Job Posting Date]]+ RANDBETWEEN(15, 90)</f>
        <v>44493</v>
      </c>
      <c r="F90" s="1">
        <f ca="1">Table1[[#This Row],[Hire Date]]+ RANDBETWEEN(1, 15)</f>
        <v>44497</v>
      </c>
      <c r="G90" s="1">
        <f ca="1">IF(RAND() &lt; 0.5,  Table1[[#This Row],[Join Date]]+ RANDBETWEEN(30, TODAY()- Table1[[#This Row],[Join Date]]), "-")</f>
        <v>44649</v>
      </c>
      <c r="H90" t="str">
        <f ca="1">IF(Table1[[#This Row],[Exit Date]]= "-", "Active", "Exited")</f>
        <v>Exited</v>
      </c>
      <c r="I90" s="5">
        <f t="shared" ca="1" si="10"/>
        <v>2112</v>
      </c>
      <c r="J90" t="str" cm="1">
        <f t="array" aca="1" ref="J90" ca="1">INDEX(sheet2!$C$2:$C$6, RANDBETWEEN(1, 5))</f>
        <v>Conflict Resolution</v>
      </c>
      <c r="K90" t="str">
        <f t="shared" ca="1" si="11"/>
        <v>Not Completed</v>
      </c>
      <c r="L90">
        <v>260</v>
      </c>
      <c r="M90">
        <f t="shared" ca="1" si="12"/>
        <v>5</v>
      </c>
      <c r="N90" t="str">
        <f t="shared" ca="1" si="13"/>
        <v>Other</v>
      </c>
      <c r="O90" s="6">
        <f t="shared" ca="1" si="14"/>
        <v>1316</v>
      </c>
      <c r="P90">
        <f ca="1">Table1[[#This Row],[Hire Date]]-Table1[[#This Row],[Job Posting Date]]</f>
        <v>40</v>
      </c>
      <c r="Q90" s="7">
        <f ca="1">Table1[[#This Row],[Join Date]]-Table1[[#This Row],[Hire Date]]</f>
        <v>4</v>
      </c>
      <c r="R90" s="8">
        <f ca="1">(IF(Table1[[#This Row],[Status]]="Exited",Table1[[#This Row],[Exit Date]]-Table1[[#This Row],[Join Date]],TODAY()-Table1[[#This Row],[Join Date]]))/30</f>
        <v>5.0666666666666664</v>
      </c>
      <c r="S90">
        <f ca="1">Table1[[#This Row],[Hire Date]]-Table1[[#This Row],[Job Posting Date]]</f>
        <v>40</v>
      </c>
      <c r="T90" s="7">
        <f ca="1">Table1[[#This Row],[Time to Onboard]]/Table1[[#This Row],[Time to Fill]]*100</f>
        <v>10</v>
      </c>
      <c r="U90" s="8">
        <f ca="1">Table1[[#This Row],[Time to Onboard]]/Table1[[#This Row],[Time to Fill]]*100</f>
        <v>10</v>
      </c>
      <c r="V90">
        <f ca="1">Table1[[#This Row],[Join Date]]-Table1[[#This Row],[Job Posting Date]]</f>
        <v>44</v>
      </c>
      <c r="W90">
        <f t="shared" ca="1" si="15"/>
        <v>177</v>
      </c>
      <c r="X90" s="8">
        <f ca="1">Table1[[#This Row],[Absentee Days]]/Table1[[#This Row],[Total Work Days]]*100</f>
        <v>1.9230769230769231</v>
      </c>
      <c r="Y90">
        <f ca="1">YEAR(Table1[[#This Row],[Join Date]])</f>
        <v>2021</v>
      </c>
      <c r="Z90">
        <f ca="1">IF(Table1[[#This Row],[Status]]="Active",1,0)</f>
        <v>0</v>
      </c>
      <c r="AA90">
        <f ca="1">IF(Table1[[#This Row],[Status]]="Exited",Table1[[#This Row],[Recruitment Cost]]+Table1[[#This Row],[Onboarding Cost]]+Table1[[#This Row],[Training Cost]],0)</f>
        <v>3605</v>
      </c>
    </row>
    <row r="91" spans="1:27" x14ac:dyDescent="0.2">
      <c r="A91" t="str">
        <f t="shared" si="8"/>
        <v>E090</v>
      </c>
      <c r="B91" t="str" cm="1">
        <f t="array" aca="1" ref="B91" ca="1">INDEX(sheet2!$A$2:$A$6, RANDBETWEEN(1, 5))</f>
        <v>IT</v>
      </c>
      <c r="C91" t="str">
        <f ca="1">_xlfn.XLOOKUP(Table1[[#This Row],[Department]],sheet2!$A$2:$A$6,sheet2!$B$2:$B$6,_xleta.NA,0)</f>
        <v>Software Engineer</v>
      </c>
      <c r="D91" s="1">
        <f t="shared" ca="1" si="9"/>
        <v>44747</v>
      </c>
      <c r="E91" s="1">
        <f ca="1">Table1[[#This Row],[Job Posting Date]]+ RANDBETWEEN(15, 90)</f>
        <v>44780</v>
      </c>
      <c r="F91" s="1">
        <f ca="1">Table1[[#This Row],[Hire Date]]+ RANDBETWEEN(1, 15)</f>
        <v>44793</v>
      </c>
      <c r="G91" s="1" t="str">
        <f ca="1">IF(RAND() &lt; 0.5,  Table1[[#This Row],[Join Date]]+ RANDBETWEEN(30, TODAY()- Table1[[#This Row],[Join Date]]), "-")</f>
        <v>-</v>
      </c>
      <c r="H91" t="str">
        <f ca="1">IF(Table1[[#This Row],[Exit Date]]= "-", "Active", "Exited")</f>
        <v>Active</v>
      </c>
      <c r="I91" s="5">
        <f t="shared" ca="1" si="10"/>
        <v>4225</v>
      </c>
      <c r="J91" t="str" cm="1">
        <f t="array" aca="1" ref="J91" ca="1">INDEX(sheet2!$C$2:$C$6, RANDBETWEEN(1, 5))</f>
        <v>Conflict Resolution</v>
      </c>
      <c r="K91" t="str">
        <f t="shared" ca="1" si="11"/>
        <v>Completed</v>
      </c>
      <c r="L91">
        <v>260</v>
      </c>
      <c r="M91">
        <f t="shared" ca="1" si="12"/>
        <v>12</v>
      </c>
      <c r="N91" t="str">
        <f t="shared" ca="1" si="13"/>
        <v>Male</v>
      </c>
      <c r="O91" s="6">
        <f t="shared" ca="1" si="14"/>
        <v>2467</v>
      </c>
      <c r="P91">
        <f ca="1">Table1[[#This Row],[Hire Date]]-Table1[[#This Row],[Job Posting Date]]</f>
        <v>33</v>
      </c>
      <c r="Q91" s="7">
        <f ca="1">Table1[[#This Row],[Join Date]]-Table1[[#This Row],[Hire Date]]</f>
        <v>13</v>
      </c>
      <c r="R91" s="8">
        <f ca="1">(IF(Table1[[#This Row],[Status]]="Exited",Table1[[#This Row],[Exit Date]]-Table1[[#This Row],[Join Date]],TODAY()-Table1[[#This Row],[Join Date]]))/30</f>
        <v>29.666666666666668</v>
      </c>
      <c r="S91">
        <f ca="1">Table1[[#This Row],[Hire Date]]-Table1[[#This Row],[Job Posting Date]]</f>
        <v>33</v>
      </c>
      <c r="T91" s="7">
        <f ca="1">Table1[[#This Row],[Time to Onboard]]/Table1[[#This Row],[Time to Fill]]*100</f>
        <v>39.393939393939391</v>
      </c>
      <c r="U91" s="8">
        <f ca="1">Table1[[#This Row],[Time to Onboard]]/Table1[[#This Row],[Time to Fill]]*100</f>
        <v>39.393939393939391</v>
      </c>
      <c r="V91">
        <f ca="1">Table1[[#This Row],[Join Date]]-Table1[[#This Row],[Job Posting Date]]</f>
        <v>46</v>
      </c>
      <c r="W91">
        <f t="shared" ca="1" si="15"/>
        <v>171</v>
      </c>
      <c r="X91" s="8">
        <f ca="1">Table1[[#This Row],[Absentee Days]]/Table1[[#This Row],[Total Work Days]]*100</f>
        <v>4.6153846153846159</v>
      </c>
      <c r="Y91">
        <f ca="1">YEAR(Table1[[#This Row],[Join Date]])</f>
        <v>2022</v>
      </c>
      <c r="Z91">
        <f ca="1">IF(Table1[[#This Row],[Status]]="Active",1,0)</f>
        <v>1</v>
      </c>
      <c r="AA91">
        <f ca="1">IF(Table1[[#This Row],[Status]]="Exited",Table1[[#This Row],[Recruitment Cost]]+Table1[[#This Row],[Onboarding Cost]]+Table1[[#This Row],[Training Cost]],0)</f>
        <v>0</v>
      </c>
    </row>
    <row r="92" spans="1:27" x14ac:dyDescent="0.2">
      <c r="A92" t="str">
        <f t="shared" si="8"/>
        <v>E091</v>
      </c>
      <c r="B92" t="str" cm="1">
        <f t="array" aca="1" ref="B92" ca="1">INDEX(sheet2!$A$2:$A$6, RANDBETWEEN(1, 5))</f>
        <v>Sales</v>
      </c>
      <c r="C92" t="str">
        <f ca="1">_xlfn.XLOOKUP(Table1[[#This Row],[Department]],sheet2!$A$2:$A$6,sheet2!$B$2:$B$6,_xleta.NA,0)</f>
        <v>Marketing Manager</v>
      </c>
      <c r="D92" s="1">
        <f t="shared" ca="1" si="9"/>
        <v>43790</v>
      </c>
      <c r="E92" s="1">
        <f ca="1">Table1[[#This Row],[Job Posting Date]]+ RANDBETWEEN(15, 90)</f>
        <v>43825</v>
      </c>
      <c r="F92" s="1">
        <f ca="1">Table1[[#This Row],[Hire Date]]+ RANDBETWEEN(1, 15)</f>
        <v>43828</v>
      </c>
      <c r="G92" s="1" t="str">
        <f ca="1">IF(RAND() &lt; 0.5,  Table1[[#This Row],[Join Date]]+ RANDBETWEEN(30, TODAY()- Table1[[#This Row],[Join Date]]), "-")</f>
        <v>-</v>
      </c>
      <c r="H92" t="str">
        <f ca="1">IF(Table1[[#This Row],[Exit Date]]= "-", "Active", "Exited")</f>
        <v>Active</v>
      </c>
      <c r="I92" s="5">
        <f t="shared" ca="1" si="10"/>
        <v>3384</v>
      </c>
      <c r="J92" t="str" cm="1">
        <f t="array" aca="1" ref="J92" ca="1">INDEX(sheet2!$C$2:$C$6, RANDBETWEEN(1, 5))</f>
        <v>Ethics and Responsibilities</v>
      </c>
      <c r="K92" t="str">
        <f t="shared" ca="1" si="11"/>
        <v>Completed</v>
      </c>
      <c r="L92">
        <v>260</v>
      </c>
      <c r="M92">
        <f t="shared" ca="1" si="12"/>
        <v>13</v>
      </c>
      <c r="N92" t="str">
        <f t="shared" ca="1" si="13"/>
        <v>Female</v>
      </c>
      <c r="O92" s="6">
        <f t="shared" ca="1" si="14"/>
        <v>1810</v>
      </c>
      <c r="P92">
        <f ca="1">Table1[[#This Row],[Hire Date]]-Table1[[#This Row],[Job Posting Date]]</f>
        <v>35</v>
      </c>
      <c r="Q92" s="7">
        <f ca="1">Table1[[#This Row],[Join Date]]-Table1[[#This Row],[Hire Date]]</f>
        <v>3</v>
      </c>
      <c r="R92" s="8">
        <f ca="1">(IF(Table1[[#This Row],[Status]]="Exited",Table1[[#This Row],[Exit Date]]-Table1[[#This Row],[Join Date]],TODAY()-Table1[[#This Row],[Join Date]]))/30</f>
        <v>61.833333333333336</v>
      </c>
      <c r="S92">
        <f ca="1">Table1[[#This Row],[Hire Date]]-Table1[[#This Row],[Job Posting Date]]</f>
        <v>35</v>
      </c>
      <c r="T92" s="7">
        <f ca="1">Table1[[#This Row],[Time to Onboard]]/Table1[[#This Row],[Time to Fill]]*100</f>
        <v>8.5714285714285712</v>
      </c>
      <c r="U92" s="8">
        <f ca="1">Table1[[#This Row],[Time to Onboard]]/Table1[[#This Row],[Time to Fill]]*100</f>
        <v>8.5714285714285712</v>
      </c>
      <c r="V92">
        <f ca="1">Table1[[#This Row],[Join Date]]-Table1[[#This Row],[Job Posting Date]]</f>
        <v>38</v>
      </c>
      <c r="W92">
        <f t="shared" ca="1" si="15"/>
        <v>162</v>
      </c>
      <c r="X92" s="8">
        <f ca="1">Table1[[#This Row],[Absentee Days]]/Table1[[#This Row],[Total Work Days]]*100</f>
        <v>5</v>
      </c>
      <c r="Y92">
        <f ca="1">YEAR(Table1[[#This Row],[Join Date]])</f>
        <v>2019</v>
      </c>
      <c r="Z92">
        <f ca="1">IF(Table1[[#This Row],[Status]]="Active",1,0)</f>
        <v>1</v>
      </c>
      <c r="AA92">
        <f ca="1">IF(Table1[[#This Row],[Status]]="Exited",Table1[[#This Row],[Recruitment Cost]]+Table1[[#This Row],[Onboarding Cost]]+Table1[[#This Row],[Training Cost]],0)</f>
        <v>0</v>
      </c>
    </row>
    <row r="93" spans="1:27" x14ac:dyDescent="0.2">
      <c r="A93" t="str">
        <f t="shared" si="8"/>
        <v>E092</v>
      </c>
      <c r="B93" t="str" cm="1">
        <f t="array" aca="1" ref="B93" ca="1">INDEX(sheet2!$A$2:$A$6, RANDBETWEEN(1, 5))</f>
        <v>IT</v>
      </c>
      <c r="C93" t="str">
        <f ca="1">_xlfn.XLOOKUP(Table1[[#This Row],[Department]],sheet2!$A$2:$A$6,sheet2!$B$2:$B$6,_xleta.NA,0)</f>
        <v>Software Engineer</v>
      </c>
      <c r="D93" s="1">
        <f t="shared" ca="1" si="9"/>
        <v>43507</v>
      </c>
      <c r="E93" s="1">
        <f ca="1">Table1[[#This Row],[Job Posting Date]]+ RANDBETWEEN(15, 90)</f>
        <v>43534</v>
      </c>
      <c r="F93" s="1">
        <f ca="1">Table1[[#This Row],[Hire Date]]+ RANDBETWEEN(1, 15)</f>
        <v>43536</v>
      </c>
      <c r="G93" s="1">
        <f ca="1">IF(RAND() &lt; 0.5,  Table1[[#This Row],[Join Date]]+ RANDBETWEEN(30, TODAY()- Table1[[#This Row],[Join Date]]), "-")</f>
        <v>45544</v>
      </c>
      <c r="H93" t="str">
        <f ca="1">IF(Table1[[#This Row],[Exit Date]]= "-", "Active", "Exited")</f>
        <v>Exited</v>
      </c>
      <c r="I93" s="5">
        <f t="shared" ca="1" si="10"/>
        <v>2399</v>
      </c>
      <c r="J93" t="str" cm="1">
        <f t="array" aca="1" ref="J93" ca="1">INDEX(sheet2!$C$2:$C$6, RANDBETWEEN(1, 5))</f>
        <v>Conflict Resolution</v>
      </c>
      <c r="K93" t="str">
        <f t="shared" ca="1" si="11"/>
        <v>Completed</v>
      </c>
      <c r="L93">
        <v>260</v>
      </c>
      <c r="M93">
        <f t="shared" ca="1" si="12"/>
        <v>0</v>
      </c>
      <c r="N93" t="str">
        <f t="shared" ca="1" si="13"/>
        <v>Other</v>
      </c>
      <c r="O93" s="6">
        <f t="shared" ca="1" si="14"/>
        <v>1825</v>
      </c>
      <c r="P93">
        <f ca="1">Table1[[#This Row],[Hire Date]]-Table1[[#This Row],[Job Posting Date]]</f>
        <v>27</v>
      </c>
      <c r="Q93" s="7">
        <f ca="1">Table1[[#This Row],[Join Date]]-Table1[[#This Row],[Hire Date]]</f>
        <v>2</v>
      </c>
      <c r="R93" s="8">
        <f ca="1">(IF(Table1[[#This Row],[Status]]="Exited",Table1[[#This Row],[Exit Date]]-Table1[[#This Row],[Join Date]],TODAY()-Table1[[#This Row],[Join Date]]))/30</f>
        <v>66.933333333333337</v>
      </c>
      <c r="S93">
        <f ca="1">Table1[[#This Row],[Hire Date]]-Table1[[#This Row],[Job Posting Date]]</f>
        <v>27</v>
      </c>
      <c r="T93" s="7">
        <f ca="1">Table1[[#This Row],[Time to Onboard]]/Table1[[#This Row],[Time to Fill]]*100</f>
        <v>7.4074074074074066</v>
      </c>
      <c r="U93" s="8">
        <f ca="1">Table1[[#This Row],[Time to Onboard]]/Table1[[#This Row],[Time to Fill]]*100</f>
        <v>7.4074074074074066</v>
      </c>
      <c r="V93">
        <f ca="1">Table1[[#This Row],[Join Date]]-Table1[[#This Row],[Job Posting Date]]</f>
        <v>29</v>
      </c>
      <c r="W93">
        <f t="shared" ca="1" si="15"/>
        <v>160</v>
      </c>
      <c r="X93" s="8">
        <f ca="1">Table1[[#This Row],[Absentee Days]]/Table1[[#This Row],[Total Work Days]]*100</f>
        <v>0</v>
      </c>
      <c r="Y93">
        <f ca="1">YEAR(Table1[[#This Row],[Join Date]])</f>
        <v>2019</v>
      </c>
      <c r="Z93">
        <f ca="1">IF(Table1[[#This Row],[Status]]="Active",1,0)</f>
        <v>0</v>
      </c>
      <c r="AA93">
        <f ca="1">IF(Table1[[#This Row],[Status]]="Exited",Table1[[#This Row],[Recruitment Cost]]+Table1[[#This Row],[Onboarding Cost]]+Table1[[#This Row],[Training Cost]],0)</f>
        <v>4384</v>
      </c>
    </row>
    <row r="94" spans="1:27" x14ac:dyDescent="0.2">
      <c r="A94" t="str">
        <f t="shared" si="8"/>
        <v>E093</v>
      </c>
      <c r="B94" t="str" cm="1">
        <f t="array" aca="1" ref="B94" ca="1">INDEX(sheet2!$A$2:$A$6, RANDBETWEEN(1, 5))</f>
        <v>Sales</v>
      </c>
      <c r="C94" t="str">
        <f ca="1">_xlfn.XLOOKUP(Table1[[#This Row],[Department]],sheet2!$A$2:$A$6,sheet2!$B$2:$B$6,_xleta.NA,0)</f>
        <v>Marketing Manager</v>
      </c>
      <c r="D94" s="1">
        <f t="shared" ca="1" si="9"/>
        <v>43835</v>
      </c>
      <c r="E94" s="1">
        <f ca="1">Table1[[#This Row],[Job Posting Date]]+ RANDBETWEEN(15, 90)</f>
        <v>43858</v>
      </c>
      <c r="F94" s="1">
        <f ca="1">Table1[[#This Row],[Hire Date]]+ RANDBETWEEN(1, 15)</f>
        <v>43869</v>
      </c>
      <c r="G94" s="1">
        <f ca="1">IF(RAND() &lt; 0.5,  Table1[[#This Row],[Join Date]]+ RANDBETWEEN(30, TODAY()- Table1[[#This Row],[Join Date]]), "-")</f>
        <v>44906</v>
      </c>
      <c r="H94" t="str">
        <f ca="1">IF(Table1[[#This Row],[Exit Date]]= "-", "Active", "Exited")</f>
        <v>Exited</v>
      </c>
      <c r="I94" s="5">
        <f t="shared" ca="1" si="10"/>
        <v>3341</v>
      </c>
      <c r="J94" t="str" cm="1">
        <f t="array" aca="1" ref="J94" ca="1">INDEX(sheet2!$C$2:$C$6, RANDBETWEEN(1, 5))</f>
        <v>Ethics and Responsibilities</v>
      </c>
      <c r="K94" t="str">
        <f t="shared" ca="1" si="11"/>
        <v>Not Completed</v>
      </c>
      <c r="L94">
        <v>260</v>
      </c>
      <c r="M94">
        <f t="shared" ca="1" si="12"/>
        <v>4</v>
      </c>
      <c r="N94" t="str">
        <f t="shared" ca="1" si="13"/>
        <v>Other</v>
      </c>
      <c r="O94" s="6">
        <f t="shared" ca="1" si="14"/>
        <v>1638</v>
      </c>
      <c r="P94">
        <f ca="1">Table1[[#This Row],[Hire Date]]-Table1[[#This Row],[Job Posting Date]]</f>
        <v>23</v>
      </c>
      <c r="Q94" s="7">
        <f ca="1">Table1[[#This Row],[Join Date]]-Table1[[#This Row],[Hire Date]]</f>
        <v>11</v>
      </c>
      <c r="R94" s="8">
        <f ca="1">(IF(Table1[[#This Row],[Status]]="Exited",Table1[[#This Row],[Exit Date]]-Table1[[#This Row],[Join Date]],TODAY()-Table1[[#This Row],[Join Date]]))/30</f>
        <v>34.56666666666667</v>
      </c>
      <c r="S94">
        <f ca="1">Table1[[#This Row],[Hire Date]]-Table1[[#This Row],[Job Posting Date]]</f>
        <v>23</v>
      </c>
      <c r="T94" s="7">
        <f ca="1">Table1[[#This Row],[Time to Onboard]]/Table1[[#This Row],[Time to Fill]]*100</f>
        <v>47.826086956521742</v>
      </c>
      <c r="U94" s="8">
        <f ca="1">Table1[[#This Row],[Time to Onboard]]/Table1[[#This Row],[Time to Fill]]*100</f>
        <v>47.826086956521742</v>
      </c>
      <c r="V94">
        <f ca="1">Table1[[#This Row],[Join Date]]-Table1[[#This Row],[Job Posting Date]]</f>
        <v>34</v>
      </c>
      <c r="W94">
        <f t="shared" ca="1" si="15"/>
        <v>113</v>
      </c>
      <c r="X94" s="8">
        <f ca="1">Table1[[#This Row],[Absentee Days]]/Table1[[#This Row],[Total Work Days]]*100</f>
        <v>1.5384615384615385</v>
      </c>
      <c r="Y94">
        <f ca="1">YEAR(Table1[[#This Row],[Join Date]])</f>
        <v>2020</v>
      </c>
      <c r="Z94">
        <f ca="1">IF(Table1[[#This Row],[Status]]="Active",1,0)</f>
        <v>0</v>
      </c>
      <c r="AA94">
        <f ca="1">IF(Table1[[#This Row],[Status]]="Exited",Table1[[#This Row],[Recruitment Cost]]+Table1[[#This Row],[Onboarding Cost]]+Table1[[#This Row],[Training Cost]],0)</f>
        <v>5092</v>
      </c>
    </row>
    <row r="95" spans="1:27" x14ac:dyDescent="0.2">
      <c r="A95" t="str">
        <f t="shared" si="8"/>
        <v>E094</v>
      </c>
      <c r="B95" t="str" cm="1">
        <f t="array" aca="1" ref="B95" ca="1">INDEX(sheet2!$A$2:$A$6, RANDBETWEEN(1, 5))</f>
        <v>Finance</v>
      </c>
      <c r="C95" t="str">
        <f ca="1">_xlfn.XLOOKUP(Table1[[#This Row],[Department]],sheet2!$A$2:$A$6,sheet2!$B$2:$B$6,_xleta.NA,0)</f>
        <v>Finance Manager</v>
      </c>
      <c r="D95" s="1">
        <f t="shared" ca="1" si="9"/>
        <v>43550</v>
      </c>
      <c r="E95" s="1">
        <f ca="1">Table1[[#This Row],[Job Posting Date]]+ RANDBETWEEN(15, 90)</f>
        <v>43586</v>
      </c>
      <c r="F95" s="1">
        <f ca="1">Table1[[#This Row],[Hire Date]]+ RANDBETWEEN(1, 15)</f>
        <v>43597</v>
      </c>
      <c r="G95" s="1" t="str">
        <f ca="1">IF(RAND() &lt; 0.5,  Table1[[#This Row],[Join Date]]+ RANDBETWEEN(30, TODAY()- Table1[[#This Row],[Join Date]]), "-")</f>
        <v>-</v>
      </c>
      <c r="H95" t="str">
        <f ca="1">IF(Table1[[#This Row],[Exit Date]]= "-", "Active", "Exited")</f>
        <v>Active</v>
      </c>
      <c r="I95" s="5">
        <f t="shared" ca="1" si="10"/>
        <v>1684</v>
      </c>
      <c r="J95" t="str" cm="1">
        <f t="array" aca="1" ref="J95" ca="1">INDEX(sheet2!$C$2:$C$6, RANDBETWEEN(1, 5))</f>
        <v>Ethics and Responsibilities</v>
      </c>
      <c r="K95" t="str">
        <f t="shared" ca="1" si="11"/>
        <v>Completed</v>
      </c>
      <c r="L95">
        <v>260</v>
      </c>
      <c r="M95">
        <f t="shared" ca="1" si="12"/>
        <v>8</v>
      </c>
      <c r="N95" t="str">
        <f t="shared" ca="1" si="13"/>
        <v>Male</v>
      </c>
      <c r="O95" s="6">
        <f t="shared" ca="1" si="14"/>
        <v>2038</v>
      </c>
      <c r="P95">
        <f ca="1">Table1[[#This Row],[Hire Date]]-Table1[[#This Row],[Job Posting Date]]</f>
        <v>36</v>
      </c>
      <c r="Q95" s="7">
        <f ca="1">Table1[[#This Row],[Join Date]]-Table1[[#This Row],[Hire Date]]</f>
        <v>11</v>
      </c>
      <c r="R95" s="8">
        <f ca="1">(IF(Table1[[#This Row],[Status]]="Exited",Table1[[#This Row],[Exit Date]]-Table1[[#This Row],[Join Date]],TODAY()-Table1[[#This Row],[Join Date]]))/30</f>
        <v>69.533333333333331</v>
      </c>
      <c r="S95">
        <f ca="1">Table1[[#This Row],[Hire Date]]-Table1[[#This Row],[Job Posting Date]]</f>
        <v>36</v>
      </c>
      <c r="T95" s="7">
        <f ca="1">Table1[[#This Row],[Time to Onboard]]/Table1[[#This Row],[Time to Fill]]*100</f>
        <v>30.555555555555557</v>
      </c>
      <c r="U95" s="8">
        <f ca="1">Table1[[#This Row],[Time to Onboard]]/Table1[[#This Row],[Time to Fill]]*100</f>
        <v>30.555555555555557</v>
      </c>
      <c r="V95">
        <f ca="1">Table1[[#This Row],[Join Date]]-Table1[[#This Row],[Job Posting Date]]</f>
        <v>47</v>
      </c>
      <c r="W95">
        <f t="shared" ca="1" si="15"/>
        <v>159</v>
      </c>
      <c r="X95" s="8">
        <f ca="1">Table1[[#This Row],[Absentee Days]]/Table1[[#This Row],[Total Work Days]]*100</f>
        <v>3.0769230769230771</v>
      </c>
      <c r="Y95">
        <f ca="1">YEAR(Table1[[#This Row],[Join Date]])</f>
        <v>2019</v>
      </c>
      <c r="Z95">
        <f ca="1">IF(Table1[[#This Row],[Status]]="Active",1,0)</f>
        <v>1</v>
      </c>
      <c r="AA95">
        <f ca="1">IF(Table1[[#This Row],[Status]]="Exited",Table1[[#This Row],[Recruitment Cost]]+Table1[[#This Row],[Onboarding Cost]]+Table1[[#This Row],[Training Cost]],0)</f>
        <v>0</v>
      </c>
    </row>
    <row r="96" spans="1:27" x14ac:dyDescent="0.2">
      <c r="A96" t="str">
        <f t="shared" si="8"/>
        <v>E095</v>
      </c>
      <c r="B96" t="str" cm="1">
        <f t="array" aca="1" ref="B96" ca="1">INDEX(sheet2!$A$2:$A$6, RANDBETWEEN(1, 5))</f>
        <v>HR</v>
      </c>
      <c r="C96" t="str">
        <f ca="1">_xlfn.XLOOKUP(Table1[[#This Row],[Department]],sheet2!$A$2:$A$6,sheet2!$B$2:$B$6,_xleta.NA,0)</f>
        <v>HR Manager</v>
      </c>
      <c r="D96" s="1">
        <f t="shared" ca="1" si="9"/>
        <v>44887</v>
      </c>
      <c r="E96" s="1">
        <f ca="1">Table1[[#This Row],[Job Posting Date]]+ RANDBETWEEN(15, 90)</f>
        <v>44908</v>
      </c>
      <c r="F96" s="1">
        <f ca="1">Table1[[#This Row],[Hire Date]]+ RANDBETWEEN(1, 15)</f>
        <v>44914</v>
      </c>
      <c r="G96" s="1" t="str">
        <f ca="1">IF(RAND() &lt; 0.5,  Table1[[#This Row],[Join Date]]+ RANDBETWEEN(30, TODAY()- Table1[[#This Row],[Join Date]]), "-")</f>
        <v>-</v>
      </c>
      <c r="H96" t="str">
        <f ca="1">IF(Table1[[#This Row],[Exit Date]]= "-", "Active", "Exited")</f>
        <v>Active</v>
      </c>
      <c r="I96" s="5">
        <f t="shared" ca="1" si="10"/>
        <v>3931</v>
      </c>
      <c r="J96" t="str" cm="1">
        <f t="array" aca="1" ref="J96" ca="1">INDEX(sheet2!$C$2:$C$6, RANDBETWEEN(1, 5))</f>
        <v>Conflict Resolution</v>
      </c>
      <c r="K96" t="str">
        <f t="shared" ca="1" si="11"/>
        <v>Not Completed</v>
      </c>
      <c r="L96">
        <v>260</v>
      </c>
      <c r="M96">
        <f t="shared" ca="1" si="12"/>
        <v>13</v>
      </c>
      <c r="N96" t="str">
        <f t="shared" ca="1" si="13"/>
        <v>Other</v>
      </c>
      <c r="O96" s="6">
        <f t="shared" ca="1" si="14"/>
        <v>2169</v>
      </c>
      <c r="P96">
        <f ca="1">Table1[[#This Row],[Hire Date]]-Table1[[#This Row],[Job Posting Date]]</f>
        <v>21</v>
      </c>
      <c r="Q96" s="7">
        <f ca="1">Table1[[#This Row],[Join Date]]-Table1[[#This Row],[Hire Date]]</f>
        <v>6</v>
      </c>
      <c r="R96" s="8">
        <f ca="1">(IF(Table1[[#This Row],[Status]]="Exited",Table1[[#This Row],[Exit Date]]-Table1[[#This Row],[Join Date]],TODAY()-Table1[[#This Row],[Join Date]]))/30</f>
        <v>25.633333333333333</v>
      </c>
      <c r="S96">
        <f ca="1">Table1[[#This Row],[Hire Date]]-Table1[[#This Row],[Job Posting Date]]</f>
        <v>21</v>
      </c>
      <c r="T96" s="7">
        <f ca="1">Table1[[#This Row],[Time to Onboard]]/Table1[[#This Row],[Time to Fill]]*100</f>
        <v>28.571428571428569</v>
      </c>
      <c r="U96" s="8">
        <f ca="1">Table1[[#This Row],[Time to Onboard]]/Table1[[#This Row],[Time to Fill]]*100</f>
        <v>28.571428571428569</v>
      </c>
      <c r="V96">
        <f ca="1">Table1[[#This Row],[Join Date]]-Table1[[#This Row],[Job Posting Date]]</f>
        <v>27</v>
      </c>
      <c r="W96">
        <f t="shared" ca="1" si="15"/>
        <v>186</v>
      </c>
      <c r="X96" s="8">
        <f ca="1">Table1[[#This Row],[Absentee Days]]/Table1[[#This Row],[Total Work Days]]*100</f>
        <v>5</v>
      </c>
      <c r="Y96">
        <f ca="1">YEAR(Table1[[#This Row],[Join Date]])</f>
        <v>2022</v>
      </c>
      <c r="Z96">
        <f ca="1">IF(Table1[[#This Row],[Status]]="Active",1,0)</f>
        <v>1</v>
      </c>
      <c r="AA96">
        <f ca="1">IF(Table1[[#This Row],[Status]]="Exited",Table1[[#This Row],[Recruitment Cost]]+Table1[[#This Row],[Onboarding Cost]]+Table1[[#This Row],[Training Cost]],0)</f>
        <v>0</v>
      </c>
    </row>
    <row r="97" spans="1:27" x14ac:dyDescent="0.2">
      <c r="A97" t="str">
        <f t="shared" si="8"/>
        <v>E096</v>
      </c>
      <c r="B97" t="str" cm="1">
        <f t="array" aca="1" ref="B97" ca="1">INDEX(sheet2!$A$2:$A$6, RANDBETWEEN(1, 5))</f>
        <v>HR</v>
      </c>
      <c r="C97" t="str">
        <f ca="1">_xlfn.XLOOKUP(Table1[[#This Row],[Department]],sheet2!$A$2:$A$6,sheet2!$B$2:$B$6,_xleta.NA,0)</f>
        <v>HR Manager</v>
      </c>
      <c r="D97" s="1">
        <f t="shared" ca="1" si="9"/>
        <v>43851</v>
      </c>
      <c r="E97" s="1">
        <f ca="1">Table1[[#This Row],[Job Posting Date]]+ RANDBETWEEN(15, 90)</f>
        <v>43937</v>
      </c>
      <c r="F97" s="1">
        <f ca="1">Table1[[#This Row],[Hire Date]]+ RANDBETWEEN(1, 15)</f>
        <v>43943</v>
      </c>
      <c r="G97" s="1">
        <f ca="1">IF(RAND() &lt; 0.5,  Table1[[#This Row],[Join Date]]+ RANDBETWEEN(30, TODAY()- Table1[[#This Row],[Join Date]]), "-")</f>
        <v>45037</v>
      </c>
      <c r="H97" t="str">
        <f ca="1">IF(Table1[[#This Row],[Exit Date]]= "-", "Active", "Exited")</f>
        <v>Exited</v>
      </c>
      <c r="I97" s="5">
        <f t="shared" ca="1" si="10"/>
        <v>4834</v>
      </c>
      <c r="J97" t="str" cm="1">
        <f t="array" aca="1" ref="J97" ca="1">INDEX(sheet2!$C$2:$C$6, RANDBETWEEN(1, 5))</f>
        <v>Communication Skills</v>
      </c>
      <c r="K97" t="str">
        <f t="shared" ca="1" si="11"/>
        <v>Completed</v>
      </c>
      <c r="L97">
        <v>260</v>
      </c>
      <c r="M97">
        <f t="shared" ca="1" si="12"/>
        <v>1</v>
      </c>
      <c r="N97" t="str">
        <f t="shared" ca="1" si="13"/>
        <v>Male</v>
      </c>
      <c r="O97" s="6">
        <f t="shared" ca="1" si="14"/>
        <v>1574</v>
      </c>
      <c r="P97">
        <f ca="1">Table1[[#This Row],[Hire Date]]-Table1[[#This Row],[Job Posting Date]]</f>
        <v>86</v>
      </c>
      <c r="Q97" s="7">
        <f ca="1">Table1[[#This Row],[Join Date]]-Table1[[#This Row],[Hire Date]]</f>
        <v>6</v>
      </c>
      <c r="R97" s="8">
        <f ca="1">(IF(Table1[[#This Row],[Status]]="Exited",Table1[[#This Row],[Exit Date]]-Table1[[#This Row],[Join Date]],TODAY()-Table1[[#This Row],[Join Date]]))/30</f>
        <v>36.466666666666669</v>
      </c>
      <c r="S97">
        <f ca="1">Table1[[#This Row],[Hire Date]]-Table1[[#This Row],[Job Posting Date]]</f>
        <v>86</v>
      </c>
      <c r="T97" s="7">
        <f ca="1">Table1[[#This Row],[Time to Onboard]]/Table1[[#This Row],[Time to Fill]]*100</f>
        <v>6.9767441860465116</v>
      </c>
      <c r="U97" s="8">
        <f ca="1">Table1[[#This Row],[Time to Onboard]]/Table1[[#This Row],[Time to Fill]]*100</f>
        <v>6.9767441860465116</v>
      </c>
      <c r="V97">
        <f ca="1">Table1[[#This Row],[Join Date]]-Table1[[#This Row],[Job Posting Date]]</f>
        <v>92</v>
      </c>
      <c r="W97">
        <f t="shared" ca="1" si="15"/>
        <v>184</v>
      </c>
      <c r="X97" s="8">
        <f ca="1">Table1[[#This Row],[Absentee Days]]/Table1[[#This Row],[Total Work Days]]*100</f>
        <v>0.38461538461538464</v>
      </c>
      <c r="Y97">
        <f ca="1">YEAR(Table1[[#This Row],[Join Date]])</f>
        <v>2020</v>
      </c>
      <c r="Z97">
        <f ca="1">IF(Table1[[#This Row],[Status]]="Active",1,0)</f>
        <v>0</v>
      </c>
      <c r="AA97">
        <f ca="1">IF(Table1[[#This Row],[Status]]="Exited",Table1[[#This Row],[Recruitment Cost]]+Table1[[#This Row],[Onboarding Cost]]+Table1[[#This Row],[Training Cost]],0)</f>
        <v>6592</v>
      </c>
    </row>
    <row r="98" spans="1:27" x14ac:dyDescent="0.2">
      <c r="A98" t="str">
        <f t="shared" si="8"/>
        <v>E097</v>
      </c>
      <c r="B98" t="str" cm="1">
        <f t="array" aca="1" ref="B98" ca="1">INDEX(sheet2!$A$2:$A$6, RANDBETWEEN(1, 5))</f>
        <v>IT</v>
      </c>
      <c r="C98" t="str">
        <f ca="1">_xlfn.XLOOKUP(Table1[[#This Row],[Department]],sheet2!$A$2:$A$6,sheet2!$B$2:$B$6,_xleta.NA,0)</f>
        <v>Software Engineer</v>
      </c>
      <c r="D98" s="1">
        <f t="shared" ca="1" si="9"/>
        <v>43726</v>
      </c>
      <c r="E98" s="1">
        <f ca="1">Table1[[#This Row],[Job Posting Date]]+ RANDBETWEEN(15, 90)</f>
        <v>43802</v>
      </c>
      <c r="F98" s="1">
        <f ca="1">Table1[[#This Row],[Hire Date]]+ RANDBETWEEN(1, 15)</f>
        <v>43805</v>
      </c>
      <c r="G98" s="1">
        <f ca="1">IF(RAND() &lt; 0.5,  Table1[[#This Row],[Join Date]]+ RANDBETWEEN(30, TODAY()- Table1[[#This Row],[Join Date]]), "-")</f>
        <v>44356</v>
      </c>
      <c r="H98" t="str">
        <f ca="1">IF(Table1[[#This Row],[Exit Date]]= "-", "Active", "Exited")</f>
        <v>Exited</v>
      </c>
      <c r="I98" s="5">
        <f t="shared" ca="1" si="10"/>
        <v>4466</v>
      </c>
      <c r="J98" t="str" cm="1">
        <f t="array" aca="1" ref="J98" ca="1">INDEX(sheet2!$C$2:$C$6, RANDBETWEEN(1, 5))</f>
        <v>Communication Skills</v>
      </c>
      <c r="K98" t="str">
        <f t="shared" ca="1" si="11"/>
        <v>Completed</v>
      </c>
      <c r="L98">
        <v>260</v>
      </c>
      <c r="M98">
        <f t="shared" ca="1" si="12"/>
        <v>19</v>
      </c>
      <c r="N98" t="str">
        <f t="shared" ca="1" si="13"/>
        <v>Female</v>
      </c>
      <c r="O98" s="6">
        <f t="shared" ca="1" si="14"/>
        <v>1766</v>
      </c>
      <c r="P98">
        <f ca="1">Table1[[#This Row],[Hire Date]]-Table1[[#This Row],[Job Posting Date]]</f>
        <v>76</v>
      </c>
      <c r="Q98" s="7">
        <f ca="1">Table1[[#This Row],[Join Date]]-Table1[[#This Row],[Hire Date]]</f>
        <v>3</v>
      </c>
      <c r="R98" s="8">
        <f ca="1">(IF(Table1[[#This Row],[Status]]="Exited",Table1[[#This Row],[Exit Date]]-Table1[[#This Row],[Join Date]],TODAY()-Table1[[#This Row],[Join Date]]))/30</f>
        <v>18.366666666666667</v>
      </c>
      <c r="S98">
        <f ca="1">Table1[[#This Row],[Hire Date]]-Table1[[#This Row],[Job Posting Date]]</f>
        <v>76</v>
      </c>
      <c r="T98" s="7">
        <f ca="1">Table1[[#This Row],[Time to Onboard]]/Table1[[#This Row],[Time to Fill]]*100</f>
        <v>3.9473684210526314</v>
      </c>
      <c r="U98" s="8">
        <f ca="1">Table1[[#This Row],[Time to Onboard]]/Table1[[#This Row],[Time to Fill]]*100</f>
        <v>3.9473684210526314</v>
      </c>
      <c r="V98">
        <f ca="1">Table1[[#This Row],[Join Date]]-Table1[[#This Row],[Job Posting Date]]</f>
        <v>79</v>
      </c>
      <c r="W98">
        <f t="shared" ca="1" si="15"/>
        <v>156</v>
      </c>
      <c r="X98" s="8">
        <f ca="1">Table1[[#This Row],[Absentee Days]]/Table1[[#This Row],[Total Work Days]]*100</f>
        <v>7.3076923076923084</v>
      </c>
      <c r="Y98">
        <f ca="1">YEAR(Table1[[#This Row],[Join Date]])</f>
        <v>2019</v>
      </c>
      <c r="Z98">
        <f ca="1">IF(Table1[[#This Row],[Status]]="Active",1,0)</f>
        <v>0</v>
      </c>
      <c r="AA98">
        <f ca="1">IF(Table1[[#This Row],[Status]]="Exited",Table1[[#This Row],[Recruitment Cost]]+Table1[[#This Row],[Onboarding Cost]]+Table1[[#This Row],[Training Cost]],0)</f>
        <v>6388</v>
      </c>
    </row>
    <row r="99" spans="1:27" x14ac:dyDescent="0.2">
      <c r="A99" t="str">
        <f t="shared" si="8"/>
        <v>E098</v>
      </c>
      <c r="B99" t="str" cm="1">
        <f t="array" aca="1" ref="B99" ca="1">INDEX(sheet2!$A$2:$A$6, RANDBETWEEN(1, 5))</f>
        <v>Sales</v>
      </c>
      <c r="C99" t="str">
        <f ca="1">_xlfn.XLOOKUP(Table1[[#This Row],[Department]],sheet2!$A$2:$A$6,sheet2!$B$2:$B$6,_xleta.NA,0)</f>
        <v>Marketing Manager</v>
      </c>
      <c r="D99" s="1">
        <f t="shared" ca="1" si="9"/>
        <v>43428</v>
      </c>
      <c r="E99" s="1">
        <f ca="1">Table1[[#This Row],[Job Posting Date]]+ RANDBETWEEN(15, 90)</f>
        <v>43488</v>
      </c>
      <c r="F99" s="1">
        <f ca="1">Table1[[#This Row],[Hire Date]]+ RANDBETWEEN(1, 15)</f>
        <v>43492</v>
      </c>
      <c r="G99" s="1" t="str">
        <f ca="1">IF(RAND() &lt; 0.5,  Table1[[#This Row],[Join Date]]+ RANDBETWEEN(30, TODAY()- Table1[[#This Row],[Join Date]]), "-")</f>
        <v>-</v>
      </c>
      <c r="H99" t="str">
        <f ca="1">IF(Table1[[#This Row],[Exit Date]]= "-", "Active", "Exited")</f>
        <v>Active</v>
      </c>
      <c r="I99" s="5">
        <f t="shared" ca="1" si="10"/>
        <v>2310</v>
      </c>
      <c r="J99" t="str" cm="1">
        <f t="array" aca="1" ref="J99" ca="1">INDEX(sheet2!$C$2:$C$6, RANDBETWEEN(1, 5))</f>
        <v>Communication Skills</v>
      </c>
      <c r="K99" t="str">
        <f t="shared" ca="1" si="11"/>
        <v>Completed</v>
      </c>
      <c r="L99">
        <v>260</v>
      </c>
      <c r="M99">
        <f t="shared" ca="1" si="12"/>
        <v>16</v>
      </c>
      <c r="N99" t="str">
        <f t="shared" ca="1" si="13"/>
        <v>Other</v>
      </c>
      <c r="O99" s="6">
        <f t="shared" ca="1" si="14"/>
        <v>2239</v>
      </c>
      <c r="P99">
        <f ca="1">Table1[[#This Row],[Hire Date]]-Table1[[#This Row],[Job Posting Date]]</f>
        <v>60</v>
      </c>
      <c r="Q99" s="7">
        <f ca="1">Table1[[#This Row],[Join Date]]-Table1[[#This Row],[Hire Date]]</f>
        <v>4</v>
      </c>
      <c r="R99" s="8">
        <f ca="1">(IF(Table1[[#This Row],[Status]]="Exited",Table1[[#This Row],[Exit Date]]-Table1[[#This Row],[Join Date]],TODAY()-Table1[[#This Row],[Join Date]]))/30</f>
        <v>73.033333333333331</v>
      </c>
      <c r="S99">
        <f ca="1">Table1[[#This Row],[Hire Date]]-Table1[[#This Row],[Job Posting Date]]</f>
        <v>60</v>
      </c>
      <c r="T99" s="7">
        <f ca="1">Table1[[#This Row],[Time to Onboard]]/Table1[[#This Row],[Time to Fill]]*100</f>
        <v>6.666666666666667</v>
      </c>
      <c r="U99" s="8">
        <f ca="1">Table1[[#This Row],[Time to Onboard]]/Table1[[#This Row],[Time to Fill]]*100</f>
        <v>6.666666666666667</v>
      </c>
      <c r="V99">
        <f ca="1">Table1[[#This Row],[Join Date]]-Table1[[#This Row],[Job Posting Date]]</f>
        <v>64</v>
      </c>
      <c r="W99">
        <f t="shared" ca="1" si="15"/>
        <v>169</v>
      </c>
      <c r="X99" s="8">
        <f ca="1">Table1[[#This Row],[Absentee Days]]/Table1[[#This Row],[Total Work Days]]*100</f>
        <v>6.1538461538461542</v>
      </c>
      <c r="Y99">
        <f ca="1">YEAR(Table1[[#This Row],[Join Date]])</f>
        <v>2019</v>
      </c>
      <c r="Z99">
        <f ca="1">IF(Table1[[#This Row],[Status]]="Active",1,0)</f>
        <v>1</v>
      </c>
      <c r="AA99">
        <f ca="1">IF(Table1[[#This Row],[Status]]="Exited",Table1[[#This Row],[Recruitment Cost]]+Table1[[#This Row],[Onboarding Cost]]+Table1[[#This Row],[Training Cost]],0)</f>
        <v>0</v>
      </c>
    </row>
    <row r="100" spans="1:27" x14ac:dyDescent="0.2">
      <c r="A100" t="str">
        <f t="shared" si="8"/>
        <v>E099</v>
      </c>
      <c r="B100" t="str" cm="1">
        <f t="array" aca="1" ref="B100" ca="1">INDEX(sheet2!$A$2:$A$6, RANDBETWEEN(1, 5))</f>
        <v>IT</v>
      </c>
      <c r="C100" t="str">
        <f ca="1">_xlfn.XLOOKUP(Table1[[#This Row],[Department]],sheet2!$A$2:$A$6,sheet2!$B$2:$B$6,_xleta.NA,0)</f>
        <v>Software Engineer</v>
      </c>
      <c r="D100" s="1">
        <f t="shared" ca="1" si="9"/>
        <v>44625</v>
      </c>
      <c r="E100" s="1">
        <f ca="1">Table1[[#This Row],[Job Posting Date]]+ RANDBETWEEN(15, 90)</f>
        <v>44662</v>
      </c>
      <c r="F100" s="1">
        <f ca="1">Table1[[#This Row],[Hire Date]]+ RANDBETWEEN(1, 15)</f>
        <v>44667</v>
      </c>
      <c r="G100" s="1" t="str">
        <f ca="1">IF(RAND() &lt; 0.5,  Table1[[#This Row],[Join Date]]+ RANDBETWEEN(30, TODAY()- Table1[[#This Row],[Join Date]]), "-")</f>
        <v>-</v>
      </c>
      <c r="H100" t="str">
        <f ca="1">IF(Table1[[#This Row],[Exit Date]]= "-", "Active", "Exited")</f>
        <v>Active</v>
      </c>
      <c r="I100" s="5">
        <f t="shared" ca="1" si="10"/>
        <v>3106</v>
      </c>
      <c r="J100" t="str" cm="1">
        <f t="array" aca="1" ref="J100" ca="1">INDEX(sheet2!$C$2:$C$6, RANDBETWEEN(1, 5))</f>
        <v>Ethics and Responsibilities</v>
      </c>
      <c r="K100" t="str">
        <f t="shared" ca="1" si="11"/>
        <v>Not Completed</v>
      </c>
      <c r="L100">
        <v>260</v>
      </c>
      <c r="M100">
        <f t="shared" ca="1" si="12"/>
        <v>14</v>
      </c>
      <c r="N100" t="str">
        <f t="shared" ca="1" si="13"/>
        <v>Female</v>
      </c>
      <c r="O100" s="6">
        <f t="shared" ca="1" si="14"/>
        <v>1577</v>
      </c>
      <c r="P100">
        <f ca="1">Table1[[#This Row],[Hire Date]]-Table1[[#This Row],[Job Posting Date]]</f>
        <v>37</v>
      </c>
      <c r="Q100" s="7">
        <f ca="1">Table1[[#This Row],[Join Date]]-Table1[[#This Row],[Hire Date]]</f>
        <v>5</v>
      </c>
      <c r="R100" s="8">
        <f ca="1">(IF(Table1[[#This Row],[Status]]="Exited",Table1[[#This Row],[Exit Date]]-Table1[[#This Row],[Join Date]],TODAY()-Table1[[#This Row],[Join Date]]))/30</f>
        <v>33.866666666666667</v>
      </c>
      <c r="S100">
        <f ca="1">Table1[[#This Row],[Hire Date]]-Table1[[#This Row],[Job Posting Date]]</f>
        <v>37</v>
      </c>
      <c r="T100" s="7">
        <f ca="1">Table1[[#This Row],[Time to Onboard]]/Table1[[#This Row],[Time to Fill]]*100</f>
        <v>13.513513513513514</v>
      </c>
      <c r="U100" s="8">
        <f ca="1">Table1[[#This Row],[Time to Onboard]]/Table1[[#This Row],[Time to Fill]]*100</f>
        <v>13.513513513513514</v>
      </c>
      <c r="V100">
        <f ca="1">Table1[[#This Row],[Join Date]]-Table1[[#This Row],[Job Posting Date]]</f>
        <v>42</v>
      </c>
      <c r="W100">
        <f t="shared" ca="1" si="15"/>
        <v>172</v>
      </c>
      <c r="X100" s="8">
        <f ca="1">Table1[[#This Row],[Absentee Days]]/Table1[[#This Row],[Total Work Days]]*100</f>
        <v>5.384615384615385</v>
      </c>
      <c r="Y100">
        <f ca="1">YEAR(Table1[[#This Row],[Join Date]])</f>
        <v>2022</v>
      </c>
      <c r="Z100">
        <f ca="1">IF(Table1[[#This Row],[Status]]="Active",1,0)</f>
        <v>1</v>
      </c>
      <c r="AA100">
        <f ca="1">IF(Table1[[#This Row],[Status]]="Exited",Table1[[#This Row],[Recruitment Cost]]+Table1[[#This Row],[Onboarding Cost]]+Table1[[#This Row],[Training Cost]],0)</f>
        <v>0</v>
      </c>
    </row>
    <row r="101" spans="1:27" x14ac:dyDescent="0.2">
      <c r="A101" t="str">
        <f t="shared" si="8"/>
        <v>E100</v>
      </c>
      <c r="B101" t="str" cm="1">
        <f t="array" aca="1" ref="B101" ca="1">INDEX(sheet2!$A$2:$A$6, RANDBETWEEN(1, 5))</f>
        <v>Finance</v>
      </c>
      <c r="C101" t="str">
        <f ca="1">_xlfn.XLOOKUP(Table1[[#This Row],[Department]],sheet2!$A$2:$A$6,sheet2!$B$2:$B$6,_xleta.NA,0)</f>
        <v>Finance Manager</v>
      </c>
      <c r="D101" s="1">
        <f t="shared" ca="1" si="9"/>
        <v>43163</v>
      </c>
      <c r="E101" s="1">
        <f ca="1">Table1[[#This Row],[Job Posting Date]]+ RANDBETWEEN(15, 90)</f>
        <v>43210</v>
      </c>
      <c r="F101" s="1">
        <f ca="1">Table1[[#This Row],[Hire Date]]+ RANDBETWEEN(1, 15)</f>
        <v>43219</v>
      </c>
      <c r="G101" s="1" t="str">
        <f ca="1">IF(RAND() &lt; 0.5,  Table1[[#This Row],[Join Date]]+ RANDBETWEEN(30, TODAY()- Table1[[#This Row],[Join Date]]), "-")</f>
        <v>-</v>
      </c>
      <c r="H101" t="str">
        <f ca="1">IF(Table1[[#This Row],[Exit Date]]= "-", "Active", "Exited")</f>
        <v>Active</v>
      </c>
      <c r="I101" s="5">
        <f t="shared" ca="1" si="10"/>
        <v>4595</v>
      </c>
      <c r="J101" t="str" cm="1">
        <f t="array" aca="1" ref="J101" ca="1">INDEX(sheet2!$C$2:$C$6, RANDBETWEEN(1, 5))</f>
        <v>Communication Skills</v>
      </c>
      <c r="K101" t="str">
        <f t="shared" ca="1" si="11"/>
        <v>Completed</v>
      </c>
      <c r="L101">
        <v>260</v>
      </c>
      <c r="M101">
        <f t="shared" ca="1" si="12"/>
        <v>3</v>
      </c>
      <c r="N101" t="str">
        <f t="shared" ca="1" si="13"/>
        <v>Other</v>
      </c>
      <c r="O101" s="6">
        <f t="shared" ca="1" si="14"/>
        <v>2375</v>
      </c>
      <c r="P101">
        <f ca="1">Table1[[#This Row],[Hire Date]]-Table1[[#This Row],[Job Posting Date]]</f>
        <v>47</v>
      </c>
      <c r="Q101" s="7">
        <f ca="1">Table1[[#This Row],[Join Date]]-Table1[[#This Row],[Hire Date]]</f>
        <v>9</v>
      </c>
      <c r="R101" s="8">
        <f ca="1">(IF(Table1[[#This Row],[Status]]="Exited",Table1[[#This Row],[Exit Date]]-Table1[[#This Row],[Join Date]],TODAY()-Table1[[#This Row],[Join Date]]))/30</f>
        <v>82.13333333333334</v>
      </c>
      <c r="S101">
        <f ca="1">Table1[[#This Row],[Hire Date]]-Table1[[#This Row],[Job Posting Date]]</f>
        <v>47</v>
      </c>
      <c r="T101" s="7">
        <f ca="1">Table1[[#This Row],[Time to Onboard]]/Table1[[#This Row],[Time to Fill]]*100</f>
        <v>19.148936170212767</v>
      </c>
      <c r="U101" s="8">
        <f ca="1">Table1[[#This Row],[Time to Onboard]]/Table1[[#This Row],[Time to Fill]]*100</f>
        <v>19.148936170212767</v>
      </c>
      <c r="V101">
        <f ca="1">Table1[[#This Row],[Join Date]]-Table1[[#This Row],[Job Posting Date]]</f>
        <v>56</v>
      </c>
      <c r="W101">
        <f t="shared" ca="1" si="15"/>
        <v>188</v>
      </c>
      <c r="X101" s="8">
        <f ca="1">Table1[[#This Row],[Absentee Days]]/Table1[[#This Row],[Total Work Days]]*100</f>
        <v>1.153846153846154</v>
      </c>
      <c r="Y101">
        <f ca="1">YEAR(Table1[[#This Row],[Join Date]])</f>
        <v>2018</v>
      </c>
      <c r="Z101">
        <f ca="1">IF(Table1[[#This Row],[Status]]="Active",1,0)</f>
        <v>1</v>
      </c>
      <c r="AA101">
        <f ca="1">IF(Table1[[#This Row],[Status]]="Exited",Table1[[#This Row],[Recruitment Cost]]+Table1[[#This Row],[Onboarding Cost]]+Table1[[#This Row],[Training Cost]],0)</f>
        <v>0</v>
      </c>
    </row>
    <row r="102" spans="1:27" x14ac:dyDescent="0.2">
      <c r="A102" t="str">
        <f t="shared" si="8"/>
        <v>E101</v>
      </c>
      <c r="B102" t="str" cm="1">
        <f t="array" aca="1" ref="B102" ca="1">INDEX(sheet2!$A$2:$A$6, RANDBETWEEN(1, 5))</f>
        <v>Finance</v>
      </c>
      <c r="C102" t="str">
        <f ca="1">_xlfn.XLOOKUP(Table1[[#This Row],[Department]],sheet2!$A$2:$A$6,sheet2!$B$2:$B$6,_xleta.NA,0)</f>
        <v>Finance Manager</v>
      </c>
      <c r="D102" s="1">
        <f t="shared" ca="1" si="9"/>
        <v>43514</v>
      </c>
      <c r="E102" s="1">
        <f ca="1">Table1[[#This Row],[Job Posting Date]]+ RANDBETWEEN(15, 90)</f>
        <v>43548</v>
      </c>
      <c r="F102" s="1">
        <f ca="1">Table1[[#This Row],[Hire Date]]+ RANDBETWEEN(1, 15)</f>
        <v>43550</v>
      </c>
      <c r="G102" s="1" t="str">
        <f ca="1">IF(RAND() &lt; 0.5,  Table1[[#This Row],[Join Date]]+ RANDBETWEEN(30, TODAY()- Table1[[#This Row],[Join Date]]), "-")</f>
        <v>-</v>
      </c>
      <c r="H102" t="str">
        <f ca="1">IF(Table1[[#This Row],[Exit Date]]= "-", "Active", "Exited")</f>
        <v>Active</v>
      </c>
      <c r="I102" s="5">
        <f t="shared" ca="1" si="10"/>
        <v>3917</v>
      </c>
      <c r="J102" t="str" cm="1">
        <f t="array" aca="1" ref="J102" ca="1">INDEX(sheet2!$C$2:$C$6, RANDBETWEEN(1, 5))</f>
        <v>Conflict Resolution</v>
      </c>
      <c r="K102" t="str">
        <f t="shared" ca="1" si="11"/>
        <v>Completed</v>
      </c>
      <c r="L102">
        <v>260</v>
      </c>
      <c r="M102">
        <f t="shared" ca="1" si="12"/>
        <v>4</v>
      </c>
      <c r="N102" t="str">
        <f t="shared" ca="1" si="13"/>
        <v>Other</v>
      </c>
      <c r="O102" s="6">
        <f t="shared" ca="1" si="14"/>
        <v>1342</v>
      </c>
      <c r="P102">
        <f ca="1">Table1[[#This Row],[Hire Date]]-Table1[[#This Row],[Job Posting Date]]</f>
        <v>34</v>
      </c>
      <c r="Q102" s="7">
        <f ca="1">Table1[[#This Row],[Join Date]]-Table1[[#This Row],[Hire Date]]</f>
        <v>2</v>
      </c>
      <c r="R102" s="8">
        <f ca="1">(IF(Table1[[#This Row],[Status]]="Exited",Table1[[#This Row],[Exit Date]]-Table1[[#This Row],[Join Date]],TODAY()-Table1[[#This Row],[Join Date]]))/30</f>
        <v>71.099999999999994</v>
      </c>
      <c r="S102">
        <f ca="1">Table1[[#This Row],[Hire Date]]-Table1[[#This Row],[Job Posting Date]]</f>
        <v>34</v>
      </c>
      <c r="T102" s="7">
        <f ca="1">Table1[[#This Row],[Time to Onboard]]/Table1[[#This Row],[Time to Fill]]*100</f>
        <v>5.8823529411764701</v>
      </c>
      <c r="U102" s="8">
        <f ca="1">Table1[[#This Row],[Time to Onboard]]/Table1[[#This Row],[Time to Fill]]*100</f>
        <v>5.8823529411764701</v>
      </c>
      <c r="V102">
        <f ca="1">Table1[[#This Row],[Join Date]]-Table1[[#This Row],[Job Posting Date]]</f>
        <v>36</v>
      </c>
      <c r="W102">
        <f t="shared" ca="1" si="15"/>
        <v>122</v>
      </c>
      <c r="X102" s="8">
        <f ca="1">Table1[[#This Row],[Absentee Days]]/Table1[[#This Row],[Total Work Days]]*100</f>
        <v>1.5384615384615385</v>
      </c>
      <c r="Y102">
        <f ca="1">YEAR(Table1[[#This Row],[Join Date]])</f>
        <v>2019</v>
      </c>
      <c r="Z102">
        <f ca="1">IF(Table1[[#This Row],[Status]]="Active",1,0)</f>
        <v>1</v>
      </c>
      <c r="AA102">
        <f ca="1">IF(Table1[[#This Row],[Status]]="Exited",Table1[[#This Row],[Recruitment Cost]]+Table1[[#This Row],[Onboarding Cost]]+Table1[[#This Row],[Training Cost]],0)</f>
        <v>0</v>
      </c>
    </row>
    <row r="103" spans="1:27" x14ac:dyDescent="0.2">
      <c r="A103" t="str">
        <f t="shared" si="8"/>
        <v>E102</v>
      </c>
      <c r="B103" t="str" cm="1">
        <f t="array" aca="1" ref="B103" ca="1">INDEX(sheet2!$A$2:$A$6, RANDBETWEEN(1, 5))</f>
        <v>HR</v>
      </c>
      <c r="C103" t="str">
        <f ca="1">_xlfn.XLOOKUP(Table1[[#This Row],[Department]],sheet2!$A$2:$A$6,sheet2!$B$2:$B$6,_xleta.NA,0)</f>
        <v>HR Manager</v>
      </c>
      <c r="D103" s="1">
        <f t="shared" ca="1" si="9"/>
        <v>44454</v>
      </c>
      <c r="E103" s="1">
        <f ca="1">Table1[[#This Row],[Job Posting Date]]+ RANDBETWEEN(15, 90)</f>
        <v>44505</v>
      </c>
      <c r="F103" s="1">
        <f ca="1">Table1[[#This Row],[Hire Date]]+ RANDBETWEEN(1, 15)</f>
        <v>44516</v>
      </c>
      <c r="G103" s="1" t="str">
        <f ca="1">IF(RAND() &lt; 0.5,  Table1[[#This Row],[Join Date]]+ RANDBETWEEN(30, TODAY()- Table1[[#This Row],[Join Date]]), "-")</f>
        <v>-</v>
      </c>
      <c r="H103" t="str">
        <f ca="1">IF(Table1[[#This Row],[Exit Date]]= "-", "Active", "Exited")</f>
        <v>Active</v>
      </c>
      <c r="I103" s="5">
        <f t="shared" ca="1" si="10"/>
        <v>1555</v>
      </c>
      <c r="J103" t="str" cm="1">
        <f t="array" aca="1" ref="J103" ca="1">INDEX(sheet2!$C$2:$C$6, RANDBETWEEN(1, 5))</f>
        <v>Communication Skills</v>
      </c>
      <c r="K103" t="str">
        <f t="shared" ca="1" si="11"/>
        <v>Not Completed</v>
      </c>
      <c r="L103">
        <v>260</v>
      </c>
      <c r="M103">
        <f t="shared" ca="1" si="12"/>
        <v>1</v>
      </c>
      <c r="N103" t="str">
        <f t="shared" ca="1" si="13"/>
        <v>Female</v>
      </c>
      <c r="O103" s="6">
        <f t="shared" ca="1" si="14"/>
        <v>1229</v>
      </c>
      <c r="P103">
        <f ca="1">Table1[[#This Row],[Hire Date]]-Table1[[#This Row],[Job Posting Date]]</f>
        <v>51</v>
      </c>
      <c r="Q103" s="7">
        <f ca="1">Table1[[#This Row],[Join Date]]-Table1[[#This Row],[Hire Date]]</f>
        <v>11</v>
      </c>
      <c r="R103" s="8">
        <f ca="1">(IF(Table1[[#This Row],[Status]]="Exited",Table1[[#This Row],[Exit Date]]-Table1[[#This Row],[Join Date]],TODAY()-Table1[[#This Row],[Join Date]]))/30</f>
        <v>38.9</v>
      </c>
      <c r="S103">
        <f ca="1">Table1[[#This Row],[Hire Date]]-Table1[[#This Row],[Job Posting Date]]</f>
        <v>51</v>
      </c>
      <c r="T103" s="7">
        <f ca="1">Table1[[#This Row],[Time to Onboard]]/Table1[[#This Row],[Time to Fill]]*100</f>
        <v>21.568627450980394</v>
      </c>
      <c r="U103" s="8">
        <f ca="1">Table1[[#This Row],[Time to Onboard]]/Table1[[#This Row],[Time to Fill]]*100</f>
        <v>21.568627450980394</v>
      </c>
      <c r="V103">
        <f ca="1">Table1[[#This Row],[Join Date]]-Table1[[#This Row],[Job Posting Date]]</f>
        <v>62</v>
      </c>
      <c r="W103">
        <f t="shared" ca="1" si="15"/>
        <v>176</v>
      </c>
      <c r="X103" s="8">
        <f ca="1">Table1[[#This Row],[Absentee Days]]/Table1[[#This Row],[Total Work Days]]*100</f>
        <v>0.38461538461538464</v>
      </c>
      <c r="Y103">
        <f ca="1">YEAR(Table1[[#This Row],[Join Date]])</f>
        <v>2021</v>
      </c>
      <c r="Z103">
        <f ca="1">IF(Table1[[#This Row],[Status]]="Active",1,0)</f>
        <v>1</v>
      </c>
      <c r="AA103">
        <f ca="1">IF(Table1[[#This Row],[Status]]="Exited",Table1[[#This Row],[Recruitment Cost]]+Table1[[#This Row],[Onboarding Cost]]+Table1[[#This Row],[Training Cost]],0)</f>
        <v>0</v>
      </c>
    </row>
    <row r="104" spans="1:27" x14ac:dyDescent="0.2">
      <c r="A104" t="str">
        <f t="shared" si="8"/>
        <v>E103</v>
      </c>
      <c r="B104" t="str" cm="1">
        <f t="array" aca="1" ref="B104" ca="1">INDEX(sheet2!$A$2:$A$6, RANDBETWEEN(1, 5))</f>
        <v>HR</v>
      </c>
      <c r="C104" t="str">
        <f ca="1">_xlfn.XLOOKUP(Table1[[#This Row],[Department]],sheet2!$A$2:$A$6,sheet2!$B$2:$B$6,_xleta.NA,0)</f>
        <v>HR Manager</v>
      </c>
      <c r="D104" s="1">
        <f t="shared" ca="1" si="9"/>
        <v>44275</v>
      </c>
      <c r="E104" s="1">
        <f ca="1">Table1[[#This Row],[Job Posting Date]]+ RANDBETWEEN(15, 90)</f>
        <v>44341</v>
      </c>
      <c r="F104" s="1">
        <f ca="1">Table1[[#This Row],[Hire Date]]+ RANDBETWEEN(1, 15)</f>
        <v>44344</v>
      </c>
      <c r="G104" s="1">
        <f ca="1">IF(RAND() &lt; 0.5,  Table1[[#This Row],[Join Date]]+ RANDBETWEEN(30, TODAY()- Table1[[#This Row],[Join Date]]), "-")</f>
        <v>45212</v>
      </c>
      <c r="H104" t="str">
        <f ca="1">IF(Table1[[#This Row],[Exit Date]]= "-", "Active", "Exited")</f>
        <v>Exited</v>
      </c>
      <c r="I104" s="5">
        <f t="shared" ca="1" si="10"/>
        <v>4320</v>
      </c>
      <c r="J104" t="str" cm="1">
        <f t="array" aca="1" ref="J104" ca="1">INDEX(sheet2!$C$2:$C$6, RANDBETWEEN(1, 5))</f>
        <v>Conflict Resolution</v>
      </c>
      <c r="K104" t="str">
        <f t="shared" ca="1" si="11"/>
        <v>Completed</v>
      </c>
      <c r="L104">
        <v>260</v>
      </c>
      <c r="M104">
        <f t="shared" ca="1" si="12"/>
        <v>4</v>
      </c>
      <c r="N104" t="str">
        <f t="shared" ca="1" si="13"/>
        <v>Female</v>
      </c>
      <c r="O104" s="6">
        <f t="shared" ca="1" si="14"/>
        <v>1829</v>
      </c>
      <c r="P104">
        <f ca="1">Table1[[#This Row],[Hire Date]]-Table1[[#This Row],[Job Posting Date]]</f>
        <v>66</v>
      </c>
      <c r="Q104" s="7">
        <f ca="1">Table1[[#This Row],[Join Date]]-Table1[[#This Row],[Hire Date]]</f>
        <v>3</v>
      </c>
      <c r="R104" s="8">
        <f ca="1">(IF(Table1[[#This Row],[Status]]="Exited",Table1[[#This Row],[Exit Date]]-Table1[[#This Row],[Join Date]],TODAY()-Table1[[#This Row],[Join Date]]))/30</f>
        <v>28.933333333333334</v>
      </c>
      <c r="S104">
        <f ca="1">Table1[[#This Row],[Hire Date]]-Table1[[#This Row],[Job Posting Date]]</f>
        <v>66</v>
      </c>
      <c r="T104" s="7">
        <f ca="1">Table1[[#This Row],[Time to Onboard]]/Table1[[#This Row],[Time to Fill]]*100</f>
        <v>4.5454545454545459</v>
      </c>
      <c r="U104" s="8">
        <f ca="1">Table1[[#This Row],[Time to Onboard]]/Table1[[#This Row],[Time to Fill]]*100</f>
        <v>4.5454545454545459</v>
      </c>
      <c r="V104">
        <f ca="1">Table1[[#This Row],[Join Date]]-Table1[[#This Row],[Job Posting Date]]</f>
        <v>69</v>
      </c>
      <c r="W104">
        <f t="shared" ca="1" si="15"/>
        <v>123</v>
      </c>
      <c r="X104" s="8">
        <f ca="1">Table1[[#This Row],[Absentee Days]]/Table1[[#This Row],[Total Work Days]]*100</f>
        <v>1.5384615384615385</v>
      </c>
      <c r="Y104">
        <f ca="1">YEAR(Table1[[#This Row],[Join Date]])</f>
        <v>2021</v>
      </c>
      <c r="Z104">
        <f ca="1">IF(Table1[[#This Row],[Status]]="Active",1,0)</f>
        <v>0</v>
      </c>
      <c r="AA104">
        <f ca="1">IF(Table1[[#This Row],[Status]]="Exited",Table1[[#This Row],[Recruitment Cost]]+Table1[[#This Row],[Onboarding Cost]]+Table1[[#This Row],[Training Cost]],0)</f>
        <v>6272</v>
      </c>
    </row>
    <row r="105" spans="1:27" x14ac:dyDescent="0.2">
      <c r="A105" t="str">
        <f t="shared" si="8"/>
        <v>E104</v>
      </c>
      <c r="B105" t="str" cm="1">
        <f t="array" aca="1" ref="B105" ca="1">INDEX(sheet2!$A$2:$A$6, RANDBETWEEN(1, 5))</f>
        <v>IT</v>
      </c>
      <c r="C105" t="str">
        <f ca="1">_xlfn.XLOOKUP(Table1[[#This Row],[Department]],sheet2!$A$2:$A$6,sheet2!$B$2:$B$6,_xleta.NA,0)</f>
        <v>Software Engineer</v>
      </c>
      <c r="D105" s="1">
        <f t="shared" ca="1" si="9"/>
        <v>44862</v>
      </c>
      <c r="E105" s="1">
        <f ca="1">Table1[[#This Row],[Job Posting Date]]+ RANDBETWEEN(15, 90)</f>
        <v>44921</v>
      </c>
      <c r="F105" s="1">
        <f ca="1">Table1[[#This Row],[Hire Date]]+ RANDBETWEEN(1, 15)</f>
        <v>44934</v>
      </c>
      <c r="G105" s="1">
        <f ca="1">IF(RAND() &lt; 0.5,  Table1[[#This Row],[Join Date]]+ RANDBETWEEN(30, TODAY()- Table1[[#This Row],[Join Date]]), "-")</f>
        <v>45635</v>
      </c>
      <c r="H105" t="str">
        <f ca="1">IF(Table1[[#This Row],[Exit Date]]= "-", "Active", "Exited")</f>
        <v>Exited</v>
      </c>
      <c r="I105" s="5">
        <f t="shared" ca="1" si="10"/>
        <v>4096</v>
      </c>
      <c r="J105" t="str" cm="1">
        <f t="array" aca="1" ref="J105" ca="1">INDEX(sheet2!$C$2:$C$6, RANDBETWEEN(1, 5))</f>
        <v>Communication Skills</v>
      </c>
      <c r="K105" t="str">
        <f t="shared" ca="1" si="11"/>
        <v>Completed</v>
      </c>
      <c r="L105">
        <v>260</v>
      </c>
      <c r="M105">
        <f t="shared" ca="1" si="12"/>
        <v>4</v>
      </c>
      <c r="N105" t="str">
        <f t="shared" ca="1" si="13"/>
        <v>Male</v>
      </c>
      <c r="O105" s="6">
        <f t="shared" ca="1" si="14"/>
        <v>1399</v>
      </c>
      <c r="P105">
        <f ca="1">Table1[[#This Row],[Hire Date]]-Table1[[#This Row],[Job Posting Date]]</f>
        <v>59</v>
      </c>
      <c r="Q105" s="7">
        <f ca="1">Table1[[#This Row],[Join Date]]-Table1[[#This Row],[Hire Date]]</f>
        <v>13</v>
      </c>
      <c r="R105" s="8">
        <f ca="1">(IF(Table1[[#This Row],[Status]]="Exited",Table1[[#This Row],[Exit Date]]-Table1[[#This Row],[Join Date]],TODAY()-Table1[[#This Row],[Join Date]]))/30</f>
        <v>23.366666666666667</v>
      </c>
      <c r="S105">
        <f ca="1">Table1[[#This Row],[Hire Date]]-Table1[[#This Row],[Job Posting Date]]</f>
        <v>59</v>
      </c>
      <c r="T105" s="7">
        <f ca="1">Table1[[#This Row],[Time to Onboard]]/Table1[[#This Row],[Time to Fill]]*100</f>
        <v>22.033898305084744</v>
      </c>
      <c r="U105" s="8">
        <f ca="1">Table1[[#This Row],[Time to Onboard]]/Table1[[#This Row],[Time to Fill]]*100</f>
        <v>22.033898305084744</v>
      </c>
      <c r="V105">
        <f ca="1">Table1[[#This Row],[Join Date]]-Table1[[#This Row],[Job Posting Date]]</f>
        <v>72</v>
      </c>
      <c r="W105">
        <f t="shared" ca="1" si="15"/>
        <v>197</v>
      </c>
      <c r="X105" s="8">
        <f ca="1">Table1[[#This Row],[Absentee Days]]/Table1[[#This Row],[Total Work Days]]*100</f>
        <v>1.5384615384615385</v>
      </c>
      <c r="Y105">
        <f ca="1">YEAR(Table1[[#This Row],[Join Date]])</f>
        <v>2023</v>
      </c>
      <c r="Z105">
        <f ca="1">IF(Table1[[#This Row],[Status]]="Active",1,0)</f>
        <v>0</v>
      </c>
      <c r="AA105">
        <f ca="1">IF(Table1[[#This Row],[Status]]="Exited",Table1[[#This Row],[Recruitment Cost]]+Table1[[#This Row],[Onboarding Cost]]+Table1[[#This Row],[Training Cost]],0)</f>
        <v>5692</v>
      </c>
    </row>
    <row r="106" spans="1:27" x14ac:dyDescent="0.2">
      <c r="A106" t="str">
        <f t="shared" si="8"/>
        <v>E105</v>
      </c>
      <c r="B106" t="str" cm="1">
        <f t="array" aca="1" ref="B106" ca="1">INDEX(sheet2!$A$2:$A$6, RANDBETWEEN(1, 5))</f>
        <v>Sales</v>
      </c>
      <c r="C106" t="str">
        <f ca="1">_xlfn.XLOOKUP(Table1[[#This Row],[Department]],sheet2!$A$2:$A$6,sheet2!$B$2:$B$6,_xleta.NA,0)</f>
        <v>Marketing Manager</v>
      </c>
      <c r="D106" s="1">
        <f t="shared" ca="1" si="9"/>
        <v>44507</v>
      </c>
      <c r="E106" s="1">
        <f ca="1">Table1[[#This Row],[Job Posting Date]]+ RANDBETWEEN(15, 90)</f>
        <v>44570</v>
      </c>
      <c r="F106" s="1">
        <f ca="1">Table1[[#This Row],[Hire Date]]+ RANDBETWEEN(1, 15)</f>
        <v>44575</v>
      </c>
      <c r="G106" s="1" t="str">
        <f ca="1">IF(RAND() &lt; 0.5,  Table1[[#This Row],[Join Date]]+ RANDBETWEEN(30, TODAY()- Table1[[#This Row],[Join Date]]), "-")</f>
        <v>-</v>
      </c>
      <c r="H106" t="str">
        <f ca="1">IF(Table1[[#This Row],[Exit Date]]= "-", "Active", "Exited")</f>
        <v>Active</v>
      </c>
      <c r="I106" s="5">
        <f t="shared" ca="1" si="10"/>
        <v>2922</v>
      </c>
      <c r="J106" t="str" cm="1">
        <f t="array" aca="1" ref="J106" ca="1">INDEX(sheet2!$C$2:$C$6, RANDBETWEEN(1, 5))</f>
        <v>Advanced Excel Skills </v>
      </c>
      <c r="K106" t="str">
        <f t="shared" ca="1" si="11"/>
        <v>Completed</v>
      </c>
      <c r="L106">
        <v>260</v>
      </c>
      <c r="M106">
        <f t="shared" ca="1" si="12"/>
        <v>0</v>
      </c>
      <c r="N106" t="str">
        <f t="shared" ca="1" si="13"/>
        <v>Other</v>
      </c>
      <c r="O106" s="6">
        <f t="shared" ca="1" si="14"/>
        <v>2234</v>
      </c>
      <c r="P106">
        <f ca="1">Table1[[#This Row],[Hire Date]]-Table1[[#This Row],[Job Posting Date]]</f>
        <v>63</v>
      </c>
      <c r="Q106" s="7">
        <f ca="1">Table1[[#This Row],[Join Date]]-Table1[[#This Row],[Hire Date]]</f>
        <v>5</v>
      </c>
      <c r="R106" s="8">
        <f ca="1">(IF(Table1[[#This Row],[Status]]="Exited",Table1[[#This Row],[Exit Date]]-Table1[[#This Row],[Join Date]],TODAY()-Table1[[#This Row],[Join Date]]))/30</f>
        <v>36.93333333333333</v>
      </c>
      <c r="S106">
        <f ca="1">Table1[[#This Row],[Hire Date]]-Table1[[#This Row],[Job Posting Date]]</f>
        <v>63</v>
      </c>
      <c r="T106" s="7">
        <f ca="1">Table1[[#This Row],[Time to Onboard]]/Table1[[#This Row],[Time to Fill]]*100</f>
        <v>7.9365079365079358</v>
      </c>
      <c r="U106" s="8">
        <f ca="1">Table1[[#This Row],[Time to Onboard]]/Table1[[#This Row],[Time to Fill]]*100</f>
        <v>7.9365079365079358</v>
      </c>
      <c r="V106">
        <f ca="1">Table1[[#This Row],[Join Date]]-Table1[[#This Row],[Job Posting Date]]</f>
        <v>68</v>
      </c>
      <c r="W106">
        <f t="shared" ca="1" si="15"/>
        <v>170</v>
      </c>
      <c r="X106" s="8">
        <f ca="1">Table1[[#This Row],[Absentee Days]]/Table1[[#This Row],[Total Work Days]]*100</f>
        <v>0</v>
      </c>
      <c r="Y106">
        <f ca="1">YEAR(Table1[[#This Row],[Join Date]])</f>
        <v>2022</v>
      </c>
      <c r="Z106">
        <f ca="1">IF(Table1[[#This Row],[Status]]="Active",1,0)</f>
        <v>1</v>
      </c>
      <c r="AA106">
        <f ca="1">IF(Table1[[#This Row],[Status]]="Exited",Table1[[#This Row],[Recruitment Cost]]+Table1[[#This Row],[Onboarding Cost]]+Table1[[#This Row],[Training Cost]],0)</f>
        <v>0</v>
      </c>
    </row>
    <row r="107" spans="1:27" x14ac:dyDescent="0.2">
      <c r="A107" t="str">
        <f t="shared" si="8"/>
        <v>E106</v>
      </c>
      <c r="B107" t="str" cm="1">
        <f t="array" aca="1" ref="B107" ca="1">INDEX(sheet2!$A$2:$A$6, RANDBETWEEN(1, 5))</f>
        <v>Finance</v>
      </c>
      <c r="C107" t="str">
        <f ca="1">_xlfn.XLOOKUP(Table1[[#This Row],[Department]],sheet2!$A$2:$A$6,sheet2!$B$2:$B$6,_xleta.NA,0)</f>
        <v>Finance Manager</v>
      </c>
      <c r="D107" s="1">
        <f t="shared" ca="1" si="9"/>
        <v>44257</v>
      </c>
      <c r="E107" s="1">
        <f ca="1">Table1[[#This Row],[Job Posting Date]]+ RANDBETWEEN(15, 90)</f>
        <v>44341</v>
      </c>
      <c r="F107" s="1">
        <f ca="1">Table1[[#This Row],[Hire Date]]+ RANDBETWEEN(1, 15)</f>
        <v>44353</v>
      </c>
      <c r="G107" s="1">
        <f ca="1">IF(RAND() &lt; 0.5,  Table1[[#This Row],[Join Date]]+ RANDBETWEEN(30, TODAY()- Table1[[#This Row],[Join Date]]), "-")</f>
        <v>45303</v>
      </c>
      <c r="H107" t="str">
        <f ca="1">IF(Table1[[#This Row],[Exit Date]]= "-", "Active", "Exited")</f>
        <v>Exited</v>
      </c>
      <c r="I107" s="5">
        <f t="shared" ca="1" si="10"/>
        <v>2372</v>
      </c>
      <c r="J107" t="str" cm="1">
        <f t="array" aca="1" ref="J107" ca="1">INDEX(sheet2!$C$2:$C$6, RANDBETWEEN(1, 5))</f>
        <v>Communication Skills</v>
      </c>
      <c r="K107" t="str">
        <f t="shared" ca="1" si="11"/>
        <v>Completed</v>
      </c>
      <c r="L107">
        <v>260</v>
      </c>
      <c r="M107">
        <f t="shared" ca="1" si="12"/>
        <v>4</v>
      </c>
      <c r="N107" t="str">
        <f t="shared" ca="1" si="13"/>
        <v>Other</v>
      </c>
      <c r="O107" s="6">
        <f t="shared" ca="1" si="14"/>
        <v>2003</v>
      </c>
      <c r="P107">
        <f ca="1">Table1[[#This Row],[Hire Date]]-Table1[[#This Row],[Job Posting Date]]</f>
        <v>84</v>
      </c>
      <c r="Q107" s="7">
        <f ca="1">Table1[[#This Row],[Join Date]]-Table1[[#This Row],[Hire Date]]</f>
        <v>12</v>
      </c>
      <c r="R107" s="8">
        <f ca="1">(IF(Table1[[#This Row],[Status]]="Exited",Table1[[#This Row],[Exit Date]]-Table1[[#This Row],[Join Date]],TODAY()-Table1[[#This Row],[Join Date]]))/30</f>
        <v>31.666666666666668</v>
      </c>
      <c r="S107">
        <f ca="1">Table1[[#This Row],[Hire Date]]-Table1[[#This Row],[Job Posting Date]]</f>
        <v>84</v>
      </c>
      <c r="T107" s="7">
        <f ca="1">Table1[[#This Row],[Time to Onboard]]/Table1[[#This Row],[Time to Fill]]*100</f>
        <v>14.285714285714285</v>
      </c>
      <c r="U107" s="8">
        <f ca="1">Table1[[#This Row],[Time to Onboard]]/Table1[[#This Row],[Time to Fill]]*100</f>
        <v>14.285714285714285</v>
      </c>
      <c r="V107">
        <f ca="1">Table1[[#This Row],[Join Date]]-Table1[[#This Row],[Job Posting Date]]</f>
        <v>96</v>
      </c>
      <c r="W107">
        <f t="shared" ca="1" si="15"/>
        <v>159</v>
      </c>
      <c r="X107" s="8">
        <f ca="1">Table1[[#This Row],[Absentee Days]]/Table1[[#This Row],[Total Work Days]]*100</f>
        <v>1.5384615384615385</v>
      </c>
      <c r="Y107">
        <f ca="1">YEAR(Table1[[#This Row],[Join Date]])</f>
        <v>2021</v>
      </c>
      <c r="Z107">
        <f ca="1">IF(Table1[[#This Row],[Status]]="Active",1,0)</f>
        <v>0</v>
      </c>
      <c r="AA107">
        <f ca="1">IF(Table1[[#This Row],[Status]]="Exited",Table1[[#This Row],[Recruitment Cost]]+Table1[[#This Row],[Onboarding Cost]]+Table1[[#This Row],[Training Cost]],0)</f>
        <v>4534</v>
      </c>
    </row>
    <row r="108" spans="1:27" x14ac:dyDescent="0.2">
      <c r="A108" t="str">
        <f t="shared" si="8"/>
        <v>E107</v>
      </c>
      <c r="B108" t="str" cm="1">
        <f t="array" aca="1" ref="B108" ca="1">INDEX(sheet2!$A$2:$A$6, RANDBETWEEN(1, 5))</f>
        <v>HR</v>
      </c>
      <c r="C108" t="str">
        <f ca="1">_xlfn.XLOOKUP(Table1[[#This Row],[Department]],sheet2!$A$2:$A$6,sheet2!$B$2:$B$6,_xleta.NA,0)</f>
        <v>HR Manager</v>
      </c>
      <c r="D108" s="1">
        <f t="shared" ca="1" si="9"/>
        <v>43537</v>
      </c>
      <c r="E108" s="1">
        <f ca="1">Table1[[#This Row],[Job Posting Date]]+ RANDBETWEEN(15, 90)</f>
        <v>43605</v>
      </c>
      <c r="F108" s="1">
        <f ca="1">Table1[[#This Row],[Hire Date]]+ RANDBETWEEN(1, 15)</f>
        <v>43615</v>
      </c>
      <c r="G108" s="1" t="str">
        <f ca="1">IF(RAND() &lt; 0.5,  Table1[[#This Row],[Join Date]]+ RANDBETWEEN(30, TODAY()- Table1[[#This Row],[Join Date]]), "-")</f>
        <v>-</v>
      </c>
      <c r="H108" t="str">
        <f ca="1">IF(Table1[[#This Row],[Exit Date]]= "-", "Active", "Exited")</f>
        <v>Active</v>
      </c>
      <c r="I108" s="5">
        <f t="shared" ca="1" si="10"/>
        <v>4615</v>
      </c>
      <c r="J108" t="str" cm="1">
        <f t="array" aca="1" ref="J108" ca="1">INDEX(sheet2!$C$2:$C$6, RANDBETWEEN(1, 5))</f>
        <v>Communication Skills</v>
      </c>
      <c r="K108" t="str">
        <f t="shared" ca="1" si="11"/>
        <v>Completed</v>
      </c>
      <c r="L108">
        <v>260</v>
      </c>
      <c r="M108">
        <f t="shared" ca="1" si="12"/>
        <v>6</v>
      </c>
      <c r="N108" t="str">
        <f t="shared" ca="1" si="13"/>
        <v>Other</v>
      </c>
      <c r="O108" s="6">
        <f t="shared" ca="1" si="14"/>
        <v>1317</v>
      </c>
      <c r="P108">
        <f ca="1">Table1[[#This Row],[Hire Date]]-Table1[[#This Row],[Job Posting Date]]</f>
        <v>68</v>
      </c>
      <c r="Q108" s="7">
        <f ca="1">Table1[[#This Row],[Join Date]]-Table1[[#This Row],[Hire Date]]</f>
        <v>10</v>
      </c>
      <c r="R108" s="8">
        <f ca="1">(IF(Table1[[#This Row],[Status]]="Exited",Table1[[#This Row],[Exit Date]]-Table1[[#This Row],[Join Date]],TODAY()-Table1[[#This Row],[Join Date]]))/30</f>
        <v>68.933333333333337</v>
      </c>
      <c r="S108">
        <f ca="1">Table1[[#This Row],[Hire Date]]-Table1[[#This Row],[Job Posting Date]]</f>
        <v>68</v>
      </c>
      <c r="T108" s="7">
        <f ca="1">Table1[[#This Row],[Time to Onboard]]/Table1[[#This Row],[Time to Fill]]*100</f>
        <v>14.705882352941178</v>
      </c>
      <c r="U108" s="8">
        <f ca="1">Table1[[#This Row],[Time to Onboard]]/Table1[[#This Row],[Time to Fill]]*100</f>
        <v>14.705882352941178</v>
      </c>
      <c r="V108">
        <f ca="1">Table1[[#This Row],[Join Date]]-Table1[[#This Row],[Job Posting Date]]</f>
        <v>78</v>
      </c>
      <c r="W108">
        <f t="shared" ca="1" si="15"/>
        <v>170</v>
      </c>
      <c r="X108" s="8">
        <f ca="1">Table1[[#This Row],[Absentee Days]]/Table1[[#This Row],[Total Work Days]]*100</f>
        <v>2.3076923076923079</v>
      </c>
      <c r="Y108">
        <f ca="1">YEAR(Table1[[#This Row],[Join Date]])</f>
        <v>2019</v>
      </c>
      <c r="Z108">
        <f ca="1">IF(Table1[[#This Row],[Status]]="Active",1,0)</f>
        <v>1</v>
      </c>
      <c r="AA108">
        <f ca="1">IF(Table1[[#This Row],[Status]]="Exited",Table1[[#This Row],[Recruitment Cost]]+Table1[[#This Row],[Onboarding Cost]]+Table1[[#This Row],[Training Cost]],0)</f>
        <v>0</v>
      </c>
    </row>
    <row r="109" spans="1:27" x14ac:dyDescent="0.2">
      <c r="A109" t="str">
        <f t="shared" si="8"/>
        <v>E108</v>
      </c>
      <c r="B109" t="str" cm="1">
        <f t="array" aca="1" ref="B109" ca="1">INDEX(sheet2!$A$2:$A$6, RANDBETWEEN(1, 5))</f>
        <v>Sales</v>
      </c>
      <c r="C109" t="str">
        <f ca="1">_xlfn.XLOOKUP(Table1[[#This Row],[Department]],sheet2!$A$2:$A$6,sheet2!$B$2:$B$6,_xleta.NA,0)</f>
        <v>Marketing Manager</v>
      </c>
      <c r="D109" s="1">
        <f t="shared" ca="1" si="9"/>
        <v>43210</v>
      </c>
      <c r="E109" s="1">
        <f ca="1">Table1[[#This Row],[Job Posting Date]]+ RANDBETWEEN(15, 90)</f>
        <v>43294</v>
      </c>
      <c r="F109" s="1">
        <f ca="1">Table1[[#This Row],[Hire Date]]+ RANDBETWEEN(1, 15)</f>
        <v>43302</v>
      </c>
      <c r="G109" s="1" t="str">
        <f ca="1">IF(RAND() &lt; 0.5,  Table1[[#This Row],[Join Date]]+ RANDBETWEEN(30, TODAY()- Table1[[#This Row],[Join Date]]), "-")</f>
        <v>-</v>
      </c>
      <c r="H109" t="str">
        <f ca="1">IF(Table1[[#This Row],[Exit Date]]= "-", "Active", "Exited")</f>
        <v>Active</v>
      </c>
      <c r="I109" s="5">
        <f t="shared" ca="1" si="10"/>
        <v>4947</v>
      </c>
      <c r="J109" t="str" cm="1">
        <f t="array" aca="1" ref="J109" ca="1">INDEX(sheet2!$C$2:$C$6, RANDBETWEEN(1, 5))</f>
        <v>Communication Skills</v>
      </c>
      <c r="K109" t="str">
        <f t="shared" ca="1" si="11"/>
        <v>Completed</v>
      </c>
      <c r="L109">
        <v>260</v>
      </c>
      <c r="M109">
        <f t="shared" ca="1" si="12"/>
        <v>11</v>
      </c>
      <c r="N109" t="str">
        <f t="shared" ca="1" si="13"/>
        <v>Female</v>
      </c>
      <c r="O109" s="6">
        <f t="shared" ca="1" si="14"/>
        <v>2007</v>
      </c>
      <c r="P109">
        <f ca="1">Table1[[#This Row],[Hire Date]]-Table1[[#This Row],[Job Posting Date]]</f>
        <v>84</v>
      </c>
      <c r="Q109" s="7">
        <f ca="1">Table1[[#This Row],[Join Date]]-Table1[[#This Row],[Hire Date]]</f>
        <v>8</v>
      </c>
      <c r="R109" s="8">
        <f ca="1">(IF(Table1[[#This Row],[Status]]="Exited",Table1[[#This Row],[Exit Date]]-Table1[[#This Row],[Join Date]],TODAY()-Table1[[#This Row],[Join Date]]))/30</f>
        <v>79.36666666666666</v>
      </c>
      <c r="S109">
        <f ca="1">Table1[[#This Row],[Hire Date]]-Table1[[#This Row],[Job Posting Date]]</f>
        <v>84</v>
      </c>
      <c r="T109" s="7">
        <f ca="1">Table1[[#This Row],[Time to Onboard]]/Table1[[#This Row],[Time to Fill]]*100</f>
        <v>9.5238095238095237</v>
      </c>
      <c r="U109" s="8">
        <f ca="1">Table1[[#This Row],[Time to Onboard]]/Table1[[#This Row],[Time to Fill]]*100</f>
        <v>9.5238095238095237</v>
      </c>
      <c r="V109">
        <f ca="1">Table1[[#This Row],[Join Date]]-Table1[[#This Row],[Job Posting Date]]</f>
        <v>92</v>
      </c>
      <c r="W109">
        <f t="shared" ca="1" si="15"/>
        <v>148</v>
      </c>
      <c r="X109" s="8">
        <f ca="1">Table1[[#This Row],[Absentee Days]]/Table1[[#This Row],[Total Work Days]]*100</f>
        <v>4.2307692307692308</v>
      </c>
      <c r="Y109">
        <f ca="1">YEAR(Table1[[#This Row],[Join Date]])</f>
        <v>2018</v>
      </c>
      <c r="Z109">
        <f ca="1">IF(Table1[[#This Row],[Status]]="Active",1,0)</f>
        <v>1</v>
      </c>
      <c r="AA109">
        <f ca="1">IF(Table1[[#This Row],[Status]]="Exited",Table1[[#This Row],[Recruitment Cost]]+Table1[[#This Row],[Onboarding Cost]]+Table1[[#This Row],[Training Cost]],0)</f>
        <v>0</v>
      </c>
    </row>
    <row r="110" spans="1:27" x14ac:dyDescent="0.2">
      <c r="A110" t="str">
        <f t="shared" si="8"/>
        <v>E109</v>
      </c>
      <c r="B110" t="str" cm="1">
        <f t="array" aca="1" ref="B110" ca="1">INDEX(sheet2!$A$2:$A$6, RANDBETWEEN(1, 5))</f>
        <v>HR</v>
      </c>
      <c r="C110" t="str">
        <f ca="1">_xlfn.XLOOKUP(Table1[[#This Row],[Department]],sheet2!$A$2:$A$6,sheet2!$B$2:$B$6,_xleta.NA,0)</f>
        <v>HR Manager</v>
      </c>
      <c r="D110" s="1">
        <f t="shared" ca="1" si="9"/>
        <v>43571</v>
      </c>
      <c r="E110" s="1">
        <f ca="1">Table1[[#This Row],[Job Posting Date]]+ RANDBETWEEN(15, 90)</f>
        <v>43656</v>
      </c>
      <c r="F110" s="1">
        <f ca="1">Table1[[#This Row],[Hire Date]]+ RANDBETWEEN(1, 15)</f>
        <v>43664</v>
      </c>
      <c r="G110" s="1" t="str">
        <f ca="1">IF(RAND() &lt; 0.5,  Table1[[#This Row],[Join Date]]+ RANDBETWEEN(30, TODAY()- Table1[[#This Row],[Join Date]]), "-")</f>
        <v>-</v>
      </c>
      <c r="H110" t="str">
        <f ca="1">IF(Table1[[#This Row],[Exit Date]]= "-", "Active", "Exited")</f>
        <v>Active</v>
      </c>
      <c r="I110" s="5">
        <f t="shared" ca="1" si="10"/>
        <v>4960</v>
      </c>
      <c r="J110" t="str" cm="1">
        <f t="array" aca="1" ref="J110" ca="1">INDEX(sheet2!$C$2:$C$6, RANDBETWEEN(1, 5))</f>
        <v>Conflict Resolution</v>
      </c>
      <c r="K110" t="str">
        <f t="shared" ca="1" si="11"/>
        <v>Completed</v>
      </c>
      <c r="L110">
        <v>260</v>
      </c>
      <c r="M110">
        <f t="shared" ca="1" si="12"/>
        <v>6</v>
      </c>
      <c r="N110" t="str">
        <f t="shared" ca="1" si="13"/>
        <v>Male</v>
      </c>
      <c r="O110" s="6">
        <f t="shared" ca="1" si="14"/>
        <v>2400</v>
      </c>
      <c r="P110">
        <f ca="1">Table1[[#This Row],[Hire Date]]-Table1[[#This Row],[Job Posting Date]]</f>
        <v>85</v>
      </c>
      <c r="Q110" s="7">
        <f ca="1">Table1[[#This Row],[Join Date]]-Table1[[#This Row],[Hire Date]]</f>
        <v>8</v>
      </c>
      <c r="R110" s="8">
        <f ca="1">(IF(Table1[[#This Row],[Status]]="Exited",Table1[[#This Row],[Exit Date]]-Table1[[#This Row],[Join Date]],TODAY()-Table1[[#This Row],[Join Date]]))/30</f>
        <v>67.3</v>
      </c>
      <c r="S110">
        <f ca="1">Table1[[#This Row],[Hire Date]]-Table1[[#This Row],[Job Posting Date]]</f>
        <v>85</v>
      </c>
      <c r="T110" s="7">
        <f ca="1">Table1[[#This Row],[Time to Onboard]]/Table1[[#This Row],[Time to Fill]]*100</f>
        <v>9.4117647058823533</v>
      </c>
      <c r="U110" s="8">
        <f ca="1">Table1[[#This Row],[Time to Onboard]]/Table1[[#This Row],[Time to Fill]]*100</f>
        <v>9.4117647058823533</v>
      </c>
      <c r="V110">
        <f ca="1">Table1[[#This Row],[Join Date]]-Table1[[#This Row],[Job Posting Date]]</f>
        <v>93</v>
      </c>
      <c r="W110">
        <f t="shared" ca="1" si="15"/>
        <v>173</v>
      </c>
      <c r="X110" s="8">
        <f ca="1">Table1[[#This Row],[Absentee Days]]/Table1[[#This Row],[Total Work Days]]*100</f>
        <v>2.3076923076923079</v>
      </c>
      <c r="Y110">
        <f ca="1">YEAR(Table1[[#This Row],[Join Date]])</f>
        <v>2019</v>
      </c>
      <c r="Z110">
        <f ca="1">IF(Table1[[#This Row],[Status]]="Active",1,0)</f>
        <v>1</v>
      </c>
      <c r="AA110">
        <f ca="1">IF(Table1[[#This Row],[Status]]="Exited",Table1[[#This Row],[Recruitment Cost]]+Table1[[#This Row],[Onboarding Cost]]+Table1[[#This Row],[Training Cost]],0)</f>
        <v>0</v>
      </c>
    </row>
    <row r="111" spans="1:27" x14ac:dyDescent="0.2">
      <c r="A111" t="str">
        <f t="shared" si="8"/>
        <v>E110</v>
      </c>
      <c r="B111" t="str" cm="1">
        <f t="array" aca="1" ref="B111" ca="1">INDEX(sheet2!$A$2:$A$6, RANDBETWEEN(1, 5))</f>
        <v>IT</v>
      </c>
      <c r="C111" t="str">
        <f ca="1">_xlfn.XLOOKUP(Table1[[#This Row],[Department]],sheet2!$A$2:$A$6,sheet2!$B$2:$B$6,_xleta.NA,0)</f>
        <v>Software Engineer</v>
      </c>
      <c r="D111" s="1">
        <f t="shared" ca="1" si="9"/>
        <v>43515</v>
      </c>
      <c r="E111" s="1">
        <f ca="1">Table1[[#This Row],[Job Posting Date]]+ RANDBETWEEN(15, 90)</f>
        <v>43555</v>
      </c>
      <c r="F111" s="1">
        <f ca="1">Table1[[#This Row],[Hire Date]]+ RANDBETWEEN(1, 15)</f>
        <v>43565</v>
      </c>
      <c r="G111" s="1">
        <f ca="1">IF(RAND() &lt; 0.5,  Table1[[#This Row],[Join Date]]+ RANDBETWEEN(30, TODAY()- Table1[[#This Row],[Join Date]]), "-")</f>
        <v>45328</v>
      </c>
      <c r="H111" t="str">
        <f ca="1">IF(Table1[[#This Row],[Exit Date]]= "-", "Active", "Exited")</f>
        <v>Exited</v>
      </c>
      <c r="I111" s="5">
        <f t="shared" ca="1" si="10"/>
        <v>3594</v>
      </c>
      <c r="J111" t="str" cm="1">
        <f t="array" aca="1" ref="J111" ca="1">INDEX(sheet2!$C$2:$C$6, RANDBETWEEN(1, 5))</f>
        <v>Advanced Excel Skills </v>
      </c>
      <c r="K111" t="str">
        <f t="shared" ca="1" si="11"/>
        <v>Completed</v>
      </c>
      <c r="L111">
        <v>260</v>
      </c>
      <c r="M111">
        <f t="shared" ca="1" si="12"/>
        <v>2</v>
      </c>
      <c r="N111" t="str">
        <f t="shared" ca="1" si="13"/>
        <v>Female</v>
      </c>
      <c r="O111" s="6">
        <f t="shared" ca="1" si="14"/>
        <v>1968</v>
      </c>
      <c r="P111">
        <f ca="1">Table1[[#This Row],[Hire Date]]-Table1[[#This Row],[Job Posting Date]]</f>
        <v>40</v>
      </c>
      <c r="Q111" s="7">
        <f ca="1">Table1[[#This Row],[Join Date]]-Table1[[#This Row],[Hire Date]]</f>
        <v>10</v>
      </c>
      <c r="R111" s="8">
        <f ca="1">(IF(Table1[[#This Row],[Status]]="Exited",Table1[[#This Row],[Exit Date]]-Table1[[#This Row],[Join Date]],TODAY()-Table1[[#This Row],[Join Date]]))/30</f>
        <v>58.766666666666666</v>
      </c>
      <c r="S111">
        <f ca="1">Table1[[#This Row],[Hire Date]]-Table1[[#This Row],[Job Posting Date]]</f>
        <v>40</v>
      </c>
      <c r="T111" s="7">
        <f ca="1">Table1[[#This Row],[Time to Onboard]]/Table1[[#This Row],[Time to Fill]]*100</f>
        <v>25</v>
      </c>
      <c r="U111" s="8">
        <f ca="1">Table1[[#This Row],[Time to Onboard]]/Table1[[#This Row],[Time to Fill]]*100</f>
        <v>25</v>
      </c>
      <c r="V111">
        <f ca="1">Table1[[#This Row],[Join Date]]-Table1[[#This Row],[Job Posting Date]]</f>
        <v>50</v>
      </c>
      <c r="W111">
        <f t="shared" ca="1" si="15"/>
        <v>119</v>
      </c>
      <c r="X111" s="8">
        <f ca="1">Table1[[#This Row],[Absentee Days]]/Table1[[#This Row],[Total Work Days]]*100</f>
        <v>0.76923076923076927</v>
      </c>
      <c r="Y111">
        <f ca="1">YEAR(Table1[[#This Row],[Join Date]])</f>
        <v>2019</v>
      </c>
      <c r="Z111">
        <f ca="1">IF(Table1[[#This Row],[Status]]="Active",1,0)</f>
        <v>0</v>
      </c>
      <c r="AA111">
        <f ca="1">IF(Table1[[#This Row],[Status]]="Exited",Table1[[#This Row],[Recruitment Cost]]+Table1[[#This Row],[Onboarding Cost]]+Table1[[#This Row],[Training Cost]],0)</f>
        <v>5681</v>
      </c>
    </row>
    <row r="112" spans="1:27" x14ac:dyDescent="0.2">
      <c r="A112" t="str">
        <f t="shared" si="8"/>
        <v>E111</v>
      </c>
      <c r="B112" t="str" cm="1">
        <f t="array" aca="1" ref="B112" ca="1">INDEX(sheet2!$A$2:$A$6, RANDBETWEEN(1, 5))</f>
        <v>Analytics</v>
      </c>
      <c r="C112" t="str">
        <f ca="1">_xlfn.XLOOKUP(Table1[[#This Row],[Department]],sheet2!$A$2:$A$6,sheet2!$B$2:$B$6,_xleta.NA,0)</f>
        <v>Data Analyst</v>
      </c>
      <c r="D112" s="1">
        <f t="shared" ca="1" si="9"/>
        <v>43504</v>
      </c>
      <c r="E112" s="1">
        <f ca="1">Table1[[#This Row],[Job Posting Date]]+ RANDBETWEEN(15, 90)</f>
        <v>43576</v>
      </c>
      <c r="F112" s="1">
        <f ca="1">Table1[[#This Row],[Hire Date]]+ RANDBETWEEN(1, 15)</f>
        <v>43586</v>
      </c>
      <c r="G112" s="1" t="str">
        <f ca="1">IF(RAND() &lt; 0.5,  Table1[[#This Row],[Join Date]]+ RANDBETWEEN(30, TODAY()- Table1[[#This Row],[Join Date]]), "-")</f>
        <v>-</v>
      </c>
      <c r="H112" t="str">
        <f ca="1">IF(Table1[[#This Row],[Exit Date]]= "-", "Active", "Exited")</f>
        <v>Active</v>
      </c>
      <c r="I112" s="5">
        <f t="shared" ca="1" si="10"/>
        <v>2746</v>
      </c>
      <c r="J112" t="str" cm="1">
        <f t="array" aca="1" ref="J112" ca="1">INDEX(sheet2!$C$2:$C$6, RANDBETWEEN(1, 5))</f>
        <v>Communication Skills</v>
      </c>
      <c r="K112" t="str">
        <f t="shared" ca="1" si="11"/>
        <v>Not Completed</v>
      </c>
      <c r="L112">
        <v>260</v>
      </c>
      <c r="M112">
        <f t="shared" ca="1" si="12"/>
        <v>2</v>
      </c>
      <c r="N112" t="str">
        <f t="shared" ca="1" si="13"/>
        <v>Other</v>
      </c>
      <c r="O112" s="6">
        <f t="shared" ca="1" si="14"/>
        <v>2248</v>
      </c>
      <c r="P112">
        <f ca="1">Table1[[#This Row],[Hire Date]]-Table1[[#This Row],[Job Posting Date]]</f>
        <v>72</v>
      </c>
      <c r="Q112" s="7">
        <f ca="1">Table1[[#This Row],[Join Date]]-Table1[[#This Row],[Hire Date]]</f>
        <v>10</v>
      </c>
      <c r="R112" s="8">
        <f ca="1">(IF(Table1[[#This Row],[Status]]="Exited",Table1[[#This Row],[Exit Date]]-Table1[[#This Row],[Join Date]],TODAY()-Table1[[#This Row],[Join Date]]))/30</f>
        <v>69.900000000000006</v>
      </c>
      <c r="S112">
        <f ca="1">Table1[[#This Row],[Hire Date]]-Table1[[#This Row],[Job Posting Date]]</f>
        <v>72</v>
      </c>
      <c r="T112" s="7">
        <f ca="1">Table1[[#This Row],[Time to Onboard]]/Table1[[#This Row],[Time to Fill]]*100</f>
        <v>13.888888888888889</v>
      </c>
      <c r="U112" s="8">
        <f ca="1">Table1[[#This Row],[Time to Onboard]]/Table1[[#This Row],[Time to Fill]]*100</f>
        <v>13.888888888888889</v>
      </c>
      <c r="V112">
        <f ca="1">Table1[[#This Row],[Join Date]]-Table1[[#This Row],[Job Posting Date]]</f>
        <v>82</v>
      </c>
      <c r="W112">
        <f t="shared" ca="1" si="15"/>
        <v>186</v>
      </c>
      <c r="X112" s="8">
        <f ca="1">Table1[[#This Row],[Absentee Days]]/Table1[[#This Row],[Total Work Days]]*100</f>
        <v>0.76923076923076927</v>
      </c>
      <c r="Y112">
        <f ca="1">YEAR(Table1[[#This Row],[Join Date]])</f>
        <v>2019</v>
      </c>
      <c r="Z112">
        <f ca="1">IF(Table1[[#This Row],[Status]]="Active",1,0)</f>
        <v>1</v>
      </c>
      <c r="AA112">
        <f ca="1">IF(Table1[[#This Row],[Status]]="Exited",Table1[[#This Row],[Recruitment Cost]]+Table1[[#This Row],[Onboarding Cost]]+Table1[[#This Row],[Training Cost]],0)</f>
        <v>0</v>
      </c>
    </row>
    <row r="113" spans="1:27" x14ac:dyDescent="0.2">
      <c r="A113" t="str">
        <f t="shared" si="8"/>
        <v>E112</v>
      </c>
      <c r="B113" t="str" cm="1">
        <f t="array" aca="1" ref="B113" ca="1">INDEX(sheet2!$A$2:$A$6, RANDBETWEEN(1, 5))</f>
        <v>IT</v>
      </c>
      <c r="C113" t="str">
        <f ca="1">_xlfn.XLOOKUP(Table1[[#This Row],[Department]],sheet2!$A$2:$A$6,sheet2!$B$2:$B$6,_xleta.NA,0)</f>
        <v>Software Engineer</v>
      </c>
      <c r="D113" s="1">
        <f t="shared" ca="1" si="9"/>
        <v>43804</v>
      </c>
      <c r="E113" s="1">
        <f ca="1">Table1[[#This Row],[Job Posting Date]]+ RANDBETWEEN(15, 90)</f>
        <v>43874</v>
      </c>
      <c r="F113" s="1">
        <f ca="1">Table1[[#This Row],[Hire Date]]+ RANDBETWEEN(1, 15)</f>
        <v>43885</v>
      </c>
      <c r="G113" s="1" t="str">
        <f ca="1">IF(RAND() &lt; 0.5,  Table1[[#This Row],[Join Date]]+ RANDBETWEEN(30, TODAY()- Table1[[#This Row],[Join Date]]), "-")</f>
        <v>-</v>
      </c>
      <c r="H113" t="str">
        <f ca="1">IF(Table1[[#This Row],[Exit Date]]= "-", "Active", "Exited")</f>
        <v>Active</v>
      </c>
      <c r="I113" s="5">
        <f t="shared" ca="1" si="10"/>
        <v>4792</v>
      </c>
      <c r="J113" t="str" cm="1">
        <f t="array" aca="1" ref="J113" ca="1">INDEX(sheet2!$C$2:$C$6, RANDBETWEEN(1, 5))</f>
        <v>Ethics and Responsibilities</v>
      </c>
      <c r="K113" t="str">
        <f t="shared" ca="1" si="11"/>
        <v>Not Completed</v>
      </c>
      <c r="L113">
        <v>260</v>
      </c>
      <c r="M113">
        <f t="shared" ca="1" si="12"/>
        <v>18</v>
      </c>
      <c r="N113" t="str">
        <f t="shared" ca="1" si="13"/>
        <v>Other</v>
      </c>
      <c r="O113" s="6">
        <f t="shared" ca="1" si="14"/>
        <v>2385</v>
      </c>
      <c r="P113">
        <f ca="1">Table1[[#This Row],[Hire Date]]-Table1[[#This Row],[Job Posting Date]]</f>
        <v>70</v>
      </c>
      <c r="Q113" s="7">
        <f ca="1">Table1[[#This Row],[Join Date]]-Table1[[#This Row],[Hire Date]]</f>
        <v>11</v>
      </c>
      <c r="R113" s="8">
        <f ca="1">(IF(Table1[[#This Row],[Status]]="Exited",Table1[[#This Row],[Exit Date]]-Table1[[#This Row],[Join Date]],TODAY()-Table1[[#This Row],[Join Date]]))/30</f>
        <v>59.93333333333333</v>
      </c>
      <c r="S113">
        <f ca="1">Table1[[#This Row],[Hire Date]]-Table1[[#This Row],[Job Posting Date]]</f>
        <v>70</v>
      </c>
      <c r="T113" s="7">
        <f ca="1">Table1[[#This Row],[Time to Onboard]]/Table1[[#This Row],[Time to Fill]]*100</f>
        <v>15.714285714285714</v>
      </c>
      <c r="U113" s="8">
        <f ca="1">Table1[[#This Row],[Time to Onboard]]/Table1[[#This Row],[Time to Fill]]*100</f>
        <v>15.714285714285714</v>
      </c>
      <c r="V113">
        <f ca="1">Table1[[#This Row],[Join Date]]-Table1[[#This Row],[Job Posting Date]]</f>
        <v>81</v>
      </c>
      <c r="W113">
        <f t="shared" ca="1" si="15"/>
        <v>182</v>
      </c>
      <c r="X113" s="8">
        <f ca="1">Table1[[#This Row],[Absentee Days]]/Table1[[#This Row],[Total Work Days]]*100</f>
        <v>6.9230769230769234</v>
      </c>
      <c r="Y113">
        <f ca="1">YEAR(Table1[[#This Row],[Join Date]])</f>
        <v>2020</v>
      </c>
      <c r="Z113">
        <f ca="1">IF(Table1[[#This Row],[Status]]="Active",1,0)</f>
        <v>1</v>
      </c>
      <c r="AA113">
        <f ca="1">IF(Table1[[#This Row],[Status]]="Exited",Table1[[#This Row],[Recruitment Cost]]+Table1[[#This Row],[Onboarding Cost]]+Table1[[#This Row],[Training Cost]],0)</f>
        <v>0</v>
      </c>
    </row>
    <row r="114" spans="1:27" x14ac:dyDescent="0.2">
      <c r="A114" t="str">
        <f t="shared" si="8"/>
        <v>E113</v>
      </c>
      <c r="B114" t="str" cm="1">
        <f t="array" aca="1" ref="B114" ca="1">INDEX(sheet2!$A$2:$A$6, RANDBETWEEN(1, 5))</f>
        <v>Finance</v>
      </c>
      <c r="C114" t="str">
        <f ca="1">_xlfn.XLOOKUP(Table1[[#This Row],[Department]],sheet2!$A$2:$A$6,sheet2!$B$2:$B$6,_xleta.NA,0)</f>
        <v>Finance Manager</v>
      </c>
      <c r="D114" s="1">
        <f t="shared" ca="1" si="9"/>
        <v>43153</v>
      </c>
      <c r="E114" s="1">
        <f ca="1">Table1[[#This Row],[Job Posting Date]]+ RANDBETWEEN(15, 90)</f>
        <v>43220</v>
      </c>
      <c r="F114" s="1">
        <f ca="1">Table1[[#This Row],[Hire Date]]+ RANDBETWEEN(1, 15)</f>
        <v>43232</v>
      </c>
      <c r="G114" s="1">
        <f ca="1">IF(RAND() &lt; 0.5,  Table1[[#This Row],[Join Date]]+ RANDBETWEEN(30, TODAY()- Table1[[#This Row],[Join Date]]), "-")</f>
        <v>43504</v>
      </c>
      <c r="H114" t="str">
        <f ca="1">IF(Table1[[#This Row],[Exit Date]]= "-", "Active", "Exited")</f>
        <v>Exited</v>
      </c>
      <c r="I114" s="5">
        <f t="shared" ca="1" si="10"/>
        <v>3877</v>
      </c>
      <c r="J114" t="str" cm="1">
        <f t="array" aca="1" ref="J114" ca="1">INDEX(sheet2!$C$2:$C$6, RANDBETWEEN(1, 5))</f>
        <v>Conflict Resolution</v>
      </c>
      <c r="K114" t="str">
        <f t="shared" ca="1" si="11"/>
        <v>Completed</v>
      </c>
      <c r="L114">
        <v>260</v>
      </c>
      <c r="M114">
        <f t="shared" ca="1" si="12"/>
        <v>19</v>
      </c>
      <c r="N114" t="str">
        <f t="shared" ca="1" si="13"/>
        <v>Female</v>
      </c>
      <c r="O114" s="6">
        <f t="shared" ca="1" si="14"/>
        <v>1260</v>
      </c>
      <c r="P114">
        <f ca="1">Table1[[#This Row],[Hire Date]]-Table1[[#This Row],[Job Posting Date]]</f>
        <v>67</v>
      </c>
      <c r="Q114" s="7">
        <f ca="1">Table1[[#This Row],[Join Date]]-Table1[[#This Row],[Hire Date]]</f>
        <v>12</v>
      </c>
      <c r="R114" s="8">
        <f ca="1">(IF(Table1[[#This Row],[Status]]="Exited",Table1[[#This Row],[Exit Date]]-Table1[[#This Row],[Join Date]],TODAY()-Table1[[#This Row],[Join Date]]))/30</f>
        <v>9.0666666666666664</v>
      </c>
      <c r="S114">
        <f ca="1">Table1[[#This Row],[Hire Date]]-Table1[[#This Row],[Job Posting Date]]</f>
        <v>67</v>
      </c>
      <c r="T114" s="7">
        <f ca="1">Table1[[#This Row],[Time to Onboard]]/Table1[[#This Row],[Time to Fill]]*100</f>
        <v>17.910447761194028</v>
      </c>
      <c r="U114" s="8">
        <f ca="1">Table1[[#This Row],[Time to Onboard]]/Table1[[#This Row],[Time to Fill]]*100</f>
        <v>17.910447761194028</v>
      </c>
      <c r="V114">
        <f ca="1">Table1[[#This Row],[Join Date]]-Table1[[#This Row],[Job Posting Date]]</f>
        <v>79</v>
      </c>
      <c r="W114">
        <f t="shared" ca="1" si="15"/>
        <v>172</v>
      </c>
      <c r="X114" s="8">
        <f ca="1">Table1[[#This Row],[Absentee Days]]/Table1[[#This Row],[Total Work Days]]*100</f>
        <v>7.3076923076923084</v>
      </c>
      <c r="Y114">
        <f ca="1">YEAR(Table1[[#This Row],[Join Date]])</f>
        <v>2018</v>
      </c>
      <c r="Z114">
        <f ca="1">IF(Table1[[#This Row],[Status]]="Active",1,0)</f>
        <v>0</v>
      </c>
      <c r="AA114">
        <f ca="1">IF(Table1[[#This Row],[Status]]="Exited",Table1[[#This Row],[Recruitment Cost]]+Table1[[#This Row],[Onboarding Cost]]+Table1[[#This Row],[Training Cost]],0)</f>
        <v>5309</v>
      </c>
    </row>
    <row r="115" spans="1:27" x14ac:dyDescent="0.2">
      <c r="A115" t="str">
        <f t="shared" si="8"/>
        <v>E114</v>
      </c>
      <c r="B115" t="str" cm="1">
        <f t="array" aca="1" ref="B115" ca="1">INDEX(sheet2!$A$2:$A$6, RANDBETWEEN(1, 5))</f>
        <v>Finance</v>
      </c>
      <c r="C115" t="str">
        <f ca="1">_xlfn.XLOOKUP(Table1[[#This Row],[Department]],sheet2!$A$2:$A$6,sheet2!$B$2:$B$6,_xleta.NA,0)</f>
        <v>Finance Manager</v>
      </c>
      <c r="D115" s="1">
        <f t="shared" ca="1" si="9"/>
        <v>43274</v>
      </c>
      <c r="E115" s="1">
        <f ca="1">Table1[[#This Row],[Job Posting Date]]+ RANDBETWEEN(15, 90)</f>
        <v>43295</v>
      </c>
      <c r="F115" s="1">
        <f ca="1">Table1[[#This Row],[Hire Date]]+ RANDBETWEEN(1, 15)</f>
        <v>43299</v>
      </c>
      <c r="G115" s="1" t="str">
        <f ca="1">IF(RAND() &lt; 0.5,  Table1[[#This Row],[Join Date]]+ RANDBETWEEN(30, TODAY()- Table1[[#This Row],[Join Date]]), "-")</f>
        <v>-</v>
      </c>
      <c r="H115" t="str">
        <f ca="1">IF(Table1[[#This Row],[Exit Date]]= "-", "Active", "Exited")</f>
        <v>Active</v>
      </c>
      <c r="I115" s="5">
        <f t="shared" ca="1" si="10"/>
        <v>4762</v>
      </c>
      <c r="J115" t="str" cm="1">
        <f t="array" aca="1" ref="J115" ca="1">INDEX(sheet2!$C$2:$C$6, RANDBETWEEN(1, 5))</f>
        <v>Advanced Excel Skills </v>
      </c>
      <c r="K115" t="str">
        <f t="shared" ca="1" si="11"/>
        <v>Completed</v>
      </c>
      <c r="L115">
        <v>260</v>
      </c>
      <c r="M115">
        <f t="shared" ca="1" si="12"/>
        <v>0</v>
      </c>
      <c r="N115" t="str">
        <f t="shared" ca="1" si="13"/>
        <v>Other</v>
      </c>
      <c r="O115" s="6">
        <f t="shared" ca="1" si="14"/>
        <v>2065</v>
      </c>
      <c r="P115">
        <f ca="1">Table1[[#This Row],[Hire Date]]-Table1[[#This Row],[Job Posting Date]]</f>
        <v>21</v>
      </c>
      <c r="Q115" s="7">
        <f ca="1">Table1[[#This Row],[Join Date]]-Table1[[#This Row],[Hire Date]]</f>
        <v>4</v>
      </c>
      <c r="R115" s="8">
        <f ca="1">(IF(Table1[[#This Row],[Status]]="Exited",Table1[[#This Row],[Exit Date]]-Table1[[#This Row],[Join Date]],TODAY()-Table1[[#This Row],[Join Date]]))/30</f>
        <v>79.466666666666669</v>
      </c>
      <c r="S115">
        <f ca="1">Table1[[#This Row],[Hire Date]]-Table1[[#This Row],[Job Posting Date]]</f>
        <v>21</v>
      </c>
      <c r="T115" s="7">
        <f ca="1">Table1[[#This Row],[Time to Onboard]]/Table1[[#This Row],[Time to Fill]]*100</f>
        <v>19.047619047619047</v>
      </c>
      <c r="U115" s="8">
        <f ca="1">Table1[[#This Row],[Time to Onboard]]/Table1[[#This Row],[Time to Fill]]*100</f>
        <v>19.047619047619047</v>
      </c>
      <c r="V115">
        <f ca="1">Table1[[#This Row],[Join Date]]-Table1[[#This Row],[Job Posting Date]]</f>
        <v>25</v>
      </c>
      <c r="W115">
        <f t="shared" ca="1" si="15"/>
        <v>177</v>
      </c>
      <c r="X115" s="8">
        <f ca="1">Table1[[#This Row],[Absentee Days]]/Table1[[#This Row],[Total Work Days]]*100</f>
        <v>0</v>
      </c>
      <c r="Y115">
        <f ca="1">YEAR(Table1[[#This Row],[Join Date]])</f>
        <v>2018</v>
      </c>
      <c r="Z115">
        <f ca="1">IF(Table1[[#This Row],[Status]]="Active",1,0)</f>
        <v>1</v>
      </c>
      <c r="AA115">
        <f ca="1">IF(Table1[[#This Row],[Status]]="Exited",Table1[[#This Row],[Recruitment Cost]]+Table1[[#This Row],[Onboarding Cost]]+Table1[[#This Row],[Training Cost]],0)</f>
        <v>0</v>
      </c>
    </row>
    <row r="116" spans="1:27" x14ac:dyDescent="0.2">
      <c r="A116" t="str">
        <f t="shared" si="8"/>
        <v>E115</v>
      </c>
      <c r="B116" t="str" cm="1">
        <f t="array" aca="1" ref="B116" ca="1">INDEX(sheet2!$A$2:$A$6, RANDBETWEEN(1, 5))</f>
        <v>Analytics</v>
      </c>
      <c r="C116" t="str">
        <f ca="1">_xlfn.XLOOKUP(Table1[[#This Row],[Department]],sheet2!$A$2:$A$6,sheet2!$B$2:$B$6,_xleta.NA,0)</f>
        <v>Data Analyst</v>
      </c>
      <c r="D116" s="1">
        <f t="shared" ca="1" si="9"/>
        <v>44684</v>
      </c>
      <c r="E116" s="1">
        <f ca="1">Table1[[#This Row],[Job Posting Date]]+ RANDBETWEEN(15, 90)</f>
        <v>44763</v>
      </c>
      <c r="F116" s="1">
        <f ca="1">Table1[[#This Row],[Hire Date]]+ RANDBETWEEN(1, 15)</f>
        <v>44778</v>
      </c>
      <c r="G116" s="1" t="str">
        <f ca="1">IF(RAND() &lt; 0.5,  Table1[[#This Row],[Join Date]]+ RANDBETWEEN(30, TODAY()- Table1[[#This Row],[Join Date]]), "-")</f>
        <v>-</v>
      </c>
      <c r="H116" t="str">
        <f ca="1">IF(Table1[[#This Row],[Exit Date]]= "-", "Active", "Exited")</f>
        <v>Active</v>
      </c>
      <c r="I116" s="5">
        <f t="shared" ca="1" si="10"/>
        <v>1792</v>
      </c>
      <c r="J116" t="str" cm="1">
        <f t="array" aca="1" ref="J116" ca="1">INDEX(sheet2!$C$2:$C$6, RANDBETWEEN(1, 5))</f>
        <v>Advanced Excel Skills </v>
      </c>
      <c r="K116" t="str">
        <f t="shared" ca="1" si="11"/>
        <v>Completed</v>
      </c>
      <c r="L116">
        <v>260</v>
      </c>
      <c r="M116">
        <f t="shared" ca="1" si="12"/>
        <v>15</v>
      </c>
      <c r="N116" t="str">
        <f t="shared" ca="1" si="13"/>
        <v>Other</v>
      </c>
      <c r="O116" s="6">
        <f t="shared" ca="1" si="14"/>
        <v>1829</v>
      </c>
      <c r="P116">
        <f ca="1">Table1[[#This Row],[Hire Date]]-Table1[[#This Row],[Job Posting Date]]</f>
        <v>79</v>
      </c>
      <c r="Q116" s="7">
        <f ca="1">Table1[[#This Row],[Join Date]]-Table1[[#This Row],[Hire Date]]</f>
        <v>15</v>
      </c>
      <c r="R116" s="8">
        <f ca="1">(IF(Table1[[#This Row],[Status]]="Exited",Table1[[#This Row],[Exit Date]]-Table1[[#This Row],[Join Date]],TODAY()-Table1[[#This Row],[Join Date]]))/30</f>
        <v>30.166666666666668</v>
      </c>
      <c r="S116">
        <f ca="1">Table1[[#This Row],[Hire Date]]-Table1[[#This Row],[Job Posting Date]]</f>
        <v>79</v>
      </c>
      <c r="T116" s="7">
        <f ca="1">Table1[[#This Row],[Time to Onboard]]/Table1[[#This Row],[Time to Fill]]*100</f>
        <v>18.9873417721519</v>
      </c>
      <c r="U116" s="8">
        <f ca="1">Table1[[#This Row],[Time to Onboard]]/Table1[[#This Row],[Time to Fill]]*100</f>
        <v>18.9873417721519</v>
      </c>
      <c r="V116">
        <f ca="1">Table1[[#This Row],[Join Date]]-Table1[[#This Row],[Job Posting Date]]</f>
        <v>94</v>
      </c>
      <c r="W116">
        <f t="shared" ca="1" si="15"/>
        <v>132</v>
      </c>
      <c r="X116" s="8">
        <f ca="1">Table1[[#This Row],[Absentee Days]]/Table1[[#This Row],[Total Work Days]]*100</f>
        <v>5.7692307692307692</v>
      </c>
      <c r="Y116">
        <f ca="1">YEAR(Table1[[#This Row],[Join Date]])</f>
        <v>2022</v>
      </c>
      <c r="Z116">
        <f ca="1">IF(Table1[[#This Row],[Status]]="Active",1,0)</f>
        <v>1</v>
      </c>
      <c r="AA116">
        <f ca="1">IF(Table1[[#This Row],[Status]]="Exited",Table1[[#This Row],[Recruitment Cost]]+Table1[[#This Row],[Onboarding Cost]]+Table1[[#This Row],[Training Cost]],0)</f>
        <v>0</v>
      </c>
    </row>
    <row r="117" spans="1:27" x14ac:dyDescent="0.2">
      <c r="A117" t="str">
        <f t="shared" si="8"/>
        <v>E116</v>
      </c>
      <c r="B117" t="str" cm="1">
        <f t="array" aca="1" ref="B117" ca="1">INDEX(sheet2!$A$2:$A$6, RANDBETWEEN(1, 5))</f>
        <v>Sales</v>
      </c>
      <c r="C117" t="str">
        <f ca="1">_xlfn.XLOOKUP(Table1[[#This Row],[Department]],sheet2!$A$2:$A$6,sheet2!$B$2:$B$6,_xleta.NA,0)</f>
        <v>Marketing Manager</v>
      </c>
      <c r="D117" s="1">
        <f t="shared" ca="1" si="9"/>
        <v>43422</v>
      </c>
      <c r="E117" s="1">
        <f ca="1">Table1[[#This Row],[Job Posting Date]]+ RANDBETWEEN(15, 90)</f>
        <v>43498</v>
      </c>
      <c r="F117" s="1">
        <f ca="1">Table1[[#This Row],[Hire Date]]+ RANDBETWEEN(1, 15)</f>
        <v>43510</v>
      </c>
      <c r="G117" s="1">
        <f ca="1">IF(RAND() &lt; 0.5,  Table1[[#This Row],[Join Date]]+ RANDBETWEEN(30, TODAY()- Table1[[#This Row],[Join Date]]), "-")</f>
        <v>44242</v>
      </c>
      <c r="H117" t="str">
        <f ca="1">IF(Table1[[#This Row],[Exit Date]]= "-", "Active", "Exited")</f>
        <v>Exited</v>
      </c>
      <c r="I117" s="5">
        <f t="shared" ca="1" si="10"/>
        <v>2425</v>
      </c>
      <c r="J117" t="str" cm="1">
        <f t="array" aca="1" ref="J117" ca="1">INDEX(sheet2!$C$2:$C$6, RANDBETWEEN(1, 5))</f>
        <v>Communication Skills</v>
      </c>
      <c r="K117" t="str">
        <f t="shared" ca="1" si="11"/>
        <v>Completed</v>
      </c>
      <c r="L117">
        <v>260</v>
      </c>
      <c r="M117">
        <f t="shared" ca="1" si="12"/>
        <v>3</v>
      </c>
      <c r="N117" t="str">
        <f t="shared" ca="1" si="13"/>
        <v>Female</v>
      </c>
      <c r="O117" s="6">
        <f t="shared" ca="1" si="14"/>
        <v>2002</v>
      </c>
      <c r="P117">
        <f ca="1">Table1[[#This Row],[Hire Date]]-Table1[[#This Row],[Job Posting Date]]</f>
        <v>76</v>
      </c>
      <c r="Q117" s="7">
        <f ca="1">Table1[[#This Row],[Join Date]]-Table1[[#This Row],[Hire Date]]</f>
        <v>12</v>
      </c>
      <c r="R117" s="8">
        <f ca="1">(IF(Table1[[#This Row],[Status]]="Exited",Table1[[#This Row],[Exit Date]]-Table1[[#This Row],[Join Date]],TODAY()-Table1[[#This Row],[Join Date]]))/30</f>
        <v>24.4</v>
      </c>
      <c r="S117">
        <f ca="1">Table1[[#This Row],[Hire Date]]-Table1[[#This Row],[Job Posting Date]]</f>
        <v>76</v>
      </c>
      <c r="T117" s="7">
        <f ca="1">Table1[[#This Row],[Time to Onboard]]/Table1[[#This Row],[Time to Fill]]*100</f>
        <v>15.789473684210526</v>
      </c>
      <c r="U117" s="8">
        <f ca="1">Table1[[#This Row],[Time to Onboard]]/Table1[[#This Row],[Time to Fill]]*100</f>
        <v>15.789473684210526</v>
      </c>
      <c r="V117">
        <f ca="1">Table1[[#This Row],[Join Date]]-Table1[[#This Row],[Job Posting Date]]</f>
        <v>88</v>
      </c>
      <c r="W117">
        <f t="shared" ca="1" si="15"/>
        <v>133</v>
      </c>
      <c r="X117" s="8">
        <f ca="1">Table1[[#This Row],[Absentee Days]]/Table1[[#This Row],[Total Work Days]]*100</f>
        <v>1.153846153846154</v>
      </c>
      <c r="Y117">
        <f ca="1">YEAR(Table1[[#This Row],[Join Date]])</f>
        <v>2019</v>
      </c>
      <c r="Z117">
        <f ca="1">IF(Table1[[#This Row],[Status]]="Active",1,0)</f>
        <v>0</v>
      </c>
      <c r="AA117">
        <f ca="1">IF(Table1[[#This Row],[Status]]="Exited",Table1[[#This Row],[Recruitment Cost]]+Table1[[#This Row],[Onboarding Cost]]+Table1[[#This Row],[Training Cost]],0)</f>
        <v>4560</v>
      </c>
    </row>
    <row r="118" spans="1:27" x14ac:dyDescent="0.2">
      <c r="A118" t="str">
        <f t="shared" si="8"/>
        <v>E117</v>
      </c>
      <c r="B118" t="str" cm="1">
        <f t="array" aca="1" ref="B118" ca="1">INDEX(sheet2!$A$2:$A$6, RANDBETWEEN(1, 5))</f>
        <v>Analytics</v>
      </c>
      <c r="C118" t="str">
        <f ca="1">_xlfn.XLOOKUP(Table1[[#This Row],[Department]],sheet2!$A$2:$A$6,sheet2!$B$2:$B$6,_xleta.NA,0)</f>
        <v>Data Analyst</v>
      </c>
      <c r="D118" s="1">
        <f t="shared" ca="1" si="9"/>
        <v>43574</v>
      </c>
      <c r="E118" s="1">
        <f ca="1">Table1[[#This Row],[Job Posting Date]]+ RANDBETWEEN(15, 90)</f>
        <v>43661</v>
      </c>
      <c r="F118" s="1">
        <f ca="1">Table1[[#This Row],[Hire Date]]+ RANDBETWEEN(1, 15)</f>
        <v>43665</v>
      </c>
      <c r="G118" s="1" t="str">
        <f ca="1">IF(RAND() &lt; 0.5,  Table1[[#This Row],[Join Date]]+ RANDBETWEEN(30, TODAY()- Table1[[#This Row],[Join Date]]), "-")</f>
        <v>-</v>
      </c>
      <c r="H118" t="str">
        <f ca="1">IF(Table1[[#This Row],[Exit Date]]= "-", "Active", "Exited")</f>
        <v>Active</v>
      </c>
      <c r="I118" s="5">
        <f t="shared" ca="1" si="10"/>
        <v>2637</v>
      </c>
      <c r="J118" t="str" cm="1">
        <f t="array" aca="1" ref="J118" ca="1">INDEX(sheet2!$C$2:$C$6, RANDBETWEEN(1, 5))</f>
        <v>Ethics and Responsibilities</v>
      </c>
      <c r="K118" t="str">
        <f t="shared" ca="1" si="11"/>
        <v>Not Completed</v>
      </c>
      <c r="L118">
        <v>260</v>
      </c>
      <c r="M118">
        <f t="shared" ca="1" si="12"/>
        <v>11</v>
      </c>
      <c r="N118" t="str">
        <f t="shared" ca="1" si="13"/>
        <v>Other</v>
      </c>
      <c r="O118" s="6">
        <f t="shared" ca="1" si="14"/>
        <v>1816</v>
      </c>
      <c r="P118">
        <f ca="1">Table1[[#This Row],[Hire Date]]-Table1[[#This Row],[Job Posting Date]]</f>
        <v>87</v>
      </c>
      <c r="Q118" s="7">
        <f ca="1">Table1[[#This Row],[Join Date]]-Table1[[#This Row],[Hire Date]]</f>
        <v>4</v>
      </c>
      <c r="R118" s="8">
        <f ca="1">(IF(Table1[[#This Row],[Status]]="Exited",Table1[[#This Row],[Exit Date]]-Table1[[#This Row],[Join Date]],TODAY()-Table1[[#This Row],[Join Date]]))/30</f>
        <v>67.266666666666666</v>
      </c>
      <c r="S118">
        <f ca="1">Table1[[#This Row],[Hire Date]]-Table1[[#This Row],[Job Posting Date]]</f>
        <v>87</v>
      </c>
      <c r="T118" s="7">
        <f ca="1">Table1[[#This Row],[Time to Onboard]]/Table1[[#This Row],[Time to Fill]]*100</f>
        <v>4.5977011494252871</v>
      </c>
      <c r="U118" s="8">
        <f ca="1">Table1[[#This Row],[Time to Onboard]]/Table1[[#This Row],[Time to Fill]]*100</f>
        <v>4.5977011494252871</v>
      </c>
      <c r="V118">
        <f ca="1">Table1[[#This Row],[Join Date]]-Table1[[#This Row],[Job Posting Date]]</f>
        <v>91</v>
      </c>
      <c r="W118">
        <f t="shared" ca="1" si="15"/>
        <v>152</v>
      </c>
      <c r="X118" s="8">
        <f ca="1">Table1[[#This Row],[Absentee Days]]/Table1[[#This Row],[Total Work Days]]*100</f>
        <v>4.2307692307692308</v>
      </c>
      <c r="Y118">
        <f ca="1">YEAR(Table1[[#This Row],[Join Date]])</f>
        <v>2019</v>
      </c>
      <c r="Z118">
        <f ca="1">IF(Table1[[#This Row],[Status]]="Active",1,0)</f>
        <v>1</v>
      </c>
      <c r="AA118">
        <f ca="1">IF(Table1[[#This Row],[Status]]="Exited",Table1[[#This Row],[Recruitment Cost]]+Table1[[#This Row],[Onboarding Cost]]+Table1[[#This Row],[Training Cost]],0)</f>
        <v>0</v>
      </c>
    </row>
    <row r="119" spans="1:27" x14ac:dyDescent="0.2">
      <c r="A119" t="str">
        <f t="shared" si="8"/>
        <v>E118</v>
      </c>
      <c r="B119" t="str" cm="1">
        <f t="array" aca="1" ref="B119" ca="1">INDEX(sheet2!$A$2:$A$6, RANDBETWEEN(1, 5))</f>
        <v>IT</v>
      </c>
      <c r="C119" t="str">
        <f ca="1">_xlfn.XLOOKUP(Table1[[#This Row],[Department]],sheet2!$A$2:$A$6,sheet2!$B$2:$B$6,_xleta.NA,0)</f>
        <v>Software Engineer</v>
      </c>
      <c r="D119" s="1">
        <f t="shared" ca="1" si="9"/>
        <v>43412</v>
      </c>
      <c r="E119" s="1">
        <f ca="1">Table1[[#This Row],[Job Posting Date]]+ RANDBETWEEN(15, 90)</f>
        <v>43461</v>
      </c>
      <c r="F119" s="1">
        <f ca="1">Table1[[#This Row],[Hire Date]]+ RANDBETWEEN(1, 15)</f>
        <v>43475</v>
      </c>
      <c r="G119" s="1" t="str">
        <f ca="1">IF(RAND() &lt; 0.5,  Table1[[#This Row],[Join Date]]+ RANDBETWEEN(30, TODAY()- Table1[[#This Row],[Join Date]]), "-")</f>
        <v>-</v>
      </c>
      <c r="H119" t="str">
        <f ca="1">IF(Table1[[#This Row],[Exit Date]]= "-", "Active", "Exited")</f>
        <v>Active</v>
      </c>
      <c r="I119" s="5">
        <f t="shared" ca="1" si="10"/>
        <v>2319</v>
      </c>
      <c r="J119" t="str" cm="1">
        <f t="array" aca="1" ref="J119" ca="1">INDEX(sheet2!$C$2:$C$6, RANDBETWEEN(1, 5))</f>
        <v>Communication Skills</v>
      </c>
      <c r="K119" t="str">
        <f t="shared" ca="1" si="11"/>
        <v>Completed</v>
      </c>
      <c r="L119">
        <v>260</v>
      </c>
      <c r="M119">
        <f t="shared" ca="1" si="12"/>
        <v>18</v>
      </c>
      <c r="N119" t="str">
        <f t="shared" ca="1" si="13"/>
        <v>Other</v>
      </c>
      <c r="O119" s="6">
        <f t="shared" ca="1" si="14"/>
        <v>1326</v>
      </c>
      <c r="P119">
        <f ca="1">Table1[[#This Row],[Hire Date]]-Table1[[#This Row],[Job Posting Date]]</f>
        <v>49</v>
      </c>
      <c r="Q119" s="7">
        <f ca="1">Table1[[#This Row],[Join Date]]-Table1[[#This Row],[Hire Date]]</f>
        <v>14</v>
      </c>
      <c r="R119" s="8">
        <f ca="1">(IF(Table1[[#This Row],[Status]]="Exited",Table1[[#This Row],[Exit Date]]-Table1[[#This Row],[Join Date]],TODAY()-Table1[[#This Row],[Join Date]]))/30</f>
        <v>73.599999999999994</v>
      </c>
      <c r="S119">
        <f ca="1">Table1[[#This Row],[Hire Date]]-Table1[[#This Row],[Job Posting Date]]</f>
        <v>49</v>
      </c>
      <c r="T119" s="7">
        <f ca="1">Table1[[#This Row],[Time to Onboard]]/Table1[[#This Row],[Time to Fill]]*100</f>
        <v>28.571428571428569</v>
      </c>
      <c r="U119" s="8">
        <f ca="1">Table1[[#This Row],[Time to Onboard]]/Table1[[#This Row],[Time to Fill]]*100</f>
        <v>28.571428571428569</v>
      </c>
      <c r="V119">
        <f ca="1">Table1[[#This Row],[Join Date]]-Table1[[#This Row],[Job Posting Date]]</f>
        <v>63</v>
      </c>
      <c r="W119">
        <f t="shared" ca="1" si="15"/>
        <v>196</v>
      </c>
      <c r="X119" s="8">
        <f ca="1">Table1[[#This Row],[Absentee Days]]/Table1[[#This Row],[Total Work Days]]*100</f>
        <v>6.9230769230769234</v>
      </c>
      <c r="Y119">
        <f ca="1">YEAR(Table1[[#This Row],[Join Date]])</f>
        <v>2019</v>
      </c>
      <c r="Z119">
        <f ca="1">IF(Table1[[#This Row],[Status]]="Active",1,0)</f>
        <v>1</v>
      </c>
      <c r="AA119">
        <f ca="1">IF(Table1[[#This Row],[Status]]="Exited",Table1[[#This Row],[Recruitment Cost]]+Table1[[#This Row],[Onboarding Cost]]+Table1[[#This Row],[Training Cost]],0)</f>
        <v>0</v>
      </c>
    </row>
    <row r="120" spans="1:27" x14ac:dyDescent="0.2">
      <c r="A120" t="str">
        <f t="shared" si="8"/>
        <v>E119</v>
      </c>
      <c r="B120" t="str" cm="1">
        <f t="array" aca="1" ref="B120" ca="1">INDEX(sheet2!$A$2:$A$6, RANDBETWEEN(1, 5))</f>
        <v>Sales</v>
      </c>
      <c r="C120" t="str">
        <f ca="1">_xlfn.XLOOKUP(Table1[[#This Row],[Department]],sheet2!$A$2:$A$6,sheet2!$B$2:$B$6,_xleta.NA,0)</f>
        <v>Marketing Manager</v>
      </c>
      <c r="D120" s="1">
        <f t="shared" ca="1" si="9"/>
        <v>43543</v>
      </c>
      <c r="E120" s="1">
        <f ca="1">Table1[[#This Row],[Job Posting Date]]+ RANDBETWEEN(15, 90)</f>
        <v>43606</v>
      </c>
      <c r="F120" s="1">
        <f ca="1">Table1[[#This Row],[Hire Date]]+ RANDBETWEEN(1, 15)</f>
        <v>43610</v>
      </c>
      <c r="G120" s="1" t="str">
        <f ca="1">IF(RAND() &lt; 0.5,  Table1[[#This Row],[Join Date]]+ RANDBETWEEN(30, TODAY()- Table1[[#This Row],[Join Date]]), "-")</f>
        <v>-</v>
      </c>
      <c r="H120" t="str">
        <f ca="1">IF(Table1[[#This Row],[Exit Date]]= "-", "Active", "Exited")</f>
        <v>Active</v>
      </c>
      <c r="I120" s="5">
        <f t="shared" ca="1" si="10"/>
        <v>4041</v>
      </c>
      <c r="J120" t="str" cm="1">
        <f t="array" aca="1" ref="J120" ca="1">INDEX(sheet2!$C$2:$C$6, RANDBETWEEN(1, 5))</f>
        <v>Leadership Development</v>
      </c>
      <c r="K120" t="str">
        <f t="shared" ca="1" si="11"/>
        <v>Not Completed</v>
      </c>
      <c r="L120">
        <v>260</v>
      </c>
      <c r="M120">
        <f t="shared" ca="1" si="12"/>
        <v>9</v>
      </c>
      <c r="N120" t="str">
        <f t="shared" ca="1" si="13"/>
        <v>Other</v>
      </c>
      <c r="O120" s="6">
        <f t="shared" ca="1" si="14"/>
        <v>1790</v>
      </c>
      <c r="P120">
        <f ca="1">Table1[[#This Row],[Hire Date]]-Table1[[#This Row],[Job Posting Date]]</f>
        <v>63</v>
      </c>
      <c r="Q120" s="7">
        <f ca="1">Table1[[#This Row],[Join Date]]-Table1[[#This Row],[Hire Date]]</f>
        <v>4</v>
      </c>
      <c r="R120" s="8">
        <f ca="1">(IF(Table1[[#This Row],[Status]]="Exited",Table1[[#This Row],[Exit Date]]-Table1[[#This Row],[Join Date]],TODAY()-Table1[[#This Row],[Join Date]]))/30</f>
        <v>69.099999999999994</v>
      </c>
      <c r="S120">
        <f ca="1">Table1[[#This Row],[Hire Date]]-Table1[[#This Row],[Job Posting Date]]</f>
        <v>63</v>
      </c>
      <c r="T120" s="7">
        <f ca="1">Table1[[#This Row],[Time to Onboard]]/Table1[[#This Row],[Time to Fill]]*100</f>
        <v>6.3492063492063489</v>
      </c>
      <c r="U120" s="8">
        <f ca="1">Table1[[#This Row],[Time to Onboard]]/Table1[[#This Row],[Time to Fill]]*100</f>
        <v>6.3492063492063489</v>
      </c>
      <c r="V120">
        <f ca="1">Table1[[#This Row],[Join Date]]-Table1[[#This Row],[Job Posting Date]]</f>
        <v>67</v>
      </c>
      <c r="W120">
        <f t="shared" ca="1" si="15"/>
        <v>110</v>
      </c>
      <c r="X120" s="8">
        <f ca="1">Table1[[#This Row],[Absentee Days]]/Table1[[#This Row],[Total Work Days]]*100</f>
        <v>3.4615384615384617</v>
      </c>
      <c r="Y120">
        <f ca="1">YEAR(Table1[[#This Row],[Join Date]])</f>
        <v>2019</v>
      </c>
      <c r="Z120">
        <f ca="1">IF(Table1[[#This Row],[Status]]="Active",1,0)</f>
        <v>1</v>
      </c>
      <c r="AA120">
        <f ca="1">IF(Table1[[#This Row],[Status]]="Exited",Table1[[#This Row],[Recruitment Cost]]+Table1[[#This Row],[Onboarding Cost]]+Table1[[#This Row],[Training Cost]],0)</f>
        <v>0</v>
      </c>
    </row>
    <row r="121" spans="1:27" x14ac:dyDescent="0.2">
      <c r="A121" t="str">
        <f t="shared" si="8"/>
        <v>E120</v>
      </c>
      <c r="B121" t="str" cm="1">
        <f t="array" aca="1" ref="B121" ca="1">INDEX(sheet2!$A$2:$A$6, RANDBETWEEN(1, 5))</f>
        <v>Analytics</v>
      </c>
      <c r="C121" t="str">
        <f ca="1">_xlfn.XLOOKUP(Table1[[#This Row],[Department]],sheet2!$A$2:$A$6,sheet2!$B$2:$B$6,_xleta.NA,0)</f>
        <v>Data Analyst</v>
      </c>
      <c r="D121" s="1">
        <f t="shared" ca="1" si="9"/>
        <v>44172</v>
      </c>
      <c r="E121" s="1">
        <f ca="1">Table1[[#This Row],[Job Posting Date]]+ RANDBETWEEN(15, 90)</f>
        <v>44262</v>
      </c>
      <c r="F121" s="1">
        <f ca="1">Table1[[#This Row],[Hire Date]]+ RANDBETWEEN(1, 15)</f>
        <v>44275</v>
      </c>
      <c r="G121" s="1" t="str">
        <f ca="1">IF(RAND() &lt; 0.5,  Table1[[#This Row],[Join Date]]+ RANDBETWEEN(30, TODAY()- Table1[[#This Row],[Join Date]]), "-")</f>
        <v>-</v>
      </c>
      <c r="H121" t="str">
        <f ca="1">IF(Table1[[#This Row],[Exit Date]]= "-", "Active", "Exited")</f>
        <v>Active</v>
      </c>
      <c r="I121" s="5">
        <f t="shared" ca="1" si="10"/>
        <v>4297</v>
      </c>
      <c r="J121" t="str" cm="1">
        <f t="array" aca="1" ref="J121" ca="1">INDEX(sheet2!$C$2:$C$6, RANDBETWEEN(1, 5))</f>
        <v>Leadership Development</v>
      </c>
      <c r="K121" t="str">
        <f t="shared" ca="1" si="11"/>
        <v>Completed</v>
      </c>
      <c r="L121">
        <v>260</v>
      </c>
      <c r="M121">
        <f t="shared" ca="1" si="12"/>
        <v>18</v>
      </c>
      <c r="N121" t="str">
        <f t="shared" ca="1" si="13"/>
        <v>Male</v>
      </c>
      <c r="O121" s="6">
        <f t="shared" ca="1" si="14"/>
        <v>1682</v>
      </c>
      <c r="P121">
        <f ca="1">Table1[[#This Row],[Hire Date]]-Table1[[#This Row],[Job Posting Date]]</f>
        <v>90</v>
      </c>
      <c r="Q121" s="7">
        <f ca="1">Table1[[#This Row],[Join Date]]-Table1[[#This Row],[Hire Date]]</f>
        <v>13</v>
      </c>
      <c r="R121" s="8">
        <f ca="1">(IF(Table1[[#This Row],[Status]]="Exited",Table1[[#This Row],[Exit Date]]-Table1[[#This Row],[Join Date]],TODAY()-Table1[[#This Row],[Join Date]]))/30</f>
        <v>46.93333333333333</v>
      </c>
      <c r="S121">
        <f ca="1">Table1[[#This Row],[Hire Date]]-Table1[[#This Row],[Job Posting Date]]</f>
        <v>90</v>
      </c>
      <c r="T121" s="7">
        <f ca="1">Table1[[#This Row],[Time to Onboard]]/Table1[[#This Row],[Time to Fill]]*100</f>
        <v>14.444444444444443</v>
      </c>
      <c r="U121" s="8">
        <f ca="1">Table1[[#This Row],[Time to Onboard]]/Table1[[#This Row],[Time to Fill]]*100</f>
        <v>14.444444444444443</v>
      </c>
      <c r="V121">
        <f ca="1">Table1[[#This Row],[Join Date]]-Table1[[#This Row],[Job Posting Date]]</f>
        <v>103</v>
      </c>
      <c r="W121">
        <f t="shared" ca="1" si="15"/>
        <v>178</v>
      </c>
      <c r="X121" s="8">
        <f ca="1">Table1[[#This Row],[Absentee Days]]/Table1[[#This Row],[Total Work Days]]*100</f>
        <v>6.9230769230769234</v>
      </c>
      <c r="Y121">
        <f ca="1">YEAR(Table1[[#This Row],[Join Date]])</f>
        <v>2021</v>
      </c>
      <c r="Z121">
        <f ca="1">IF(Table1[[#This Row],[Status]]="Active",1,0)</f>
        <v>1</v>
      </c>
      <c r="AA121">
        <f ca="1">IF(Table1[[#This Row],[Status]]="Exited",Table1[[#This Row],[Recruitment Cost]]+Table1[[#This Row],[Onboarding Cost]]+Table1[[#This Row],[Training Cost]],0)</f>
        <v>0</v>
      </c>
    </row>
    <row r="122" spans="1:27" x14ac:dyDescent="0.2">
      <c r="A122" t="str">
        <f t="shared" si="8"/>
        <v>E121</v>
      </c>
      <c r="B122" t="str" cm="1">
        <f t="array" aca="1" ref="B122" ca="1">INDEX(sheet2!$A$2:$A$6, RANDBETWEEN(1, 5))</f>
        <v>IT</v>
      </c>
      <c r="C122" t="str">
        <f ca="1">_xlfn.XLOOKUP(Table1[[#This Row],[Department]],sheet2!$A$2:$A$6,sheet2!$B$2:$B$6,_xleta.NA,0)</f>
        <v>Software Engineer</v>
      </c>
      <c r="D122" s="1">
        <f t="shared" ca="1" si="9"/>
        <v>43117</v>
      </c>
      <c r="E122" s="1">
        <f ca="1">Table1[[#This Row],[Job Posting Date]]+ RANDBETWEEN(15, 90)</f>
        <v>43194</v>
      </c>
      <c r="F122" s="1">
        <f ca="1">Table1[[#This Row],[Hire Date]]+ RANDBETWEEN(1, 15)</f>
        <v>43202</v>
      </c>
      <c r="G122" s="1" t="str">
        <f ca="1">IF(RAND() &lt; 0.5,  Table1[[#This Row],[Join Date]]+ RANDBETWEEN(30, TODAY()- Table1[[#This Row],[Join Date]]), "-")</f>
        <v>-</v>
      </c>
      <c r="H122" t="str">
        <f ca="1">IF(Table1[[#This Row],[Exit Date]]= "-", "Active", "Exited")</f>
        <v>Active</v>
      </c>
      <c r="I122" s="5">
        <f t="shared" ca="1" si="10"/>
        <v>2966</v>
      </c>
      <c r="J122" t="str" cm="1">
        <f t="array" aca="1" ref="J122" ca="1">INDEX(sheet2!$C$2:$C$6, RANDBETWEEN(1, 5))</f>
        <v>Leadership Development</v>
      </c>
      <c r="K122" t="str">
        <f t="shared" ca="1" si="11"/>
        <v>Completed</v>
      </c>
      <c r="L122">
        <v>260</v>
      </c>
      <c r="M122">
        <f t="shared" ca="1" si="12"/>
        <v>9</v>
      </c>
      <c r="N122" t="str">
        <f t="shared" ca="1" si="13"/>
        <v>Other</v>
      </c>
      <c r="O122" s="6">
        <f t="shared" ca="1" si="14"/>
        <v>1677</v>
      </c>
      <c r="P122">
        <f ca="1">Table1[[#This Row],[Hire Date]]-Table1[[#This Row],[Job Posting Date]]</f>
        <v>77</v>
      </c>
      <c r="Q122" s="7">
        <f ca="1">Table1[[#This Row],[Join Date]]-Table1[[#This Row],[Hire Date]]</f>
        <v>8</v>
      </c>
      <c r="R122" s="8">
        <f ca="1">(IF(Table1[[#This Row],[Status]]="Exited",Table1[[#This Row],[Exit Date]]-Table1[[#This Row],[Join Date]],TODAY()-Table1[[#This Row],[Join Date]]))/30</f>
        <v>82.7</v>
      </c>
      <c r="S122">
        <f ca="1">Table1[[#This Row],[Hire Date]]-Table1[[#This Row],[Job Posting Date]]</f>
        <v>77</v>
      </c>
      <c r="T122" s="7">
        <f ca="1">Table1[[#This Row],[Time to Onboard]]/Table1[[#This Row],[Time to Fill]]*100</f>
        <v>10.38961038961039</v>
      </c>
      <c r="U122" s="8">
        <f ca="1">Table1[[#This Row],[Time to Onboard]]/Table1[[#This Row],[Time to Fill]]*100</f>
        <v>10.38961038961039</v>
      </c>
      <c r="V122">
        <f ca="1">Table1[[#This Row],[Join Date]]-Table1[[#This Row],[Job Posting Date]]</f>
        <v>85</v>
      </c>
      <c r="W122">
        <f t="shared" ca="1" si="15"/>
        <v>116</v>
      </c>
      <c r="X122" s="8">
        <f ca="1">Table1[[#This Row],[Absentee Days]]/Table1[[#This Row],[Total Work Days]]*100</f>
        <v>3.4615384615384617</v>
      </c>
      <c r="Y122">
        <f ca="1">YEAR(Table1[[#This Row],[Join Date]])</f>
        <v>2018</v>
      </c>
      <c r="Z122">
        <f ca="1">IF(Table1[[#This Row],[Status]]="Active",1,0)</f>
        <v>1</v>
      </c>
      <c r="AA122">
        <f ca="1">IF(Table1[[#This Row],[Status]]="Exited",Table1[[#This Row],[Recruitment Cost]]+Table1[[#This Row],[Onboarding Cost]]+Table1[[#This Row],[Training Cost]],0)</f>
        <v>0</v>
      </c>
    </row>
    <row r="123" spans="1:27" x14ac:dyDescent="0.2">
      <c r="A123" t="str">
        <f t="shared" si="8"/>
        <v>E122</v>
      </c>
      <c r="B123" t="str" cm="1">
        <f t="array" aca="1" ref="B123" ca="1">INDEX(sheet2!$A$2:$A$6, RANDBETWEEN(1, 5))</f>
        <v>Analytics</v>
      </c>
      <c r="C123" t="str">
        <f ca="1">_xlfn.XLOOKUP(Table1[[#This Row],[Department]],sheet2!$A$2:$A$6,sheet2!$B$2:$B$6,_xleta.NA,0)</f>
        <v>Data Analyst</v>
      </c>
      <c r="D123" s="1">
        <f t="shared" ca="1" si="9"/>
        <v>43835</v>
      </c>
      <c r="E123" s="1">
        <f ca="1">Table1[[#This Row],[Job Posting Date]]+ RANDBETWEEN(15, 90)</f>
        <v>43883</v>
      </c>
      <c r="F123" s="1">
        <f ca="1">Table1[[#This Row],[Hire Date]]+ RANDBETWEEN(1, 15)</f>
        <v>43887</v>
      </c>
      <c r="G123" s="1" t="str">
        <f ca="1">IF(RAND() &lt; 0.5,  Table1[[#This Row],[Join Date]]+ RANDBETWEEN(30, TODAY()- Table1[[#This Row],[Join Date]]), "-")</f>
        <v>-</v>
      </c>
      <c r="H123" t="str">
        <f ca="1">IF(Table1[[#This Row],[Exit Date]]= "-", "Active", "Exited")</f>
        <v>Active</v>
      </c>
      <c r="I123" s="5">
        <f t="shared" ca="1" si="10"/>
        <v>4894</v>
      </c>
      <c r="J123" t="str" cm="1">
        <f t="array" aca="1" ref="J123" ca="1">INDEX(sheet2!$C$2:$C$6, RANDBETWEEN(1, 5))</f>
        <v>Leadership Development</v>
      </c>
      <c r="K123" t="str">
        <f t="shared" ca="1" si="11"/>
        <v>Completed</v>
      </c>
      <c r="L123">
        <v>260</v>
      </c>
      <c r="M123">
        <f t="shared" ca="1" si="12"/>
        <v>12</v>
      </c>
      <c r="N123" t="str">
        <f t="shared" ca="1" si="13"/>
        <v>Female</v>
      </c>
      <c r="O123" s="6">
        <f t="shared" ca="1" si="14"/>
        <v>1448</v>
      </c>
      <c r="P123">
        <f ca="1">Table1[[#This Row],[Hire Date]]-Table1[[#This Row],[Job Posting Date]]</f>
        <v>48</v>
      </c>
      <c r="Q123" s="7">
        <f ca="1">Table1[[#This Row],[Join Date]]-Table1[[#This Row],[Hire Date]]</f>
        <v>4</v>
      </c>
      <c r="R123" s="8">
        <f ca="1">(IF(Table1[[#This Row],[Status]]="Exited",Table1[[#This Row],[Exit Date]]-Table1[[#This Row],[Join Date]],TODAY()-Table1[[#This Row],[Join Date]]))/30</f>
        <v>59.866666666666667</v>
      </c>
      <c r="S123">
        <f ca="1">Table1[[#This Row],[Hire Date]]-Table1[[#This Row],[Job Posting Date]]</f>
        <v>48</v>
      </c>
      <c r="T123" s="7">
        <f ca="1">Table1[[#This Row],[Time to Onboard]]/Table1[[#This Row],[Time to Fill]]*100</f>
        <v>8.3333333333333321</v>
      </c>
      <c r="U123" s="8">
        <f ca="1">Table1[[#This Row],[Time to Onboard]]/Table1[[#This Row],[Time to Fill]]*100</f>
        <v>8.3333333333333321</v>
      </c>
      <c r="V123">
        <f ca="1">Table1[[#This Row],[Join Date]]-Table1[[#This Row],[Job Posting Date]]</f>
        <v>52</v>
      </c>
      <c r="W123">
        <f t="shared" ca="1" si="15"/>
        <v>130</v>
      </c>
      <c r="X123" s="8">
        <f ca="1">Table1[[#This Row],[Absentee Days]]/Table1[[#This Row],[Total Work Days]]*100</f>
        <v>4.6153846153846159</v>
      </c>
      <c r="Y123">
        <f ca="1">YEAR(Table1[[#This Row],[Join Date]])</f>
        <v>2020</v>
      </c>
      <c r="Z123">
        <f ca="1">IF(Table1[[#This Row],[Status]]="Active",1,0)</f>
        <v>1</v>
      </c>
      <c r="AA123">
        <f ca="1">IF(Table1[[#This Row],[Status]]="Exited",Table1[[#This Row],[Recruitment Cost]]+Table1[[#This Row],[Onboarding Cost]]+Table1[[#This Row],[Training Cost]],0)</f>
        <v>0</v>
      </c>
    </row>
    <row r="124" spans="1:27" x14ac:dyDescent="0.2">
      <c r="A124" t="str">
        <f t="shared" si="8"/>
        <v>E123</v>
      </c>
      <c r="B124" t="str" cm="1">
        <f t="array" aca="1" ref="B124" ca="1">INDEX(sheet2!$A$2:$A$6, RANDBETWEEN(1, 5))</f>
        <v>Finance</v>
      </c>
      <c r="C124" t="str">
        <f ca="1">_xlfn.XLOOKUP(Table1[[#This Row],[Department]],sheet2!$A$2:$A$6,sheet2!$B$2:$B$6,_xleta.NA,0)</f>
        <v>Finance Manager</v>
      </c>
      <c r="D124" s="1">
        <f t="shared" ca="1" si="9"/>
        <v>43148</v>
      </c>
      <c r="E124" s="1">
        <f ca="1">Table1[[#This Row],[Job Posting Date]]+ RANDBETWEEN(15, 90)</f>
        <v>43185</v>
      </c>
      <c r="F124" s="1">
        <f ca="1">Table1[[#This Row],[Hire Date]]+ RANDBETWEEN(1, 15)</f>
        <v>43200</v>
      </c>
      <c r="G124" s="1" t="str">
        <f ca="1">IF(RAND() &lt; 0.5,  Table1[[#This Row],[Join Date]]+ RANDBETWEEN(30, TODAY()- Table1[[#This Row],[Join Date]]), "-")</f>
        <v>-</v>
      </c>
      <c r="H124" t="str">
        <f ca="1">IF(Table1[[#This Row],[Exit Date]]= "-", "Active", "Exited")</f>
        <v>Active</v>
      </c>
      <c r="I124" s="5">
        <f t="shared" ca="1" si="10"/>
        <v>3977</v>
      </c>
      <c r="J124" t="str" cm="1">
        <f t="array" aca="1" ref="J124" ca="1">INDEX(sheet2!$C$2:$C$6, RANDBETWEEN(1, 5))</f>
        <v>Leadership Development</v>
      </c>
      <c r="K124" t="str">
        <f t="shared" ca="1" si="11"/>
        <v>Not Completed</v>
      </c>
      <c r="L124">
        <v>260</v>
      </c>
      <c r="M124">
        <f t="shared" ca="1" si="12"/>
        <v>3</v>
      </c>
      <c r="N124" t="str">
        <f t="shared" ca="1" si="13"/>
        <v>Female</v>
      </c>
      <c r="O124" s="6">
        <f t="shared" ca="1" si="14"/>
        <v>1485</v>
      </c>
      <c r="P124">
        <f ca="1">Table1[[#This Row],[Hire Date]]-Table1[[#This Row],[Job Posting Date]]</f>
        <v>37</v>
      </c>
      <c r="Q124" s="7">
        <f ca="1">Table1[[#This Row],[Join Date]]-Table1[[#This Row],[Hire Date]]</f>
        <v>15</v>
      </c>
      <c r="R124" s="8">
        <f ca="1">(IF(Table1[[#This Row],[Status]]="Exited",Table1[[#This Row],[Exit Date]]-Table1[[#This Row],[Join Date]],TODAY()-Table1[[#This Row],[Join Date]]))/30</f>
        <v>82.766666666666666</v>
      </c>
      <c r="S124">
        <f ca="1">Table1[[#This Row],[Hire Date]]-Table1[[#This Row],[Job Posting Date]]</f>
        <v>37</v>
      </c>
      <c r="T124" s="7">
        <f ca="1">Table1[[#This Row],[Time to Onboard]]/Table1[[#This Row],[Time to Fill]]*100</f>
        <v>40.54054054054054</v>
      </c>
      <c r="U124" s="8">
        <f ca="1">Table1[[#This Row],[Time to Onboard]]/Table1[[#This Row],[Time to Fill]]*100</f>
        <v>40.54054054054054</v>
      </c>
      <c r="V124">
        <f ca="1">Table1[[#This Row],[Join Date]]-Table1[[#This Row],[Job Posting Date]]</f>
        <v>52</v>
      </c>
      <c r="W124">
        <f t="shared" ca="1" si="15"/>
        <v>200</v>
      </c>
      <c r="X124" s="8">
        <f ca="1">Table1[[#This Row],[Absentee Days]]/Table1[[#This Row],[Total Work Days]]*100</f>
        <v>1.153846153846154</v>
      </c>
      <c r="Y124">
        <f ca="1">YEAR(Table1[[#This Row],[Join Date]])</f>
        <v>2018</v>
      </c>
      <c r="Z124">
        <f ca="1">IF(Table1[[#This Row],[Status]]="Active",1,0)</f>
        <v>1</v>
      </c>
      <c r="AA124">
        <f ca="1">IF(Table1[[#This Row],[Status]]="Exited",Table1[[#This Row],[Recruitment Cost]]+Table1[[#This Row],[Onboarding Cost]]+Table1[[#This Row],[Training Cost]],0)</f>
        <v>0</v>
      </c>
    </row>
    <row r="125" spans="1:27" x14ac:dyDescent="0.2">
      <c r="A125" t="str">
        <f t="shared" si="8"/>
        <v>E124</v>
      </c>
      <c r="B125" t="str" cm="1">
        <f t="array" aca="1" ref="B125" ca="1">INDEX(sheet2!$A$2:$A$6, RANDBETWEEN(1, 5))</f>
        <v>Analytics</v>
      </c>
      <c r="C125" t="str">
        <f ca="1">_xlfn.XLOOKUP(Table1[[#This Row],[Department]],sheet2!$A$2:$A$6,sheet2!$B$2:$B$6,_xleta.NA,0)</f>
        <v>Data Analyst</v>
      </c>
      <c r="D125" s="1">
        <f t="shared" ca="1" si="9"/>
        <v>44352</v>
      </c>
      <c r="E125" s="1">
        <f ca="1">Table1[[#This Row],[Job Posting Date]]+ RANDBETWEEN(15, 90)</f>
        <v>44434</v>
      </c>
      <c r="F125" s="1">
        <f ca="1">Table1[[#This Row],[Hire Date]]+ RANDBETWEEN(1, 15)</f>
        <v>44447</v>
      </c>
      <c r="G125" s="1" t="str">
        <f ca="1">IF(RAND() &lt; 0.5,  Table1[[#This Row],[Join Date]]+ RANDBETWEEN(30, TODAY()- Table1[[#This Row],[Join Date]]), "-")</f>
        <v>-</v>
      </c>
      <c r="H125" t="str">
        <f ca="1">IF(Table1[[#This Row],[Exit Date]]= "-", "Active", "Exited")</f>
        <v>Active</v>
      </c>
      <c r="I125" s="5">
        <f t="shared" ca="1" si="10"/>
        <v>2257</v>
      </c>
      <c r="J125" t="str" cm="1">
        <f t="array" aca="1" ref="J125" ca="1">INDEX(sheet2!$C$2:$C$6, RANDBETWEEN(1, 5))</f>
        <v>Ethics and Responsibilities</v>
      </c>
      <c r="K125" t="str">
        <f t="shared" ca="1" si="11"/>
        <v>Completed</v>
      </c>
      <c r="L125">
        <v>260</v>
      </c>
      <c r="M125">
        <f t="shared" ca="1" si="12"/>
        <v>3</v>
      </c>
      <c r="N125" t="str">
        <f t="shared" ca="1" si="13"/>
        <v>Female</v>
      </c>
      <c r="O125" s="6">
        <f t="shared" ca="1" si="14"/>
        <v>1300</v>
      </c>
      <c r="P125">
        <f ca="1">Table1[[#This Row],[Hire Date]]-Table1[[#This Row],[Job Posting Date]]</f>
        <v>82</v>
      </c>
      <c r="Q125" s="7">
        <f ca="1">Table1[[#This Row],[Join Date]]-Table1[[#This Row],[Hire Date]]</f>
        <v>13</v>
      </c>
      <c r="R125" s="8">
        <f ca="1">(IF(Table1[[#This Row],[Status]]="Exited",Table1[[#This Row],[Exit Date]]-Table1[[#This Row],[Join Date]],TODAY()-Table1[[#This Row],[Join Date]]))/30</f>
        <v>41.2</v>
      </c>
      <c r="S125">
        <f ca="1">Table1[[#This Row],[Hire Date]]-Table1[[#This Row],[Job Posting Date]]</f>
        <v>82</v>
      </c>
      <c r="T125" s="7">
        <f ca="1">Table1[[#This Row],[Time to Onboard]]/Table1[[#This Row],[Time to Fill]]*100</f>
        <v>15.853658536585366</v>
      </c>
      <c r="U125" s="8">
        <f ca="1">Table1[[#This Row],[Time to Onboard]]/Table1[[#This Row],[Time to Fill]]*100</f>
        <v>15.853658536585366</v>
      </c>
      <c r="V125">
        <f ca="1">Table1[[#This Row],[Join Date]]-Table1[[#This Row],[Job Posting Date]]</f>
        <v>95</v>
      </c>
      <c r="W125">
        <f t="shared" ca="1" si="15"/>
        <v>104</v>
      </c>
      <c r="X125" s="8">
        <f ca="1">Table1[[#This Row],[Absentee Days]]/Table1[[#This Row],[Total Work Days]]*100</f>
        <v>1.153846153846154</v>
      </c>
      <c r="Y125">
        <f ca="1">YEAR(Table1[[#This Row],[Join Date]])</f>
        <v>2021</v>
      </c>
      <c r="Z125">
        <f ca="1">IF(Table1[[#This Row],[Status]]="Active",1,0)</f>
        <v>1</v>
      </c>
      <c r="AA125">
        <f ca="1">IF(Table1[[#This Row],[Status]]="Exited",Table1[[#This Row],[Recruitment Cost]]+Table1[[#This Row],[Onboarding Cost]]+Table1[[#This Row],[Training Cost]],0)</f>
        <v>0</v>
      </c>
    </row>
    <row r="126" spans="1:27" x14ac:dyDescent="0.2">
      <c r="A126" t="str">
        <f t="shared" si="8"/>
        <v>E125</v>
      </c>
      <c r="B126" t="str" cm="1">
        <f t="array" aca="1" ref="B126" ca="1">INDEX(sheet2!$A$2:$A$6, RANDBETWEEN(1, 5))</f>
        <v>Sales</v>
      </c>
      <c r="C126" t="str">
        <f ca="1">_xlfn.XLOOKUP(Table1[[#This Row],[Department]],sheet2!$A$2:$A$6,sheet2!$B$2:$B$6,_xleta.NA,0)</f>
        <v>Marketing Manager</v>
      </c>
      <c r="D126" s="1">
        <f t="shared" ca="1" si="9"/>
        <v>44876</v>
      </c>
      <c r="E126" s="1">
        <f ca="1">Table1[[#This Row],[Job Posting Date]]+ RANDBETWEEN(15, 90)</f>
        <v>44898</v>
      </c>
      <c r="F126" s="1">
        <f ca="1">Table1[[#This Row],[Hire Date]]+ RANDBETWEEN(1, 15)</f>
        <v>44903</v>
      </c>
      <c r="G126" s="1">
        <f ca="1">IF(RAND() &lt; 0.5,  Table1[[#This Row],[Join Date]]+ RANDBETWEEN(30, TODAY()- Table1[[#This Row],[Join Date]]), "-")</f>
        <v>45508</v>
      </c>
      <c r="H126" t="str">
        <f ca="1">IF(Table1[[#This Row],[Exit Date]]= "-", "Active", "Exited")</f>
        <v>Exited</v>
      </c>
      <c r="I126" s="5">
        <f t="shared" ca="1" si="10"/>
        <v>2544</v>
      </c>
      <c r="J126" t="str" cm="1">
        <f t="array" aca="1" ref="J126" ca="1">INDEX(sheet2!$C$2:$C$6, RANDBETWEEN(1, 5))</f>
        <v>Ethics and Responsibilities</v>
      </c>
      <c r="K126" t="str">
        <f t="shared" ca="1" si="11"/>
        <v>Completed</v>
      </c>
      <c r="L126">
        <v>260</v>
      </c>
      <c r="M126">
        <f t="shared" ca="1" si="12"/>
        <v>15</v>
      </c>
      <c r="N126" t="str">
        <f t="shared" ca="1" si="13"/>
        <v>Female</v>
      </c>
      <c r="O126" s="6">
        <f t="shared" ca="1" si="14"/>
        <v>1990</v>
      </c>
      <c r="P126">
        <f ca="1">Table1[[#This Row],[Hire Date]]-Table1[[#This Row],[Job Posting Date]]</f>
        <v>22</v>
      </c>
      <c r="Q126" s="7">
        <f ca="1">Table1[[#This Row],[Join Date]]-Table1[[#This Row],[Hire Date]]</f>
        <v>5</v>
      </c>
      <c r="R126" s="8">
        <f ca="1">(IF(Table1[[#This Row],[Status]]="Exited",Table1[[#This Row],[Exit Date]]-Table1[[#This Row],[Join Date]],TODAY()-Table1[[#This Row],[Join Date]]))/30</f>
        <v>20.166666666666668</v>
      </c>
      <c r="S126">
        <f ca="1">Table1[[#This Row],[Hire Date]]-Table1[[#This Row],[Job Posting Date]]</f>
        <v>22</v>
      </c>
      <c r="T126" s="7">
        <f ca="1">Table1[[#This Row],[Time to Onboard]]/Table1[[#This Row],[Time to Fill]]*100</f>
        <v>22.727272727272727</v>
      </c>
      <c r="U126" s="8">
        <f ca="1">Table1[[#This Row],[Time to Onboard]]/Table1[[#This Row],[Time to Fill]]*100</f>
        <v>22.727272727272727</v>
      </c>
      <c r="V126">
        <f ca="1">Table1[[#This Row],[Join Date]]-Table1[[#This Row],[Job Posting Date]]</f>
        <v>27</v>
      </c>
      <c r="W126">
        <f t="shared" ca="1" si="15"/>
        <v>200</v>
      </c>
      <c r="X126" s="8">
        <f ca="1">Table1[[#This Row],[Absentee Days]]/Table1[[#This Row],[Total Work Days]]*100</f>
        <v>5.7692307692307692</v>
      </c>
      <c r="Y126">
        <f ca="1">YEAR(Table1[[#This Row],[Join Date]])</f>
        <v>2022</v>
      </c>
      <c r="Z126">
        <f ca="1">IF(Table1[[#This Row],[Status]]="Active",1,0)</f>
        <v>0</v>
      </c>
      <c r="AA126">
        <f ca="1">IF(Table1[[#This Row],[Status]]="Exited",Table1[[#This Row],[Recruitment Cost]]+Table1[[#This Row],[Onboarding Cost]]+Table1[[#This Row],[Training Cost]],0)</f>
        <v>4734</v>
      </c>
    </row>
    <row r="127" spans="1:27" x14ac:dyDescent="0.2">
      <c r="A127" t="str">
        <f t="shared" si="8"/>
        <v>E126</v>
      </c>
      <c r="B127" t="str" cm="1">
        <f t="array" aca="1" ref="B127" ca="1">INDEX(sheet2!$A$2:$A$6, RANDBETWEEN(1, 5))</f>
        <v>IT</v>
      </c>
      <c r="C127" t="str">
        <f ca="1">_xlfn.XLOOKUP(Table1[[#This Row],[Department]],sheet2!$A$2:$A$6,sheet2!$B$2:$B$6,_xleta.NA,0)</f>
        <v>Software Engineer</v>
      </c>
      <c r="D127" s="1">
        <f t="shared" ca="1" si="9"/>
        <v>44892</v>
      </c>
      <c r="E127" s="1">
        <f ca="1">Table1[[#This Row],[Job Posting Date]]+ RANDBETWEEN(15, 90)</f>
        <v>44927</v>
      </c>
      <c r="F127" s="1">
        <f ca="1">Table1[[#This Row],[Hire Date]]+ RANDBETWEEN(1, 15)</f>
        <v>44935</v>
      </c>
      <c r="G127" s="1" t="str">
        <f ca="1">IF(RAND() &lt; 0.5,  Table1[[#This Row],[Join Date]]+ RANDBETWEEN(30, TODAY()- Table1[[#This Row],[Join Date]]), "-")</f>
        <v>-</v>
      </c>
      <c r="H127" t="str">
        <f ca="1">IF(Table1[[#This Row],[Exit Date]]= "-", "Active", "Exited")</f>
        <v>Active</v>
      </c>
      <c r="I127" s="5">
        <f t="shared" ca="1" si="10"/>
        <v>4934</v>
      </c>
      <c r="J127" t="str" cm="1">
        <f t="array" aca="1" ref="J127" ca="1">INDEX(sheet2!$C$2:$C$6, RANDBETWEEN(1, 5))</f>
        <v>Advanced Excel Skills </v>
      </c>
      <c r="K127" t="str">
        <f t="shared" ca="1" si="11"/>
        <v>Completed</v>
      </c>
      <c r="L127">
        <v>260</v>
      </c>
      <c r="M127">
        <f t="shared" ca="1" si="12"/>
        <v>2</v>
      </c>
      <c r="N127" t="str">
        <f t="shared" ca="1" si="13"/>
        <v>Other</v>
      </c>
      <c r="O127" s="6">
        <f t="shared" ca="1" si="14"/>
        <v>2362</v>
      </c>
      <c r="P127">
        <f ca="1">Table1[[#This Row],[Hire Date]]-Table1[[#This Row],[Job Posting Date]]</f>
        <v>35</v>
      </c>
      <c r="Q127" s="7">
        <f ca="1">Table1[[#This Row],[Join Date]]-Table1[[#This Row],[Hire Date]]</f>
        <v>8</v>
      </c>
      <c r="R127" s="8">
        <f ca="1">(IF(Table1[[#This Row],[Status]]="Exited",Table1[[#This Row],[Exit Date]]-Table1[[#This Row],[Join Date]],TODAY()-Table1[[#This Row],[Join Date]]))/30</f>
        <v>24.933333333333334</v>
      </c>
      <c r="S127">
        <f ca="1">Table1[[#This Row],[Hire Date]]-Table1[[#This Row],[Job Posting Date]]</f>
        <v>35</v>
      </c>
      <c r="T127" s="7">
        <f ca="1">Table1[[#This Row],[Time to Onboard]]/Table1[[#This Row],[Time to Fill]]*100</f>
        <v>22.857142857142858</v>
      </c>
      <c r="U127" s="8">
        <f ca="1">Table1[[#This Row],[Time to Onboard]]/Table1[[#This Row],[Time to Fill]]*100</f>
        <v>22.857142857142858</v>
      </c>
      <c r="V127">
        <f ca="1">Table1[[#This Row],[Join Date]]-Table1[[#This Row],[Job Posting Date]]</f>
        <v>43</v>
      </c>
      <c r="W127">
        <f t="shared" ca="1" si="15"/>
        <v>106</v>
      </c>
      <c r="X127" s="8">
        <f ca="1">Table1[[#This Row],[Absentee Days]]/Table1[[#This Row],[Total Work Days]]*100</f>
        <v>0.76923076923076927</v>
      </c>
      <c r="Y127">
        <f ca="1">YEAR(Table1[[#This Row],[Join Date]])</f>
        <v>2023</v>
      </c>
      <c r="Z127">
        <f ca="1">IF(Table1[[#This Row],[Status]]="Active",1,0)</f>
        <v>1</v>
      </c>
      <c r="AA127">
        <f ca="1">IF(Table1[[#This Row],[Status]]="Exited",Table1[[#This Row],[Recruitment Cost]]+Table1[[#This Row],[Onboarding Cost]]+Table1[[#This Row],[Training Cost]],0)</f>
        <v>0</v>
      </c>
    </row>
    <row r="128" spans="1:27" x14ac:dyDescent="0.2">
      <c r="A128" t="str">
        <f t="shared" si="8"/>
        <v>E127</v>
      </c>
      <c r="B128" t="str" cm="1">
        <f t="array" aca="1" ref="B128" ca="1">INDEX(sheet2!$A$2:$A$6, RANDBETWEEN(1, 5))</f>
        <v>Analytics</v>
      </c>
      <c r="C128" t="str">
        <f ca="1">_xlfn.XLOOKUP(Table1[[#This Row],[Department]],sheet2!$A$2:$A$6,sheet2!$B$2:$B$6,_xleta.NA,0)</f>
        <v>Data Analyst</v>
      </c>
      <c r="D128" s="1">
        <f t="shared" ca="1" si="9"/>
        <v>44899</v>
      </c>
      <c r="E128" s="1">
        <f ca="1">Table1[[#This Row],[Job Posting Date]]+ RANDBETWEEN(15, 90)</f>
        <v>44947</v>
      </c>
      <c r="F128" s="1">
        <f ca="1">Table1[[#This Row],[Hire Date]]+ RANDBETWEEN(1, 15)</f>
        <v>44956</v>
      </c>
      <c r="G128" s="1">
        <f ca="1">IF(RAND() &lt; 0.5,  Table1[[#This Row],[Join Date]]+ RANDBETWEEN(30, TODAY()- Table1[[#This Row],[Join Date]]), "-")</f>
        <v>45449</v>
      </c>
      <c r="H128" t="str">
        <f ca="1">IF(Table1[[#This Row],[Exit Date]]= "-", "Active", "Exited")</f>
        <v>Exited</v>
      </c>
      <c r="I128" s="5">
        <f t="shared" ca="1" si="10"/>
        <v>4823</v>
      </c>
      <c r="J128" t="str" cm="1">
        <f t="array" aca="1" ref="J128" ca="1">INDEX(sheet2!$C$2:$C$6, RANDBETWEEN(1, 5))</f>
        <v>Communication Skills</v>
      </c>
      <c r="K128" t="str">
        <f t="shared" ca="1" si="11"/>
        <v>Completed</v>
      </c>
      <c r="L128">
        <v>260</v>
      </c>
      <c r="M128">
        <f t="shared" ca="1" si="12"/>
        <v>6</v>
      </c>
      <c r="N128" t="str">
        <f t="shared" ca="1" si="13"/>
        <v>Male</v>
      </c>
      <c r="O128" s="6">
        <f t="shared" ca="1" si="14"/>
        <v>1319</v>
      </c>
      <c r="P128">
        <f ca="1">Table1[[#This Row],[Hire Date]]-Table1[[#This Row],[Job Posting Date]]</f>
        <v>48</v>
      </c>
      <c r="Q128" s="7">
        <f ca="1">Table1[[#This Row],[Join Date]]-Table1[[#This Row],[Hire Date]]</f>
        <v>9</v>
      </c>
      <c r="R128" s="8">
        <f ca="1">(IF(Table1[[#This Row],[Status]]="Exited",Table1[[#This Row],[Exit Date]]-Table1[[#This Row],[Join Date]],TODAY()-Table1[[#This Row],[Join Date]]))/30</f>
        <v>16.433333333333334</v>
      </c>
      <c r="S128">
        <f ca="1">Table1[[#This Row],[Hire Date]]-Table1[[#This Row],[Job Posting Date]]</f>
        <v>48</v>
      </c>
      <c r="T128" s="7">
        <f ca="1">Table1[[#This Row],[Time to Onboard]]/Table1[[#This Row],[Time to Fill]]*100</f>
        <v>18.75</v>
      </c>
      <c r="U128" s="8">
        <f ca="1">Table1[[#This Row],[Time to Onboard]]/Table1[[#This Row],[Time to Fill]]*100</f>
        <v>18.75</v>
      </c>
      <c r="V128">
        <f ca="1">Table1[[#This Row],[Join Date]]-Table1[[#This Row],[Job Posting Date]]</f>
        <v>57</v>
      </c>
      <c r="W128">
        <f t="shared" ca="1" si="15"/>
        <v>148</v>
      </c>
      <c r="X128" s="8">
        <f ca="1">Table1[[#This Row],[Absentee Days]]/Table1[[#This Row],[Total Work Days]]*100</f>
        <v>2.3076923076923079</v>
      </c>
      <c r="Y128">
        <f ca="1">YEAR(Table1[[#This Row],[Join Date]])</f>
        <v>2023</v>
      </c>
      <c r="Z128">
        <f ca="1">IF(Table1[[#This Row],[Status]]="Active",1,0)</f>
        <v>0</v>
      </c>
      <c r="AA128">
        <f ca="1">IF(Table1[[#This Row],[Status]]="Exited",Table1[[#This Row],[Recruitment Cost]]+Table1[[#This Row],[Onboarding Cost]]+Table1[[#This Row],[Training Cost]],0)</f>
        <v>6290</v>
      </c>
    </row>
    <row r="129" spans="1:27" x14ac:dyDescent="0.2">
      <c r="A129" t="str">
        <f t="shared" si="8"/>
        <v>E128</v>
      </c>
      <c r="B129" t="str" cm="1">
        <f t="array" aca="1" ref="B129" ca="1">INDEX(sheet2!$A$2:$A$6, RANDBETWEEN(1, 5))</f>
        <v>HR</v>
      </c>
      <c r="C129" t="str">
        <f ca="1">_xlfn.XLOOKUP(Table1[[#This Row],[Department]],sheet2!$A$2:$A$6,sheet2!$B$2:$B$6,_xleta.NA,0)</f>
        <v>HR Manager</v>
      </c>
      <c r="D129" s="1">
        <f t="shared" ca="1" si="9"/>
        <v>44317</v>
      </c>
      <c r="E129" s="1">
        <f ca="1">Table1[[#This Row],[Job Posting Date]]+ RANDBETWEEN(15, 90)</f>
        <v>44379</v>
      </c>
      <c r="F129" s="1">
        <f ca="1">Table1[[#This Row],[Hire Date]]+ RANDBETWEEN(1, 15)</f>
        <v>44390</v>
      </c>
      <c r="G129" s="1">
        <f ca="1">IF(RAND() &lt; 0.5,  Table1[[#This Row],[Join Date]]+ RANDBETWEEN(30, TODAY()- Table1[[#This Row],[Join Date]]), "-")</f>
        <v>45621</v>
      </c>
      <c r="H129" t="str">
        <f ca="1">IF(Table1[[#This Row],[Exit Date]]= "-", "Active", "Exited")</f>
        <v>Exited</v>
      </c>
      <c r="I129" s="5">
        <f t="shared" ca="1" si="10"/>
        <v>1504</v>
      </c>
      <c r="J129" t="str" cm="1">
        <f t="array" aca="1" ref="J129" ca="1">INDEX(sheet2!$C$2:$C$6, RANDBETWEEN(1, 5))</f>
        <v>Leadership Development</v>
      </c>
      <c r="K129" t="str">
        <f t="shared" ca="1" si="11"/>
        <v>Completed</v>
      </c>
      <c r="L129">
        <v>260</v>
      </c>
      <c r="M129">
        <f t="shared" ca="1" si="12"/>
        <v>19</v>
      </c>
      <c r="N129" t="str">
        <f t="shared" ca="1" si="13"/>
        <v>Female</v>
      </c>
      <c r="O129" s="6">
        <f t="shared" ca="1" si="14"/>
        <v>1488</v>
      </c>
      <c r="P129">
        <f ca="1">Table1[[#This Row],[Hire Date]]-Table1[[#This Row],[Job Posting Date]]</f>
        <v>62</v>
      </c>
      <c r="Q129" s="7">
        <f ca="1">Table1[[#This Row],[Join Date]]-Table1[[#This Row],[Hire Date]]</f>
        <v>11</v>
      </c>
      <c r="R129" s="8">
        <f ca="1">(IF(Table1[[#This Row],[Status]]="Exited",Table1[[#This Row],[Exit Date]]-Table1[[#This Row],[Join Date]],TODAY()-Table1[[#This Row],[Join Date]]))/30</f>
        <v>41.033333333333331</v>
      </c>
      <c r="S129">
        <f ca="1">Table1[[#This Row],[Hire Date]]-Table1[[#This Row],[Job Posting Date]]</f>
        <v>62</v>
      </c>
      <c r="T129" s="7">
        <f ca="1">Table1[[#This Row],[Time to Onboard]]/Table1[[#This Row],[Time to Fill]]*100</f>
        <v>17.741935483870968</v>
      </c>
      <c r="U129" s="8">
        <f ca="1">Table1[[#This Row],[Time to Onboard]]/Table1[[#This Row],[Time to Fill]]*100</f>
        <v>17.741935483870968</v>
      </c>
      <c r="V129">
        <f ca="1">Table1[[#This Row],[Join Date]]-Table1[[#This Row],[Job Posting Date]]</f>
        <v>73</v>
      </c>
      <c r="W129">
        <f t="shared" ca="1" si="15"/>
        <v>138</v>
      </c>
      <c r="X129" s="8">
        <f ca="1">Table1[[#This Row],[Absentee Days]]/Table1[[#This Row],[Total Work Days]]*100</f>
        <v>7.3076923076923084</v>
      </c>
      <c r="Y129">
        <f ca="1">YEAR(Table1[[#This Row],[Join Date]])</f>
        <v>2021</v>
      </c>
      <c r="Z129">
        <f ca="1">IF(Table1[[#This Row],[Status]]="Active",1,0)</f>
        <v>0</v>
      </c>
      <c r="AA129">
        <f ca="1">IF(Table1[[#This Row],[Status]]="Exited",Table1[[#This Row],[Recruitment Cost]]+Table1[[#This Row],[Onboarding Cost]]+Table1[[#This Row],[Training Cost]],0)</f>
        <v>3130</v>
      </c>
    </row>
    <row r="130" spans="1:27" x14ac:dyDescent="0.2">
      <c r="A130" t="str">
        <f t="shared" ref="A130:A193" si="16">"E" &amp; TEXT(ROW(A129), "000")</f>
        <v>E129</v>
      </c>
      <c r="B130" t="str" cm="1">
        <f t="array" aca="1" ref="B130" ca="1">INDEX(sheet2!$A$2:$A$6, RANDBETWEEN(1, 5))</f>
        <v>IT</v>
      </c>
      <c r="C130" t="str">
        <f ca="1">_xlfn.XLOOKUP(Table1[[#This Row],[Department]],sheet2!$A$2:$A$6,sheet2!$B$2:$B$6,_xleta.NA,0)</f>
        <v>Software Engineer</v>
      </c>
      <c r="D130" s="1">
        <f t="shared" ref="D130:D193" ca="1" si="17">DATE(RANDBETWEEN(2018, 2022), RANDBETWEEN(1, 12), RANDBETWEEN(1, 28))</f>
        <v>43774</v>
      </c>
      <c r="E130" s="1">
        <f ca="1">Table1[[#This Row],[Job Posting Date]]+ RANDBETWEEN(15, 90)</f>
        <v>43837</v>
      </c>
      <c r="F130" s="1">
        <f ca="1">Table1[[#This Row],[Hire Date]]+ RANDBETWEEN(1, 15)</f>
        <v>43852</v>
      </c>
      <c r="G130" s="1">
        <f ca="1">IF(RAND() &lt; 0.5,  Table1[[#This Row],[Join Date]]+ RANDBETWEEN(30, TODAY()- Table1[[#This Row],[Join Date]]), "-")</f>
        <v>44583</v>
      </c>
      <c r="H130" t="str">
        <f ca="1">IF(Table1[[#This Row],[Exit Date]]= "-", "Active", "Exited")</f>
        <v>Exited</v>
      </c>
      <c r="I130" s="5">
        <f t="shared" ref="I130:I193" ca="1" si="18">RANDBETWEEN(1500, 5000)</f>
        <v>2213</v>
      </c>
      <c r="J130" t="str" cm="1">
        <f t="array" aca="1" ref="J130" ca="1">INDEX(sheet2!$C$2:$C$6, RANDBETWEEN(1, 5))</f>
        <v>Advanced Excel Skills </v>
      </c>
      <c r="K130" t="str">
        <f t="shared" ref="K130:K193" ca="1" si="19">IF(RAND() &lt; 0.7, "Completed", "Not Completed")</f>
        <v>Completed</v>
      </c>
      <c r="L130">
        <v>260</v>
      </c>
      <c r="M130">
        <f t="shared" ref="M130:M193" ca="1" si="20">RANDBETWEEN(0, 20)</f>
        <v>18</v>
      </c>
      <c r="N130" t="str">
        <f t="shared" ref="N130:N193" ca="1" si="21">CHOOSE(RANDBETWEEN(1, 3), "Male", "Female", "Other")</f>
        <v>Female</v>
      </c>
      <c r="O130" s="6">
        <f t="shared" ref="O130:O193" ca="1" si="22">RANDBETWEEN(1200, 2500)</f>
        <v>2312</v>
      </c>
      <c r="P130">
        <f ca="1">Table1[[#This Row],[Hire Date]]-Table1[[#This Row],[Job Posting Date]]</f>
        <v>63</v>
      </c>
      <c r="Q130" s="7">
        <f ca="1">Table1[[#This Row],[Join Date]]-Table1[[#This Row],[Hire Date]]</f>
        <v>15</v>
      </c>
      <c r="R130" s="8">
        <f ca="1">(IF(Table1[[#This Row],[Status]]="Exited",Table1[[#This Row],[Exit Date]]-Table1[[#This Row],[Join Date]],TODAY()-Table1[[#This Row],[Join Date]]))/30</f>
        <v>24.366666666666667</v>
      </c>
      <c r="S130">
        <f ca="1">Table1[[#This Row],[Hire Date]]-Table1[[#This Row],[Job Posting Date]]</f>
        <v>63</v>
      </c>
      <c r="T130" s="7">
        <f ca="1">Table1[[#This Row],[Time to Onboard]]/Table1[[#This Row],[Time to Fill]]*100</f>
        <v>23.809523809523807</v>
      </c>
      <c r="U130" s="8">
        <f ca="1">Table1[[#This Row],[Time to Onboard]]/Table1[[#This Row],[Time to Fill]]*100</f>
        <v>23.809523809523807</v>
      </c>
      <c r="V130">
        <f ca="1">Table1[[#This Row],[Join Date]]-Table1[[#This Row],[Job Posting Date]]</f>
        <v>78</v>
      </c>
      <c r="W130">
        <f t="shared" ref="W130:W193" ca="1" si="23">RANDBETWEEN(100,200)</f>
        <v>115</v>
      </c>
      <c r="X130" s="8">
        <f ca="1">Table1[[#This Row],[Absentee Days]]/Table1[[#This Row],[Total Work Days]]*100</f>
        <v>6.9230769230769234</v>
      </c>
      <c r="Y130">
        <f ca="1">YEAR(Table1[[#This Row],[Join Date]])</f>
        <v>2020</v>
      </c>
      <c r="Z130">
        <f ca="1">IF(Table1[[#This Row],[Status]]="Active",1,0)</f>
        <v>0</v>
      </c>
      <c r="AA130">
        <f ca="1">IF(Table1[[#This Row],[Status]]="Exited",Table1[[#This Row],[Recruitment Cost]]+Table1[[#This Row],[Onboarding Cost]]+Table1[[#This Row],[Training Cost]],0)</f>
        <v>4640</v>
      </c>
    </row>
    <row r="131" spans="1:27" x14ac:dyDescent="0.2">
      <c r="A131" t="str">
        <f t="shared" si="16"/>
        <v>E130</v>
      </c>
      <c r="B131" t="str" cm="1">
        <f t="array" aca="1" ref="B131" ca="1">INDEX(sheet2!$A$2:$A$6, RANDBETWEEN(1, 5))</f>
        <v>HR</v>
      </c>
      <c r="C131" t="str">
        <f ca="1">_xlfn.XLOOKUP(Table1[[#This Row],[Department]],sheet2!$A$2:$A$6,sheet2!$B$2:$B$6,_xleta.NA,0)</f>
        <v>HR Manager</v>
      </c>
      <c r="D131" s="1">
        <f t="shared" ca="1" si="17"/>
        <v>43688</v>
      </c>
      <c r="E131" s="1">
        <f ca="1">Table1[[#This Row],[Job Posting Date]]+ RANDBETWEEN(15, 90)</f>
        <v>43704</v>
      </c>
      <c r="F131" s="1">
        <f ca="1">Table1[[#This Row],[Hire Date]]+ RANDBETWEEN(1, 15)</f>
        <v>43719</v>
      </c>
      <c r="G131" s="1" t="str">
        <f ca="1">IF(RAND() &lt; 0.5,  Table1[[#This Row],[Join Date]]+ RANDBETWEEN(30, TODAY()- Table1[[#This Row],[Join Date]]), "-")</f>
        <v>-</v>
      </c>
      <c r="H131" t="str">
        <f ca="1">IF(Table1[[#This Row],[Exit Date]]= "-", "Active", "Exited")</f>
        <v>Active</v>
      </c>
      <c r="I131" s="5">
        <f t="shared" ca="1" si="18"/>
        <v>4251</v>
      </c>
      <c r="J131" t="str" cm="1">
        <f t="array" aca="1" ref="J131" ca="1">INDEX(sheet2!$C$2:$C$6, RANDBETWEEN(1, 5))</f>
        <v>Advanced Excel Skills </v>
      </c>
      <c r="K131" t="str">
        <f t="shared" ca="1" si="19"/>
        <v>Completed</v>
      </c>
      <c r="L131">
        <v>260</v>
      </c>
      <c r="M131">
        <f t="shared" ca="1" si="20"/>
        <v>13</v>
      </c>
      <c r="N131" t="str">
        <f t="shared" ca="1" si="21"/>
        <v>Female</v>
      </c>
      <c r="O131" s="6">
        <f t="shared" ca="1" si="22"/>
        <v>2177</v>
      </c>
      <c r="P131">
        <f ca="1">Table1[[#This Row],[Hire Date]]-Table1[[#This Row],[Job Posting Date]]</f>
        <v>16</v>
      </c>
      <c r="Q131" s="7">
        <f ca="1">Table1[[#This Row],[Join Date]]-Table1[[#This Row],[Hire Date]]</f>
        <v>15</v>
      </c>
      <c r="R131" s="8">
        <f ca="1">(IF(Table1[[#This Row],[Status]]="Exited",Table1[[#This Row],[Exit Date]]-Table1[[#This Row],[Join Date]],TODAY()-Table1[[#This Row],[Join Date]]))/30</f>
        <v>65.466666666666669</v>
      </c>
      <c r="S131">
        <f ca="1">Table1[[#This Row],[Hire Date]]-Table1[[#This Row],[Job Posting Date]]</f>
        <v>16</v>
      </c>
      <c r="T131" s="7">
        <f ca="1">Table1[[#This Row],[Time to Onboard]]/Table1[[#This Row],[Time to Fill]]*100</f>
        <v>93.75</v>
      </c>
      <c r="U131" s="8">
        <f ca="1">Table1[[#This Row],[Time to Onboard]]/Table1[[#This Row],[Time to Fill]]*100</f>
        <v>93.75</v>
      </c>
      <c r="V131">
        <f ca="1">Table1[[#This Row],[Join Date]]-Table1[[#This Row],[Job Posting Date]]</f>
        <v>31</v>
      </c>
      <c r="W131">
        <f t="shared" ca="1" si="23"/>
        <v>174</v>
      </c>
      <c r="X131" s="8">
        <f ca="1">Table1[[#This Row],[Absentee Days]]/Table1[[#This Row],[Total Work Days]]*100</f>
        <v>5</v>
      </c>
      <c r="Y131">
        <f ca="1">YEAR(Table1[[#This Row],[Join Date]])</f>
        <v>2019</v>
      </c>
      <c r="Z131">
        <f ca="1">IF(Table1[[#This Row],[Status]]="Active",1,0)</f>
        <v>1</v>
      </c>
      <c r="AA131">
        <f ca="1">IF(Table1[[#This Row],[Status]]="Exited",Table1[[#This Row],[Recruitment Cost]]+Table1[[#This Row],[Onboarding Cost]]+Table1[[#This Row],[Training Cost]],0)</f>
        <v>0</v>
      </c>
    </row>
    <row r="132" spans="1:27" x14ac:dyDescent="0.2">
      <c r="A132" t="str">
        <f t="shared" si="16"/>
        <v>E131</v>
      </c>
      <c r="B132" t="str" cm="1">
        <f t="array" aca="1" ref="B132" ca="1">INDEX(sheet2!$A$2:$A$6, RANDBETWEEN(1, 5))</f>
        <v>IT</v>
      </c>
      <c r="C132" t="str">
        <f ca="1">_xlfn.XLOOKUP(Table1[[#This Row],[Department]],sheet2!$A$2:$A$6,sheet2!$B$2:$B$6,_xleta.NA,0)</f>
        <v>Software Engineer</v>
      </c>
      <c r="D132" s="1">
        <f t="shared" ca="1" si="17"/>
        <v>44231</v>
      </c>
      <c r="E132" s="1">
        <f ca="1">Table1[[#This Row],[Job Posting Date]]+ RANDBETWEEN(15, 90)</f>
        <v>44256</v>
      </c>
      <c r="F132" s="1">
        <f ca="1">Table1[[#This Row],[Hire Date]]+ RANDBETWEEN(1, 15)</f>
        <v>44263</v>
      </c>
      <c r="G132" s="1">
        <f ca="1">IF(RAND() &lt; 0.5,  Table1[[#This Row],[Join Date]]+ RANDBETWEEN(30, TODAY()- Table1[[#This Row],[Join Date]]), "-")</f>
        <v>44368</v>
      </c>
      <c r="H132" t="str">
        <f ca="1">IF(Table1[[#This Row],[Exit Date]]= "-", "Active", "Exited")</f>
        <v>Exited</v>
      </c>
      <c r="I132" s="5">
        <f t="shared" ca="1" si="18"/>
        <v>3291</v>
      </c>
      <c r="J132" t="str" cm="1">
        <f t="array" aca="1" ref="J132" ca="1">INDEX(sheet2!$C$2:$C$6, RANDBETWEEN(1, 5))</f>
        <v>Communication Skills</v>
      </c>
      <c r="K132" t="str">
        <f t="shared" ca="1" si="19"/>
        <v>Not Completed</v>
      </c>
      <c r="L132">
        <v>260</v>
      </c>
      <c r="M132">
        <f t="shared" ca="1" si="20"/>
        <v>6</v>
      </c>
      <c r="N132" t="str">
        <f t="shared" ca="1" si="21"/>
        <v>Other</v>
      </c>
      <c r="O132" s="6">
        <f t="shared" ca="1" si="22"/>
        <v>2317</v>
      </c>
      <c r="P132">
        <f ca="1">Table1[[#This Row],[Hire Date]]-Table1[[#This Row],[Job Posting Date]]</f>
        <v>25</v>
      </c>
      <c r="Q132" s="7">
        <f ca="1">Table1[[#This Row],[Join Date]]-Table1[[#This Row],[Hire Date]]</f>
        <v>7</v>
      </c>
      <c r="R132" s="8">
        <f ca="1">(IF(Table1[[#This Row],[Status]]="Exited",Table1[[#This Row],[Exit Date]]-Table1[[#This Row],[Join Date]],TODAY()-Table1[[#This Row],[Join Date]]))/30</f>
        <v>3.5</v>
      </c>
      <c r="S132">
        <f ca="1">Table1[[#This Row],[Hire Date]]-Table1[[#This Row],[Job Posting Date]]</f>
        <v>25</v>
      </c>
      <c r="T132" s="7">
        <f ca="1">Table1[[#This Row],[Time to Onboard]]/Table1[[#This Row],[Time to Fill]]*100</f>
        <v>28.000000000000004</v>
      </c>
      <c r="U132" s="8">
        <f ca="1">Table1[[#This Row],[Time to Onboard]]/Table1[[#This Row],[Time to Fill]]*100</f>
        <v>28.000000000000004</v>
      </c>
      <c r="V132">
        <f ca="1">Table1[[#This Row],[Join Date]]-Table1[[#This Row],[Job Posting Date]]</f>
        <v>32</v>
      </c>
      <c r="W132">
        <f t="shared" ca="1" si="23"/>
        <v>121</v>
      </c>
      <c r="X132" s="8">
        <f ca="1">Table1[[#This Row],[Absentee Days]]/Table1[[#This Row],[Total Work Days]]*100</f>
        <v>2.3076923076923079</v>
      </c>
      <c r="Y132">
        <f ca="1">YEAR(Table1[[#This Row],[Join Date]])</f>
        <v>2021</v>
      </c>
      <c r="Z132">
        <f ca="1">IF(Table1[[#This Row],[Status]]="Active",1,0)</f>
        <v>0</v>
      </c>
      <c r="AA132">
        <f ca="1">IF(Table1[[#This Row],[Status]]="Exited",Table1[[#This Row],[Recruitment Cost]]+Table1[[#This Row],[Onboarding Cost]]+Table1[[#This Row],[Training Cost]],0)</f>
        <v>5729</v>
      </c>
    </row>
    <row r="133" spans="1:27" x14ac:dyDescent="0.2">
      <c r="A133" t="str">
        <f t="shared" si="16"/>
        <v>E132</v>
      </c>
      <c r="B133" t="str" cm="1">
        <f t="array" aca="1" ref="B133" ca="1">INDEX(sheet2!$A$2:$A$6, RANDBETWEEN(1, 5))</f>
        <v>IT</v>
      </c>
      <c r="C133" t="str">
        <f ca="1">_xlfn.XLOOKUP(Table1[[#This Row],[Department]],sheet2!$A$2:$A$6,sheet2!$B$2:$B$6,_xleta.NA,0)</f>
        <v>Software Engineer</v>
      </c>
      <c r="D133" s="1">
        <f t="shared" ca="1" si="17"/>
        <v>44633</v>
      </c>
      <c r="E133" s="1">
        <f ca="1">Table1[[#This Row],[Job Posting Date]]+ RANDBETWEEN(15, 90)</f>
        <v>44706</v>
      </c>
      <c r="F133" s="1">
        <f ca="1">Table1[[#This Row],[Hire Date]]+ RANDBETWEEN(1, 15)</f>
        <v>44719</v>
      </c>
      <c r="G133" s="1" t="str">
        <f ca="1">IF(RAND() &lt; 0.5,  Table1[[#This Row],[Join Date]]+ RANDBETWEEN(30, TODAY()- Table1[[#This Row],[Join Date]]), "-")</f>
        <v>-</v>
      </c>
      <c r="H133" t="str">
        <f ca="1">IF(Table1[[#This Row],[Exit Date]]= "-", "Active", "Exited")</f>
        <v>Active</v>
      </c>
      <c r="I133" s="5">
        <f t="shared" ca="1" si="18"/>
        <v>1588</v>
      </c>
      <c r="J133" t="str" cm="1">
        <f t="array" aca="1" ref="J133" ca="1">INDEX(sheet2!$C$2:$C$6, RANDBETWEEN(1, 5))</f>
        <v>Advanced Excel Skills </v>
      </c>
      <c r="K133" t="str">
        <f t="shared" ca="1" si="19"/>
        <v>Not Completed</v>
      </c>
      <c r="L133">
        <v>260</v>
      </c>
      <c r="M133">
        <f t="shared" ca="1" si="20"/>
        <v>2</v>
      </c>
      <c r="N133" t="str">
        <f t="shared" ca="1" si="21"/>
        <v>Other</v>
      </c>
      <c r="O133" s="6">
        <f t="shared" ca="1" si="22"/>
        <v>2391</v>
      </c>
      <c r="P133">
        <f ca="1">Table1[[#This Row],[Hire Date]]-Table1[[#This Row],[Job Posting Date]]</f>
        <v>73</v>
      </c>
      <c r="Q133" s="7">
        <f ca="1">Table1[[#This Row],[Join Date]]-Table1[[#This Row],[Hire Date]]</f>
        <v>13</v>
      </c>
      <c r="R133" s="8">
        <f ca="1">(IF(Table1[[#This Row],[Status]]="Exited",Table1[[#This Row],[Exit Date]]-Table1[[#This Row],[Join Date]],TODAY()-Table1[[#This Row],[Join Date]]))/30</f>
        <v>32.133333333333333</v>
      </c>
      <c r="S133">
        <f ca="1">Table1[[#This Row],[Hire Date]]-Table1[[#This Row],[Job Posting Date]]</f>
        <v>73</v>
      </c>
      <c r="T133" s="7">
        <f ca="1">Table1[[#This Row],[Time to Onboard]]/Table1[[#This Row],[Time to Fill]]*100</f>
        <v>17.80821917808219</v>
      </c>
      <c r="U133" s="8">
        <f ca="1">Table1[[#This Row],[Time to Onboard]]/Table1[[#This Row],[Time to Fill]]*100</f>
        <v>17.80821917808219</v>
      </c>
      <c r="V133">
        <f ca="1">Table1[[#This Row],[Join Date]]-Table1[[#This Row],[Job Posting Date]]</f>
        <v>86</v>
      </c>
      <c r="W133">
        <f t="shared" ca="1" si="23"/>
        <v>173</v>
      </c>
      <c r="X133" s="8">
        <f ca="1">Table1[[#This Row],[Absentee Days]]/Table1[[#This Row],[Total Work Days]]*100</f>
        <v>0.76923076923076927</v>
      </c>
      <c r="Y133">
        <f ca="1">YEAR(Table1[[#This Row],[Join Date]])</f>
        <v>2022</v>
      </c>
      <c r="Z133">
        <f ca="1">IF(Table1[[#This Row],[Status]]="Active",1,0)</f>
        <v>1</v>
      </c>
      <c r="AA133">
        <f ca="1">IF(Table1[[#This Row],[Status]]="Exited",Table1[[#This Row],[Recruitment Cost]]+Table1[[#This Row],[Onboarding Cost]]+Table1[[#This Row],[Training Cost]],0)</f>
        <v>0</v>
      </c>
    </row>
    <row r="134" spans="1:27" x14ac:dyDescent="0.2">
      <c r="A134" t="str">
        <f t="shared" si="16"/>
        <v>E133</v>
      </c>
      <c r="B134" t="str" cm="1">
        <f t="array" aca="1" ref="B134" ca="1">INDEX(sheet2!$A$2:$A$6, RANDBETWEEN(1, 5))</f>
        <v>Analytics</v>
      </c>
      <c r="C134" t="str">
        <f ca="1">_xlfn.XLOOKUP(Table1[[#This Row],[Department]],sheet2!$A$2:$A$6,sheet2!$B$2:$B$6,_xleta.NA,0)</f>
        <v>Data Analyst</v>
      </c>
      <c r="D134" s="1">
        <f t="shared" ca="1" si="17"/>
        <v>44091</v>
      </c>
      <c r="E134" s="1">
        <f ca="1">Table1[[#This Row],[Job Posting Date]]+ RANDBETWEEN(15, 90)</f>
        <v>44142</v>
      </c>
      <c r="F134" s="1">
        <f ca="1">Table1[[#This Row],[Hire Date]]+ RANDBETWEEN(1, 15)</f>
        <v>44150</v>
      </c>
      <c r="G134" s="1">
        <f ca="1">IF(RAND() &lt; 0.5,  Table1[[#This Row],[Join Date]]+ RANDBETWEEN(30, TODAY()- Table1[[#This Row],[Join Date]]), "-")</f>
        <v>45117</v>
      </c>
      <c r="H134" t="str">
        <f ca="1">IF(Table1[[#This Row],[Exit Date]]= "-", "Active", "Exited")</f>
        <v>Exited</v>
      </c>
      <c r="I134" s="5">
        <f t="shared" ca="1" si="18"/>
        <v>1793</v>
      </c>
      <c r="J134" t="str" cm="1">
        <f t="array" aca="1" ref="J134" ca="1">INDEX(sheet2!$C$2:$C$6, RANDBETWEEN(1, 5))</f>
        <v>Communication Skills</v>
      </c>
      <c r="K134" t="str">
        <f t="shared" ca="1" si="19"/>
        <v>Completed</v>
      </c>
      <c r="L134">
        <v>260</v>
      </c>
      <c r="M134">
        <f t="shared" ca="1" si="20"/>
        <v>7</v>
      </c>
      <c r="N134" t="str">
        <f t="shared" ca="1" si="21"/>
        <v>Other</v>
      </c>
      <c r="O134" s="6">
        <f t="shared" ca="1" si="22"/>
        <v>1951</v>
      </c>
      <c r="P134">
        <f ca="1">Table1[[#This Row],[Hire Date]]-Table1[[#This Row],[Job Posting Date]]</f>
        <v>51</v>
      </c>
      <c r="Q134" s="7">
        <f ca="1">Table1[[#This Row],[Join Date]]-Table1[[#This Row],[Hire Date]]</f>
        <v>8</v>
      </c>
      <c r="R134" s="8">
        <f ca="1">(IF(Table1[[#This Row],[Status]]="Exited",Table1[[#This Row],[Exit Date]]-Table1[[#This Row],[Join Date]],TODAY()-Table1[[#This Row],[Join Date]]))/30</f>
        <v>32.233333333333334</v>
      </c>
      <c r="S134">
        <f ca="1">Table1[[#This Row],[Hire Date]]-Table1[[#This Row],[Job Posting Date]]</f>
        <v>51</v>
      </c>
      <c r="T134" s="7">
        <f ca="1">Table1[[#This Row],[Time to Onboard]]/Table1[[#This Row],[Time to Fill]]*100</f>
        <v>15.686274509803921</v>
      </c>
      <c r="U134" s="8">
        <f ca="1">Table1[[#This Row],[Time to Onboard]]/Table1[[#This Row],[Time to Fill]]*100</f>
        <v>15.686274509803921</v>
      </c>
      <c r="V134">
        <f ca="1">Table1[[#This Row],[Join Date]]-Table1[[#This Row],[Job Posting Date]]</f>
        <v>59</v>
      </c>
      <c r="W134">
        <f t="shared" ca="1" si="23"/>
        <v>146</v>
      </c>
      <c r="X134" s="8">
        <f ca="1">Table1[[#This Row],[Absentee Days]]/Table1[[#This Row],[Total Work Days]]*100</f>
        <v>2.6923076923076925</v>
      </c>
      <c r="Y134">
        <f ca="1">YEAR(Table1[[#This Row],[Join Date]])</f>
        <v>2020</v>
      </c>
      <c r="Z134">
        <f ca="1">IF(Table1[[#This Row],[Status]]="Active",1,0)</f>
        <v>0</v>
      </c>
      <c r="AA134">
        <f ca="1">IF(Table1[[#This Row],[Status]]="Exited",Table1[[#This Row],[Recruitment Cost]]+Table1[[#This Row],[Onboarding Cost]]+Table1[[#This Row],[Training Cost]],0)</f>
        <v>3890</v>
      </c>
    </row>
    <row r="135" spans="1:27" x14ac:dyDescent="0.2">
      <c r="A135" t="str">
        <f t="shared" si="16"/>
        <v>E134</v>
      </c>
      <c r="B135" t="str" cm="1">
        <f t="array" aca="1" ref="B135" ca="1">INDEX(sheet2!$A$2:$A$6, RANDBETWEEN(1, 5))</f>
        <v>IT</v>
      </c>
      <c r="C135" t="str">
        <f ca="1">_xlfn.XLOOKUP(Table1[[#This Row],[Department]],sheet2!$A$2:$A$6,sheet2!$B$2:$B$6,_xleta.NA,0)</f>
        <v>Software Engineer</v>
      </c>
      <c r="D135" s="1">
        <f t="shared" ca="1" si="17"/>
        <v>44829</v>
      </c>
      <c r="E135" s="1">
        <f ca="1">Table1[[#This Row],[Job Posting Date]]+ RANDBETWEEN(15, 90)</f>
        <v>44913</v>
      </c>
      <c r="F135" s="1">
        <f ca="1">Table1[[#This Row],[Hire Date]]+ RANDBETWEEN(1, 15)</f>
        <v>44921</v>
      </c>
      <c r="G135" s="1">
        <f ca="1">IF(RAND() &lt; 0.5,  Table1[[#This Row],[Join Date]]+ RANDBETWEEN(30, TODAY()- Table1[[#This Row],[Join Date]]), "-")</f>
        <v>45607</v>
      </c>
      <c r="H135" t="str">
        <f ca="1">IF(Table1[[#This Row],[Exit Date]]= "-", "Active", "Exited")</f>
        <v>Exited</v>
      </c>
      <c r="I135" s="5">
        <f t="shared" ca="1" si="18"/>
        <v>3383</v>
      </c>
      <c r="J135" t="str" cm="1">
        <f t="array" aca="1" ref="J135" ca="1">INDEX(sheet2!$C$2:$C$6, RANDBETWEEN(1, 5))</f>
        <v>Conflict Resolution</v>
      </c>
      <c r="K135" t="str">
        <f t="shared" ca="1" si="19"/>
        <v>Completed</v>
      </c>
      <c r="L135">
        <v>260</v>
      </c>
      <c r="M135">
        <f t="shared" ca="1" si="20"/>
        <v>7</v>
      </c>
      <c r="N135" t="str">
        <f t="shared" ca="1" si="21"/>
        <v>Male</v>
      </c>
      <c r="O135" s="6">
        <f t="shared" ca="1" si="22"/>
        <v>1282</v>
      </c>
      <c r="P135">
        <f ca="1">Table1[[#This Row],[Hire Date]]-Table1[[#This Row],[Job Posting Date]]</f>
        <v>84</v>
      </c>
      <c r="Q135" s="7">
        <f ca="1">Table1[[#This Row],[Join Date]]-Table1[[#This Row],[Hire Date]]</f>
        <v>8</v>
      </c>
      <c r="R135" s="8">
        <f ca="1">(IF(Table1[[#This Row],[Status]]="Exited",Table1[[#This Row],[Exit Date]]-Table1[[#This Row],[Join Date]],TODAY()-Table1[[#This Row],[Join Date]]))/30</f>
        <v>22.866666666666667</v>
      </c>
      <c r="S135">
        <f ca="1">Table1[[#This Row],[Hire Date]]-Table1[[#This Row],[Job Posting Date]]</f>
        <v>84</v>
      </c>
      <c r="T135" s="7">
        <f ca="1">Table1[[#This Row],[Time to Onboard]]/Table1[[#This Row],[Time to Fill]]*100</f>
        <v>9.5238095238095237</v>
      </c>
      <c r="U135" s="8">
        <f ca="1">Table1[[#This Row],[Time to Onboard]]/Table1[[#This Row],[Time to Fill]]*100</f>
        <v>9.5238095238095237</v>
      </c>
      <c r="V135">
        <f ca="1">Table1[[#This Row],[Join Date]]-Table1[[#This Row],[Job Posting Date]]</f>
        <v>92</v>
      </c>
      <c r="W135">
        <f t="shared" ca="1" si="23"/>
        <v>178</v>
      </c>
      <c r="X135" s="8">
        <f ca="1">Table1[[#This Row],[Absentee Days]]/Table1[[#This Row],[Total Work Days]]*100</f>
        <v>2.6923076923076925</v>
      </c>
      <c r="Y135">
        <f ca="1">YEAR(Table1[[#This Row],[Join Date]])</f>
        <v>2022</v>
      </c>
      <c r="Z135">
        <f ca="1">IF(Table1[[#This Row],[Status]]="Active",1,0)</f>
        <v>0</v>
      </c>
      <c r="AA135">
        <f ca="1">IF(Table1[[#This Row],[Status]]="Exited",Table1[[#This Row],[Recruitment Cost]]+Table1[[#This Row],[Onboarding Cost]]+Table1[[#This Row],[Training Cost]],0)</f>
        <v>4843</v>
      </c>
    </row>
    <row r="136" spans="1:27" x14ac:dyDescent="0.2">
      <c r="A136" t="str">
        <f t="shared" si="16"/>
        <v>E135</v>
      </c>
      <c r="B136" t="str" cm="1">
        <f t="array" aca="1" ref="B136" ca="1">INDEX(sheet2!$A$2:$A$6, RANDBETWEEN(1, 5))</f>
        <v>Sales</v>
      </c>
      <c r="C136" t="str">
        <f ca="1">_xlfn.XLOOKUP(Table1[[#This Row],[Department]],sheet2!$A$2:$A$6,sheet2!$B$2:$B$6,_xleta.NA,0)</f>
        <v>Marketing Manager</v>
      </c>
      <c r="D136" s="1">
        <f t="shared" ca="1" si="17"/>
        <v>43603</v>
      </c>
      <c r="E136" s="1">
        <f ca="1">Table1[[#This Row],[Job Posting Date]]+ RANDBETWEEN(15, 90)</f>
        <v>43619</v>
      </c>
      <c r="F136" s="1">
        <f ca="1">Table1[[#This Row],[Hire Date]]+ RANDBETWEEN(1, 15)</f>
        <v>43620</v>
      </c>
      <c r="G136" s="1">
        <f ca="1">IF(RAND() &lt; 0.5,  Table1[[#This Row],[Join Date]]+ RANDBETWEEN(30, TODAY()- Table1[[#This Row],[Join Date]]), "-")</f>
        <v>45258</v>
      </c>
      <c r="H136" t="str">
        <f ca="1">IF(Table1[[#This Row],[Exit Date]]= "-", "Active", "Exited")</f>
        <v>Exited</v>
      </c>
      <c r="I136" s="5">
        <f t="shared" ca="1" si="18"/>
        <v>2962</v>
      </c>
      <c r="J136" t="str" cm="1">
        <f t="array" aca="1" ref="J136" ca="1">INDEX(sheet2!$C$2:$C$6, RANDBETWEEN(1, 5))</f>
        <v>Advanced Excel Skills </v>
      </c>
      <c r="K136" t="str">
        <f t="shared" ca="1" si="19"/>
        <v>Not Completed</v>
      </c>
      <c r="L136">
        <v>260</v>
      </c>
      <c r="M136">
        <f t="shared" ca="1" si="20"/>
        <v>19</v>
      </c>
      <c r="N136" t="str">
        <f t="shared" ca="1" si="21"/>
        <v>Female</v>
      </c>
      <c r="O136" s="6">
        <f t="shared" ca="1" si="22"/>
        <v>2241</v>
      </c>
      <c r="P136">
        <f ca="1">Table1[[#This Row],[Hire Date]]-Table1[[#This Row],[Job Posting Date]]</f>
        <v>16</v>
      </c>
      <c r="Q136" s="7">
        <f ca="1">Table1[[#This Row],[Join Date]]-Table1[[#This Row],[Hire Date]]</f>
        <v>1</v>
      </c>
      <c r="R136" s="8">
        <f ca="1">(IF(Table1[[#This Row],[Status]]="Exited",Table1[[#This Row],[Exit Date]]-Table1[[#This Row],[Join Date]],TODAY()-Table1[[#This Row],[Join Date]]))/30</f>
        <v>54.6</v>
      </c>
      <c r="S136">
        <f ca="1">Table1[[#This Row],[Hire Date]]-Table1[[#This Row],[Job Posting Date]]</f>
        <v>16</v>
      </c>
      <c r="T136" s="7">
        <f ca="1">Table1[[#This Row],[Time to Onboard]]/Table1[[#This Row],[Time to Fill]]*100</f>
        <v>6.25</v>
      </c>
      <c r="U136" s="8">
        <f ca="1">Table1[[#This Row],[Time to Onboard]]/Table1[[#This Row],[Time to Fill]]*100</f>
        <v>6.25</v>
      </c>
      <c r="V136">
        <f ca="1">Table1[[#This Row],[Join Date]]-Table1[[#This Row],[Job Posting Date]]</f>
        <v>17</v>
      </c>
      <c r="W136">
        <f t="shared" ca="1" si="23"/>
        <v>163</v>
      </c>
      <c r="X136" s="8">
        <f ca="1">Table1[[#This Row],[Absentee Days]]/Table1[[#This Row],[Total Work Days]]*100</f>
        <v>7.3076923076923084</v>
      </c>
      <c r="Y136">
        <f ca="1">YEAR(Table1[[#This Row],[Join Date]])</f>
        <v>2019</v>
      </c>
      <c r="Z136">
        <f ca="1">IF(Table1[[#This Row],[Status]]="Active",1,0)</f>
        <v>0</v>
      </c>
      <c r="AA136">
        <f ca="1">IF(Table1[[#This Row],[Status]]="Exited",Table1[[#This Row],[Recruitment Cost]]+Table1[[#This Row],[Onboarding Cost]]+Table1[[#This Row],[Training Cost]],0)</f>
        <v>5366</v>
      </c>
    </row>
    <row r="137" spans="1:27" x14ac:dyDescent="0.2">
      <c r="A137" t="str">
        <f t="shared" si="16"/>
        <v>E136</v>
      </c>
      <c r="B137" t="str" cm="1">
        <f t="array" aca="1" ref="B137" ca="1">INDEX(sheet2!$A$2:$A$6, RANDBETWEEN(1, 5))</f>
        <v>HR</v>
      </c>
      <c r="C137" t="str">
        <f ca="1">_xlfn.XLOOKUP(Table1[[#This Row],[Department]],sheet2!$A$2:$A$6,sheet2!$B$2:$B$6,_xleta.NA,0)</f>
        <v>HR Manager</v>
      </c>
      <c r="D137" s="1">
        <f t="shared" ca="1" si="17"/>
        <v>44635</v>
      </c>
      <c r="E137" s="1">
        <f ca="1">Table1[[#This Row],[Job Posting Date]]+ RANDBETWEEN(15, 90)</f>
        <v>44706</v>
      </c>
      <c r="F137" s="1">
        <f ca="1">Table1[[#This Row],[Hire Date]]+ RANDBETWEEN(1, 15)</f>
        <v>44720</v>
      </c>
      <c r="G137" s="1" t="str">
        <f ca="1">IF(RAND() &lt; 0.5,  Table1[[#This Row],[Join Date]]+ RANDBETWEEN(30, TODAY()- Table1[[#This Row],[Join Date]]), "-")</f>
        <v>-</v>
      </c>
      <c r="H137" t="str">
        <f ca="1">IF(Table1[[#This Row],[Exit Date]]= "-", "Active", "Exited")</f>
        <v>Active</v>
      </c>
      <c r="I137" s="5">
        <f t="shared" ca="1" si="18"/>
        <v>3030</v>
      </c>
      <c r="J137" t="str" cm="1">
        <f t="array" aca="1" ref="J137" ca="1">INDEX(sheet2!$C$2:$C$6, RANDBETWEEN(1, 5))</f>
        <v>Leadership Development</v>
      </c>
      <c r="K137" t="str">
        <f t="shared" ca="1" si="19"/>
        <v>Completed</v>
      </c>
      <c r="L137">
        <v>260</v>
      </c>
      <c r="M137">
        <f t="shared" ca="1" si="20"/>
        <v>4</v>
      </c>
      <c r="N137" t="str">
        <f t="shared" ca="1" si="21"/>
        <v>Female</v>
      </c>
      <c r="O137" s="6">
        <f t="shared" ca="1" si="22"/>
        <v>1206</v>
      </c>
      <c r="P137">
        <f ca="1">Table1[[#This Row],[Hire Date]]-Table1[[#This Row],[Job Posting Date]]</f>
        <v>71</v>
      </c>
      <c r="Q137" s="7">
        <f ca="1">Table1[[#This Row],[Join Date]]-Table1[[#This Row],[Hire Date]]</f>
        <v>14</v>
      </c>
      <c r="R137" s="8">
        <f ca="1">(IF(Table1[[#This Row],[Status]]="Exited",Table1[[#This Row],[Exit Date]]-Table1[[#This Row],[Join Date]],TODAY()-Table1[[#This Row],[Join Date]]))/30</f>
        <v>32.1</v>
      </c>
      <c r="S137">
        <f ca="1">Table1[[#This Row],[Hire Date]]-Table1[[#This Row],[Job Posting Date]]</f>
        <v>71</v>
      </c>
      <c r="T137" s="7">
        <f ca="1">Table1[[#This Row],[Time to Onboard]]/Table1[[#This Row],[Time to Fill]]*100</f>
        <v>19.718309859154928</v>
      </c>
      <c r="U137" s="8">
        <f ca="1">Table1[[#This Row],[Time to Onboard]]/Table1[[#This Row],[Time to Fill]]*100</f>
        <v>19.718309859154928</v>
      </c>
      <c r="V137">
        <f ca="1">Table1[[#This Row],[Join Date]]-Table1[[#This Row],[Job Posting Date]]</f>
        <v>85</v>
      </c>
      <c r="W137">
        <f t="shared" ca="1" si="23"/>
        <v>191</v>
      </c>
      <c r="X137" s="8">
        <f ca="1">Table1[[#This Row],[Absentee Days]]/Table1[[#This Row],[Total Work Days]]*100</f>
        <v>1.5384615384615385</v>
      </c>
      <c r="Y137">
        <f ca="1">YEAR(Table1[[#This Row],[Join Date]])</f>
        <v>2022</v>
      </c>
      <c r="Z137">
        <f ca="1">IF(Table1[[#This Row],[Status]]="Active",1,0)</f>
        <v>1</v>
      </c>
      <c r="AA137">
        <f ca="1">IF(Table1[[#This Row],[Status]]="Exited",Table1[[#This Row],[Recruitment Cost]]+Table1[[#This Row],[Onboarding Cost]]+Table1[[#This Row],[Training Cost]],0)</f>
        <v>0</v>
      </c>
    </row>
    <row r="138" spans="1:27" x14ac:dyDescent="0.2">
      <c r="A138" t="str">
        <f t="shared" si="16"/>
        <v>E137</v>
      </c>
      <c r="B138" t="str" cm="1">
        <f t="array" aca="1" ref="B138" ca="1">INDEX(sheet2!$A$2:$A$6, RANDBETWEEN(1, 5))</f>
        <v>Analytics</v>
      </c>
      <c r="C138" t="str">
        <f ca="1">_xlfn.XLOOKUP(Table1[[#This Row],[Department]],sheet2!$A$2:$A$6,sheet2!$B$2:$B$6,_xleta.NA,0)</f>
        <v>Data Analyst</v>
      </c>
      <c r="D138" s="1">
        <f t="shared" ca="1" si="17"/>
        <v>44501</v>
      </c>
      <c r="E138" s="1">
        <f ca="1">Table1[[#This Row],[Job Posting Date]]+ RANDBETWEEN(15, 90)</f>
        <v>44576</v>
      </c>
      <c r="F138" s="1">
        <f ca="1">Table1[[#This Row],[Hire Date]]+ RANDBETWEEN(1, 15)</f>
        <v>44587</v>
      </c>
      <c r="G138" s="1" t="str">
        <f ca="1">IF(RAND() &lt; 0.5,  Table1[[#This Row],[Join Date]]+ RANDBETWEEN(30, TODAY()- Table1[[#This Row],[Join Date]]), "-")</f>
        <v>-</v>
      </c>
      <c r="H138" t="str">
        <f ca="1">IF(Table1[[#This Row],[Exit Date]]= "-", "Active", "Exited")</f>
        <v>Active</v>
      </c>
      <c r="I138" s="5">
        <f t="shared" ca="1" si="18"/>
        <v>3112</v>
      </c>
      <c r="J138" t="str" cm="1">
        <f t="array" aca="1" ref="J138" ca="1">INDEX(sheet2!$C$2:$C$6, RANDBETWEEN(1, 5))</f>
        <v>Conflict Resolution</v>
      </c>
      <c r="K138" t="str">
        <f t="shared" ca="1" si="19"/>
        <v>Not Completed</v>
      </c>
      <c r="L138">
        <v>260</v>
      </c>
      <c r="M138">
        <f t="shared" ca="1" si="20"/>
        <v>17</v>
      </c>
      <c r="N138" t="str">
        <f t="shared" ca="1" si="21"/>
        <v>Female</v>
      </c>
      <c r="O138" s="6">
        <f t="shared" ca="1" si="22"/>
        <v>1919</v>
      </c>
      <c r="P138">
        <f ca="1">Table1[[#This Row],[Hire Date]]-Table1[[#This Row],[Job Posting Date]]</f>
        <v>75</v>
      </c>
      <c r="Q138" s="7">
        <f ca="1">Table1[[#This Row],[Join Date]]-Table1[[#This Row],[Hire Date]]</f>
        <v>11</v>
      </c>
      <c r="R138" s="8">
        <f ca="1">(IF(Table1[[#This Row],[Status]]="Exited",Table1[[#This Row],[Exit Date]]-Table1[[#This Row],[Join Date]],TODAY()-Table1[[#This Row],[Join Date]]))/30</f>
        <v>36.533333333333331</v>
      </c>
      <c r="S138">
        <f ca="1">Table1[[#This Row],[Hire Date]]-Table1[[#This Row],[Job Posting Date]]</f>
        <v>75</v>
      </c>
      <c r="T138" s="7">
        <f ca="1">Table1[[#This Row],[Time to Onboard]]/Table1[[#This Row],[Time to Fill]]*100</f>
        <v>14.666666666666666</v>
      </c>
      <c r="U138" s="8">
        <f ca="1">Table1[[#This Row],[Time to Onboard]]/Table1[[#This Row],[Time to Fill]]*100</f>
        <v>14.666666666666666</v>
      </c>
      <c r="V138">
        <f ca="1">Table1[[#This Row],[Join Date]]-Table1[[#This Row],[Job Posting Date]]</f>
        <v>86</v>
      </c>
      <c r="W138">
        <f t="shared" ca="1" si="23"/>
        <v>181</v>
      </c>
      <c r="X138" s="8">
        <f ca="1">Table1[[#This Row],[Absentee Days]]/Table1[[#This Row],[Total Work Days]]*100</f>
        <v>6.5384615384615392</v>
      </c>
      <c r="Y138">
        <f ca="1">YEAR(Table1[[#This Row],[Join Date]])</f>
        <v>2022</v>
      </c>
      <c r="Z138">
        <f ca="1">IF(Table1[[#This Row],[Status]]="Active",1,0)</f>
        <v>1</v>
      </c>
      <c r="AA138">
        <f ca="1">IF(Table1[[#This Row],[Status]]="Exited",Table1[[#This Row],[Recruitment Cost]]+Table1[[#This Row],[Onboarding Cost]]+Table1[[#This Row],[Training Cost]],0)</f>
        <v>0</v>
      </c>
    </row>
    <row r="139" spans="1:27" x14ac:dyDescent="0.2">
      <c r="A139" t="str">
        <f t="shared" si="16"/>
        <v>E138</v>
      </c>
      <c r="B139" t="str" cm="1">
        <f t="array" aca="1" ref="B139" ca="1">INDEX(sheet2!$A$2:$A$6, RANDBETWEEN(1, 5))</f>
        <v>Finance</v>
      </c>
      <c r="C139" t="str">
        <f ca="1">_xlfn.XLOOKUP(Table1[[#This Row],[Department]],sheet2!$A$2:$A$6,sheet2!$B$2:$B$6,_xleta.NA,0)</f>
        <v>Finance Manager</v>
      </c>
      <c r="D139" s="1">
        <f t="shared" ca="1" si="17"/>
        <v>44890</v>
      </c>
      <c r="E139" s="1">
        <f ca="1">Table1[[#This Row],[Job Posting Date]]+ RANDBETWEEN(15, 90)</f>
        <v>44952</v>
      </c>
      <c r="F139" s="1">
        <f ca="1">Table1[[#This Row],[Hire Date]]+ RANDBETWEEN(1, 15)</f>
        <v>44953</v>
      </c>
      <c r="G139" s="1" t="str">
        <f ca="1">IF(RAND() &lt; 0.5,  Table1[[#This Row],[Join Date]]+ RANDBETWEEN(30, TODAY()- Table1[[#This Row],[Join Date]]), "-")</f>
        <v>-</v>
      </c>
      <c r="H139" t="str">
        <f ca="1">IF(Table1[[#This Row],[Exit Date]]= "-", "Active", "Exited")</f>
        <v>Active</v>
      </c>
      <c r="I139" s="5">
        <f t="shared" ca="1" si="18"/>
        <v>4456</v>
      </c>
      <c r="J139" t="str" cm="1">
        <f t="array" aca="1" ref="J139" ca="1">INDEX(sheet2!$C$2:$C$6, RANDBETWEEN(1, 5))</f>
        <v>Communication Skills</v>
      </c>
      <c r="K139" t="str">
        <f t="shared" ca="1" si="19"/>
        <v>Not Completed</v>
      </c>
      <c r="L139">
        <v>260</v>
      </c>
      <c r="M139">
        <f t="shared" ca="1" si="20"/>
        <v>8</v>
      </c>
      <c r="N139" t="str">
        <f t="shared" ca="1" si="21"/>
        <v>Other</v>
      </c>
      <c r="O139" s="6">
        <f t="shared" ca="1" si="22"/>
        <v>2088</v>
      </c>
      <c r="P139">
        <f ca="1">Table1[[#This Row],[Hire Date]]-Table1[[#This Row],[Job Posting Date]]</f>
        <v>62</v>
      </c>
      <c r="Q139" s="7">
        <f ca="1">Table1[[#This Row],[Join Date]]-Table1[[#This Row],[Hire Date]]</f>
        <v>1</v>
      </c>
      <c r="R139" s="8">
        <f ca="1">(IF(Table1[[#This Row],[Status]]="Exited",Table1[[#This Row],[Exit Date]]-Table1[[#This Row],[Join Date]],TODAY()-Table1[[#This Row],[Join Date]]))/30</f>
        <v>24.333333333333332</v>
      </c>
      <c r="S139">
        <f ca="1">Table1[[#This Row],[Hire Date]]-Table1[[#This Row],[Job Posting Date]]</f>
        <v>62</v>
      </c>
      <c r="T139" s="7">
        <f ca="1">Table1[[#This Row],[Time to Onboard]]/Table1[[#This Row],[Time to Fill]]*100</f>
        <v>1.6129032258064515</v>
      </c>
      <c r="U139" s="8">
        <f ca="1">Table1[[#This Row],[Time to Onboard]]/Table1[[#This Row],[Time to Fill]]*100</f>
        <v>1.6129032258064515</v>
      </c>
      <c r="V139">
        <f ca="1">Table1[[#This Row],[Join Date]]-Table1[[#This Row],[Job Posting Date]]</f>
        <v>63</v>
      </c>
      <c r="W139">
        <f t="shared" ca="1" si="23"/>
        <v>121</v>
      </c>
      <c r="X139" s="8">
        <f ca="1">Table1[[#This Row],[Absentee Days]]/Table1[[#This Row],[Total Work Days]]*100</f>
        <v>3.0769230769230771</v>
      </c>
      <c r="Y139">
        <f ca="1">YEAR(Table1[[#This Row],[Join Date]])</f>
        <v>2023</v>
      </c>
      <c r="Z139">
        <f ca="1">IF(Table1[[#This Row],[Status]]="Active",1,0)</f>
        <v>1</v>
      </c>
      <c r="AA139">
        <f ca="1">IF(Table1[[#This Row],[Status]]="Exited",Table1[[#This Row],[Recruitment Cost]]+Table1[[#This Row],[Onboarding Cost]]+Table1[[#This Row],[Training Cost]],0)</f>
        <v>0</v>
      </c>
    </row>
    <row r="140" spans="1:27" x14ac:dyDescent="0.2">
      <c r="A140" t="str">
        <f t="shared" si="16"/>
        <v>E139</v>
      </c>
      <c r="B140" t="str" cm="1">
        <f t="array" aca="1" ref="B140" ca="1">INDEX(sheet2!$A$2:$A$6, RANDBETWEEN(1, 5))</f>
        <v>Finance</v>
      </c>
      <c r="C140" t="str">
        <f ca="1">_xlfn.XLOOKUP(Table1[[#This Row],[Department]],sheet2!$A$2:$A$6,sheet2!$B$2:$B$6,_xleta.NA,0)</f>
        <v>Finance Manager</v>
      </c>
      <c r="D140" s="1">
        <f t="shared" ca="1" si="17"/>
        <v>43229</v>
      </c>
      <c r="E140" s="1">
        <f ca="1">Table1[[#This Row],[Job Posting Date]]+ RANDBETWEEN(15, 90)</f>
        <v>43313</v>
      </c>
      <c r="F140" s="1">
        <f ca="1">Table1[[#This Row],[Hire Date]]+ RANDBETWEEN(1, 15)</f>
        <v>43320</v>
      </c>
      <c r="G140" s="1">
        <f ca="1">IF(RAND() &lt; 0.5,  Table1[[#This Row],[Join Date]]+ RANDBETWEEN(30, TODAY()- Table1[[#This Row],[Join Date]]), "-")</f>
        <v>43967</v>
      </c>
      <c r="H140" t="str">
        <f ca="1">IF(Table1[[#This Row],[Exit Date]]= "-", "Active", "Exited")</f>
        <v>Exited</v>
      </c>
      <c r="I140" s="5">
        <f t="shared" ca="1" si="18"/>
        <v>1689</v>
      </c>
      <c r="J140" t="str" cm="1">
        <f t="array" aca="1" ref="J140" ca="1">INDEX(sheet2!$C$2:$C$6, RANDBETWEEN(1, 5))</f>
        <v>Leadership Development</v>
      </c>
      <c r="K140" t="str">
        <f t="shared" ca="1" si="19"/>
        <v>Completed</v>
      </c>
      <c r="L140">
        <v>260</v>
      </c>
      <c r="M140">
        <f t="shared" ca="1" si="20"/>
        <v>1</v>
      </c>
      <c r="N140" t="str">
        <f t="shared" ca="1" si="21"/>
        <v>Female</v>
      </c>
      <c r="O140" s="6">
        <f t="shared" ca="1" si="22"/>
        <v>2074</v>
      </c>
      <c r="P140">
        <f ca="1">Table1[[#This Row],[Hire Date]]-Table1[[#This Row],[Job Posting Date]]</f>
        <v>84</v>
      </c>
      <c r="Q140" s="7">
        <f ca="1">Table1[[#This Row],[Join Date]]-Table1[[#This Row],[Hire Date]]</f>
        <v>7</v>
      </c>
      <c r="R140" s="8">
        <f ca="1">(IF(Table1[[#This Row],[Status]]="Exited",Table1[[#This Row],[Exit Date]]-Table1[[#This Row],[Join Date]],TODAY()-Table1[[#This Row],[Join Date]]))/30</f>
        <v>21.566666666666666</v>
      </c>
      <c r="S140">
        <f ca="1">Table1[[#This Row],[Hire Date]]-Table1[[#This Row],[Job Posting Date]]</f>
        <v>84</v>
      </c>
      <c r="T140" s="7">
        <f ca="1">Table1[[#This Row],[Time to Onboard]]/Table1[[#This Row],[Time to Fill]]*100</f>
        <v>8.3333333333333321</v>
      </c>
      <c r="U140" s="8">
        <f ca="1">Table1[[#This Row],[Time to Onboard]]/Table1[[#This Row],[Time to Fill]]*100</f>
        <v>8.3333333333333321</v>
      </c>
      <c r="V140">
        <f ca="1">Table1[[#This Row],[Join Date]]-Table1[[#This Row],[Job Posting Date]]</f>
        <v>91</v>
      </c>
      <c r="W140">
        <f t="shared" ca="1" si="23"/>
        <v>129</v>
      </c>
      <c r="X140" s="8">
        <f ca="1">Table1[[#This Row],[Absentee Days]]/Table1[[#This Row],[Total Work Days]]*100</f>
        <v>0.38461538461538464</v>
      </c>
      <c r="Y140">
        <f ca="1">YEAR(Table1[[#This Row],[Join Date]])</f>
        <v>2018</v>
      </c>
      <c r="Z140">
        <f ca="1">IF(Table1[[#This Row],[Status]]="Active",1,0)</f>
        <v>0</v>
      </c>
      <c r="AA140">
        <f ca="1">IF(Table1[[#This Row],[Status]]="Exited",Table1[[#This Row],[Recruitment Cost]]+Table1[[#This Row],[Onboarding Cost]]+Table1[[#This Row],[Training Cost]],0)</f>
        <v>3892</v>
      </c>
    </row>
    <row r="141" spans="1:27" x14ac:dyDescent="0.2">
      <c r="A141" t="str">
        <f t="shared" si="16"/>
        <v>E140</v>
      </c>
      <c r="B141" t="str" cm="1">
        <f t="array" aca="1" ref="B141" ca="1">INDEX(sheet2!$A$2:$A$6, RANDBETWEEN(1, 5))</f>
        <v>HR</v>
      </c>
      <c r="C141" t="str">
        <f ca="1">_xlfn.XLOOKUP(Table1[[#This Row],[Department]],sheet2!$A$2:$A$6,sheet2!$B$2:$B$6,_xleta.NA,0)</f>
        <v>HR Manager</v>
      </c>
      <c r="D141" s="1">
        <f t="shared" ca="1" si="17"/>
        <v>44304</v>
      </c>
      <c r="E141" s="1">
        <f ca="1">Table1[[#This Row],[Job Posting Date]]+ RANDBETWEEN(15, 90)</f>
        <v>44374</v>
      </c>
      <c r="F141" s="1">
        <f ca="1">Table1[[#This Row],[Hire Date]]+ RANDBETWEEN(1, 15)</f>
        <v>44381</v>
      </c>
      <c r="G141" s="1">
        <f ca="1">IF(RAND() &lt; 0.5,  Table1[[#This Row],[Join Date]]+ RANDBETWEEN(30, TODAY()- Table1[[#This Row],[Join Date]]), "-")</f>
        <v>44777</v>
      </c>
      <c r="H141" t="str">
        <f ca="1">IF(Table1[[#This Row],[Exit Date]]= "-", "Active", "Exited")</f>
        <v>Exited</v>
      </c>
      <c r="I141" s="5">
        <f t="shared" ca="1" si="18"/>
        <v>3601</v>
      </c>
      <c r="J141" t="str" cm="1">
        <f t="array" aca="1" ref="J141" ca="1">INDEX(sheet2!$C$2:$C$6, RANDBETWEEN(1, 5))</f>
        <v>Leadership Development</v>
      </c>
      <c r="K141" t="str">
        <f t="shared" ca="1" si="19"/>
        <v>Completed</v>
      </c>
      <c r="L141">
        <v>260</v>
      </c>
      <c r="M141">
        <f t="shared" ca="1" si="20"/>
        <v>10</v>
      </c>
      <c r="N141" t="str">
        <f t="shared" ca="1" si="21"/>
        <v>Male</v>
      </c>
      <c r="O141" s="6">
        <f t="shared" ca="1" si="22"/>
        <v>2360</v>
      </c>
      <c r="P141">
        <f ca="1">Table1[[#This Row],[Hire Date]]-Table1[[#This Row],[Job Posting Date]]</f>
        <v>70</v>
      </c>
      <c r="Q141" s="7">
        <f ca="1">Table1[[#This Row],[Join Date]]-Table1[[#This Row],[Hire Date]]</f>
        <v>7</v>
      </c>
      <c r="R141" s="8">
        <f ca="1">(IF(Table1[[#This Row],[Status]]="Exited",Table1[[#This Row],[Exit Date]]-Table1[[#This Row],[Join Date]],TODAY()-Table1[[#This Row],[Join Date]]))/30</f>
        <v>13.2</v>
      </c>
      <c r="S141">
        <f ca="1">Table1[[#This Row],[Hire Date]]-Table1[[#This Row],[Job Posting Date]]</f>
        <v>70</v>
      </c>
      <c r="T141" s="7">
        <f ca="1">Table1[[#This Row],[Time to Onboard]]/Table1[[#This Row],[Time to Fill]]*100</f>
        <v>10</v>
      </c>
      <c r="U141" s="8">
        <f ca="1">Table1[[#This Row],[Time to Onboard]]/Table1[[#This Row],[Time to Fill]]*100</f>
        <v>10</v>
      </c>
      <c r="V141">
        <f ca="1">Table1[[#This Row],[Join Date]]-Table1[[#This Row],[Job Posting Date]]</f>
        <v>77</v>
      </c>
      <c r="W141">
        <f t="shared" ca="1" si="23"/>
        <v>171</v>
      </c>
      <c r="X141" s="8">
        <f ca="1">Table1[[#This Row],[Absentee Days]]/Table1[[#This Row],[Total Work Days]]*100</f>
        <v>3.8461538461538463</v>
      </c>
      <c r="Y141">
        <f ca="1">YEAR(Table1[[#This Row],[Join Date]])</f>
        <v>2021</v>
      </c>
      <c r="Z141">
        <f ca="1">IF(Table1[[#This Row],[Status]]="Active",1,0)</f>
        <v>0</v>
      </c>
      <c r="AA141">
        <f ca="1">IF(Table1[[#This Row],[Status]]="Exited",Table1[[#This Row],[Recruitment Cost]]+Table1[[#This Row],[Onboarding Cost]]+Table1[[#This Row],[Training Cost]],0)</f>
        <v>6132</v>
      </c>
    </row>
    <row r="142" spans="1:27" x14ac:dyDescent="0.2">
      <c r="A142" t="str">
        <f t="shared" si="16"/>
        <v>E141</v>
      </c>
      <c r="B142" t="str" cm="1">
        <f t="array" aca="1" ref="B142" ca="1">INDEX(sheet2!$A$2:$A$6, RANDBETWEEN(1, 5))</f>
        <v>IT</v>
      </c>
      <c r="C142" t="str">
        <f ca="1">_xlfn.XLOOKUP(Table1[[#This Row],[Department]],sheet2!$A$2:$A$6,sheet2!$B$2:$B$6,_xleta.NA,0)</f>
        <v>Software Engineer</v>
      </c>
      <c r="D142" s="1">
        <f t="shared" ca="1" si="17"/>
        <v>43253</v>
      </c>
      <c r="E142" s="1">
        <f ca="1">Table1[[#This Row],[Job Posting Date]]+ RANDBETWEEN(15, 90)</f>
        <v>43340</v>
      </c>
      <c r="F142" s="1">
        <f ca="1">Table1[[#This Row],[Hire Date]]+ RANDBETWEEN(1, 15)</f>
        <v>43354</v>
      </c>
      <c r="G142" s="1" t="str">
        <f ca="1">IF(RAND() &lt; 0.5,  Table1[[#This Row],[Join Date]]+ RANDBETWEEN(30, TODAY()- Table1[[#This Row],[Join Date]]), "-")</f>
        <v>-</v>
      </c>
      <c r="H142" t="str">
        <f ca="1">IF(Table1[[#This Row],[Exit Date]]= "-", "Active", "Exited")</f>
        <v>Active</v>
      </c>
      <c r="I142" s="5">
        <f t="shared" ca="1" si="18"/>
        <v>2989</v>
      </c>
      <c r="J142" t="str" cm="1">
        <f t="array" aca="1" ref="J142" ca="1">INDEX(sheet2!$C$2:$C$6, RANDBETWEEN(1, 5))</f>
        <v>Conflict Resolution</v>
      </c>
      <c r="K142" t="str">
        <f t="shared" ca="1" si="19"/>
        <v>Completed</v>
      </c>
      <c r="L142">
        <v>260</v>
      </c>
      <c r="M142">
        <f t="shared" ca="1" si="20"/>
        <v>12</v>
      </c>
      <c r="N142" t="str">
        <f t="shared" ca="1" si="21"/>
        <v>Female</v>
      </c>
      <c r="O142" s="6">
        <f t="shared" ca="1" si="22"/>
        <v>1833</v>
      </c>
      <c r="P142">
        <f ca="1">Table1[[#This Row],[Hire Date]]-Table1[[#This Row],[Job Posting Date]]</f>
        <v>87</v>
      </c>
      <c r="Q142" s="7">
        <f ca="1">Table1[[#This Row],[Join Date]]-Table1[[#This Row],[Hire Date]]</f>
        <v>14</v>
      </c>
      <c r="R142" s="8">
        <f ca="1">(IF(Table1[[#This Row],[Status]]="Exited",Table1[[#This Row],[Exit Date]]-Table1[[#This Row],[Join Date]],TODAY()-Table1[[#This Row],[Join Date]]))/30</f>
        <v>77.63333333333334</v>
      </c>
      <c r="S142">
        <f ca="1">Table1[[#This Row],[Hire Date]]-Table1[[#This Row],[Job Posting Date]]</f>
        <v>87</v>
      </c>
      <c r="T142" s="7">
        <f ca="1">Table1[[#This Row],[Time to Onboard]]/Table1[[#This Row],[Time to Fill]]*100</f>
        <v>16.091954022988507</v>
      </c>
      <c r="U142" s="8">
        <f ca="1">Table1[[#This Row],[Time to Onboard]]/Table1[[#This Row],[Time to Fill]]*100</f>
        <v>16.091954022988507</v>
      </c>
      <c r="V142">
        <f ca="1">Table1[[#This Row],[Join Date]]-Table1[[#This Row],[Job Posting Date]]</f>
        <v>101</v>
      </c>
      <c r="W142">
        <f t="shared" ca="1" si="23"/>
        <v>120</v>
      </c>
      <c r="X142" s="8">
        <f ca="1">Table1[[#This Row],[Absentee Days]]/Table1[[#This Row],[Total Work Days]]*100</f>
        <v>4.6153846153846159</v>
      </c>
      <c r="Y142">
        <f ca="1">YEAR(Table1[[#This Row],[Join Date]])</f>
        <v>2018</v>
      </c>
      <c r="Z142">
        <f ca="1">IF(Table1[[#This Row],[Status]]="Active",1,0)</f>
        <v>1</v>
      </c>
      <c r="AA142">
        <f ca="1">IF(Table1[[#This Row],[Status]]="Exited",Table1[[#This Row],[Recruitment Cost]]+Table1[[#This Row],[Onboarding Cost]]+Table1[[#This Row],[Training Cost]],0)</f>
        <v>0</v>
      </c>
    </row>
    <row r="143" spans="1:27" x14ac:dyDescent="0.2">
      <c r="A143" t="str">
        <f t="shared" si="16"/>
        <v>E142</v>
      </c>
      <c r="B143" t="str" cm="1">
        <f t="array" aca="1" ref="B143" ca="1">INDEX(sheet2!$A$2:$A$6, RANDBETWEEN(1, 5))</f>
        <v>HR</v>
      </c>
      <c r="C143" t="str">
        <f ca="1">_xlfn.XLOOKUP(Table1[[#This Row],[Department]],sheet2!$A$2:$A$6,sheet2!$B$2:$B$6,_xleta.NA,0)</f>
        <v>HR Manager</v>
      </c>
      <c r="D143" s="1">
        <f t="shared" ca="1" si="17"/>
        <v>44736</v>
      </c>
      <c r="E143" s="1">
        <f ca="1">Table1[[#This Row],[Job Posting Date]]+ RANDBETWEEN(15, 90)</f>
        <v>44823</v>
      </c>
      <c r="F143" s="1">
        <f ca="1">Table1[[#This Row],[Hire Date]]+ RANDBETWEEN(1, 15)</f>
        <v>44833</v>
      </c>
      <c r="G143" s="1">
        <f ca="1">IF(RAND() &lt; 0.5,  Table1[[#This Row],[Join Date]]+ RANDBETWEEN(30, TODAY()- Table1[[#This Row],[Join Date]]), "-")</f>
        <v>45122</v>
      </c>
      <c r="H143" t="str">
        <f ca="1">IF(Table1[[#This Row],[Exit Date]]= "-", "Active", "Exited")</f>
        <v>Exited</v>
      </c>
      <c r="I143" s="5">
        <f t="shared" ca="1" si="18"/>
        <v>4956</v>
      </c>
      <c r="J143" t="str" cm="1">
        <f t="array" aca="1" ref="J143" ca="1">INDEX(sheet2!$C$2:$C$6, RANDBETWEEN(1, 5))</f>
        <v>Ethics and Responsibilities</v>
      </c>
      <c r="K143" t="str">
        <f t="shared" ca="1" si="19"/>
        <v>Not Completed</v>
      </c>
      <c r="L143">
        <v>260</v>
      </c>
      <c r="M143">
        <f t="shared" ca="1" si="20"/>
        <v>16</v>
      </c>
      <c r="N143" t="str">
        <f t="shared" ca="1" si="21"/>
        <v>Male</v>
      </c>
      <c r="O143" s="6">
        <f t="shared" ca="1" si="22"/>
        <v>1964</v>
      </c>
      <c r="P143">
        <f ca="1">Table1[[#This Row],[Hire Date]]-Table1[[#This Row],[Job Posting Date]]</f>
        <v>87</v>
      </c>
      <c r="Q143" s="7">
        <f ca="1">Table1[[#This Row],[Join Date]]-Table1[[#This Row],[Hire Date]]</f>
        <v>10</v>
      </c>
      <c r="R143" s="8">
        <f ca="1">(IF(Table1[[#This Row],[Status]]="Exited",Table1[[#This Row],[Exit Date]]-Table1[[#This Row],[Join Date]],TODAY()-Table1[[#This Row],[Join Date]]))/30</f>
        <v>9.6333333333333329</v>
      </c>
      <c r="S143">
        <f ca="1">Table1[[#This Row],[Hire Date]]-Table1[[#This Row],[Job Posting Date]]</f>
        <v>87</v>
      </c>
      <c r="T143" s="7">
        <f ca="1">Table1[[#This Row],[Time to Onboard]]/Table1[[#This Row],[Time to Fill]]*100</f>
        <v>11.494252873563218</v>
      </c>
      <c r="U143" s="8">
        <f ca="1">Table1[[#This Row],[Time to Onboard]]/Table1[[#This Row],[Time to Fill]]*100</f>
        <v>11.494252873563218</v>
      </c>
      <c r="V143">
        <f ca="1">Table1[[#This Row],[Join Date]]-Table1[[#This Row],[Job Posting Date]]</f>
        <v>97</v>
      </c>
      <c r="W143">
        <f t="shared" ca="1" si="23"/>
        <v>128</v>
      </c>
      <c r="X143" s="8">
        <f ca="1">Table1[[#This Row],[Absentee Days]]/Table1[[#This Row],[Total Work Days]]*100</f>
        <v>6.1538461538461542</v>
      </c>
      <c r="Y143">
        <f ca="1">YEAR(Table1[[#This Row],[Join Date]])</f>
        <v>2022</v>
      </c>
      <c r="Z143">
        <f ca="1">IF(Table1[[#This Row],[Status]]="Active",1,0)</f>
        <v>0</v>
      </c>
      <c r="AA143">
        <f ca="1">IF(Table1[[#This Row],[Status]]="Exited",Table1[[#This Row],[Recruitment Cost]]+Table1[[#This Row],[Onboarding Cost]]+Table1[[#This Row],[Training Cost]],0)</f>
        <v>7048</v>
      </c>
    </row>
    <row r="144" spans="1:27" x14ac:dyDescent="0.2">
      <c r="A144" t="str">
        <f t="shared" si="16"/>
        <v>E143</v>
      </c>
      <c r="B144" t="str" cm="1">
        <f t="array" aca="1" ref="B144" ca="1">INDEX(sheet2!$A$2:$A$6, RANDBETWEEN(1, 5))</f>
        <v>Analytics</v>
      </c>
      <c r="C144" t="str">
        <f ca="1">_xlfn.XLOOKUP(Table1[[#This Row],[Department]],sheet2!$A$2:$A$6,sheet2!$B$2:$B$6,_xleta.NA,0)</f>
        <v>Data Analyst</v>
      </c>
      <c r="D144" s="1">
        <f t="shared" ca="1" si="17"/>
        <v>43735</v>
      </c>
      <c r="E144" s="1">
        <f ca="1">Table1[[#This Row],[Job Posting Date]]+ RANDBETWEEN(15, 90)</f>
        <v>43790</v>
      </c>
      <c r="F144" s="1">
        <f ca="1">Table1[[#This Row],[Hire Date]]+ RANDBETWEEN(1, 15)</f>
        <v>43798</v>
      </c>
      <c r="G144" s="1">
        <f ca="1">IF(RAND() &lt; 0.5,  Table1[[#This Row],[Join Date]]+ RANDBETWEEN(30, TODAY()- Table1[[#This Row],[Join Date]]), "-")</f>
        <v>44494</v>
      </c>
      <c r="H144" t="str">
        <f ca="1">IF(Table1[[#This Row],[Exit Date]]= "-", "Active", "Exited")</f>
        <v>Exited</v>
      </c>
      <c r="I144" s="5">
        <f t="shared" ca="1" si="18"/>
        <v>3212</v>
      </c>
      <c r="J144" t="str" cm="1">
        <f t="array" aca="1" ref="J144" ca="1">INDEX(sheet2!$C$2:$C$6, RANDBETWEEN(1, 5))</f>
        <v>Advanced Excel Skills </v>
      </c>
      <c r="K144" t="str">
        <f t="shared" ca="1" si="19"/>
        <v>Not Completed</v>
      </c>
      <c r="L144">
        <v>260</v>
      </c>
      <c r="M144">
        <f t="shared" ca="1" si="20"/>
        <v>11</v>
      </c>
      <c r="N144" t="str">
        <f t="shared" ca="1" si="21"/>
        <v>Other</v>
      </c>
      <c r="O144" s="6">
        <f t="shared" ca="1" si="22"/>
        <v>2413</v>
      </c>
      <c r="P144">
        <f ca="1">Table1[[#This Row],[Hire Date]]-Table1[[#This Row],[Job Posting Date]]</f>
        <v>55</v>
      </c>
      <c r="Q144" s="7">
        <f ca="1">Table1[[#This Row],[Join Date]]-Table1[[#This Row],[Hire Date]]</f>
        <v>8</v>
      </c>
      <c r="R144" s="8">
        <f ca="1">(IF(Table1[[#This Row],[Status]]="Exited",Table1[[#This Row],[Exit Date]]-Table1[[#This Row],[Join Date]],TODAY()-Table1[[#This Row],[Join Date]]))/30</f>
        <v>23.2</v>
      </c>
      <c r="S144">
        <f ca="1">Table1[[#This Row],[Hire Date]]-Table1[[#This Row],[Job Posting Date]]</f>
        <v>55</v>
      </c>
      <c r="T144" s="7">
        <f ca="1">Table1[[#This Row],[Time to Onboard]]/Table1[[#This Row],[Time to Fill]]*100</f>
        <v>14.545454545454545</v>
      </c>
      <c r="U144" s="8">
        <f ca="1">Table1[[#This Row],[Time to Onboard]]/Table1[[#This Row],[Time to Fill]]*100</f>
        <v>14.545454545454545</v>
      </c>
      <c r="V144">
        <f ca="1">Table1[[#This Row],[Join Date]]-Table1[[#This Row],[Job Posting Date]]</f>
        <v>63</v>
      </c>
      <c r="W144">
        <f t="shared" ca="1" si="23"/>
        <v>103</v>
      </c>
      <c r="X144" s="8">
        <f ca="1">Table1[[#This Row],[Absentee Days]]/Table1[[#This Row],[Total Work Days]]*100</f>
        <v>4.2307692307692308</v>
      </c>
      <c r="Y144">
        <f ca="1">YEAR(Table1[[#This Row],[Join Date]])</f>
        <v>2019</v>
      </c>
      <c r="Z144">
        <f ca="1">IF(Table1[[#This Row],[Status]]="Active",1,0)</f>
        <v>0</v>
      </c>
      <c r="AA144">
        <f ca="1">IF(Table1[[#This Row],[Status]]="Exited",Table1[[#This Row],[Recruitment Cost]]+Table1[[#This Row],[Onboarding Cost]]+Table1[[#This Row],[Training Cost]],0)</f>
        <v>5728</v>
      </c>
    </row>
    <row r="145" spans="1:27" x14ac:dyDescent="0.2">
      <c r="A145" t="str">
        <f t="shared" si="16"/>
        <v>E144</v>
      </c>
      <c r="B145" t="str" cm="1">
        <f t="array" aca="1" ref="B145" ca="1">INDEX(sheet2!$A$2:$A$6, RANDBETWEEN(1, 5))</f>
        <v>Analytics</v>
      </c>
      <c r="C145" t="str">
        <f ca="1">_xlfn.XLOOKUP(Table1[[#This Row],[Department]],sheet2!$A$2:$A$6,sheet2!$B$2:$B$6,_xleta.NA,0)</f>
        <v>Data Analyst</v>
      </c>
      <c r="D145" s="1">
        <f t="shared" ca="1" si="17"/>
        <v>44089</v>
      </c>
      <c r="E145" s="1">
        <f ca="1">Table1[[#This Row],[Job Posting Date]]+ RANDBETWEEN(15, 90)</f>
        <v>44149</v>
      </c>
      <c r="F145" s="1">
        <f ca="1">Table1[[#This Row],[Hire Date]]+ RANDBETWEEN(1, 15)</f>
        <v>44153</v>
      </c>
      <c r="G145" s="1" t="str">
        <f ca="1">IF(RAND() &lt; 0.5,  Table1[[#This Row],[Join Date]]+ RANDBETWEEN(30, TODAY()- Table1[[#This Row],[Join Date]]), "-")</f>
        <v>-</v>
      </c>
      <c r="H145" t="str">
        <f ca="1">IF(Table1[[#This Row],[Exit Date]]= "-", "Active", "Exited")</f>
        <v>Active</v>
      </c>
      <c r="I145" s="5">
        <f t="shared" ca="1" si="18"/>
        <v>4937</v>
      </c>
      <c r="J145" t="str" cm="1">
        <f t="array" aca="1" ref="J145" ca="1">INDEX(sheet2!$C$2:$C$6, RANDBETWEEN(1, 5))</f>
        <v>Advanced Excel Skills </v>
      </c>
      <c r="K145" t="str">
        <f t="shared" ca="1" si="19"/>
        <v>Not Completed</v>
      </c>
      <c r="L145">
        <v>260</v>
      </c>
      <c r="M145">
        <f t="shared" ca="1" si="20"/>
        <v>14</v>
      </c>
      <c r="N145" t="str">
        <f t="shared" ca="1" si="21"/>
        <v>Male</v>
      </c>
      <c r="O145" s="6">
        <f t="shared" ca="1" si="22"/>
        <v>2202</v>
      </c>
      <c r="P145">
        <f ca="1">Table1[[#This Row],[Hire Date]]-Table1[[#This Row],[Job Posting Date]]</f>
        <v>60</v>
      </c>
      <c r="Q145" s="7">
        <f ca="1">Table1[[#This Row],[Join Date]]-Table1[[#This Row],[Hire Date]]</f>
        <v>4</v>
      </c>
      <c r="R145" s="8">
        <f ca="1">(IF(Table1[[#This Row],[Status]]="Exited",Table1[[#This Row],[Exit Date]]-Table1[[#This Row],[Join Date]],TODAY()-Table1[[#This Row],[Join Date]]))/30</f>
        <v>51</v>
      </c>
      <c r="S145">
        <f ca="1">Table1[[#This Row],[Hire Date]]-Table1[[#This Row],[Job Posting Date]]</f>
        <v>60</v>
      </c>
      <c r="T145" s="7">
        <f ca="1">Table1[[#This Row],[Time to Onboard]]/Table1[[#This Row],[Time to Fill]]*100</f>
        <v>6.666666666666667</v>
      </c>
      <c r="U145" s="8">
        <f ca="1">Table1[[#This Row],[Time to Onboard]]/Table1[[#This Row],[Time to Fill]]*100</f>
        <v>6.666666666666667</v>
      </c>
      <c r="V145">
        <f ca="1">Table1[[#This Row],[Join Date]]-Table1[[#This Row],[Job Posting Date]]</f>
        <v>64</v>
      </c>
      <c r="W145">
        <f t="shared" ca="1" si="23"/>
        <v>112</v>
      </c>
      <c r="X145" s="8">
        <f ca="1">Table1[[#This Row],[Absentee Days]]/Table1[[#This Row],[Total Work Days]]*100</f>
        <v>5.384615384615385</v>
      </c>
      <c r="Y145">
        <f ca="1">YEAR(Table1[[#This Row],[Join Date]])</f>
        <v>2020</v>
      </c>
      <c r="Z145">
        <f ca="1">IF(Table1[[#This Row],[Status]]="Active",1,0)</f>
        <v>1</v>
      </c>
      <c r="AA145">
        <f ca="1">IF(Table1[[#This Row],[Status]]="Exited",Table1[[#This Row],[Recruitment Cost]]+Table1[[#This Row],[Onboarding Cost]]+Table1[[#This Row],[Training Cost]],0)</f>
        <v>0</v>
      </c>
    </row>
    <row r="146" spans="1:27" x14ac:dyDescent="0.2">
      <c r="A146" t="str">
        <f t="shared" si="16"/>
        <v>E145</v>
      </c>
      <c r="B146" t="str" cm="1">
        <f t="array" aca="1" ref="B146" ca="1">INDEX(sheet2!$A$2:$A$6, RANDBETWEEN(1, 5))</f>
        <v>HR</v>
      </c>
      <c r="C146" t="str">
        <f ca="1">_xlfn.XLOOKUP(Table1[[#This Row],[Department]],sheet2!$A$2:$A$6,sheet2!$B$2:$B$6,_xleta.NA,0)</f>
        <v>HR Manager</v>
      </c>
      <c r="D146" s="1">
        <f t="shared" ca="1" si="17"/>
        <v>43893</v>
      </c>
      <c r="E146" s="1">
        <f ca="1">Table1[[#This Row],[Job Posting Date]]+ RANDBETWEEN(15, 90)</f>
        <v>43977</v>
      </c>
      <c r="F146" s="1">
        <f ca="1">Table1[[#This Row],[Hire Date]]+ RANDBETWEEN(1, 15)</f>
        <v>43978</v>
      </c>
      <c r="G146" s="1">
        <f ca="1">IF(RAND() &lt; 0.5,  Table1[[#This Row],[Join Date]]+ RANDBETWEEN(30, TODAY()- Table1[[#This Row],[Join Date]]), "-")</f>
        <v>44854</v>
      </c>
      <c r="H146" t="str">
        <f ca="1">IF(Table1[[#This Row],[Exit Date]]= "-", "Active", "Exited")</f>
        <v>Exited</v>
      </c>
      <c r="I146" s="5">
        <f t="shared" ca="1" si="18"/>
        <v>3443</v>
      </c>
      <c r="J146" t="str" cm="1">
        <f t="array" aca="1" ref="J146" ca="1">INDEX(sheet2!$C$2:$C$6, RANDBETWEEN(1, 5))</f>
        <v>Advanced Excel Skills </v>
      </c>
      <c r="K146" t="str">
        <f t="shared" ca="1" si="19"/>
        <v>Completed</v>
      </c>
      <c r="L146">
        <v>260</v>
      </c>
      <c r="M146">
        <f t="shared" ca="1" si="20"/>
        <v>15</v>
      </c>
      <c r="N146" t="str">
        <f t="shared" ca="1" si="21"/>
        <v>Female</v>
      </c>
      <c r="O146" s="6">
        <f t="shared" ca="1" si="22"/>
        <v>1636</v>
      </c>
      <c r="P146">
        <f ca="1">Table1[[#This Row],[Hire Date]]-Table1[[#This Row],[Job Posting Date]]</f>
        <v>84</v>
      </c>
      <c r="Q146" s="7">
        <f ca="1">Table1[[#This Row],[Join Date]]-Table1[[#This Row],[Hire Date]]</f>
        <v>1</v>
      </c>
      <c r="R146" s="8">
        <f ca="1">(IF(Table1[[#This Row],[Status]]="Exited",Table1[[#This Row],[Exit Date]]-Table1[[#This Row],[Join Date]],TODAY()-Table1[[#This Row],[Join Date]]))/30</f>
        <v>29.2</v>
      </c>
      <c r="S146">
        <f ca="1">Table1[[#This Row],[Hire Date]]-Table1[[#This Row],[Job Posting Date]]</f>
        <v>84</v>
      </c>
      <c r="T146" s="7">
        <f ca="1">Table1[[#This Row],[Time to Onboard]]/Table1[[#This Row],[Time to Fill]]*100</f>
        <v>1.1904761904761905</v>
      </c>
      <c r="U146" s="8">
        <f ca="1">Table1[[#This Row],[Time to Onboard]]/Table1[[#This Row],[Time to Fill]]*100</f>
        <v>1.1904761904761905</v>
      </c>
      <c r="V146">
        <f ca="1">Table1[[#This Row],[Join Date]]-Table1[[#This Row],[Job Posting Date]]</f>
        <v>85</v>
      </c>
      <c r="W146">
        <f t="shared" ca="1" si="23"/>
        <v>102</v>
      </c>
      <c r="X146" s="8">
        <f ca="1">Table1[[#This Row],[Absentee Days]]/Table1[[#This Row],[Total Work Days]]*100</f>
        <v>5.7692307692307692</v>
      </c>
      <c r="Y146">
        <f ca="1">YEAR(Table1[[#This Row],[Join Date]])</f>
        <v>2020</v>
      </c>
      <c r="Z146">
        <f ca="1">IF(Table1[[#This Row],[Status]]="Active",1,0)</f>
        <v>0</v>
      </c>
      <c r="AA146">
        <f ca="1">IF(Table1[[#This Row],[Status]]="Exited",Table1[[#This Row],[Recruitment Cost]]+Table1[[#This Row],[Onboarding Cost]]+Table1[[#This Row],[Training Cost]],0)</f>
        <v>5181</v>
      </c>
    </row>
    <row r="147" spans="1:27" x14ac:dyDescent="0.2">
      <c r="A147" t="str">
        <f t="shared" si="16"/>
        <v>E146</v>
      </c>
      <c r="B147" t="str" cm="1">
        <f t="array" aca="1" ref="B147" ca="1">INDEX(sheet2!$A$2:$A$6, RANDBETWEEN(1, 5))</f>
        <v>Analytics</v>
      </c>
      <c r="C147" t="str">
        <f ca="1">_xlfn.XLOOKUP(Table1[[#This Row],[Department]],sheet2!$A$2:$A$6,sheet2!$B$2:$B$6,_xleta.NA,0)</f>
        <v>Data Analyst</v>
      </c>
      <c r="D147" s="1">
        <f t="shared" ca="1" si="17"/>
        <v>44697</v>
      </c>
      <c r="E147" s="1">
        <f ca="1">Table1[[#This Row],[Job Posting Date]]+ RANDBETWEEN(15, 90)</f>
        <v>44785</v>
      </c>
      <c r="F147" s="1">
        <f ca="1">Table1[[#This Row],[Hire Date]]+ RANDBETWEEN(1, 15)</f>
        <v>44791</v>
      </c>
      <c r="G147" s="1" t="str">
        <f ca="1">IF(RAND() &lt; 0.5,  Table1[[#This Row],[Join Date]]+ RANDBETWEEN(30, TODAY()- Table1[[#This Row],[Join Date]]), "-")</f>
        <v>-</v>
      </c>
      <c r="H147" t="str">
        <f ca="1">IF(Table1[[#This Row],[Exit Date]]= "-", "Active", "Exited")</f>
        <v>Active</v>
      </c>
      <c r="I147" s="5">
        <f t="shared" ca="1" si="18"/>
        <v>3138</v>
      </c>
      <c r="J147" t="str" cm="1">
        <f t="array" aca="1" ref="J147" ca="1">INDEX(sheet2!$C$2:$C$6, RANDBETWEEN(1, 5))</f>
        <v>Conflict Resolution</v>
      </c>
      <c r="K147" t="str">
        <f t="shared" ca="1" si="19"/>
        <v>Completed</v>
      </c>
      <c r="L147">
        <v>260</v>
      </c>
      <c r="M147">
        <f t="shared" ca="1" si="20"/>
        <v>3</v>
      </c>
      <c r="N147" t="str">
        <f t="shared" ca="1" si="21"/>
        <v>Female</v>
      </c>
      <c r="O147" s="6">
        <f t="shared" ca="1" si="22"/>
        <v>2056</v>
      </c>
      <c r="P147">
        <f ca="1">Table1[[#This Row],[Hire Date]]-Table1[[#This Row],[Job Posting Date]]</f>
        <v>88</v>
      </c>
      <c r="Q147" s="7">
        <f ca="1">Table1[[#This Row],[Join Date]]-Table1[[#This Row],[Hire Date]]</f>
        <v>6</v>
      </c>
      <c r="R147" s="8">
        <f ca="1">(IF(Table1[[#This Row],[Status]]="Exited",Table1[[#This Row],[Exit Date]]-Table1[[#This Row],[Join Date]],TODAY()-Table1[[#This Row],[Join Date]]))/30</f>
        <v>29.733333333333334</v>
      </c>
      <c r="S147">
        <f ca="1">Table1[[#This Row],[Hire Date]]-Table1[[#This Row],[Job Posting Date]]</f>
        <v>88</v>
      </c>
      <c r="T147" s="7">
        <f ca="1">Table1[[#This Row],[Time to Onboard]]/Table1[[#This Row],[Time to Fill]]*100</f>
        <v>6.8181818181818175</v>
      </c>
      <c r="U147" s="8">
        <f ca="1">Table1[[#This Row],[Time to Onboard]]/Table1[[#This Row],[Time to Fill]]*100</f>
        <v>6.8181818181818175</v>
      </c>
      <c r="V147">
        <f ca="1">Table1[[#This Row],[Join Date]]-Table1[[#This Row],[Job Posting Date]]</f>
        <v>94</v>
      </c>
      <c r="W147">
        <f t="shared" ca="1" si="23"/>
        <v>124</v>
      </c>
      <c r="X147" s="8">
        <f ca="1">Table1[[#This Row],[Absentee Days]]/Table1[[#This Row],[Total Work Days]]*100</f>
        <v>1.153846153846154</v>
      </c>
      <c r="Y147">
        <f ca="1">YEAR(Table1[[#This Row],[Join Date]])</f>
        <v>2022</v>
      </c>
      <c r="Z147">
        <f ca="1">IF(Table1[[#This Row],[Status]]="Active",1,0)</f>
        <v>1</v>
      </c>
      <c r="AA147">
        <f ca="1">IF(Table1[[#This Row],[Status]]="Exited",Table1[[#This Row],[Recruitment Cost]]+Table1[[#This Row],[Onboarding Cost]]+Table1[[#This Row],[Training Cost]],0)</f>
        <v>0</v>
      </c>
    </row>
    <row r="148" spans="1:27" x14ac:dyDescent="0.2">
      <c r="A148" t="str">
        <f t="shared" si="16"/>
        <v>E147</v>
      </c>
      <c r="B148" t="str" cm="1">
        <f t="array" aca="1" ref="B148" ca="1">INDEX(sheet2!$A$2:$A$6, RANDBETWEEN(1, 5))</f>
        <v>Finance</v>
      </c>
      <c r="C148" t="str">
        <f ca="1">_xlfn.XLOOKUP(Table1[[#This Row],[Department]],sheet2!$A$2:$A$6,sheet2!$B$2:$B$6,_xleta.NA,0)</f>
        <v>Finance Manager</v>
      </c>
      <c r="D148" s="1">
        <f t="shared" ca="1" si="17"/>
        <v>43122</v>
      </c>
      <c r="E148" s="1">
        <f ca="1">Table1[[#This Row],[Job Posting Date]]+ RANDBETWEEN(15, 90)</f>
        <v>43155</v>
      </c>
      <c r="F148" s="1">
        <f ca="1">Table1[[#This Row],[Hire Date]]+ RANDBETWEEN(1, 15)</f>
        <v>43170</v>
      </c>
      <c r="G148" s="1" t="str">
        <f ca="1">IF(RAND() &lt; 0.5,  Table1[[#This Row],[Join Date]]+ RANDBETWEEN(30, TODAY()- Table1[[#This Row],[Join Date]]), "-")</f>
        <v>-</v>
      </c>
      <c r="H148" t="str">
        <f ca="1">IF(Table1[[#This Row],[Exit Date]]= "-", "Active", "Exited")</f>
        <v>Active</v>
      </c>
      <c r="I148" s="5">
        <f t="shared" ca="1" si="18"/>
        <v>3586</v>
      </c>
      <c r="J148" t="str" cm="1">
        <f t="array" aca="1" ref="J148" ca="1">INDEX(sheet2!$C$2:$C$6, RANDBETWEEN(1, 5))</f>
        <v>Ethics and Responsibilities</v>
      </c>
      <c r="K148" t="str">
        <f t="shared" ca="1" si="19"/>
        <v>Not Completed</v>
      </c>
      <c r="L148">
        <v>260</v>
      </c>
      <c r="M148">
        <f t="shared" ca="1" si="20"/>
        <v>0</v>
      </c>
      <c r="N148" t="str">
        <f t="shared" ca="1" si="21"/>
        <v>Other</v>
      </c>
      <c r="O148" s="6">
        <f t="shared" ca="1" si="22"/>
        <v>1547</v>
      </c>
      <c r="P148">
        <f ca="1">Table1[[#This Row],[Hire Date]]-Table1[[#This Row],[Job Posting Date]]</f>
        <v>33</v>
      </c>
      <c r="Q148" s="7">
        <f ca="1">Table1[[#This Row],[Join Date]]-Table1[[#This Row],[Hire Date]]</f>
        <v>15</v>
      </c>
      <c r="R148" s="8">
        <f ca="1">(IF(Table1[[#This Row],[Status]]="Exited",Table1[[#This Row],[Exit Date]]-Table1[[#This Row],[Join Date]],TODAY()-Table1[[#This Row],[Join Date]]))/30</f>
        <v>83.766666666666666</v>
      </c>
      <c r="S148">
        <f ca="1">Table1[[#This Row],[Hire Date]]-Table1[[#This Row],[Job Posting Date]]</f>
        <v>33</v>
      </c>
      <c r="T148" s="7">
        <f ca="1">Table1[[#This Row],[Time to Onboard]]/Table1[[#This Row],[Time to Fill]]*100</f>
        <v>45.454545454545453</v>
      </c>
      <c r="U148" s="8">
        <f ca="1">Table1[[#This Row],[Time to Onboard]]/Table1[[#This Row],[Time to Fill]]*100</f>
        <v>45.454545454545453</v>
      </c>
      <c r="V148">
        <f ca="1">Table1[[#This Row],[Join Date]]-Table1[[#This Row],[Job Posting Date]]</f>
        <v>48</v>
      </c>
      <c r="W148">
        <f t="shared" ca="1" si="23"/>
        <v>166</v>
      </c>
      <c r="X148" s="8">
        <f ca="1">Table1[[#This Row],[Absentee Days]]/Table1[[#This Row],[Total Work Days]]*100</f>
        <v>0</v>
      </c>
      <c r="Y148">
        <f ca="1">YEAR(Table1[[#This Row],[Join Date]])</f>
        <v>2018</v>
      </c>
      <c r="Z148">
        <f ca="1">IF(Table1[[#This Row],[Status]]="Active",1,0)</f>
        <v>1</v>
      </c>
      <c r="AA148">
        <f ca="1">IF(Table1[[#This Row],[Status]]="Exited",Table1[[#This Row],[Recruitment Cost]]+Table1[[#This Row],[Onboarding Cost]]+Table1[[#This Row],[Training Cost]],0)</f>
        <v>0</v>
      </c>
    </row>
    <row r="149" spans="1:27" x14ac:dyDescent="0.2">
      <c r="A149" t="str">
        <f t="shared" si="16"/>
        <v>E148</v>
      </c>
      <c r="B149" t="str" cm="1">
        <f t="array" aca="1" ref="B149" ca="1">INDEX(sheet2!$A$2:$A$6, RANDBETWEEN(1, 5))</f>
        <v>HR</v>
      </c>
      <c r="C149" t="str">
        <f ca="1">_xlfn.XLOOKUP(Table1[[#This Row],[Department]],sheet2!$A$2:$A$6,sheet2!$B$2:$B$6,_xleta.NA,0)</f>
        <v>HR Manager</v>
      </c>
      <c r="D149" s="1">
        <f t="shared" ca="1" si="17"/>
        <v>44410</v>
      </c>
      <c r="E149" s="1">
        <f ca="1">Table1[[#This Row],[Job Posting Date]]+ RANDBETWEEN(15, 90)</f>
        <v>44483</v>
      </c>
      <c r="F149" s="1">
        <f ca="1">Table1[[#This Row],[Hire Date]]+ RANDBETWEEN(1, 15)</f>
        <v>44489</v>
      </c>
      <c r="G149" s="1" t="str">
        <f ca="1">IF(RAND() &lt; 0.5,  Table1[[#This Row],[Join Date]]+ RANDBETWEEN(30, TODAY()- Table1[[#This Row],[Join Date]]), "-")</f>
        <v>-</v>
      </c>
      <c r="H149" t="str">
        <f ca="1">IF(Table1[[#This Row],[Exit Date]]= "-", "Active", "Exited")</f>
        <v>Active</v>
      </c>
      <c r="I149" s="5">
        <f t="shared" ca="1" si="18"/>
        <v>2312</v>
      </c>
      <c r="J149" t="str" cm="1">
        <f t="array" aca="1" ref="J149" ca="1">INDEX(sheet2!$C$2:$C$6, RANDBETWEEN(1, 5))</f>
        <v>Ethics and Responsibilities</v>
      </c>
      <c r="K149" t="str">
        <f t="shared" ca="1" si="19"/>
        <v>Completed</v>
      </c>
      <c r="L149">
        <v>260</v>
      </c>
      <c r="M149">
        <f t="shared" ca="1" si="20"/>
        <v>12</v>
      </c>
      <c r="N149" t="str">
        <f t="shared" ca="1" si="21"/>
        <v>Other</v>
      </c>
      <c r="O149" s="6">
        <f t="shared" ca="1" si="22"/>
        <v>2019</v>
      </c>
      <c r="P149">
        <f ca="1">Table1[[#This Row],[Hire Date]]-Table1[[#This Row],[Job Posting Date]]</f>
        <v>73</v>
      </c>
      <c r="Q149" s="7">
        <f ca="1">Table1[[#This Row],[Join Date]]-Table1[[#This Row],[Hire Date]]</f>
        <v>6</v>
      </c>
      <c r="R149" s="8">
        <f ca="1">(IF(Table1[[#This Row],[Status]]="Exited",Table1[[#This Row],[Exit Date]]-Table1[[#This Row],[Join Date]],TODAY()-Table1[[#This Row],[Join Date]]))/30</f>
        <v>39.799999999999997</v>
      </c>
      <c r="S149">
        <f ca="1">Table1[[#This Row],[Hire Date]]-Table1[[#This Row],[Job Posting Date]]</f>
        <v>73</v>
      </c>
      <c r="T149" s="7">
        <f ca="1">Table1[[#This Row],[Time to Onboard]]/Table1[[#This Row],[Time to Fill]]*100</f>
        <v>8.2191780821917799</v>
      </c>
      <c r="U149" s="8">
        <f ca="1">Table1[[#This Row],[Time to Onboard]]/Table1[[#This Row],[Time to Fill]]*100</f>
        <v>8.2191780821917799</v>
      </c>
      <c r="V149">
        <f ca="1">Table1[[#This Row],[Join Date]]-Table1[[#This Row],[Job Posting Date]]</f>
        <v>79</v>
      </c>
      <c r="W149">
        <f t="shared" ca="1" si="23"/>
        <v>151</v>
      </c>
      <c r="X149" s="8">
        <f ca="1">Table1[[#This Row],[Absentee Days]]/Table1[[#This Row],[Total Work Days]]*100</f>
        <v>4.6153846153846159</v>
      </c>
      <c r="Y149">
        <f ca="1">YEAR(Table1[[#This Row],[Join Date]])</f>
        <v>2021</v>
      </c>
      <c r="Z149">
        <f ca="1">IF(Table1[[#This Row],[Status]]="Active",1,0)</f>
        <v>1</v>
      </c>
      <c r="AA149">
        <f ca="1">IF(Table1[[#This Row],[Status]]="Exited",Table1[[#This Row],[Recruitment Cost]]+Table1[[#This Row],[Onboarding Cost]]+Table1[[#This Row],[Training Cost]],0)</f>
        <v>0</v>
      </c>
    </row>
    <row r="150" spans="1:27" x14ac:dyDescent="0.2">
      <c r="A150" t="str">
        <f t="shared" si="16"/>
        <v>E149</v>
      </c>
      <c r="B150" t="str" cm="1">
        <f t="array" aca="1" ref="B150" ca="1">INDEX(sheet2!$A$2:$A$6, RANDBETWEEN(1, 5))</f>
        <v>IT</v>
      </c>
      <c r="C150" t="str">
        <f ca="1">_xlfn.XLOOKUP(Table1[[#This Row],[Department]],sheet2!$A$2:$A$6,sheet2!$B$2:$B$6,_xleta.NA,0)</f>
        <v>Software Engineer</v>
      </c>
      <c r="D150" s="1">
        <f t="shared" ca="1" si="17"/>
        <v>44831</v>
      </c>
      <c r="E150" s="1">
        <f ca="1">Table1[[#This Row],[Job Posting Date]]+ RANDBETWEEN(15, 90)</f>
        <v>44912</v>
      </c>
      <c r="F150" s="1">
        <f ca="1">Table1[[#This Row],[Hire Date]]+ RANDBETWEEN(1, 15)</f>
        <v>44924</v>
      </c>
      <c r="G150" s="1" t="str">
        <f ca="1">IF(RAND() &lt; 0.5,  Table1[[#This Row],[Join Date]]+ RANDBETWEEN(30, TODAY()- Table1[[#This Row],[Join Date]]), "-")</f>
        <v>-</v>
      </c>
      <c r="H150" t="str">
        <f ca="1">IF(Table1[[#This Row],[Exit Date]]= "-", "Active", "Exited")</f>
        <v>Active</v>
      </c>
      <c r="I150" s="5">
        <f t="shared" ca="1" si="18"/>
        <v>2593</v>
      </c>
      <c r="J150" t="str" cm="1">
        <f t="array" aca="1" ref="J150" ca="1">INDEX(sheet2!$C$2:$C$6, RANDBETWEEN(1, 5))</f>
        <v>Ethics and Responsibilities</v>
      </c>
      <c r="K150" t="str">
        <f t="shared" ca="1" si="19"/>
        <v>Completed</v>
      </c>
      <c r="L150">
        <v>260</v>
      </c>
      <c r="M150">
        <f t="shared" ca="1" si="20"/>
        <v>9</v>
      </c>
      <c r="N150" t="str">
        <f t="shared" ca="1" si="21"/>
        <v>Other</v>
      </c>
      <c r="O150" s="6">
        <f t="shared" ca="1" si="22"/>
        <v>1886</v>
      </c>
      <c r="P150">
        <f ca="1">Table1[[#This Row],[Hire Date]]-Table1[[#This Row],[Job Posting Date]]</f>
        <v>81</v>
      </c>
      <c r="Q150" s="7">
        <f ca="1">Table1[[#This Row],[Join Date]]-Table1[[#This Row],[Hire Date]]</f>
        <v>12</v>
      </c>
      <c r="R150" s="8">
        <f ca="1">(IF(Table1[[#This Row],[Status]]="Exited",Table1[[#This Row],[Exit Date]]-Table1[[#This Row],[Join Date]],TODAY()-Table1[[#This Row],[Join Date]]))/30</f>
        <v>25.3</v>
      </c>
      <c r="S150">
        <f ca="1">Table1[[#This Row],[Hire Date]]-Table1[[#This Row],[Job Posting Date]]</f>
        <v>81</v>
      </c>
      <c r="T150" s="7">
        <f ca="1">Table1[[#This Row],[Time to Onboard]]/Table1[[#This Row],[Time to Fill]]*100</f>
        <v>14.814814814814813</v>
      </c>
      <c r="U150" s="8">
        <f ca="1">Table1[[#This Row],[Time to Onboard]]/Table1[[#This Row],[Time to Fill]]*100</f>
        <v>14.814814814814813</v>
      </c>
      <c r="V150">
        <f ca="1">Table1[[#This Row],[Join Date]]-Table1[[#This Row],[Job Posting Date]]</f>
        <v>93</v>
      </c>
      <c r="W150">
        <f t="shared" ca="1" si="23"/>
        <v>115</v>
      </c>
      <c r="X150" s="8">
        <f ca="1">Table1[[#This Row],[Absentee Days]]/Table1[[#This Row],[Total Work Days]]*100</f>
        <v>3.4615384615384617</v>
      </c>
      <c r="Y150">
        <f ca="1">YEAR(Table1[[#This Row],[Join Date]])</f>
        <v>2022</v>
      </c>
      <c r="Z150">
        <f ca="1">IF(Table1[[#This Row],[Status]]="Active",1,0)</f>
        <v>1</v>
      </c>
      <c r="AA150">
        <f ca="1">IF(Table1[[#This Row],[Status]]="Exited",Table1[[#This Row],[Recruitment Cost]]+Table1[[#This Row],[Onboarding Cost]]+Table1[[#This Row],[Training Cost]],0)</f>
        <v>0</v>
      </c>
    </row>
    <row r="151" spans="1:27" x14ac:dyDescent="0.2">
      <c r="A151" t="str">
        <f t="shared" si="16"/>
        <v>E150</v>
      </c>
      <c r="B151" t="str" cm="1">
        <f t="array" aca="1" ref="B151" ca="1">INDEX(sheet2!$A$2:$A$6, RANDBETWEEN(1, 5))</f>
        <v>Analytics</v>
      </c>
      <c r="C151" t="str">
        <f ca="1">_xlfn.XLOOKUP(Table1[[#This Row],[Department]],sheet2!$A$2:$A$6,sheet2!$B$2:$B$6,_xleta.NA,0)</f>
        <v>Data Analyst</v>
      </c>
      <c r="D151" s="1">
        <f t="shared" ca="1" si="17"/>
        <v>44360</v>
      </c>
      <c r="E151" s="1">
        <f ca="1">Table1[[#This Row],[Job Posting Date]]+ RANDBETWEEN(15, 90)</f>
        <v>44378</v>
      </c>
      <c r="F151" s="1">
        <f ca="1">Table1[[#This Row],[Hire Date]]+ RANDBETWEEN(1, 15)</f>
        <v>44387</v>
      </c>
      <c r="G151" s="1">
        <f ca="1">IF(RAND() &lt; 0.5,  Table1[[#This Row],[Join Date]]+ RANDBETWEEN(30, TODAY()- Table1[[#This Row],[Join Date]]), "-")</f>
        <v>44672</v>
      </c>
      <c r="H151" t="str">
        <f ca="1">IF(Table1[[#This Row],[Exit Date]]= "-", "Active", "Exited")</f>
        <v>Exited</v>
      </c>
      <c r="I151" s="5">
        <f t="shared" ca="1" si="18"/>
        <v>3705</v>
      </c>
      <c r="J151" t="str" cm="1">
        <f t="array" aca="1" ref="J151" ca="1">INDEX(sheet2!$C$2:$C$6, RANDBETWEEN(1, 5))</f>
        <v>Leadership Development</v>
      </c>
      <c r="K151" t="str">
        <f t="shared" ca="1" si="19"/>
        <v>Completed</v>
      </c>
      <c r="L151">
        <v>260</v>
      </c>
      <c r="M151">
        <f t="shared" ca="1" si="20"/>
        <v>15</v>
      </c>
      <c r="N151" t="str">
        <f t="shared" ca="1" si="21"/>
        <v>Female</v>
      </c>
      <c r="O151" s="6">
        <f t="shared" ca="1" si="22"/>
        <v>1996</v>
      </c>
      <c r="P151">
        <f ca="1">Table1[[#This Row],[Hire Date]]-Table1[[#This Row],[Job Posting Date]]</f>
        <v>18</v>
      </c>
      <c r="Q151" s="7">
        <f ca="1">Table1[[#This Row],[Join Date]]-Table1[[#This Row],[Hire Date]]</f>
        <v>9</v>
      </c>
      <c r="R151" s="8">
        <f ca="1">(IF(Table1[[#This Row],[Status]]="Exited",Table1[[#This Row],[Exit Date]]-Table1[[#This Row],[Join Date]],TODAY()-Table1[[#This Row],[Join Date]]))/30</f>
        <v>9.5</v>
      </c>
      <c r="S151">
        <f ca="1">Table1[[#This Row],[Hire Date]]-Table1[[#This Row],[Job Posting Date]]</f>
        <v>18</v>
      </c>
      <c r="T151" s="7">
        <f ca="1">Table1[[#This Row],[Time to Onboard]]/Table1[[#This Row],[Time to Fill]]*100</f>
        <v>50</v>
      </c>
      <c r="U151" s="8">
        <f ca="1">Table1[[#This Row],[Time to Onboard]]/Table1[[#This Row],[Time to Fill]]*100</f>
        <v>50</v>
      </c>
      <c r="V151">
        <f ca="1">Table1[[#This Row],[Join Date]]-Table1[[#This Row],[Job Posting Date]]</f>
        <v>27</v>
      </c>
      <c r="W151">
        <f t="shared" ca="1" si="23"/>
        <v>108</v>
      </c>
      <c r="X151" s="8">
        <f ca="1">Table1[[#This Row],[Absentee Days]]/Table1[[#This Row],[Total Work Days]]*100</f>
        <v>5.7692307692307692</v>
      </c>
      <c r="Y151">
        <f ca="1">YEAR(Table1[[#This Row],[Join Date]])</f>
        <v>2021</v>
      </c>
      <c r="Z151">
        <f ca="1">IF(Table1[[#This Row],[Status]]="Active",1,0)</f>
        <v>0</v>
      </c>
      <c r="AA151">
        <f ca="1">IF(Table1[[#This Row],[Status]]="Exited",Table1[[#This Row],[Recruitment Cost]]+Table1[[#This Row],[Onboarding Cost]]+Table1[[#This Row],[Training Cost]],0)</f>
        <v>5809</v>
      </c>
    </row>
    <row r="152" spans="1:27" x14ac:dyDescent="0.2">
      <c r="A152" t="str">
        <f t="shared" si="16"/>
        <v>E151</v>
      </c>
      <c r="B152" t="str" cm="1">
        <f t="array" aca="1" ref="B152" ca="1">INDEX(sheet2!$A$2:$A$6, RANDBETWEEN(1, 5))</f>
        <v>Analytics</v>
      </c>
      <c r="C152" t="str">
        <f ca="1">_xlfn.XLOOKUP(Table1[[#This Row],[Department]],sheet2!$A$2:$A$6,sheet2!$B$2:$B$6,_xleta.NA,0)</f>
        <v>Data Analyst</v>
      </c>
      <c r="D152" s="1">
        <f t="shared" ca="1" si="17"/>
        <v>44918</v>
      </c>
      <c r="E152" s="1">
        <f ca="1">Table1[[#This Row],[Job Posting Date]]+ RANDBETWEEN(15, 90)</f>
        <v>44954</v>
      </c>
      <c r="F152" s="1">
        <f ca="1">Table1[[#This Row],[Hire Date]]+ RANDBETWEEN(1, 15)</f>
        <v>44956</v>
      </c>
      <c r="G152" s="1" t="str">
        <f ca="1">IF(RAND() &lt; 0.5,  Table1[[#This Row],[Join Date]]+ RANDBETWEEN(30, TODAY()- Table1[[#This Row],[Join Date]]), "-")</f>
        <v>-</v>
      </c>
      <c r="H152" t="str">
        <f ca="1">IF(Table1[[#This Row],[Exit Date]]= "-", "Active", "Exited")</f>
        <v>Active</v>
      </c>
      <c r="I152" s="5">
        <f t="shared" ca="1" si="18"/>
        <v>4477</v>
      </c>
      <c r="J152" t="str" cm="1">
        <f t="array" aca="1" ref="J152" ca="1">INDEX(sheet2!$C$2:$C$6, RANDBETWEEN(1, 5))</f>
        <v>Advanced Excel Skills </v>
      </c>
      <c r="K152" t="str">
        <f t="shared" ca="1" si="19"/>
        <v>Completed</v>
      </c>
      <c r="L152">
        <v>260</v>
      </c>
      <c r="M152">
        <f t="shared" ca="1" si="20"/>
        <v>15</v>
      </c>
      <c r="N152" t="str">
        <f t="shared" ca="1" si="21"/>
        <v>Male</v>
      </c>
      <c r="O152" s="6">
        <f t="shared" ca="1" si="22"/>
        <v>1398</v>
      </c>
      <c r="P152">
        <f ca="1">Table1[[#This Row],[Hire Date]]-Table1[[#This Row],[Job Posting Date]]</f>
        <v>36</v>
      </c>
      <c r="Q152" s="7">
        <f ca="1">Table1[[#This Row],[Join Date]]-Table1[[#This Row],[Hire Date]]</f>
        <v>2</v>
      </c>
      <c r="R152" s="8">
        <f ca="1">(IF(Table1[[#This Row],[Status]]="Exited",Table1[[#This Row],[Exit Date]]-Table1[[#This Row],[Join Date]],TODAY()-Table1[[#This Row],[Join Date]]))/30</f>
        <v>24.233333333333334</v>
      </c>
      <c r="S152">
        <f ca="1">Table1[[#This Row],[Hire Date]]-Table1[[#This Row],[Job Posting Date]]</f>
        <v>36</v>
      </c>
      <c r="T152" s="7">
        <f ca="1">Table1[[#This Row],[Time to Onboard]]/Table1[[#This Row],[Time to Fill]]*100</f>
        <v>5.5555555555555554</v>
      </c>
      <c r="U152" s="8">
        <f ca="1">Table1[[#This Row],[Time to Onboard]]/Table1[[#This Row],[Time to Fill]]*100</f>
        <v>5.5555555555555554</v>
      </c>
      <c r="V152">
        <f ca="1">Table1[[#This Row],[Join Date]]-Table1[[#This Row],[Job Posting Date]]</f>
        <v>38</v>
      </c>
      <c r="W152">
        <f t="shared" ca="1" si="23"/>
        <v>198</v>
      </c>
      <c r="X152" s="8">
        <f ca="1">Table1[[#This Row],[Absentee Days]]/Table1[[#This Row],[Total Work Days]]*100</f>
        <v>5.7692307692307692</v>
      </c>
      <c r="Y152">
        <f ca="1">YEAR(Table1[[#This Row],[Join Date]])</f>
        <v>2023</v>
      </c>
      <c r="Z152">
        <f ca="1">IF(Table1[[#This Row],[Status]]="Active",1,0)</f>
        <v>1</v>
      </c>
      <c r="AA152">
        <f ca="1">IF(Table1[[#This Row],[Status]]="Exited",Table1[[#This Row],[Recruitment Cost]]+Table1[[#This Row],[Onboarding Cost]]+Table1[[#This Row],[Training Cost]],0)</f>
        <v>0</v>
      </c>
    </row>
    <row r="153" spans="1:27" x14ac:dyDescent="0.2">
      <c r="A153" t="str">
        <f t="shared" si="16"/>
        <v>E152</v>
      </c>
      <c r="B153" t="str" cm="1">
        <f t="array" aca="1" ref="B153" ca="1">INDEX(sheet2!$A$2:$A$6, RANDBETWEEN(1, 5))</f>
        <v>Sales</v>
      </c>
      <c r="C153" t="str">
        <f ca="1">_xlfn.XLOOKUP(Table1[[#This Row],[Department]],sheet2!$A$2:$A$6,sheet2!$B$2:$B$6,_xleta.NA,0)</f>
        <v>Marketing Manager</v>
      </c>
      <c r="D153" s="1">
        <f t="shared" ca="1" si="17"/>
        <v>44091</v>
      </c>
      <c r="E153" s="1">
        <f ca="1">Table1[[#This Row],[Job Posting Date]]+ RANDBETWEEN(15, 90)</f>
        <v>44112</v>
      </c>
      <c r="F153" s="1">
        <f ca="1">Table1[[#This Row],[Hire Date]]+ RANDBETWEEN(1, 15)</f>
        <v>44123</v>
      </c>
      <c r="G153" s="1">
        <f ca="1">IF(RAND() &lt; 0.5,  Table1[[#This Row],[Join Date]]+ RANDBETWEEN(30, TODAY()- Table1[[#This Row],[Join Date]]), "-")</f>
        <v>45595</v>
      </c>
      <c r="H153" t="str">
        <f ca="1">IF(Table1[[#This Row],[Exit Date]]= "-", "Active", "Exited")</f>
        <v>Exited</v>
      </c>
      <c r="I153" s="5">
        <f t="shared" ca="1" si="18"/>
        <v>1917</v>
      </c>
      <c r="J153" t="str" cm="1">
        <f t="array" aca="1" ref="J153" ca="1">INDEX(sheet2!$C$2:$C$6, RANDBETWEEN(1, 5))</f>
        <v>Communication Skills</v>
      </c>
      <c r="K153" t="str">
        <f t="shared" ca="1" si="19"/>
        <v>Completed</v>
      </c>
      <c r="L153">
        <v>260</v>
      </c>
      <c r="M153">
        <f t="shared" ca="1" si="20"/>
        <v>0</v>
      </c>
      <c r="N153" t="str">
        <f t="shared" ca="1" si="21"/>
        <v>Other</v>
      </c>
      <c r="O153" s="6">
        <f t="shared" ca="1" si="22"/>
        <v>1875</v>
      </c>
      <c r="P153">
        <f ca="1">Table1[[#This Row],[Hire Date]]-Table1[[#This Row],[Job Posting Date]]</f>
        <v>21</v>
      </c>
      <c r="Q153" s="7">
        <f ca="1">Table1[[#This Row],[Join Date]]-Table1[[#This Row],[Hire Date]]</f>
        <v>11</v>
      </c>
      <c r="R153" s="8">
        <f ca="1">(IF(Table1[[#This Row],[Status]]="Exited",Table1[[#This Row],[Exit Date]]-Table1[[#This Row],[Join Date]],TODAY()-Table1[[#This Row],[Join Date]]))/30</f>
        <v>49.06666666666667</v>
      </c>
      <c r="S153">
        <f ca="1">Table1[[#This Row],[Hire Date]]-Table1[[#This Row],[Job Posting Date]]</f>
        <v>21</v>
      </c>
      <c r="T153" s="7">
        <f ca="1">Table1[[#This Row],[Time to Onboard]]/Table1[[#This Row],[Time to Fill]]*100</f>
        <v>52.380952380952387</v>
      </c>
      <c r="U153" s="8">
        <f ca="1">Table1[[#This Row],[Time to Onboard]]/Table1[[#This Row],[Time to Fill]]*100</f>
        <v>52.380952380952387</v>
      </c>
      <c r="V153">
        <f ca="1">Table1[[#This Row],[Join Date]]-Table1[[#This Row],[Job Posting Date]]</f>
        <v>32</v>
      </c>
      <c r="W153">
        <f t="shared" ca="1" si="23"/>
        <v>105</v>
      </c>
      <c r="X153" s="8">
        <f ca="1">Table1[[#This Row],[Absentee Days]]/Table1[[#This Row],[Total Work Days]]*100</f>
        <v>0</v>
      </c>
      <c r="Y153">
        <f ca="1">YEAR(Table1[[#This Row],[Join Date]])</f>
        <v>2020</v>
      </c>
      <c r="Z153">
        <f ca="1">IF(Table1[[#This Row],[Status]]="Active",1,0)</f>
        <v>0</v>
      </c>
      <c r="AA153">
        <f ca="1">IF(Table1[[#This Row],[Status]]="Exited",Table1[[#This Row],[Recruitment Cost]]+Table1[[#This Row],[Onboarding Cost]]+Table1[[#This Row],[Training Cost]],0)</f>
        <v>3897</v>
      </c>
    </row>
    <row r="154" spans="1:27" x14ac:dyDescent="0.2">
      <c r="A154" t="str">
        <f t="shared" si="16"/>
        <v>E153</v>
      </c>
      <c r="B154" t="str" cm="1">
        <f t="array" aca="1" ref="B154" ca="1">INDEX(sheet2!$A$2:$A$6, RANDBETWEEN(1, 5))</f>
        <v>Sales</v>
      </c>
      <c r="C154" t="str">
        <f ca="1">_xlfn.XLOOKUP(Table1[[#This Row],[Department]],sheet2!$A$2:$A$6,sheet2!$B$2:$B$6,_xleta.NA,0)</f>
        <v>Marketing Manager</v>
      </c>
      <c r="D154" s="1">
        <f t="shared" ca="1" si="17"/>
        <v>43285</v>
      </c>
      <c r="E154" s="1">
        <f ca="1">Table1[[#This Row],[Job Posting Date]]+ RANDBETWEEN(15, 90)</f>
        <v>43349</v>
      </c>
      <c r="F154" s="1">
        <f ca="1">Table1[[#This Row],[Hire Date]]+ RANDBETWEEN(1, 15)</f>
        <v>43361</v>
      </c>
      <c r="G154" s="1" t="str">
        <f ca="1">IF(RAND() &lt; 0.5,  Table1[[#This Row],[Join Date]]+ RANDBETWEEN(30, TODAY()- Table1[[#This Row],[Join Date]]), "-")</f>
        <v>-</v>
      </c>
      <c r="H154" t="str">
        <f ca="1">IF(Table1[[#This Row],[Exit Date]]= "-", "Active", "Exited")</f>
        <v>Active</v>
      </c>
      <c r="I154" s="5">
        <f t="shared" ca="1" si="18"/>
        <v>2847</v>
      </c>
      <c r="J154" t="str" cm="1">
        <f t="array" aca="1" ref="J154" ca="1">INDEX(sheet2!$C$2:$C$6, RANDBETWEEN(1, 5))</f>
        <v>Communication Skills</v>
      </c>
      <c r="K154" t="str">
        <f t="shared" ca="1" si="19"/>
        <v>Not Completed</v>
      </c>
      <c r="L154">
        <v>260</v>
      </c>
      <c r="M154">
        <f t="shared" ca="1" si="20"/>
        <v>7</v>
      </c>
      <c r="N154" t="str">
        <f t="shared" ca="1" si="21"/>
        <v>Male</v>
      </c>
      <c r="O154" s="6">
        <f t="shared" ca="1" si="22"/>
        <v>2388</v>
      </c>
      <c r="P154">
        <f ca="1">Table1[[#This Row],[Hire Date]]-Table1[[#This Row],[Job Posting Date]]</f>
        <v>64</v>
      </c>
      <c r="Q154" s="7">
        <f ca="1">Table1[[#This Row],[Join Date]]-Table1[[#This Row],[Hire Date]]</f>
        <v>12</v>
      </c>
      <c r="R154" s="8">
        <f ca="1">(IF(Table1[[#This Row],[Status]]="Exited",Table1[[#This Row],[Exit Date]]-Table1[[#This Row],[Join Date]],TODAY()-Table1[[#This Row],[Join Date]]))/30</f>
        <v>77.400000000000006</v>
      </c>
      <c r="S154">
        <f ca="1">Table1[[#This Row],[Hire Date]]-Table1[[#This Row],[Job Posting Date]]</f>
        <v>64</v>
      </c>
      <c r="T154" s="7">
        <f ca="1">Table1[[#This Row],[Time to Onboard]]/Table1[[#This Row],[Time to Fill]]*100</f>
        <v>18.75</v>
      </c>
      <c r="U154" s="8">
        <f ca="1">Table1[[#This Row],[Time to Onboard]]/Table1[[#This Row],[Time to Fill]]*100</f>
        <v>18.75</v>
      </c>
      <c r="V154">
        <f ca="1">Table1[[#This Row],[Join Date]]-Table1[[#This Row],[Job Posting Date]]</f>
        <v>76</v>
      </c>
      <c r="W154">
        <f t="shared" ca="1" si="23"/>
        <v>158</v>
      </c>
      <c r="X154" s="8">
        <f ca="1">Table1[[#This Row],[Absentee Days]]/Table1[[#This Row],[Total Work Days]]*100</f>
        <v>2.6923076923076925</v>
      </c>
      <c r="Y154">
        <f ca="1">YEAR(Table1[[#This Row],[Join Date]])</f>
        <v>2018</v>
      </c>
      <c r="Z154">
        <f ca="1">IF(Table1[[#This Row],[Status]]="Active",1,0)</f>
        <v>1</v>
      </c>
      <c r="AA154">
        <f ca="1">IF(Table1[[#This Row],[Status]]="Exited",Table1[[#This Row],[Recruitment Cost]]+Table1[[#This Row],[Onboarding Cost]]+Table1[[#This Row],[Training Cost]],0)</f>
        <v>0</v>
      </c>
    </row>
    <row r="155" spans="1:27" x14ac:dyDescent="0.2">
      <c r="A155" t="str">
        <f t="shared" si="16"/>
        <v>E154</v>
      </c>
      <c r="B155" t="str" cm="1">
        <f t="array" aca="1" ref="B155" ca="1">INDEX(sheet2!$A$2:$A$6, RANDBETWEEN(1, 5))</f>
        <v>IT</v>
      </c>
      <c r="C155" t="str">
        <f ca="1">_xlfn.XLOOKUP(Table1[[#This Row],[Department]],sheet2!$A$2:$A$6,sheet2!$B$2:$B$6,_xleta.NA,0)</f>
        <v>Software Engineer</v>
      </c>
      <c r="D155" s="1">
        <f t="shared" ca="1" si="17"/>
        <v>44657</v>
      </c>
      <c r="E155" s="1">
        <f ca="1">Table1[[#This Row],[Job Posting Date]]+ RANDBETWEEN(15, 90)</f>
        <v>44686</v>
      </c>
      <c r="F155" s="1">
        <f ca="1">Table1[[#This Row],[Hire Date]]+ RANDBETWEEN(1, 15)</f>
        <v>44698</v>
      </c>
      <c r="G155" s="1" t="str">
        <f ca="1">IF(RAND() &lt; 0.5,  Table1[[#This Row],[Join Date]]+ RANDBETWEEN(30, TODAY()- Table1[[#This Row],[Join Date]]), "-")</f>
        <v>-</v>
      </c>
      <c r="H155" t="str">
        <f ca="1">IF(Table1[[#This Row],[Exit Date]]= "-", "Active", "Exited")</f>
        <v>Active</v>
      </c>
      <c r="I155" s="5">
        <f t="shared" ca="1" si="18"/>
        <v>1511</v>
      </c>
      <c r="J155" t="str" cm="1">
        <f t="array" aca="1" ref="J155" ca="1">INDEX(sheet2!$C$2:$C$6, RANDBETWEEN(1, 5))</f>
        <v>Leadership Development</v>
      </c>
      <c r="K155" t="str">
        <f t="shared" ca="1" si="19"/>
        <v>Completed</v>
      </c>
      <c r="L155">
        <v>260</v>
      </c>
      <c r="M155">
        <f t="shared" ca="1" si="20"/>
        <v>2</v>
      </c>
      <c r="N155" t="str">
        <f t="shared" ca="1" si="21"/>
        <v>Female</v>
      </c>
      <c r="O155" s="6">
        <f t="shared" ca="1" si="22"/>
        <v>2467</v>
      </c>
      <c r="P155">
        <f ca="1">Table1[[#This Row],[Hire Date]]-Table1[[#This Row],[Job Posting Date]]</f>
        <v>29</v>
      </c>
      <c r="Q155" s="7">
        <f ca="1">Table1[[#This Row],[Join Date]]-Table1[[#This Row],[Hire Date]]</f>
        <v>12</v>
      </c>
      <c r="R155" s="8">
        <f ca="1">(IF(Table1[[#This Row],[Status]]="Exited",Table1[[#This Row],[Exit Date]]-Table1[[#This Row],[Join Date]],TODAY()-Table1[[#This Row],[Join Date]]))/30</f>
        <v>32.833333333333336</v>
      </c>
      <c r="S155">
        <f ca="1">Table1[[#This Row],[Hire Date]]-Table1[[#This Row],[Job Posting Date]]</f>
        <v>29</v>
      </c>
      <c r="T155" s="7">
        <f ca="1">Table1[[#This Row],[Time to Onboard]]/Table1[[#This Row],[Time to Fill]]*100</f>
        <v>41.379310344827587</v>
      </c>
      <c r="U155" s="8">
        <f ca="1">Table1[[#This Row],[Time to Onboard]]/Table1[[#This Row],[Time to Fill]]*100</f>
        <v>41.379310344827587</v>
      </c>
      <c r="V155">
        <f ca="1">Table1[[#This Row],[Join Date]]-Table1[[#This Row],[Job Posting Date]]</f>
        <v>41</v>
      </c>
      <c r="W155">
        <f t="shared" ca="1" si="23"/>
        <v>162</v>
      </c>
      <c r="X155" s="8">
        <f ca="1">Table1[[#This Row],[Absentee Days]]/Table1[[#This Row],[Total Work Days]]*100</f>
        <v>0.76923076923076927</v>
      </c>
      <c r="Y155">
        <f ca="1">YEAR(Table1[[#This Row],[Join Date]])</f>
        <v>2022</v>
      </c>
      <c r="Z155">
        <f ca="1">IF(Table1[[#This Row],[Status]]="Active",1,0)</f>
        <v>1</v>
      </c>
      <c r="AA155">
        <f ca="1">IF(Table1[[#This Row],[Status]]="Exited",Table1[[#This Row],[Recruitment Cost]]+Table1[[#This Row],[Onboarding Cost]]+Table1[[#This Row],[Training Cost]],0)</f>
        <v>0</v>
      </c>
    </row>
    <row r="156" spans="1:27" x14ac:dyDescent="0.2">
      <c r="A156" t="str">
        <f t="shared" si="16"/>
        <v>E155</v>
      </c>
      <c r="B156" t="str" cm="1">
        <f t="array" aca="1" ref="B156" ca="1">INDEX(sheet2!$A$2:$A$6, RANDBETWEEN(1, 5))</f>
        <v>HR</v>
      </c>
      <c r="C156" t="str">
        <f ca="1">_xlfn.XLOOKUP(Table1[[#This Row],[Department]],sheet2!$A$2:$A$6,sheet2!$B$2:$B$6,_xleta.NA,0)</f>
        <v>HR Manager</v>
      </c>
      <c r="D156" s="1">
        <f t="shared" ca="1" si="17"/>
        <v>43603</v>
      </c>
      <c r="E156" s="1">
        <f ca="1">Table1[[#This Row],[Job Posting Date]]+ RANDBETWEEN(15, 90)</f>
        <v>43618</v>
      </c>
      <c r="F156" s="1">
        <f ca="1">Table1[[#This Row],[Hire Date]]+ RANDBETWEEN(1, 15)</f>
        <v>43633</v>
      </c>
      <c r="G156" s="1" t="str">
        <f ca="1">IF(RAND() &lt; 0.5,  Table1[[#This Row],[Join Date]]+ RANDBETWEEN(30, TODAY()- Table1[[#This Row],[Join Date]]), "-")</f>
        <v>-</v>
      </c>
      <c r="H156" t="str">
        <f ca="1">IF(Table1[[#This Row],[Exit Date]]= "-", "Active", "Exited")</f>
        <v>Active</v>
      </c>
      <c r="I156" s="5">
        <f t="shared" ca="1" si="18"/>
        <v>4671</v>
      </c>
      <c r="J156" t="str" cm="1">
        <f t="array" aca="1" ref="J156" ca="1">INDEX(sheet2!$C$2:$C$6, RANDBETWEEN(1, 5))</f>
        <v>Conflict Resolution</v>
      </c>
      <c r="K156" t="str">
        <f t="shared" ca="1" si="19"/>
        <v>Completed</v>
      </c>
      <c r="L156">
        <v>260</v>
      </c>
      <c r="M156">
        <f t="shared" ca="1" si="20"/>
        <v>9</v>
      </c>
      <c r="N156" t="str">
        <f t="shared" ca="1" si="21"/>
        <v>Female</v>
      </c>
      <c r="O156" s="6">
        <f t="shared" ca="1" si="22"/>
        <v>1628</v>
      </c>
      <c r="P156">
        <f ca="1">Table1[[#This Row],[Hire Date]]-Table1[[#This Row],[Job Posting Date]]</f>
        <v>15</v>
      </c>
      <c r="Q156" s="7">
        <f ca="1">Table1[[#This Row],[Join Date]]-Table1[[#This Row],[Hire Date]]</f>
        <v>15</v>
      </c>
      <c r="R156" s="8">
        <f ca="1">(IF(Table1[[#This Row],[Status]]="Exited",Table1[[#This Row],[Exit Date]]-Table1[[#This Row],[Join Date]],TODAY()-Table1[[#This Row],[Join Date]]))/30</f>
        <v>68.333333333333329</v>
      </c>
      <c r="S156">
        <f ca="1">Table1[[#This Row],[Hire Date]]-Table1[[#This Row],[Job Posting Date]]</f>
        <v>15</v>
      </c>
      <c r="T156" s="7">
        <f ca="1">Table1[[#This Row],[Time to Onboard]]/Table1[[#This Row],[Time to Fill]]*100</f>
        <v>100</v>
      </c>
      <c r="U156" s="8">
        <f ca="1">Table1[[#This Row],[Time to Onboard]]/Table1[[#This Row],[Time to Fill]]*100</f>
        <v>100</v>
      </c>
      <c r="V156">
        <f ca="1">Table1[[#This Row],[Join Date]]-Table1[[#This Row],[Job Posting Date]]</f>
        <v>30</v>
      </c>
      <c r="W156">
        <f t="shared" ca="1" si="23"/>
        <v>180</v>
      </c>
      <c r="X156" s="8">
        <f ca="1">Table1[[#This Row],[Absentee Days]]/Table1[[#This Row],[Total Work Days]]*100</f>
        <v>3.4615384615384617</v>
      </c>
      <c r="Y156">
        <f ca="1">YEAR(Table1[[#This Row],[Join Date]])</f>
        <v>2019</v>
      </c>
      <c r="Z156">
        <f ca="1">IF(Table1[[#This Row],[Status]]="Active",1,0)</f>
        <v>1</v>
      </c>
      <c r="AA156">
        <f ca="1">IF(Table1[[#This Row],[Status]]="Exited",Table1[[#This Row],[Recruitment Cost]]+Table1[[#This Row],[Onboarding Cost]]+Table1[[#This Row],[Training Cost]],0)</f>
        <v>0</v>
      </c>
    </row>
    <row r="157" spans="1:27" x14ac:dyDescent="0.2">
      <c r="A157" t="str">
        <f t="shared" si="16"/>
        <v>E156</v>
      </c>
      <c r="B157" t="str" cm="1">
        <f t="array" aca="1" ref="B157" ca="1">INDEX(sheet2!$A$2:$A$6, RANDBETWEEN(1, 5))</f>
        <v>Finance</v>
      </c>
      <c r="C157" t="str">
        <f ca="1">_xlfn.XLOOKUP(Table1[[#This Row],[Department]],sheet2!$A$2:$A$6,sheet2!$B$2:$B$6,_xleta.NA,0)</f>
        <v>Finance Manager</v>
      </c>
      <c r="D157" s="1">
        <f t="shared" ca="1" si="17"/>
        <v>43412</v>
      </c>
      <c r="E157" s="1">
        <f ca="1">Table1[[#This Row],[Job Posting Date]]+ RANDBETWEEN(15, 90)</f>
        <v>43487</v>
      </c>
      <c r="F157" s="1">
        <f ca="1">Table1[[#This Row],[Hire Date]]+ RANDBETWEEN(1, 15)</f>
        <v>43495</v>
      </c>
      <c r="G157" s="1" t="str">
        <f ca="1">IF(RAND() &lt; 0.5,  Table1[[#This Row],[Join Date]]+ RANDBETWEEN(30, TODAY()- Table1[[#This Row],[Join Date]]), "-")</f>
        <v>-</v>
      </c>
      <c r="H157" t="str">
        <f ca="1">IF(Table1[[#This Row],[Exit Date]]= "-", "Active", "Exited")</f>
        <v>Active</v>
      </c>
      <c r="I157" s="5">
        <f t="shared" ca="1" si="18"/>
        <v>4150</v>
      </c>
      <c r="J157" t="str" cm="1">
        <f t="array" aca="1" ref="J157" ca="1">INDEX(sheet2!$C$2:$C$6, RANDBETWEEN(1, 5))</f>
        <v>Leadership Development</v>
      </c>
      <c r="K157" t="str">
        <f t="shared" ca="1" si="19"/>
        <v>Completed</v>
      </c>
      <c r="L157">
        <v>260</v>
      </c>
      <c r="M157">
        <f t="shared" ca="1" si="20"/>
        <v>8</v>
      </c>
      <c r="N157" t="str">
        <f t="shared" ca="1" si="21"/>
        <v>Female</v>
      </c>
      <c r="O157" s="6">
        <f t="shared" ca="1" si="22"/>
        <v>1718</v>
      </c>
      <c r="P157">
        <f ca="1">Table1[[#This Row],[Hire Date]]-Table1[[#This Row],[Job Posting Date]]</f>
        <v>75</v>
      </c>
      <c r="Q157" s="7">
        <f ca="1">Table1[[#This Row],[Join Date]]-Table1[[#This Row],[Hire Date]]</f>
        <v>8</v>
      </c>
      <c r="R157" s="8">
        <f ca="1">(IF(Table1[[#This Row],[Status]]="Exited",Table1[[#This Row],[Exit Date]]-Table1[[#This Row],[Join Date]],TODAY()-Table1[[#This Row],[Join Date]]))/30</f>
        <v>72.933333333333337</v>
      </c>
      <c r="S157">
        <f ca="1">Table1[[#This Row],[Hire Date]]-Table1[[#This Row],[Job Posting Date]]</f>
        <v>75</v>
      </c>
      <c r="T157" s="7">
        <f ca="1">Table1[[#This Row],[Time to Onboard]]/Table1[[#This Row],[Time to Fill]]*100</f>
        <v>10.666666666666668</v>
      </c>
      <c r="U157" s="8">
        <f ca="1">Table1[[#This Row],[Time to Onboard]]/Table1[[#This Row],[Time to Fill]]*100</f>
        <v>10.666666666666668</v>
      </c>
      <c r="V157">
        <f ca="1">Table1[[#This Row],[Join Date]]-Table1[[#This Row],[Job Posting Date]]</f>
        <v>83</v>
      </c>
      <c r="W157">
        <f t="shared" ca="1" si="23"/>
        <v>183</v>
      </c>
      <c r="X157" s="8">
        <f ca="1">Table1[[#This Row],[Absentee Days]]/Table1[[#This Row],[Total Work Days]]*100</f>
        <v>3.0769230769230771</v>
      </c>
      <c r="Y157">
        <f ca="1">YEAR(Table1[[#This Row],[Join Date]])</f>
        <v>2019</v>
      </c>
      <c r="Z157">
        <f ca="1">IF(Table1[[#This Row],[Status]]="Active",1,0)</f>
        <v>1</v>
      </c>
      <c r="AA157">
        <f ca="1">IF(Table1[[#This Row],[Status]]="Exited",Table1[[#This Row],[Recruitment Cost]]+Table1[[#This Row],[Onboarding Cost]]+Table1[[#This Row],[Training Cost]],0)</f>
        <v>0</v>
      </c>
    </row>
    <row r="158" spans="1:27" x14ac:dyDescent="0.2">
      <c r="A158" t="str">
        <f t="shared" si="16"/>
        <v>E157</v>
      </c>
      <c r="B158" t="str" cm="1">
        <f t="array" aca="1" ref="B158" ca="1">INDEX(sheet2!$A$2:$A$6, RANDBETWEEN(1, 5))</f>
        <v>Analytics</v>
      </c>
      <c r="C158" t="str">
        <f ca="1">_xlfn.XLOOKUP(Table1[[#This Row],[Department]],sheet2!$A$2:$A$6,sheet2!$B$2:$B$6,_xleta.NA,0)</f>
        <v>Data Analyst</v>
      </c>
      <c r="D158" s="1">
        <f t="shared" ca="1" si="17"/>
        <v>44757</v>
      </c>
      <c r="E158" s="1">
        <f ca="1">Table1[[#This Row],[Job Posting Date]]+ RANDBETWEEN(15, 90)</f>
        <v>44839</v>
      </c>
      <c r="F158" s="1">
        <f ca="1">Table1[[#This Row],[Hire Date]]+ RANDBETWEEN(1, 15)</f>
        <v>44851</v>
      </c>
      <c r="G158" s="1">
        <f ca="1">IF(RAND() &lt; 0.5,  Table1[[#This Row],[Join Date]]+ RANDBETWEEN(30, TODAY()- Table1[[#This Row],[Join Date]]), "-")</f>
        <v>45164</v>
      </c>
      <c r="H158" t="str">
        <f ca="1">IF(Table1[[#This Row],[Exit Date]]= "-", "Active", "Exited")</f>
        <v>Exited</v>
      </c>
      <c r="I158" s="5">
        <f t="shared" ca="1" si="18"/>
        <v>3505</v>
      </c>
      <c r="J158" t="str" cm="1">
        <f t="array" aca="1" ref="J158" ca="1">INDEX(sheet2!$C$2:$C$6, RANDBETWEEN(1, 5))</f>
        <v>Leadership Development</v>
      </c>
      <c r="K158" t="str">
        <f t="shared" ca="1" si="19"/>
        <v>Completed</v>
      </c>
      <c r="L158">
        <v>260</v>
      </c>
      <c r="M158">
        <f t="shared" ca="1" si="20"/>
        <v>6</v>
      </c>
      <c r="N158" t="str">
        <f t="shared" ca="1" si="21"/>
        <v>Other</v>
      </c>
      <c r="O158" s="6">
        <f t="shared" ca="1" si="22"/>
        <v>1813</v>
      </c>
      <c r="P158">
        <f ca="1">Table1[[#This Row],[Hire Date]]-Table1[[#This Row],[Job Posting Date]]</f>
        <v>82</v>
      </c>
      <c r="Q158" s="7">
        <f ca="1">Table1[[#This Row],[Join Date]]-Table1[[#This Row],[Hire Date]]</f>
        <v>12</v>
      </c>
      <c r="R158" s="8">
        <f ca="1">(IF(Table1[[#This Row],[Status]]="Exited",Table1[[#This Row],[Exit Date]]-Table1[[#This Row],[Join Date]],TODAY()-Table1[[#This Row],[Join Date]]))/30</f>
        <v>10.433333333333334</v>
      </c>
      <c r="S158">
        <f ca="1">Table1[[#This Row],[Hire Date]]-Table1[[#This Row],[Job Posting Date]]</f>
        <v>82</v>
      </c>
      <c r="T158" s="7">
        <f ca="1">Table1[[#This Row],[Time to Onboard]]/Table1[[#This Row],[Time to Fill]]*100</f>
        <v>14.634146341463413</v>
      </c>
      <c r="U158" s="8">
        <f ca="1">Table1[[#This Row],[Time to Onboard]]/Table1[[#This Row],[Time to Fill]]*100</f>
        <v>14.634146341463413</v>
      </c>
      <c r="V158">
        <f ca="1">Table1[[#This Row],[Join Date]]-Table1[[#This Row],[Job Posting Date]]</f>
        <v>94</v>
      </c>
      <c r="W158">
        <f t="shared" ca="1" si="23"/>
        <v>121</v>
      </c>
      <c r="X158" s="8">
        <f ca="1">Table1[[#This Row],[Absentee Days]]/Table1[[#This Row],[Total Work Days]]*100</f>
        <v>2.3076923076923079</v>
      </c>
      <c r="Y158">
        <f ca="1">YEAR(Table1[[#This Row],[Join Date]])</f>
        <v>2022</v>
      </c>
      <c r="Z158">
        <f ca="1">IF(Table1[[#This Row],[Status]]="Active",1,0)</f>
        <v>0</v>
      </c>
      <c r="AA158">
        <f ca="1">IF(Table1[[#This Row],[Status]]="Exited",Table1[[#This Row],[Recruitment Cost]]+Table1[[#This Row],[Onboarding Cost]]+Table1[[#This Row],[Training Cost]],0)</f>
        <v>5439</v>
      </c>
    </row>
    <row r="159" spans="1:27" x14ac:dyDescent="0.2">
      <c r="A159" t="str">
        <f t="shared" si="16"/>
        <v>E158</v>
      </c>
      <c r="B159" t="str" cm="1">
        <f t="array" aca="1" ref="B159" ca="1">INDEX(sheet2!$A$2:$A$6, RANDBETWEEN(1, 5))</f>
        <v>IT</v>
      </c>
      <c r="C159" t="str">
        <f ca="1">_xlfn.XLOOKUP(Table1[[#This Row],[Department]],sheet2!$A$2:$A$6,sheet2!$B$2:$B$6,_xleta.NA,0)</f>
        <v>Software Engineer</v>
      </c>
      <c r="D159" s="1">
        <f t="shared" ca="1" si="17"/>
        <v>43633</v>
      </c>
      <c r="E159" s="1">
        <f ca="1">Table1[[#This Row],[Job Posting Date]]+ RANDBETWEEN(15, 90)</f>
        <v>43653</v>
      </c>
      <c r="F159" s="1">
        <f ca="1">Table1[[#This Row],[Hire Date]]+ RANDBETWEEN(1, 15)</f>
        <v>43660</v>
      </c>
      <c r="G159" s="1" t="str">
        <f ca="1">IF(RAND() &lt; 0.5,  Table1[[#This Row],[Join Date]]+ RANDBETWEEN(30, TODAY()- Table1[[#This Row],[Join Date]]), "-")</f>
        <v>-</v>
      </c>
      <c r="H159" t="str">
        <f ca="1">IF(Table1[[#This Row],[Exit Date]]= "-", "Active", "Exited")</f>
        <v>Active</v>
      </c>
      <c r="I159" s="5">
        <f t="shared" ca="1" si="18"/>
        <v>3155</v>
      </c>
      <c r="J159" t="str" cm="1">
        <f t="array" aca="1" ref="J159" ca="1">INDEX(sheet2!$C$2:$C$6, RANDBETWEEN(1, 5))</f>
        <v>Conflict Resolution</v>
      </c>
      <c r="K159" t="str">
        <f t="shared" ca="1" si="19"/>
        <v>Not Completed</v>
      </c>
      <c r="L159">
        <v>260</v>
      </c>
      <c r="M159">
        <f t="shared" ca="1" si="20"/>
        <v>5</v>
      </c>
      <c r="N159" t="str">
        <f t="shared" ca="1" si="21"/>
        <v>Male</v>
      </c>
      <c r="O159" s="6">
        <f t="shared" ca="1" si="22"/>
        <v>2090</v>
      </c>
      <c r="P159">
        <f ca="1">Table1[[#This Row],[Hire Date]]-Table1[[#This Row],[Job Posting Date]]</f>
        <v>20</v>
      </c>
      <c r="Q159" s="7">
        <f ca="1">Table1[[#This Row],[Join Date]]-Table1[[#This Row],[Hire Date]]</f>
        <v>7</v>
      </c>
      <c r="R159" s="8">
        <f ca="1">(IF(Table1[[#This Row],[Status]]="Exited",Table1[[#This Row],[Exit Date]]-Table1[[#This Row],[Join Date]],TODAY()-Table1[[#This Row],[Join Date]]))/30</f>
        <v>67.433333333333337</v>
      </c>
      <c r="S159">
        <f ca="1">Table1[[#This Row],[Hire Date]]-Table1[[#This Row],[Job Posting Date]]</f>
        <v>20</v>
      </c>
      <c r="T159" s="7">
        <f ca="1">Table1[[#This Row],[Time to Onboard]]/Table1[[#This Row],[Time to Fill]]*100</f>
        <v>35</v>
      </c>
      <c r="U159" s="8">
        <f ca="1">Table1[[#This Row],[Time to Onboard]]/Table1[[#This Row],[Time to Fill]]*100</f>
        <v>35</v>
      </c>
      <c r="V159">
        <f ca="1">Table1[[#This Row],[Join Date]]-Table1[[#This Row],[Job Posting Date]]</f>
        <v>27</v>
      </c>
      <c r="W159">
        <f t="shared" ca="1" si="23"/>
        <v>168</v>
      </c>
      <c r="X159" s="8">
        <f ca="1">Table1[[#This Row],[Absentee Days]]/Table1[[#This Row],[Total Work Days]]*100</f>
        <v>1.9230769230769231</v>
      </c>
      <c r="Y159">
        <f ca="1">YEAR(Table1[[#This Row],[Join Date]])</f>
        <v>2019</v>
      </c>
      <c r="Z159">
        <f ca="1">IF(Table1[[#This Row],[Status]]="Active",1,0)</f>
        <v>1</v>
      </c>
      <c r="AA159">
        <f ca="1">IF(Table1[[#This Row],[Status]]="Exited",Table1[[#This Row],[Recruitment Cost]]+Table1[[#This Row],[Onboarding Cost]]+Table1[[#This Row],[Training Cost]],0)</f>
        <v>0</v>
      </c>
    </row>
    <row r="160" spans="1:27" x14ac:dyDescent="0.2">
      <c r="A160" t="str">
        <f t="shared" si="16"/>
        <v>E159</v>
      </c>
      <c r="B160" t="str" cm="1">
        <f t="array" aca="1" ref="B160" ca="1">INDEX(sheet2!$A$2:$A$6, RANDBETWEEN(1, 5))</f>
        <v>Finance</v>
      </c>
      <c r="C160" t="str">
        <f ca="1">_xlfn.XLOOKUP(Table1[[#This Row],[Department]],sheet2!$A$2:$A$6,sheet2!$B$2:$B$6,_xleta.NA,0)</f>
        <v>Finance Manager</v>
      </c>
      <c r="D160" s="1">
        <f t="shared" ca="1" si="17"/>
        <v>43414</v>
      </c>
      <c r="E160" s="1">
        <f ca="1">Table1[[#This Row],[Job Posting Date]]+ RANDBETWEEN(15, 90)</f>
        <v>43469</v>
      </c>
      <c r="F160" s="1">
        <f ca="1">Table1[[#This Row],[Hire Date]]+ RANDBETWEEN(1, 15)</f>
        <v>43480</v>
      </c>
      <c r="G160" s="1">
        <f ca="1">IF(RAND() &lt; 0.5,  Table1[[#This Row],[Join Date]]+ RANDBETWEEN(30, TODAY()- Table1[[#This Row],[Join Date]]), "-")</f>
        <v>44211</v>
      </c>
      <c r="H160" t="str">
        <f ca="1">IF(Table1[[#This Row],[Exit Date]]= "-", "Active", "Exited")</f>
        <v>Exited</v>
      </c>
      <c r="I160" s="5">
        <f t="shared" ca="1" si="18"/>
        <v>1569</v>
      </c>
      <c r="J160" t="str" cm="1">
        <f t="array" aca="1" ref="J160" ca="1">INDEX(sheet2!$C$2:$C$6, RANDBETWEEN(1, 5))</f>
        <v>Leadership Development</v>
      </c>
      <c r="K160" t="str">
        <f t="shared" ca="1" si="19"/>
        <v>Completed</v>
      </c>
      <c r="L160">
        <v>260</v>
      </c>
      <c r="M160">
        <f t="shared" ca="1" si="20"/>
        <v>16</v>
      </c>
      <c r="N160" t="str">
        <f t="shared" ca="1" si="21"/>
        <v>Female</v>
      </c>
      <c r="O160" s="6">
        <f t="shared" ca="1" si="22"/>
        <v>1367</v>
      </c>
      <c r="P160">
        <f ca="1">Table1[[#This Row],[Hire Date]]-Table1[[#This Row],[Job Posting Date]]</f>
        <v>55</v>
      </c>
      <c r="Q160" s="7">
        <f ca="1">Table1[[#This Row],[Join Date]]-Table1[[#This Row],[Hire Date]]</f>
        <v>11</v>
      </c>
      <c r="R160" s="8">
        <f ca="1">(IF(Table1[[#This Row],[Status]]="Exited",Table1[[#This Row],[Exit Date]]-Table1[[#This Row],[Join Date]],TODAY()-Table1[[#This Row],[Join Date]]))/30</f>
        <v>24.366666666666667</v>
      </c>
      <c r="S160">
        <f ca="1">Table1[[#This Row],[Hire Date]]-Table1[[#This Row],[Job Posting Date]]</f>
        <v>55</v>
      </c>
      <c r="T160" s="7">
        <f ca="1">Table1[[#This Row],[Time to Onboard]]/Table1[[#This Row],[Time to Fill]]*100</f>
        <v>20</v>
      </c>
      <c r="U160" s="8">
        <f ca="1">Table1[[#This Row],[Time to Onboard]]/Table1[[#This Row],[Time to Fill]]*100</f>
        <v>20</v>
      </c>
      <c r="V160">
        <f ca="1">Table1[[#This Row],[Join Date]]-Table1[[#This Row],[Job Posting Date]]</f>
        <v>66</v>
      </c>
      <c r="W160">
        <f t="shared" ca="1" si="23"/>
        <v>126</v>
      </c>
      <c r="X160" s="8">
        <f ca="1">Table1[[#This Row],[Absentee Days]]/Table1[[#This Row],[Total Work Days]]*100</f>
        <v>6.1538461538461542</v>
      </c>
      <c r="Y160">
        <f ca="1">YEAR(Table1[[#This Row],[Join Date]])</f>
        <v>2019</v>
      </c>
      <c r="Z160">
        <f ca="1">IF(Table1[[#This Row],[Status]]="Active",1,0)</f>
        <v>0</v>
      </c>
      <c r="AA160">
        <f ca="1">IF(Table1[[#This Row],[Status]]="Exited",Table1[[#This Row],[Recruitment Cost]]+Table1[[#This Row],[Onboarding Cost]]+Table1[[#This Row],[Training Cost]],0)</f>
        <v>3062</v>
      </c>
    </row>
    <row r="161" spans="1:27" x14ac:dyDescent="0.2">
      <c r="A161" t="str">
        <f t="shared" si="16"/>
        <v>E160</v>
      </c>
      <c r="B161" t="str" cm="1">
        <f t="array" aca="1" ref="B161" ca="1">INDEX(sheet2!$A$2:$A$6, RANDBETWEEN(1, 5))</f>
        <v>HR</v>
      </c>
      <c r="C161" t="str">
        <f ca="1">_xlfn.XLOOKUP(Table1[[#This Row],[Department]],sheet2!$A$2:$A$6,sheet2!$B$2:$B$6,_xleta.NA,0)</f>
        <v>HR Manager</v>
      </c>
      <c r="D161" s="1">
        <f t="shared" ca="1" si="17"/>
        <v>44341</v>
      </c>
      <c r="E161" s="1">
        <f ca="1">Table1[[#This Row],[Job Posting Date]]+ RANDBETWEEN(15, 90)</f>
        <v>44391</v>
      </c>
      <c r="F161" s="1">
        <f ca="1">Table1[[#This Row],[Hire Date]]+ RANDBETWEEN(1, 15)</f>
        <v>44394</v>
      </c>
      <c r="G161" s="1" t="str">
        <f ca="1">IF(RAND() &lt; 0.5,  Table1[[#This Row],[Join Date]]+ RANDBETWEEN(30, TODAY()- Table1[[#This Row],[Join Date]]), "-")</f>
        <v>-</v>
      </c>
      <c r="H161" t="str">
        <f ca="1">IF(Table1[[#This Row],[Exit Date]]= "-", "Active", "Exited")</f>
        <v>Active</v>
      </c>
      <c r="I161" s="5">
        <f t="shared" ca="1" si="18"/>
        <v>4821</v>
      </c>
      <c r="J161" t="str" cm="1">
        <f t="array" aca="1" ref="J161" ca="1">INDEX(sheet2!$C$2:$C$6, RANDBETWEEN(1, 5))</f>
        <v>Advanced Excel Skills </v>
      </c>
      <c r="K161" t="str">
        <f t="shared" ca="1" si="19"/>
        <v>Completed</v>
      </c>
      <c r="L161">
        <v>260</v>
      </c>
      <c r="M161">
        <f t="shared" ca="1" si="20"/>
        <v>16</v>
      </c>
      <c r="N161" t="str">
        <f t="shared" ca="1" si="21"/>
        <v>Male</v>
      </c>
      <c r="O161" s="6">
        <f t="shared" ca="1" si="22"/>
        <v>2263</v>
      </c>
      <c r="P161">
        <f ca="1">Table1[[#This Row],[Hire Date]]-Table1[[#This Row],[Job Posting Date]]</f>
        <v>50</v>
      </c>
      <c r="Q161" s="7">
        <f ca="1">Table1[[#This Row],[Join Date]]-Table1[[#This Row],[Hire Date]]</f>
        <v>3</v>
      </c>
      <c r="R161" s="8">
        <f ca="1">(IF(Table1[[#This Row],[Status]]="Exited",Table1[[#This Row],[Exit Date]]-Table1[[#This Row],[Join Date]],TODAY()-Table1[[#This Row],[Join Date]]))/30</f>
        <v>42.966666666666669</v>
      </c>
      <c r="S161">
        <f ca="1">Table1[[#This Row],[Hire Date]]-Table1[[#This Row],[Job Posting Date]]</f>
        <v>50</v>
      </c>
      <c r="T161" s="7">
        <f ca="1">Table1[[#This Row],[Time to Onboard]]/Table1[[#This Row],[Time to Fill]]*100</f>
        <v>6</v>
      </c>
      <c r="U161" s="8">
        <f ca="1">Table1[[#This Row],[Time to Onboard]]/Table1[[#This Row],[Time to Fill]]*100</f>
        <v>6</v>
      </c>
      <c r="V161">
        <f ca="1">Table1[[#This Row],[Join Date]]-Table1[[#This Row],[Job Posting Date]]</f>
        <v>53</v>
      </c>
      <c r="W161">
        <f t="shared" ca="1" si="23"/>
        <v>184</v>
      </c>
      <c r="X161" s="8">
        <f ca="1">Table1[[#This Row],[Absentee Days]]/Table1[[#This Row],[Total Work Days]]*100</f>
        <v>6.1538461538461542</v>
      </c>
      <c r="Y161">
        <f ca="1">YEAR(Table1[[#This Row],[Join Date]])</f>
        <v>2021</v>
      </c>
      <c r="Z161">
        <f ca="1">IF(Table1[[#This Row],[Status]]="Active",1,0)</f>
        <v>1</v>
      </c>
      <c r="AA161">
        <f ca="1">IF(Table1[[#This Row],[Status]]="Exited",Table1[[#This Row],[Recruitment Cost]]+Table1[[#This Row],[Onboarding Cost]]+Table1[[#This Row],[Training Cost]],0)</f>
        <v>0</v>
      </c>
    </row>
    <row r="162" spans="1:27" x14ac:dyDescent="0.2">
      <c r="A162" t="str">
        <f t="shared" si="16"/>
        <v>E161</v>
      </c>
      <c r="B162" t="str" cm="1">
        <f t="array" aca="1" ref="B162" ca="1">INDEX(sheet2!$A$2:$A$6, RANDBETWEEN(1, 5))</f>
        <v>Analytics</v>
      </c>
      <c r="C162" t="str">
        <f ca="1">_xlfn.XLOOKUP(Table1[[#This Row],[Department]],sheet2!$A$2:$A$6,sheet2!$B$2:$B$6,_xleta.NA,0)</f>
        <v>Data Analyst</v>
      </c>
      <c r="D162" s="1">
        <f t="shared" ca="1" si="17"/>
        <v>44145</v>
      </c>
      <c r="E162" s="1">
        <f ca="1">Table1[[#This Row],[Job Posting Date]]+ RANDBETWEEN(15, 90)</f>
        <v>44215</v>
      </c>
      <c r="F162" s="1">
        <f ca="1">Table1[[#This Row],[Hire Date]]+ RANDBETWEEN(1, 15)</f>
        <v>44220</v>
      </c>
      <c r="G162" s="1" t="str">
        <f ca="1">IF(RAND() &lt; 0.5,  Table1[[#This Row],[Join Date]]+ RANDBETWEEN(30, TODAY()- Table1[[#This Row],[Join Date]]), "-")</f>
        <v>-</v>
      </c>
      <c r="H162" t="str">
        <f ca="1">IF(Table1[[#This Row],[Exit Date]]= "-", "Active", "Exited")</f>
        <v>Active</v>
      </c>
      <c r="I162" s="5">
        <f t="shared" ca="1" si="18"/>
        <v>3988</v>
      </c>
      <c r="J162" t="str" cm="1">
        <f t="array" aca="1" ref="J162" ca="1">INDEX(sheet2!$C$2:$C$6, RANDBETWEEN(1, 5))</f>
        <v>Advanced Excel Skills </v>
      </c>
      <c r="K162" t="str">
        <f t="shared" ca="1" si="19"/>
        <v>Completed</v>
      </c>
      <c r="L162">
        <v>260</v>
      </c>
      <c r="M162">
        <f t="shared" ca="1" si="20"/>
        <v>1</v>
      </c>
      <c r="N162" t="str">
        <f t="shared" ca="1" si="21"/>
        <v>Other</v>
      </c>
      <c r="O162" s="6">
        <f t="shared" ca="1" si="22"/>
        <v>1701</v>
      </c>
      <c r="P162">
        <f ca="1">Table1[[#This Row],[Hire Date]]-Table1[[#This Row],[Job Posting Date]]</f>
        <v>70</v>
      </c>
      <c r="Q162" s="7">
        <f ca="1">Table1[[#This Row],[Join Date]]-Table1[[#This Row],[Hire Date]]</f>
        <v>5</v>
      </c>
      <c r="R162" s="8">
        <f ca="1">(IF(Table1[[#This Row],[Status]]="Exited",Table1[[#This Row],[Exit Date]]-Table1[[#This Row],[Join Date]],TODAY()-Table1[[#This Row],[Join Date]]))/30</f>
        <v>48.766666666666666</v>
      </c>
      <c r="S162">
        <f ca="1">Table1[[#This Row],[Hire Date]]-Table1[[#This Row],[Job Posting Date]]</f>
        <v>70</v>
      </c>
      <c r="T162" s="7">
        <f ca="1">Table1[[#This Row],[Time to Onboard]]/Table1[[#This Row],[Time to Fill]]*100</f>
        <v>7.1428571428571423</v>
      </c>
      <c r="U162" s="8">
        <f ca="1">Table1[[#This Row],[Time to Onboard]]/Table1[[#This Row],[Time to Fill]]*100</f>
        <v>7.1428571428571423</v>
      </c>
      <c r="V162">
        <f ca="1">Table1[[#This Row],[Join Date]]-Table1[[#This Row],[Job Posting Date]]</f>
        <v>75</v>
      </c>
      <c r="W162">
        <f t="shared" ca="1" si="23"/>
        <v>185</v>
      </c>
      <c r="X162" s="8">
        <f ca="1">Table1[[#This Row],[Absentee Days]]/Table1[[#This Row],[Total Work Days]]*100</f>
        <v>0.38461538461538464</v>
      </c>
      <c r="Y162">
        <f ca="1">YEAR(Table1[[#This Row],[Join Date]])</f>
        <v>2021</v>
      </c>
      <c r="Z162">
        <f ca="1">IF(Table1[[#This Row],[Status]]="Active",1,0)</f>
        <v>1</v>
      </c>
      <c r="AA162">
        <f ca="1">IF(Table1[[#This Row],[Status]]="Exited",Table1[[#This Row],[Recruitment Cost]]+Table1[[#This Row],[Onboarding Cost]]+Table1[[#This Row],[Training Cost]],0)</f>
        <v>0</v>
      </c>
    </row>
    <row r="163" spans="1:27" x14ac:dyDescent="0.2">
      <c r="A163" t="str">
        <f t="shared" si="16"/>
        <v>E162</v>
      </c>
      <c r="B163" t="str" cm="1">
        <f t="array" aca="1" ref="B163" ca="1">INDEX(sheet2!$A$2:$A$6, RANDBETWEEN(1, 5))</f>
        <v>HR</v>
      </c>
      <c r="C163" t="str">
        <f ca="1">_xlfn.XLOOKUP(Table1[[#This Row],[Department]],sheet2!$A$2:$A$6,sheet2!$B$2:$B$6,_xleta.NA,0)</f>
        <v>HR Manager</v>
      </c>
      <c r="D163" s="1">
        <f t="shared" ca="1" si="17"/>
        <v>43472</v>
      </c>
      <c r="E163" s="1">
        <f ca="1">Table1[[#This Row],[Job Posting Date]]+ RANDBETWEEN(15, 90)</f>
        <v>43488</v>
      </c>
      <c r="F163" s="1">
        <f ca="1">Table1[[#This Row],[Hire Date]]+ RANDBETWEEN(1, 15)</f>
        <v>43490</v>
      </c>
      <c r="G163" s="1">
        <f ca="1">IF(RAND() &lt; 0.5,  Table1[[#This Row],[Join Date]]+ RANDBETWEEN(30, TODAY()- Table1[[#This Row],[Join Date]]), "-")</f>
        <v>44014</v>
      </c>
      <c r="H163" t="str">
        <f ca="1">IF(Table1[[#This Row],[Exit Date]]= "-", "Active", "Exited")</f>
        <v>Exited</v>
      </c>
      <c r="I163" s="5">
        <f t="shared" ca="1" si="18"/>
        <v>1649</v>
      </c>
      <c r="J163" t="str" cm="1">
        <f t="array" aca="1" ref="J163" ca="1">INDEX(sheet2!$C$2:$C$6, RANDBETWEEN(1, 5))</f>
        <v>Leadership Development</v>
      </c>
      <c r="K163" t="str">
        <f t="shared" ca="1" si="19"/>
        <v>Completed</v>
      </c>
      <c r="L163">
        <v>260</v>
      </c>
      <c r="M163">
        <f t="shared" ca="1" si="20"/>
        <v>8</v>
      </c>
      <c r="N163" t="str">
        <f t="shared" ca="1" si="21"/>
        <v>Other</v>
      </c>
      <c r="O163" s="6">
        <f t="shared" ca="1" si="22"/>
        <v>1479</v>
      </c>
      <c r="P163">
        <f ca="1">Table1[[#This Row],[Hire Date]]-Table1[[#This Row],[Job Posting Date]]</f>
        <v>16</v>
      </c>
      <c r="Q163" s="7">
        <f ca="1">Table1[[#This Row],[Join Date]]-Table1[[#This Row],[Hire Date]]</f>
        <v>2</v>
      </c>
      <c r="R163" s="8">
        <f ca="1">(IF(Table1[[#This Row],[Status]]="Exited",Table1[[#This Row],[Exit Date]]-Table1[[#This Row],[Join Date]],TODAY()-Table1[[#This Row],[Join Date]]))/30</f>
        <v>17.466666666666665</v>
      </c>
      <c r="S163">
        <f ca="1">Table1[[#This Row],[Hire Date]]-Table1[[#This Row],[Job Posting Date]]</f>
        <v>16</v>
      </c>
      <c r="T163" s="7">
        <f ca="1">Table1[[#This Row],[Time to Onboard]]/Table1[[#This Row],[Time to Fill]]*100</f>
        <v>12.5</v>
      </c>
      <c r="U163" s="8">
        <f ca="1">Table1[[#This Row],[Time to Onboard]]/Table1[[#This Row],[Time to Fill]]*100</f>
        <v>12.5</v>
      </c>
      <c r="V163">
        <f ca="1">Table1[[#This Row],[Join Date]]-Table1[[#This Row],[Job Posting Date]]</f>
        <v>18</v>
      </c>
      <c r="W163">
        <f t="shared" ca="1" si="23"/>
        <v>187</v>
      </c>
      <c r="X163" s="8">
        <f ca="1">Table1[[#This Row],[Absentee Days]]/Table1[[#This Row],[Total Work Days]]*100</f>
        <v>3.0769230769230771</v>
      </c>
      <c r="Y163">
        <f ca="1">YEAR(Table1[[#This Row],[Join Date]])</f>
        <v>2019</v>
      </c>
      <c r="Z163">
        <f ca="1">IF(Table1[[#This Row],[Status]]="Active",1,0)</f>
        <v>0</v>
      </c>
      <c r="AA163">
        <f ca="1">IF(Table1[[#This Row],[Status]]="Exited",Table1[[#This Row],[Recruitment Cost]]+Table1[[#This Row],[Onboarding Cost]]+Table1[[#This Row],[Training Cost]],0)</f>
        <v>3315</v>
      </c>
    </row>
    <row r="164" spans="1:27" x14ac:dyDescent="0.2">
      <c r="A164" t="str">
        <f t="shared" si="16"/>
        <v>E163</v>
      </c>
      <c r="B164" t="str" cm="1">
        <f t="array" aca="1" ref="B164" ca="1">INDEX(sheet2!$A$2:$A$6, RANDBETWEEN(1, 5))</f>
        <v>IT</v>
      </c>
      <c r="C164" t="str">
        <f ca="1">_xlfn.XLOOKUP(Table1[[#This Row],[Department]],sheet2!$A$2:$A$6,sheet2!$B$2:$B$6,_xleta.NA,0)</f>
        <v>Software Engineer</v>
      </c>
      <c r="D164" s="1">
        <f t="shared" ca="1" si="17"/>
        <v>43934</v>
      </c>
      <c r="E164" s="1">
        <f ca="1">Table1[[#This Row],[Job Posting Date]]+ RANDBETWEEN(15, 90)</f>
        <v>43982</v>
      </c>
      <c r="F164" s="1">
        <f ca="1">Table1[[#This Row],[Hire Date]]+ RANDBETWEEN(1, 15)</f>
        <v>43995</v>
      </c>
      <c r="G164" s="1" t="str">
        <f ca="1">IF(RAND() &lt; 0.5,  Table1[[#This Row],[Join Date]]+ RANDBETWEEN(30, TODAY()- Table1[[#This Row],[Join Date]]), "-")</f>
        <v>-</v>
      </c>
      <c r="H164" t="str">
        <f ca="1">IF(Table1[[#This Row],[Exit Date]]= "-", "Active", "Exited")</f>
        <v>Active</v>
      </c>
      <c r="I164" s="5">
        <f t="shared" ca="1" si="18"/>
        <v>2239</v>
      </c>
      <c r="J164" t="str" cm="1">
        <f t="array" aca="1" ref="J164" ca="1">INDEX(sheet2!$C$2:$C$6, RANDBETWEEN(1, 5))</f>
        <v>Conflict Resolution</v>
      </c>
      <c r="K164" t="str">
        <f t="shared" ca="1" si="19"/>
        <v>Completed</v>
      </c>
      <c r="L164">
        <v>260</v>
      </c>
      <c r="M164">
        <f t="shared" ca="1" si="20"/>
        <v>2</v>
      </c>
      <c r="N164" t="str">
        <f t="shared" ca="1" si="21"/>
        <v>Female</v>
      </c>
      <c r="O164" s="6">
        <f t="shared" ca="1" si="22"/>
        <v>2156</v>
      </c>
      <c r="P164">
        <f ca="1">Table1[[#This Row],[Hire Date]]-Table1[[#This Row],[Job Posting Date]]</f>
        <v>48</v>
      </c>
      <c r="Q164" s="7">
        <f ca="1">Table1[[#This Row],[Join Date]]-Table1[[#This Row],[Hire Date]]</f>
        <v>13</v>
      </c>
      <c r="R164" s="8">
        <f ca="1">(IF(Table1[[#This Row],[Status]]="Exited",Table1[[#This Row],[Exit Date]]-Table1[[#This Row],[Join Date]],TODAY()-Table1[[#This Row],[Join Date]]))/30</f>
        <v>56.266666666666666</v>
      </c>
      <c r="S164">
        <f ca="1">Table1[[#This Row],[Hire Date]]-Table1[[#This Row],[Job Posting Date]]</f>
        <v>48</v>
      </c>
      <c r="T164" s="7">
        <f ca="1">Table1[[#This Row],[Time to Onboard]]/Table1[[#This Row],[Time to Fill]]*100</f>
        <v>27.083333333333332</v>
      </c>
      <c r="U164" s="8">
        <f ca="1">Table1[[#This Row],[Time to Onboard]]/Table1[[#This Row],[Time to Fill]]*100</f>
        <v>27.083333333333332</v>
      </c>
      <c r="V164">
        <f ca="1">Table1[[#This Row],[Join Date]]-Table1[[#This Row],[Job Posting Date]]</f>
        <v>61</v>
      </c>
      <c r="W164">
        <f t="shared" ca="1" si="23"/>
        <v>138</v>
      </c>
      <c r="X164" s="8">
        <f ca="1">Table1[[#This Row],[Absentee Days]]/Table1[[#This Row],[Total Work Days]]*100</f>
        <v>0.76923076923076927</v>
      </c>
      <c r="Y164">
        <f ca="1">YEAR(Table1[[#This Row],[Join Date]])</f>
        <v>2020</v>
      </c>
      <c r="Z164">
        <f ca="1">IF(Table1[[#This Row],[Status]]="Active",1,0)</f>
        <v>1</v>
      </c>
      <c r="AA164">
        <f ca="1">IF(Table1[[#This Row],[Status]]="Exited",Table1[[#This Row],[Recruitment Cost]]+Table1[[#This Row],[Onboarding Cost]]+Table1[[#This Row],[Training Cost]],0)</f>
        <v>0</v>
      </c>
    </row>
    <row r="165" spans="1:27" x14ac:dyDescent="0.2">
      <c r="A165" t="str">
        <f t="shared" si="16"/>
        <v>E164</v>
      </c>
      <c r="B165" t="str" cm="1">
        <f t="array" aca="1" ref="B165" ca="1">INDEX(sheet2!$A$2:$A$6, RANDBETWEEN(1, 5))</f>
        <v>Finance</v>
      </c>
      <c r="C165" t="str">
        <f ca="1">_xlfn.XLOOKUP(Table1[[#This Row],[Department]],sheet2!$A$2:$A$6,sheet2!$B$2:$B$6,_xleta.NA,0)</f>
        <v>Finance Manager</v>
      </c>
      <c r="D165" s="1">
        <f t="shared" ca="1" si="17"/>
        <v>44662</v>
      </c>
      <c r="E165" s="1">
        <f ca="1">Table1[[#This Row],[Job Posting Date]]+ RANDBETWEEN(15, 90)</f>
        <v>44702</v>
      </c>
      <c r="F165" s="1">
        <f ca="1">Table1[[#This Row],[Hire Date]]+ RANDBETWEEN(1, 15)</f>
        <v>44709</v>
      </c>
      <c r="G165" s="1">
        <f ca="1">IF(RAND() &lt; 0.5,  Table1[[#This Row],[Join Date]]+ RANDBETWEEN(30, TODAY()- Table1[[#This Row],[Join Date]]), "-")</f>
        <v>44828</v>
      </c>
      <c r="H165" t="str">
        <f ca="1">IF(Table1[[#This Row],[Exit Date]]= "-", "Active", "Exited")</f>
        <v>Exited</v>
      </c>
      <c r="I165" s="5">
        <f t="shared" ca="1" si="18"/>
        <v>2575</v>
      </c>
      <c r="J165" t="str" cm="1">
        <f t="array" aca="1" ref="J165" ca="1">INDEX(sheet2!$C$2:$C$6, RANDBETWEEN(1, 5))</f>
        <v>Leadership Development</v>
      </c>
      <c r="K165" t="str">
        <f t="shared" ca="1" si="19"/>
        <v>Not Completed</v>
      </c>
      <c r="L165">
        <v>260</v>
      </c>
      <c r="M165">
        <f t="shared" ca="1" si="20"/>
        <v>18</v>
      </c>
      <c r="N165" t="str">
        <f t="shared" ca="1" si="21"/>
        <v>Male</v>
      </c>
      <c r="O165" s="6">
        <f t="shared" ca="1" si="22"/>
        <v>1727</v>
      </c>
      <c r="P165">
        <f ca="1">Table1[[#This Row],[Hire Date]]-Table1[[#This Row],[Job Posting Date]]</f>
        <v>40</v>
      </c>
      <c r="Q165" s="7">
        <f ca="1">Table1[[#This Row],[Join Date]]-Table1[[#This Row],[Hire Date]]</f>
        <v>7</v>
      </c>
      <c r="R165" s="8">
        <f ca="1">(IF(Table1[[#This Row],[Status]]="Exited",Table1[[#This Row],[Exit Date]]-Table1[[#This Row],[Join Date]],TODAY()-Table1[[#This Row],[Join Date]]))/30</f>
        <v>3.9666666666666668</v>
      </c>
      <c r="S165">
        <f ca="1">Table1[[#This Row],[Hire Date]]-Table1[[#This Row],[Job Posting Date]]</f>
        <v>40</v>
      </c>
      <c r="T165" s="7">
        <f ca="1">Table1[[#This Row],[Time to Onboard]]/Table1[[#This Row],[Time to Fill]]*100</f>
        <v>17.5</v>
      </c>
      <c r="U165" s="8">
        <f ca="1">Table1[[#This Row],[Time to Onboard]]/Table1[[#This Row],[Time to Fill]]*100</f>
        <v>17.5</v>
      </c>
      <c r="V165">
        <f ca="1">Table1[[#This Row],[Join Date]]-Table1[[#This Row],[Job Posting Date]]</f>
        <v>47</v>
      </c>
      <c r="W165">
        <f t="shared" ca="1" si="23"/>
        <v>117</v>
      </c>
      <c r="X165" s="8">
        <f ca="1">Table1[[#This Row],[Absentee Days]]/Table1[[#This Row],[Total Work Days]]*100</f>
        <v>6.9230769230769234</v>
      </c>
      <c r="Y165">
        <f ca="1">YEAR(Table1[[#This Row],[Join Date]])</f>
        <v>2022</v>
      </c>
      <c r="Z165">
        <f ca="1">IF(Table1[[#This Row],[Status]]="Active",1,0)</f>
        <v>0</v>
      </c>
      <c r="AA165">
        <f ca="1">IF(Table1[[#This Row],[Status]]="Exited",Table1[[#This Row],[Recruitment Cost]]+Table1[[#This Row],[Onboarding Cost]]+Table1[[#This Row],[Training Cost]],0)</f>
        <v>4419</v>
      </c>
    </row>
    <row r="166" spans="1:27" x14ac:dyDescent="0.2">
      <c r="A166" t="str">
        <f t="shared" si="16"/>
        <v>E165</v>
      </c>
      <c r="B166" t="str" cm="1">
        <f t="array" aca="1" ref="B166" ca="1">INDEX(sheet2!$A$2:$A$6, RANDBETWEEN(1, 5))</f>
        <v>Analytics</v>
      </c>
      <c r="C166" t="str">
        <f ca="1">_xlfn.XLOOKUP(Table1[[#This Row],[Department]],sheet2!$A$2:$A$6,sheet2!$B$2:$B$6,_xleta.NA,0)</f>
        <v>Data Analyst</v>
      </c>
      <c r="D166" s="1">
        <f t="shared" ca="1" si="17"/>
        <v>44912</v>
      </c>
      <c r="E166" s="1">
        <f ca="1">Table1[[#This Row],[Job Posting Date]]+ RANDBETWEEN(15, 90)</f>
        <v>44949</v>
      </c>
      <c r="F166" s="1">
        <f ca="1">Table1[[#This Row],[Hire Date]]+ RANDBETWEEN(1, 15)</f>
        <v>44961</v>
      </c>
      <c r="G166" s="1">
        <f ca="1">IF(RAND() &lt; 0.5,  Table1[[#This Row],[Join Date]]+ RANDBETWEEN(30, TODAY()- Table1[[#This Row],[Join Date]]), "-")</f>
        <v>45530</v>
      </c>
      <c r="H166" t="str">
        <f ca="1">IF(Table1[[#This Row],[Exit Date]]= "-", "Active", "Exited")</f>
        <v>Exited</v>
      </c>
      <c r="I166" s="5">
        <f t="shared" ca="1" si="18"/>
        <v>2317</v>
      </c>
      <c r="J166" t="str" cm="1">
        <f t="array" aca="1" ref="J166" ca="1">INDEX(sheet2!$C$2:$C$6, RANDBETWEEN(1, 5))</f>
        <v>Conflict Resolution</v>
      </c>
      <c r="K166" t="str">
        <f t="shared" ca="1" si="19"/>
        <v>Completed</v>
      </c>
      <c r="L166">
        <v>260</v>
      </c>
      <c r="M166">
        <f t="shared" ca="1" si="20"/>
        <v>18</v>
      </c>
      <c r="N166" t="str">
        <f t="shared" ca="1" si="21"/>
        <v>Male</v>
      </c>
      <c r="O166" s="6">
        <f t="shared" ca="1" si="22"/>
        <v>2224</v>
      </c>
      <c r="P166">
        <f ca="1">Table1[[#This Row],[Hire Date]]-Table1[[#This Row],[Job Posting Date]]</f>
        <v>37</v>
      </c>
      <c r="Q166" s="7">
        <f ca="1">Table1[[#This Row],[Join Date]]-Table1[[#This Row],[Hire Date]]</f>
        <v>12</v>
      </c>
      <c r="R166" s="8">
        <f ca="1">(IF(Table1[[#This Row],[Status]]="Exited",Table1[[#This Row],[Exit Date]]-Table1[[#This Row],[Join Date]],TODAY()-Table1[[#This Row],[Join Date]]))/30</f>
        <v>18.966666666666665</v>
      </c>
      <c r="S166">
        <f ca="1">Table1[[#This Row],[Hire Date]]-Table1[[#This Row],[Job Posting Date]]</f>
        <v>37</v>
      </c>
      <c r="T166" s="7">
        <f ca="1">Table1[[#This Row],[Time to Onboard]]/Table1[[#This Row],[Time to Fill]]*100</f>
        <v>32.432432432432435</v>
      </c>
      <c r="U166" s="8">
        <f ca="1">Table1[[#This Row],[Time to Onboard]]/Table1[[#This Row],[Time to Fill]]*100</f>
        <v>32.432432432432435</v>
      </c>
      <c r="V166">
        <f ca="1">Table1[[#This Row],[Join Date]]-Table1[[#This Row],[Job Posting Date]]</f>
        <v>49</v>
      </c>
      <c r="W166">
        <f t="shared" ca="1" si="23"/>
        <v>149</v>
      </c>
      <c r="X166" s="8">
        <f ca="1">Table1[[#This Row],[Absentee Days]]/Table1[[#This Row],[Total Work Days]]*100</f>
        <v>6.9230769230769234</v>
      </c>
      <c r="Y166">
        <f ca="1">YEAR(Table1[[#This Row],[Join Date]])</f>
        <v>2023</v>
      </c>
      <c r="Z166">
        <f ca="1">IF(Table1[[#This Row],[Status]]="Active",1,0)</f>
        <v>0</v>
      </c>
      <c r="AA166">
        <f ca="1">IF(Table1[[#This Row],[Status]]="Exited",Table1[[#This Row],[Recruitment Cost]]+Table1[[#This Row],[Onboarding Cost]]+Table1[[#This Row],[Training Cost]],0)</f>
        <v>4690</v>
      </c>
    </row>
    <row r="167" spans="1:27" x14ac:dyDescent="0.2">
      <c r="A167" t="str">
        <f t="shared" si="16"/>
        <v>E166</v>
      </c>
      <c r="B167" t="str" cm="1">
        <f t="array" aca="1" ref="B167" ca="1">INDEX(sheet2!$A$2:$A$6, RANDBETWEEN(1, 5))</f>
        <v>Sales</v>
      </c>
      <c r="C167" t="str">
        <f ca="1">_xlfn.XLOOKUP(Table1[[#This Row],[Department]],sheet2!$A$2:$A$6,sheet2!$B$2:$B$6,_xleta.NA,0)</f>
        <v>Marketing Manager</v>
      </c>
      <c r="D167" s="1">
        <f t="shared" ca="1" si="17"/>
        <v>44078</v>
      </c>
      <c r="E167" s="1">
        <f ca="1">Table1[[#This Row],[Job Posting Date]]+ RANDBETWEEN(15, 90)</f>
        <v>44152</v>
      </c>
      <c r="F167" s="1">
        <f ca="1">Table1[[#This Row],[Hire Date]]+ RANDBETWEEN(1, 15)</f>
        <v>44157</v>
      </c>
      <c r="G167" s="1" t="str">
        <f ca="1">IF(RAND() &lt; 0.5,  Table1[[#This Row],[Join Date]]+ RANDBETWEEN(30, TODAY()- Table1[[#This Row],[Join Date]]), "-")</f>
        <v>-</v>
      </c>
      <c r="H167" t="str">
        <f ca="1">IF(Table1[[#This Row],[Exit Date]]= "-", "Active", "Exited")</f>
        <v>Active</v>
      </c>
      <c r="I167" s="5">
        <f t="shared" ca="1" si="18"/>
        <v>2217</v>
      </c>
      <c r="J167" t="str" cm="1">
        <f t="array" aca="1" ref="J167" ca="1">INDEX(sheet2!$C$2:$C$6, RANDBETWEEN(1, 5))</f>
        <v>Ethics and Responsibilities</v>
      </c>
      <c r="K167" t="str">
        <f t="shared" ca="1" si="19"/>
        <v>Completed</v>
      </c>
      <c r="L167">
        <v>260</v>
      </c>
      <c r="M167">
        <f t="shared" ca="1" si="20"/>
        <v>6</v>
      </c>
      <c r="N167" t="str">
        <f t="shared" ca="1" si="21"/>
        <v>Other</v>
      </c>
      <c r="O167" s="6">
        <f t="shared" ca="1" si="22"/>
        <v>2186</v>
      </c>
      <c r="P167">
        <f ca="1">Table1[[#This Row],[Hire Date]]-Table1[[#This Row],[Job Posting Date]]</f>
        <v>74</v>
      </c>
      <c r="Q167" s="7">
        <f ca="1">Table1[[#This Row],[Join Date]]-Table1[[#This Row],[Hire Date]]</f>
        <v>5</v>
      </c>
      <c r="R167" s="8">
        <f ca="1">(IF(Table1[[#This Row],[Status]]="Exited",Table1[[#This Row],[Exit Date]]-Table1[[#This Row],[Join Date]],TODAY()-Table1[[#This Row],[Join Date]]))/30</f>
        <v>50.866666666666667</v>
      </c>
      <c r="S167">
        <f ca="1">Table1[[#This Row],[Hire Date]]-Table1[[#This Row],[Job Posting Date]]</f>
        <v>74</v>
      </c>
      <c r="T167" s="7">
        <f ca="1">Table1[[#This Row],[Time to Onboard]]/Table1[[#This Row],[Time to Fill]]*100</f>
        <v>6.756756756756757</v>
      </c>
      <c r="U167" s="8">
        <f ca="1">Table1[[#This Row],[Time to Onboard]]/Table1[[#This Row],[Time to Fill]]*100</f>
        <v>6.756756756756757</v>
      </c>
      <c r="V167">
        <f ca="1">Table1[[#This Row],[Join Date]]-Table1[[#This Row],[Job Posting Date]]</f>
        <v>79</v>
      </c>
      <c r="W167">
        <f t="shared" ca="1" si="23"/>
        <v>176</v>
      </c>
      <c r="X167" s="8">
        <f ca="1">Table1[[#This Row],[Absentee Days]]/Table1[[#This Row],[Total Work Days]]*100</f>
        <v>2.3076923076923079</v>
      </c>
      <c r="Y167">
        <f ca="1">YEAR(Table1[[#This Row],[Join Date]])</f>
        <v>2020</v>
      </c>
      <c r="Z167">
        <f ca="1">IF(Table1[[#This Row],[Status]]="Active",1,0)</f>
        <v>1</v>
      </c>
      <c r="AA167">
        <f ca="1">IF(Table1[[#This Row],[Status]]="Exited",Table1[[#This Row],[Recruitment Cost]]+Table1[[#This Row],[Onboarding Cost]]+Table1[[#This Row],[Training Cost]],0)</f>
        <v>0</v>
      </c>
    </row>
    <row r="168" spans="1:27" x14ac:dyDescent="0.2">
      <c r="A168" t="str">
        <f t="shared" si="16"/>
        <v>E167</v>
      </c>
      <c r="B168" t="str" cm="1">
        <f t="array" aca="1" ref="B168" ca="1">INDEX(sheet2!$A$2:$A$6, RANDBETWEEN(1, 5))</f>
        <v>Analytics</v>
      </c>
      <c r="C168" t="str">
        <f ca="1">_xlfn.XLOOKUP(Table1[[#This Row],[Department]],sheet2!$A$2:$A$6,sheet2!$B$2:$B$6,_xleta.NA,0)</f>
        <v>Data Analyst</v>
      </c>
      <c r="D168" s="1">
        <f t="shared" ca="1" si="17"/>
        <v>43997</v>
      </c>
      <c r="E168" s="1">
        <f ca="1">Table1[[#This Row],[Job Posting Date]]+ RANDBETWEEN(15, 90)</f>
        <v>44050</v>
      </c>
      <c r="F168" s="1">
        <f ca="1">Table1[[#This Row],[Hire Date]]+ RANDBETWEEN(1, 15)</f>
        <v>44056</v>
      </c>
      <c r="G168" s="1">
        <f ca="1">IF(RAND() &lt; 0.5,  Table1[[#This Row],[Join Date]]+ RANDBETWEEN(30, TODAY()- Table1[[#This Row],[Join Date]]), "-")</f>
        <v>44394</v>
      </c>
      <c r="H168" t="str">
        <f ca="1">IF(Table1[[#This Row],[Exit Date]]= "-", "Active", "Exited")</f>
        <v>Exited</v>
      </c>
      <c r="I168" s="5">
        <f t="shared" ca="1" si="18"/>
        <v>2939</v>
      </c>
      <c r="J168" t="str" cm="1">
        <f t="array" aca="1" ref="J168" ca="1">INDEX(sheet2!$C$2:$C$6, RANDBETWEEN(1, 5))</f>
        <v>Communication Skills</v>
      </c>
      <c r="K168" t="str">
        <f t="shared" ca="1" si="19"/>
        <v>Completed</v>
      </c>
      <c r="L168">
        <v>260</v>
      </c>
      <c r="M168">
        <f t="shared" ca="1" si="20"/>
        <v>5</v>
      </c>
      <c r="N168" t="str">
        <f t="shared" ca="1" si="21"/>
        <v>Female</v>
      </c>
      <c r="O168" s="6">
        <f t="shared" ca="1" si="22"/>
        <v>1878</v>
      </c>
      <c r="P168">
        <f ca="1">Table1[[#This Row],[Hire Date]]-Table1[[#This Row],[Job Posting Date]]</f>
        <v>53</v>
      </c>
      <c r="Q168" s="7">
        <f ca="1">Table1[[#This Row],[Join Date]]-Table1[[#This Row],[Hire Date]]</f>
        <v>6</v>
      </c>
      <c r="R168" s="8">
        <f ca="1">(IF(Table1[[#This Row],[Status]]="Exited",Table1[[#This Row],[Exit Date]]-Table1[[#This Row],[Join Date]],TODAY()-Table1[[#This Row],[Join Date]]))/30</f>
        <v>11.266666666666667</v>
      </c>
      <c r="S168">
        <f ca="1">Table1[[#This Row],[Hire Date]]-Table1[[#This Row],[Job Posting Date]]</f>
        <v>53</v>
      </c>
      <c r="T168" s="7">
        <f ca="1">Table1[[#This Row],[Time to Onboard]]/Table1[[#This Row],[Time to Fill]]*100</f>
        <v>11.320754716981133</v>
      </c>
      <c r="U168" s="8">
        <f ca="1">Table1[[#This Row],[Time to Onboard]]/Table1[[#This Row],[Time to Fill]]*100</f>
        <v>11.320754716981133</v>
      </c>
      <c r="V168">
        <f ca="1">Table1[[#This Row],[Join Date]]-Table1[[#This Row],[Job Posting Date]]</f>
        <v>59</v>
      </c>
      <c r="W168">
        <f t="shared" ca="1" si="23"/>
        <v>160</v>
      </c>
      <c r="X168" s="8">
        <f ca="1">Table1[[#This Row],[Absentee Days]]/Table1[[#This Row],[Total Work Days]]*100</f>
        <v>1.9230769230769231</v>
      </c>
      <c r="Y168">
        <f ca="1">YEAR(Table1[[#This Row],[Join Date]])</f>
        <v>2020</v>
      </c>
      <c r="Z168">
        <f ca="1">IF(Table1[[#This Row],[Status]]="Active",1,0)</f>
        <v>0</v>
      </c>
      <c r="AA168">
        <f ca="1">IF(Table1[[#This Row],[Status]]="Exited",Table1[[#This Row],[Recruitment Cost]]+Table1[[#This Row],[Onboarding Cost]]+Table1[[#This Row],[Training Cost]],0)</f>
        <v>4977</v>
      </c>
    </row>
    <row r="169" spans="1:27" x14ac:dyDescent="0.2">
      <c r="A169" t="str">
        <f t="shared" si="16"/>
        <v>E168</v>
      </c>
      <c r="B169" t="str" cm="1">
        <f t="array" aca="1" ref="B169" ca="1">INDEX(sheet2!$A$2:$A$6, RANDBETWEEN(1, 5))</f>
        <v>Finance</v>
      </c>
      <c r="C169" t="str">
        <f ca="1">_xlfn.XLOOKUP(Table1[[#This Row],[Department]],sheet2!$A$2:$A$6,sheet2!$B$2:$B$6,_xleta.NA,0)</f>
        <v>Finance Manager</v>
      </c>
      <c r="D169" s="1">
        <f t="shared" ca="1" si="17"/>
        <v>44344</v>
      </c>
      <c r="E169" s="1">
        <f ca="1">Table1[[#This Row],[Job Posting Date]]+ RANDBETWEEN(15, 90)</f>
        <v>44413</v>
      </c>
      <c r="F169" s="1">
        <f ca="1">Table1[[#This Row],[Hire Date]]+ RANDBETWEEN(1, 15)</f>
        <v>44424</v>
      </c>
      <c r="G169" s="1" t="str">
        <f ca="1">IF(RAND() &lt; 0.5,  Table1[[#This Row],[Join Date]]+ RANDBETWEEN(30, TODAY()- Table1[[#This Row],[Join Date]]), "-")</f>
        <v>-</v>
      </c>
      <c r="H169" t="str">
        <f ca="1">IF(Table1[[#This Row],[Exit Date]]= "-", "Active", "Exited")</f>
        <v>Active</v>
      </c>
      <c r="I169" s="5">
        <f t="shared" ca="1" si="18"/>
        <v>2014</v>
      </c>
      <c r="J169" t="str" cm="1">
        <f t="array" aca="1" ref="J169" ca="1">INDEX(sheet2!$C$2:$C$6, RANDBETWEEN(1, 5))</f>
        <v>Ethics and Responsibilities</v>
      </c>
      <c r="K169" t="str">
        <f t="shared" ca="1" si="19"/>
        <v>Completed</v>
      </c>
      <c r="L169">
        <v>260</v>
      </c>
      <c r="M169">
        <f t="shared" ca="1" si="20"/>
        <v>18</v>
      </c>
      <c r="N169" t="str">
        <f t="shared" ca="1" si="21"/>
        <v>Male</v>
      </c>
      <c r="O169" s="6">
        <f t="shared" ca="1" si="22"/>
        <v>2150</v>
      </c>
      <c r="P169">
        <f ca="1">Table1[[#This Row],[Hire Date]]-Table1[[#This Row],[Job Posting Date]]</f>
        <v>69</v>
      </c>
      <c r="Q169" s="7">
        <f ca="1">Table1[[#This Row],[Join Date]]-Table1[[#This Row],[Hire Date]]</f>
        <v>11</v>
      </c>
      <c r="R169" s="8">
        <f ca="1">(IF(Table1[[#This Row],[Status]]="Exited",Table1[[#This Row],[Exit Date]]-Table1[[#This Row],[Join Date]],TODAY()-Table1[[#This Row],[Join Date]]))/30</f>
        <v>41.966666666666669</v>
      </c>
      <c r="S169">
        <f ca="1">Table1[[#This Row],[Hire Date]]-Table1[[#This Row],[Job Posting Date]]</f>
        <v>69</v>
      </c>
      <c r="T169" s="7">
        <f ca="1">Table1[[#This Row],[Time to Onboard]]/Table1[[#This Row],[Time to Fill]]*100</f>
        <v>15.942028985507244</v>
      </c>
      <c r="U169" s="8">
        <f ca="1">Table1[[#This Row],[Time to Onboard]]/Table1[[#This Row],[Time to Fill]]*100</f>
        <v>15.942028985507244</v>
      </c>
      <c r="V169">
        <f ca="1">Table1[[#This Row],[Join Date]]-Table1[[#This Row],[Job Posting Date]]</f>
        <v>80</v>
      </c>
      <c r="W169">
        <f t="shared" ca="1" si="23"/>
        <v>160</v>
      </c>
      <c r="X169" s="8">
        <f ca="1">Table1[[#This Row],[Absentee Days]]/Table1[[#This Row],[Total Work Days]]*100</f>
        <v>6.9230769230769234</v>
      </c>
      <c r="Y169">
        <f ca="1">YEAR(Table1[[#This Row],[Join Date]])</f>
        <v>2021</v>
      </c>
      <c r="Z169">
        <f ca="1">IF(Table1[[#This Row],[Status]]="Active",1,0)</f>
        <v>1</v>
      </c>
      <c r="AA169">
        <f ca="1">IF(Table1[[#This Row],[Status]]="Exited",Table1[[#This Row],[Recruitment Cost]]+Table1[[#This Row],[Onboarding Cost]]+Table1[[#This Row],[Training Cost]],0)</f>
        <v>0</v>
      </c>
    </row>
    <row r="170" spans="1:27" x14ac:dyDescent="0.2">
      <c r="A170" t="str">
        <f t="shared" si="16"/>
        <v>E169</v>
      </c>
      <c r="B170" t="str" cm="1">
        <f t="array" aca="1" ref="B170" ca="1">INDEX(sheet2!$A$2:$A$6, RANDBETWEEN(1, 5))</f>
        <v>HR</v>
      </c>
      <c r="C170" t="str">
        <f ca="1">_xlfn.XLOOKUP(Table1[[#This Row],[Department]],sheet2!$A$2:$A$6,sheet2!$B$2:$B$6,_xleta.NA,0)</f>
        <v>HR Manager</v>
      </c>
      <c r="D170" s="1">
        <f t="shared" ca="1" si="17"/>
        <v>43422</v>
      </c>
      <c r="E170" s="1">
        <f ca="1">Table1[[#This Row],[Job Posting Date]]+ RANDBETWEEN(15, 90)</f>
        <v>43481</v>
      </c>
      <c r="F170" s="1">
        <f ca="1">Table1[[#This Row],[Hire Date]]+ RANDBETWEEN(1, 15)</f>
        <v>43486</v>
      </c>
      <c r="G170" s="1" t="str">
        <f ca="1">IF(RAND() &lt; 0.5,  Table1[[#This Row],[Join Date]]+ RANDBETWEEN(30, TODAY()- Table1[[#This Row],[Join Date]]), "-")</f>
        <v>-</v>
      </c>
      <c r="H170" t="str">
        <f ca="1">IF(Table1[[#This Row],[Exit Date]]= "-", "Active", "Exited")</f>
        <v>Active</v>
      </c>
      <c r="I170" s="5">
        <f t="shared" ca="1" si="18"/>
        <v>2913</v>
      </c>
      <c r="J170" t="str" cm="1">
        <f t="array" aca="1" ref="J170" ca="1">INDEX(sheet2!$C$2:$C$6, RANDBETWEEN(1, 5))</f>
        <v>Advanced Excel Skills </v>
      </c>
      <c r="K170" t="str">
        <f t="shared" ca="1" si="19"/>
        <v>Completed</v>
      </c>
      <c r="L170">
        <v>260</v>
      </c>
      <c r="M170">
        <f t="shared" ca="1" si="20"/>
        <v>20</v>
      </c>
      <c r="N170" t="str">
        <f t="shared" ca="1" si="21"/>
        <v>Female</v>
      </c>
      <c r="O170" s="6">
        <f t="shared" ca="1" si="22"/>
        <v>2308</v>
      </c>
      <c r="P170">
        <f ca="1">Table1[[#This Row],[Hire Date]]-Table1[[#This Row],[Job Posting Date]]</f>
        <v>59</v>
      </c>
      <c r="Q170" s="7">
        <f ca="1">Table1[[#This Row],[Join Date]]-Table1[[#This Row],[Hire Date]]</f>
        <v>5</v>
      </c>
      <c r="R170" s="8">
        <f ca="1">(IF(Table1[[#This Row],[Status]]="Exited",Table1[[#This Row],[Exit Date]]-Table1[[#This Row],[Join Date]],TODAY()-Table1[[#This Row],[Join Date]]))/30</f>
        <v>73.233333333333334</v>
      </c>
      <c r="S170">
        <f ca="1">Table1[[#This Row],[Hire Date]]-Table1[[#This Row],[Job Posting Date]]</f>
        <v>59</v>
      </c>
      <c r="T170" s="7">
        <f ca="1">Table1[[#This Row],[Time to Onboard]]/Table1[[#This Row],[Time to Fill]]*100</f>
        <v>8.4745762711864394</v>
      </c>
      <c r="U170" s="8">
        <f ca="1">Table1[[#This Row],[Time to Onboard]]/Table1[[#This Row],[Time to Fill]]*100</f>
        <v>8.4745762711864394</v>
      </c>
      <c r="V170">
        <f ca="1">Table1[[#This Row],[Join Date]]-Table1[[#This Row],[Job Posting Date]]</f>
        <v>64</v>
      </c>
      <c r="W170">
        <f t="shared" ca="1" si="23"/>
        <v>131</v>
      </c>
      <c r="X170" s="8">
        <f ca="1">Table1[[#This Row],[Absentee Days]]/Table1[[#This Row],[Total Work Days]]*100</f>
        <v>7.6923076923076925</v>
      </c>
      <c r="Y170">
        <f ca="1">YEAR(Table1[[#This Row],[Join Date]])</f>
        <v>2019</v>
      </c>
      <c r="Z170">
        <f ca="1">IF(Table1[[#This Row],[Status]]="Active",1,0)</f>
        <v>1</v>
      </c>
      <c r="AA170">
        <f ca="1">IF(Table1[[#This Row],[Status]]="Exited",Table1[[#This Row],[Recruitment Cost]]+Table1[[#This Row],[Onboarding Cost]]+Table1[[#This Row],[Training Cost]],0)</f>
        <v>0</v>
      </c>
    </row>
    <row r="171" spans="1:27" x14ac:dyDescent="0.2">
      <c r="A171" t="str">
        <f t="shared" si="16"/>
        <v>E170</v>
      </c>
      <c r="B171" t="str" cm="1">
        <f t="array" aca="1" ref="B171" ca="1">INDEX(sheet2!$A$2:$A$6, RANDBETWEEN(1, 5))</f>
        <v>Finance</v>
      </c>
      <c r="C171" t="str">
        <f ca="1">_xlfn.XLOOKUP(Table1[[#This Row],[Department]],sheet2!$A$2:$A$6,sheet2!$B$2:$B$6,_xleta.NA,0)</f>
        <v>Finance Manager</v>
      </c>
      <c r="D171" s="1">
        <f t="shared" ca="1" si="17"/>
        <v>44488</v>
      </c>
      <c r="E171" s="1">
        <f ca="1">Table1[[#This Row],[Job Posting Date]]+ RANDBETWEEN(15, 90)</f>
        <v>44537</v>
      </c>
      <c r="F171" s="1">
        <f ca="1">Table1[[#This Row],[Hire Date]]+ RANDBETWEEN(1, 15)</f>
        <v>44541</v>
      </c>
      <c r="G171" s="1" t="str">
        <f ca="1">IF(RAND() &lt; 0.5,  Table1[[#This Row],[Join Date]]+ RANDBETWEEN(30, TODAY()- Table1[[#This Row],[Join Date]]), "-")</f>
        <v>-</v>
      </c>
      <c r="H171" t="str">
        <f ca="1">IF(Table1[[#This Row],[Exit Date]]= "-", "Active", "Exited")</f>
        <v>Active</v>
      </c>
      <c r="I171" s="5">
        <f t="shared" ca="1" si="18"/>
        <v>2182</v>
      </c>
      <c r="J171" t="str" cm="1">
        <f t="array" aca="1" ref="J171" ca="1">INDEX(sheet2!$C$2:$C$6, RANDBETWEEN(1, 5))</f>
        <v>Ethics and Responsibilities</v>
      </c>
      <c r="K171" t="str">
        <f t="shared" ca="1" si="19"/>
        <v>Completed</v>
      </c>
      <c r="L171">
        <v>260</v>
      </c>
      <c r="M171">
        <f t="shared" ca="1" si="20"/>
        <v>6</v>
      </c>
      <c r="N171" t="str">
        <f t="shared" ca="1" si="21"/>
        <v>Male</v>
      </c>
      <c r="O171" s="6">
        <f t="shared" ca="1" si="22"/>
        <v>1595</v>
      </c>
      <c r="P171">
        <f ca="1">Table1[[#This Row],[Hire Date]]-Table1[[#This Row],[Job Posting Date]]</f>
        <v>49</v>
      </c>
      <c r="Q171" s="7">
        <f ca="1">Table1[[#This Row],[Join Date]]-Table1[[#This Row],[Hire Date]]</f>
        <v>4</v>
      </c>
      <c r="R171" s="8">
        <f ca="1">(IF(Table1[[#This Row],[Status]]="Exited",Table1[[#This Row],[Exit Date]]-Table1[[#This Row],[Join Date]],TODAY()-Table1[[#This Row],[Join Date]]))/30</f>
        <v>38.06666666666667</v>
      </c>
      <c r="S171">
        <f ca="1">Table1[[#This Row],[Hire Date]]-Table1[[#This Row],[Job Posting Date]]</f>
        <v>49</v>
      </c>
      <c r="T171" s="7">
        <f ca="1">Table1[[#This Row],[Time to Onboard]]/Table1[[#This Row],[Time to Fill]]*100</f>
        <v>8.1632653061224492</v>
      </c>
      <c r="U171" s="8">
        <f ca="1">Table1[[#This Row],[Time to Onboard]]/Table1[[#This Row],[Time to Fill]]*100</f>
        <v>8.1632653061224492</v>
      </c>
      <c r="V171">
        <f ca="1">Table1[[#This Row],[Join Date]]-Table1[[#This Row],[Job Posting Date]]</f>
        <v>53</v>
      </c>
      <c r="W171">
        <f t="shared" ca="1" si="23"/>
        <v>161</v>
      </c>
      <c r="X171" s="8">
        <f ca="1">Table1[[#This Row],[Absentee Days]]/Table1[[#This Row],[Total Work Days]]*100</f>
        <v>2.3076923076923079</v>
      </c>
      <c r="Y171">
        <f ca="1">YEAR(Table1[[#This Row],[Join Date]])</f>
        <v>2021</v>
      </c>
      <c r="Z171">
        <f ca="1">IF(Table1[[#This Row],[Status]]="Active",1,0)</f>
        <v>1</v>
      </c>
      <c r="AA171">
        <f ca="1">IF(Table1[[#This Row],[Status]]="Exited",Table1[[#This Row],[Recruitment Cost]]+Table1[[#This Row],[Onboarding Cost]]+Table1[[#This Row],[Training Cost]],0)</f>
        <v>0</v>
      </c>
    </row>
    <row r="172" spans="1:27" x14ac:dyDescent="0.2">
      <c r="A172" t="str">
        <f t="shared" si="16"/>
        <v>E171</v>
      </c>
      <c r="B172" t="str" cm="1">
        <f t="array" aca="1" ref="B172" ca="1">INDEX(sheet2!$A$2:$A$6, RANDBETWEEN(1, 5))</f>
        <v>HR</v>
      </c>
      <c r="C172" t="str">
        <f ca="1">_xlfn.XLOOKUP(Table1[[#This Row],[Department]],sheet2!$A$2:$A$6,sheet2!$B$2:$B$6,_xleta.NA,0)</f>
        <v>HR Manager</v>
      </c>
      <c r="D172" s="1">
        <f t="shared" ca="1" si="17"/>
        <v>44586</v>
      </c>
      <c r="E172" s="1">
        <f ca="1">Table1[[#This Row],[Job Posting Date]]+ RANDBETWEEN(15, 90)</f>
        <v>44648</v>
      </c>
      <c r="F172" s="1">
        <f ca="1">Table1[[#This Row],[Hire Date]]+ RANDBETWEEN(1, 15)</f>
        <v>44661</v>
      </c>
      <c r="G172" s="1">
        <f ca="1">IF(RAND() &lt; 0.5,  Table1[[#This Row],[Join Date]]+ RANDBETWEEN(30, TODAY()- Table1[[#This Row],[Join Date]]), "-")</f>
        <v>45052</v>
      </c>
      <c r="H172" t="str">
        <f ca="1">IF(Table1[[#This Row],[Exit Date]]= "-", "Active", "Exited")</f>
        <v>Exited</v>
      </c>
      <c r="I172" s="5">
        <f t="shared" ca="1" si="18"/>
        <v>4010</v>
      </c>
      <c r="J172" t="str" cm="1">
        <f t="array" aca="1" ref="J172" ca="1">INDEX(sheet2!$C$2:$C$6, RANDBETWEEN(1, 5))</f>
        <v>Ethics and Responsibilities</v>
      </c>
      <c r="K172" t="str">
        <f t="shared" ca="1" si="19"/>
        <v>Completed</v>
      </c>
      <c r="L172">
        <v>260</v>
      </c>
      <c r="M172">
        <f t="shared" ca="1" si="20"/>
        <v>18</v>
      </c>
      <c r="N172" t="str">
        <f t="shared" ca="1" si="21"/>
        <v>Female</v>
      </c>
      <c r="O172" s="6">
        <f t="shared" ca="1" si="22"/>
        <v>2497</v>
      </c>
      <c r="P172">
        <f ca="1">Table1[[#This Row],[Hire Date]]-Table1[[#This Row],[Job Posting Date]]</f>
        <v>62</v>
      </c>
      <c r="Q172" s="7">
        <f ca="1">Table1[[#This Row],[Join Date]]-Table1[[#This Row],[Hire Date]]</f>
        <v>13</v>
      </c>
      <c r="R172" s="8">
        <f ca="1">(IF(Table1[[#This Row],[Status]]="Exited",Table1[[#This Row],[Exit Date]]-Table1[[#This Row],[Join Date]],TODAY()-Table1[[#This Row],[Join Date]]))/30</f>
        <v>13.033333333333333</v>
      </c>
      <c r="S172">
        <f ca="1">Table1[[#This Row],[Hire Date]]-Table1[[#This Row],[Job Posting Date]]</f>
        <v>62</v>
      </c>
      <c r="T172" s="7">
        <f ca="1">Table1[[#This Row],[Time to Onboard]]/Table1[[#This Row],[Time to Fill]]*100</f>
        <v>20.967741935483872</v>
      </c>
      <c r="U172" s="8">
        <f ca="1">Table1[[#This Row],[Time to Onboard]]/Table1[[#This Row],[Time to Fill]]*100</f>
        <v>20.967741935483872</v>
      </c>
      <c r="V172">
        <f ca="1">Table1[[#This Row],[Join Date]]-Table1[[#This Row],[Job Posting Date]]</f>
        <v>75</v>
      </c>
      <c r="W172">
        <f t="shared" ca="1" si="23"/>
        <v>147</v>
      </c>
      <c r="X172" s="8">
        <f ca="1">Table1[[#This Row],[Absentee Days]]/Table1[[#This Row],[Total Work Days]]*100</f>
        <v>6.9230769230769234</v>
      </c>
      <c r="Y172">
        <f ca="1">YEAR(Table1[[#This Row],[Join Date]])</f>
        <v>2022</v>
      </c>
      <c r="Z172">
        <f ca="1">IF(Table1[[#This Row],[Status]]="Active",1,0)</f>
        <v>0</v>
      </c>
      <c r="AA172">
        <f ca="1">IF(Table1[[#This Row],[Status]]="Exited",Table1[[#This Row],[Recruitment Cost]]+Table1[[#This Row],[Onboarding Cost]]+Table1[[#This Row],[Training Cost]],0)</f>
        <v>6654</v>
      </c>
    </row>
    <row r="173" spans="1:27" x14ac:dyDescent="0.2">
      <c r="A173" t="str">
        <f t="shared" si="16"/>
        <v>E172</v>
      </c>
      <c r="B173" t="str" cm="1">
        <f t="array" aca="1" ref="B173" ca="1">INDEX(sheet2!$A$2:$A$6, RANDBETWEEN(1, 5))</f>
        <v>HR</v>
      </c>
      <c r="C173" t="str">
        <f ca="1">_xlfn.XLOOKUP(Table1[[#This Row],[Department]],sheet2!$A$2:$A$6,sheet2!$B$2:$B$6,_xleta.NA,0)</f>
        <v>HR Manager</v>
      </c>
      <c r="D173" s="1">
        <f t="shared" ca="1" si="17"/>
        <v>43480</v>
      </c>
      <c r="E173" s="1">
        <f ca="1">Table1[[#This Row],[Job Posting Date]]+ RANDBETWEEN(15, 90)</f>
        <v>43566</v>
      </c>
      <c r="F173" s="1">
        <f ca="1">Table1[[#This Row],[Hire Date]]+ RANDBETWEEN(1, 15)</f>
        <v>43577</v>
      </c>
      <c r="G173" s="1">
        <f ca="1">IF(RAND() &lt; 0.5,  Table1[[#This Row],[Join Date]]+ RANDBETWEEN(30, TODAY()- Table1[[#This Row],[Join Date]]), "-")</f>
        <v>45592</v>
      </c>
      <c r="H173" t="str">
        <f ca="1">IF(Table1[[#This Row],[Exit Date]]= "-", "Active", "Exited")</f>
        <v>Exited</v>
      </c>
      <c r="I173" s="5">
        <f t="shared" ca="1" si="18"/>
        <v>2000</v>
      </c>
      <c r="J173" t="str" cm="1">
        <f t="array" aca="1" ref="J173" ca="1">INDEX(sheet2!$C$2:$C$6, RANDBETWEEN(1, 5))</f>
        <v>Leadership Development</v>
      </c>
      <c r="K173" t="str">
        <f t="shared" ca="1" si="19"/>
        <v>Completed</v>
      </c>
      <c r="L173">
        <v>260</v>
      </c>
      <c r="M173">
        <f t="shared" ca="1" si="20"/>
        <v>0</v>
      </c>
      <c r="N173" t="str">
        <f t="shared" ca="1" si="21"/>
        <v>Female</v>
      </c>
      <c r="O173" s="6">
        <f t="shared" ca="1" si="22"/>
        <v>1898</v>
      </c>
      <c r="P173">
        <f ca="1">Table1[[#This Row],[Hire Date]]-Table1[[#This Row],[Job Posting Date]]</f>
        <v>86</v>
      </c>
      <c r="Q173" s="7">
        <f ca="1">Table1[[#This Row],[Join Date]]-Table1[[#This Row],[Hire Date]]</f>
        <v>11</v>
      </c>
      <c r="R173" s="8">
        <f ca="1">(IF(Table1[[#This Row],[Status]]="Exited",Table1[[#This Row],[Exit Date]]-Table1[[#This Row],[Join Date]],TODAY()-Table1[[#This Row],[Join Date]]))/30</f>
        <v>67.166666666666671</v>
      </c>
      <c r="S173">
        <f ca="1">Table1[[#This Row],[Hire Date]]-Table1[[#This Row],[Job Posting Date]]</f>
        <v>86</v>
      </c>
      <c r="T173" s="7">
        <f ca="1">Table1[[#This Row],[Time to Onboard]]/Table1[[#This Row],[Time to Fill]]*100</f>
        <v>12.790697674418606</v>
      </c>
      <c r="U173" s="8">
        <f ca="1">Table1[[#This Row],[Time to Onboard]]/Table1[[#This Row],[Time to Fill]]*100</f>
        <v>12.790697674418606</v>
      </c>
      <c r="V173">
        <f ca="1">Table1[[#This Row],[Join Date]]-Table1[[#This Row],[Job Posting Date]]</f>
        <v>97</v>
      </c>
      <c r="W173">
        <f t="shared" ca="1" si="23"/>
        <v>178</v>
      </c>
      <c r="X173" s="8">
        <f ca="1">Table1[[#This Row],[Absentee Days]]/Table1[[#This Row],[Total Work Days]]*100</f>
        <v>0</v>
      </c>
      <c r="Y173">
        <f ca="1">YEAR(Table1[[#This Row],[Join Date]])</f>
        <v>2019</v>
      </c>
      <c r="Z173">
        <f ca="1">IF(Table1[[#This Row],[Status]]="Active",1,0)</f>
        <v>0</v>
      </c>
      <c r="AA173">
        <f ca="1">IF(Table1[[#This Row],[Status]]="Exited",Table1[[#This Row],[Recruitment Cost]]+Table1[[#This Row],[Onboarding Cost]]+Table1[[#This Row],[Training Cost]],0)</f>
        <v>4076</v>
      </c>
    </row>
    <row r="174" spans="1:27" x14ac:dyDescent="0.2">
      <c r="A174" t="str">
        <f t="shared" si="16"/>
        <v>E173</v>
      </c>
      <c r="B174" t="str" cm="1">
        <f t="array" aca="1" ref="B174" ca="1">INDEX(sheet2!$A$2:$A$6, RANDBETWEEN(1, 5))</f>
        <v>HR</v>
      </c>
      <c r="C174" t="str">
        <f ca="1">_xlfn.XLOOKUP(Table1[[#This Row],[Department]],sheet2!$A$2:$A$6,sheet2!$B$2:$B$6,_xleta.NA,0)</f>
        <v>HR Manager</v>
      </c>
      <c r="D174" s="1">
        <f t="shared" ca="1" si="17"/>
        <v>44027</v>
      </c>
      <c r="E174" s="1">
        <f ca="1">Table1[[#This Row],[Job Posting Date]]+ RANDBETWEEN(15, 90)</f>
        <v>44104</v>
      </c>
      <c r="F174" s="1">
        <f ca="1">Table1[[#This Row],[Hire Date]]+ RANDBETWEEN(1, 15)</f>
        <v>44106</v>
      </c>
      <c r="G174" s="1">
        <f ca="1">IF(RAND() &lt; 0.5,  Table1[[#This Row],[Join Date]]+ RANDBETWEEN(30, TODAY()- Table1[[#This Row],[Join Date]]), "-")</f>
        <v>45258</v>
      </c>
      <c r="H174" t="str">
        <f ca="1">IF(Table1[[#This Row],[Exit Date]]= "-", "Active", "Exited")</f>
        <v>Exited</v>
      </c>
      <c r="I174" s="5">
        <f t="shared" ca="1" si="18"/>
        <v>3395</v>
      </c>
      <c r="J174" t="str" cm="1">
        <f t="array" aca="1" ref="J174" ca="1">INDEX(sheet2!$C$2:$C$6, RANDBETWEEN(1, 5))</f>
        <v>Leadership Development</v>
      </c>
      <c r="K174" t="str">
        <f t="shared" ca="1" si="19"/>
        <v>Not Completed</v>
      </c>
      <c r="L174">
        <v>260</v>
      </c>
      <c r="M174">
        <f t="shared" ca="1" si="20"/>
        <v>20</v>
      </c>
      <c r="N174" t="str">
        <f t="shared" ca="1" si="21"/>
        <v>Male</v>
      </c>
      <c r="O174" s="6">
        <f t="shared" ca="1" si="22"/>
        <v>2018</v>
      </c>
      <c r="P174">
        <f ca="1">Table1[[#This Row],[Hire Date]]-Table1[[#This Row],[Job Posting Date]]</f>
        <v>77</v>
      </c>
      <c r="Q174" s="7">
        <f ca="1">Table1[[#This Row],[Join Date]]-Table1[[#This Row],[Hire Date]]</f>
        <v>2</v>
      </c>
      <c r="R174" s="8">
        <f ca="1">(IF(Table1[[#This Row],[Status]]="Exited",Table1[[#This Row],[Exit Date]]-Table1[[#This Row],[Join Date]],TODAY()-Table1[[#This Row],[Join Date]]))/30</f>
        <v>38.4</v>
      </c>
      <c r="S174">
        <f ca="1">Table1[[#This Row],[Hire Date]]-Table1[[#This Row],[Job Posting Date]]</f>
        <v>77</v>
      </c>
      <c r="T174" s="7">
        <f ca="1">Table1[[#This Row],[Time to Onboard]]/Table1[[#This Row],[Time to Fill]]*100</f>
        <v>2.5974025974025974</v>
      </c>
      <c r="U174" s="8">
        <f ca="1">Table1[[#This Row],[Time to Onboard]]/Table1[[#This Row],[Time to Fill]]*100</f>
        <v>2.5974025974025974</v>
      </c>
      <c r="V174">
        <f ca="1">Table1[[#This Row],[Join Date]]-Table1[[#This Row],[Job Posting Date]]</f>
        <v>79</v>
      </c>
      <c r="W174">
        <f t="shared" ca="1" si="23"/>
        <v>198</v>
      </c>
      <c r="X174" s="8">
        <f ca="1">Table1[[#This Row],[Absentee Days]]/Table1[[#This Row],[Total Work Days]]*100</f>
        <v>7.6923076923076925</v>
      </c>
      <c r="Y174">
        <f ca="1">YEAR(Table1[[#This Row],[Join Date]])</f>
        <v>2020</v>
      </c>
      <c r="Z174">
        <f ca="1">IF(Table1[[#This Row],[Status]]="Active",1,0)</f>
        <v>0</v>
      </c>
      <c r="AA174">
        <f ca="1">IF(Table1[[#This Row],[Status]]="Exited",Table1[[#This Row],[Recruitment Cost]]+Table1[[#This Row],[Onboarding Cost]]+Table1[[#This Row],[Training Cost]],0)</f>
        <v>5611</v>
      </c>
    </row>
    <row r="175" spans="1:27" x14ac:dyDescent="0.2">
      <c r="A175" t="str">
        <f t="shared" si="16"/>
        <v>E174</v>
      </c>
      <c r="B175" t="str" cm="1">
        <f t="array" aca="1" ref="B175" ca="1">INDEX(sheet2!$A$2:$A$6, RANDBETWEEN(1, 5))</f>
        <v>HR</v>
      </c>
      <c r="C175" t="str">
        <f ca="1">_xlfn.XLOOKUP(Table1[[#This Row],[Department]],sheet2!$A$2:$A$6,sheet2!$B$2:$B$6,_xleta.NA,0)</f>
        <v>HR Manager</v>
      </c>
      <c r="D175" s="1">
        <f t="shared" ca="1" si="17"/>
        <v>43811</v>
      </c>
      <c r="E175" s="1">
        <f ca="1">Table1[[#This Row],[Job Posting Date]]+ RANDBETWEEN(15, 90)</f>
        <v>43860</v>
      </c>
      <c r="F175" s="1">
        <f ca="1">Table1[[#This Row],[Hire Date]]+ RANDBETWEEN(1, 15)</f>
        <v>43872</v>
      </c>
      <c r="G175" s="1">
        <f ca="1">IF(RAND() &lt; 0.5,  Table1[[#This Row],[Join Date]]+ RANDBETWEEN(30, TODAY()- Table1[[#This Row],[Join Date]]), "-")</f>
        <v>45424</v>
      </c>
      <c r="H175" t="str">
        <f ca="1">IF(Table1[[#This Row],[Exit Date]]= "-", "Active", "Exited")</f>
        <v>Exited</v>
      </c>
      <c r="I175" s="5">
        <f t="shared" ca="1" si="18"/>
        <v>3250</v>
      </c>
      <c r="J175" t="str" cm="1">
        <f t="array" aca="1" ref="J175" ca="1">INDEX(sheet2!$C$2:$C$6, RANDBETWEEN(1, 5))</f>
        <v>Communication Skills</v>
      </c>
      <c r="K175" t="str">
        <f t="shared" ca="1" si="19"/>
        <v>Completed</v>
      </c>
      <c r="L175">
        <v>260</v>
      </c>
      <c r="M175">
        <f t="shared" ca="1" si="20"/>
        <v>15</v>
      </c>
      <c r="N175" t="str">
        <f t="shared" ca="1" si="21"/>
        <v>Other</v>
      </c>
      <c r="O175" s="6">
        <f t="shared" ca="1" si="22"/>
        <v>1518</v>
      </c>
      <c r="P175">
        <f ca="1">Table1[[#This Row],[Hire Date]]-Table1[[#This Row],[Job Posting Date]]</f>
        <v>49</v>
      </c>
      <c r="Q175" s="7">
        <f ca="1">Table1[[#This Row],[Join Date]]-Table1[[#This Row],[Hire Date]]</f>
        <v>12</v>
      </c>
      <c r="R175" s="8">
        <f ca="1">(IF(Table1[[#This Row],[Status]]="Exited",Table1[[#This Row],[Exit Date]]-Table1[[#This Row],[Join Date]],TODAY()-Table1[[#This Row],[Join Date]]))/30</f>
        <v>51.733333333333334</v>
      </c>
      <c r="S175">
        <f ca="1">Table1[[#This Row],[Hire Date]]-Table1[[#This Row],[Job Posting Date]]</f>
        <v>49</v>
      </c>
      <c r="T175" s="7">
        <f ca="1">Table1[[#This Row],[Time to Onboard]]/Table1[[#This Row],[Time to Fill]]*100</f>
        <v>24.489795918367346</v>
      </c>
      <c r="U175" s="8">
        <f ca="1">Table1[[#This Row],[Time to Onboard]]/Table1[[#This Row],[Time to Fill]]*100</f>
        <v>24.489795918367346</v>
      </c>
      <c r="V175">
        <f ca="1">Table1[[#This Row],[Join Date]]-Table1[[#This Row],[Job Posting Date]]</f>
        <v>61</v>
      </c>
      <c r="W175">
        <f t="shared" ca="1" si="23"/>
        <v>172</v>
      </c>
      <c r="X175" s="8">
        <f ca="1">Table1[[#This Row],[Absentee Days]]/Table1[[#This Row],[Total Work Days]]*100</f>
        <v>5.7692307692307692</v>
      </c>
      <c r="Y175">
        <f ca="1">YEAR(Table1[[#This Row],[Join Date]])</f>
        <v>2020</v>
      </c>
      <c r="Z175">
        <f ca="1">IF(Table1[[#This Row],[Status]]="Active",1,0)</f>
        <v>0</v>
      </c>
      <c r="AA175">
        <f ca="1">IF(Table1[[#This Row],[Status]]="Exited",Table1[[#This Row],[Recruitment Cost]]+Table1[[#This Row],[Onboarding Cost]]+Table1[[#This Row],[Training Cost]],0)</f>
        <v>4940</v>
      </c>
    </row>
    <row r="176" spans="1:27" x14ac:dyDescent="0.2">
      <c r="A176" t="str">
        <f t="shared" si="16"/>
        <v>E175</v>
      </c>
      <c r="B176" t="str" cm="1">
        <f t="array" aca="1" ref="B176" ca="1">INDEX(sheet2!$A$2:$A$6, RANDBETWEEN(1, 5))</f>
        <v>Finance</v>
      </c>
      <c r="C176" t="str">
        <f ca="1">_xlfn.XLOOKUP(Table1[[#This Row],[Department]],sheet2!$A$2:$A$6,sheet2!$B$2:$B$6,_xleta.NA,0)</f>
        <v>Finance Manager</v>
      </c>
      <c r="D176" s="1">
        <f t="shared" ca="1" si="17"/>
        <v>43628</v>
      </c>
      <c r="E176" s="1">
        <f ca="1">Table1[[#This Row],[Job Posting Date]]+ RANDBETWEEN(15, 90)</f>
        <v>43672</v>
      </c>
      <c r="F176" s="1">
        <f ca="1">Table1[[#This Row],[Hire Date]]+ RANDBETWEEN(1, 15)</f>
        <v>43687</v>
      </c>
      <c r="G176" s="1" t="str">
        <f ca="1">IF(RAND() &lt; 0.5,  Table1[[#This Row],[Join Date]]+ RANDBETWEEN(30, TODAY()- Table1[[#This Row],[Join Date]]), "-")</f>
        <v>-</v>
      </c>
      <c r="H176" t="str">
        <f ca="1">IF(Table1[[#This Row],[Exit Date]]= "-", "Active", "Exited")</f>
        <v>Active</v>
      </c>
      <c r="I176" s="5">
        <f t="shared" ca="1" si="18"/>
        <v>2735</v>
      </c>
      <c r="J176" t="str" cm="1">
        <f t="array" aca="1" ref="J176" ca="1">INDEX(sheet2!$C$2:$C$6, RANDBETWEEN(1, 5))</f>
        <v>Leadership Development</v>
      </c>
      <c r="K176" t="str">
        <f t="shared" ca="1" si="19"/>
        <v>Completed</v>
      </c>
      <c r="L176">
        <v>260</v>
      </c>
      <c r="M176">
        <f t="shared" ca="1" si="20"/>
        <v>20</v>
      </c>
      <c r="N176" t="str">
        <f t="shared" ca="1" si="21"/>
        <v>Male</v>
      </c>
      <c r="O176" s="6">
        <f t="shared" ca="1" si="22"/>
        <v>1822</v>
      </c>
      <c r="P176">
        <f ca="1">Table1[[#This Row],[Hire Date]]-Table1[[#This Row],[Job Posting Date]]</f>
        <v>44</v>
      </c>
      <c r="Q176" s="7">
        <f ca="1">Table1[[#This Row],[Join Date]]-Table1[[#This Row],[Hire Date]]</f>
        <v>15</v>
      </c>
      <c r="R176" s="8">
        <f ca="1">(IF(Table1[[#This Row],[Status]]="Exited",Table1[[#This Row],[Exit Date]]-Table1[[#This Row],[Join Date]],TODAY()-Table1[[#This Row],[Join Date]]))/30</f>
        <v>66.533333333333331</v>
      </c>
      <c r="S176">
        <f ca="1">Table1[[#This Row],[Hire Date]]-Table1[[#This Row],[Job Posting Date]]</f>
        <v>44</v>
      </c>
      <c r="T176" s="7">
        <f ca="1">Table1[[#This Row],[Time to Onboard]]/Table1[[#This Row],[Time to Fill]]*100</f>
        <v>34.090909090909086</v>
      </c>
      <c r="U176" s="8">
        <f ca="1">Table1[[#This Row],[Time to Onboard]]/Table1[[#This Row],[Time to Fill]]*100</f>
        <v>34.090909090909086</v>
      </c>
      <c r="V176">
        <f ca="1">Table1[[#This Row],[Join Date]]-Table1[[#This Row],[Job Posting Date]]</f>
        <v>59</v>
      </c>
      <c r="W176">
        <f t="shared" ca="1" si="23"/>
        <v>158</v>
      </c>
      <c r="X176" s="8">
        <f ca="1">Table1[[#This Row],[Absentee Days]]/Table1[[#This Row],[Total Work Days]]*100</f>
        <v>7.6923076923076925</v>
      </c>
      <c r="Y176">
        <f ca="1">YEAR(Table1[[#This Row],[Join Date]])</f>
        <v>2019</v>
      </c>
      <c r="Z176">
        <f ca="1">IF(Table1[[#This Row],[Status]]="Active",1,0)</f>
        <v>1</v>
      </c>
      <c r="AA176">
        <f ca="1">IF(Table1[[#This Row],[Status]]="Exited",Table1[[#This Row],[Recruitment Cost]]+Table1[[#This Row],[Onboarding Cost]]+Table1[[#This Row],[Training Cost]],0)</f>
        <v>0</v>
      </c>
    </row>
    <row r="177" spans="1:27" x14ac:dyDescent="0.2">
      <c r="A177" t="str">
        <f t="shared" si="16"/>
        <v>E176</v>
      </c>
      <c r="B177" t="str" cm="1">
        <f t="array" aca="1" ref="B177" ca="1">INDEX(sheet2!$A$2:$A$6, RANDBETWEEN(1, 5))</f>
        <v>HR</v>
      </c>
      <c r="C177" t="str">
        <f ca="1">_xlfn.XLOOKUP(Table1[[#This Row],[Department]],sheet2!$A$2:$A$6,sheet2!$B$2:$B$6,_xleta.NA,0)</f>
        <v>HR Manager</v>
      </c>
      <c r="D177" s="1">
        <f t="shared" ca="1" si="17"/>
        <v>44578</v>
      </c>
      <c r="E177" s="1">
        <f ca="1">Table1[[#This Row],[Job Posting Date]]+ RANDBETWEEN(15, 90)</f>
        <v>44602</v>
      </c>
      <c r="F177" s="1">
        <f ca="1">Table1[[#This Row],[Hire Date]]+ RANDBETWEEN(1, 15)</f>
        <v>44613</v>
      </c>
      <c r="G177" s="1" t="str">
        <f ca="1">IF(RAND() &lt; 0.5,  Table1[[#This Row],[Join Date]]+ RANDBETWEEN(30, TODAY()- Table1[[#This Row],[Join Date]]), "-")</f>
        <v>-</v>
      </c>
      <c r="H177" t="str">
        <f ca="1">IF(Table1[[#This Row],[Exit Date]]= "-", "Active", "Exited")</f>
        <v>Active</v>
      </c>
      <c r="I177" s="5">
        <f t="shared" ca="1" si="18"/>
        <v>3949</v>
      </c>
      <c r="J177" t="str" cm="1">
        <f t="array" aca="1" ref="J177" ca="1">INDEX(sheet2!$C$2:$C$6, RANDBETWEEN(1, 5))</f>
        <v>Ethics and Responsibilities</v>
      </c>
      <c r="K177" t="str">
        <f t="shared" ca="1" si="19"/>
        <v>Completed</v>
      </c>
      <c r="L177">
        <v>260</v>
      </c>
      <c r="M177">
        <f t="shared" ca="1" si="20"/>
        <v>18</v>
      </c>
      <c r="N177" t="str">
        <f t="shared" ca="1" si="21"/>
        <v>Male</v>
      </c>
      <c r="O177" s="6">
        <f t="shared" ca="1" si="22"/>
        <v>2432</v>
      </c>
      <c r="P177">
        <f ca="1">Table1[[#This Row],[Hire Date]]-Table1[[#This Row],[Job Posting Date]]</f>
        <v>24</v>
      </c>
      <c r="Q177" s="7">
        <f ca="1">Table1[[#This Row],[Join Date]]-Table1[[#This Row],[Hire Date]]</f>
        <v>11</v>
      </c>
      <c r="R177" s="8">
        <f ca="1">(IF(Table1[[#This Row],[Status]]="Exited",Table1[[#This Row],[Exit Date]]-Table1[[#This Row],[Join Date]],TODAY()-Table1[[#This Row],[Join Date]]))/30</f>
        <v>35.666666666666664</v>
      </c>
      <c r="S177">
        <f ca="1">Table1[[#This Row],[Hire Date]]-Table1[[#This Row],[Job Posting Date]]</f>
        <v>24</v>
      </c>
      <c r="T177" s="7">
        <f ca="1">Table1[[#This Row],[Time to Onboard]]/Table1[[#This Row],[Time to Fill]]*100</f>
        <v>45.833333333333329</v>
      </c>
      <c r="U177" s="8">
        <f ca="1">Table1[[#This Row],[Time to Onboard]]/Table1[[#This Row],[Time to Fill]]*100</f>
        <v>45.833333333333329</v>
      </c>
      <c r="V177">
        <f ca="1">Table1[[#This Row],[Join Date]]-Table1[[#This Row],[Job Posting Date]]</f>
        <v>35</v>
      </c>
      <c r="W177">
        <f t="shared" ca="1" si="23"/>
        <v>147</v>
      </c>
      <c r="X177" s="8">
        <f ca="1">Table1[[#This Row],[Absentee Days]]/Table1[[#This Row],[Total Work Days]]*100</f>
        <v>6.9230769230769234</v>
      </c>
      <c r="Y177">
        <f ca="1">YEAR(Table1[[#This Row],[Join Date]])</f>
        <v>2022</v>
      </c>
      <c r="Z177">
        <f ca="1">IF(Table1[[#This Row],[Status]]="Active",1,0)</f>
        <v>1</v>
      </c>
      <c r="AA177">
        <f ca="1">IF(Table1[[#This Row],[Status]]="Exited",Table1[[#This Row],[Recruitment Cost]]+Table1[[#This Row],[Onboarding Cost]]+Table1[[#This Row],[Training Cost]],0)</f>
        <v>0</v>
      </c>
    </row>
    <row r="178" spans="1:27" x14ac:dyDescent="0.2">
      <c r="A178" t="str">
        <f t="shared" si="16"/>
        <v>E177</v>
      </c>
      <c r="B178" t="str" cm="1">
        <f t="array" aca="1" ref="B178" ca="1">INDEX(sheet2!$A$2:$A$6, RANDBETWEEN(1, 5))</f>
        <v>Finance</v>
      </c>
      <c r="C178" t="str">
        <f ca="1">_xlfn.XLOOKUP(Table1[[#This Row],[Department]],sheet2!$A$2:$A$6,sheet2!$B$2:$B$6,_xleta.NA,0)</f>
        <v>Finance Manager</v>
      </c>
      <c r="D178" s="1">
        <f t="shared" ca="1" si="17"/>
        <v>44854</v>
      </c>
      <c r="E178" s="1">
        <f ca="1">Table1[[#This Row],[Job Posting Date]]+ RANDBETWEEN(15, 90)</f>
        <v>44929</v>
      </c>
      <c r="F178" s="1">
        <f ca="1">Table1[[#This Row],[Hire Date]]+ RANDBETWEEN(1, 15)</f>
        <v>44941</v>
      </c>
      <c r="G178" s="1">
        <f ca="1">IF(RAND() &lt; 0.5,  Table1[[#This Row],[Join Date]]+ RANDBETWEEN(30, TODAY()- Table1[[#This Row],[Join Date]]), "-")</f>
        <v>45665</v>
      </c>
      <c r="H178" t="str">
        <f ca="1">IF(Table1[[#This Row],[Exit Date]]= "-", "Active", "Exited")</f>
        <v>Exited</v>
      </c>
      <c r="I178" s="5">
        <f t="shared" ca="1" si="18"/>
        <v>4887</v>
      </c>
      <c r="J178" t="str" cm="1">
        <f t="array" aca="1" ref="J178" ca="1">INDEX(sheet2!$C$2:$C$6, RANDBETWEEN(1, 5))</f>
        <v>Leadership Development</v>
      </c>
      <c r="K178" t="str">
        <f t="shared" ca="1" si="19"/>
        <v>Completed</v>
      </c>
      <c r="L178">
        <v>260</v>
      </c>
      <c r="M178">
        <f t="shared" ca="1" si="20"/>
        <v>8</v>
      </c>
      <c r="N178" t="str">
        <f t="shared" ca="1" si="21"/>
        <v>Female</v>
      </c>
      <c r="O178" s="6">
        <f t="shared" ca="1" si="22"/>
        <v>2129</v>
      </c>
      <c r="P178">
        <f ca="1">Table1[[#This Row],[Hire Date]]-Table1[[#This Row],[Job Posting Date]]</f>
        <v>75</v>
      </c>
      <c r="Q178" s="7">
        <f ca="1">Table1[[#This Row],[Join Date]]-Table1[[#This Row],[Hire Date]]</f>
        <v>12</v>
      </c>
      <c r="R178" s="8">
        <f ca="1">(IF(Table1[[#This Row],[Status]]="Exited",Table1[[#This Row],[Exit Date]]-Table1[[#This Row],[Join Date]],TODAY()-Table1[[#This Row],[Join Date]]))/30</f>
        <v>24.133333333333333</v>
      </c>
      <c r="S178">
        <f ca="1">Table1[[#This Row],[Hire Date]]-Table1[[#This Row],[Job Posting Date]]</f>
        <v>75</v>
      </c>
      <c r="T178" s="7">
        <f ca="1">Table1[[#This Row],[Time to Onboard]]/Table1[[#This Row],[Time to Fill]]*100</f>
        <v>16</v>
      </c>
      <c r="U178" s="8">
        <f ca="1">Table1[[#This Row],[Time to Onboard]]/Table1[[#This Row],[Time to Fill]]*100</f>
        <v>16</v>
      </c>
      <c r="V178">
        <f ca="1">Table1[[#This Row],[Join Date]]-Table1[[#This Row],[Job Posting Date]]</f>
        <v>87</v>
      </c>
      <c r="W178">
        <f t="shared" ca="1" si="23"/>
        <v>182</v>
      </c>
      <c r="X178" s="8">
        <f ca="1">Table1[[#This Row],[Absentee Days]]/Table1[[#This Row],[Total Work Days]]*100</f>
        <v>3.0769230769230771</v>
      </c>
      <c r="Y178">
        <f ca="1">YEAR(Table1[[#This Row],[Join Date]])</f>
        <v>2023</v>
      </c>
      <c r="Z178">
        <f ca="1">IF(Table1[[#This Row],[Status]]="Active",1,0)</f>
        <v>0</v>
      </c>
      <c r="AA178">
        <f ca="1">IF(Table1[[#This Row],[Status]]="Exited",Table1[[#This Row],[Recruitment Cost]]+Table1[[#This Row],[Onboarding Cost]]+Table1[[#This Row],[Training Cost]],0)</f>
        <v>7198</v>
      </c>
    </row>
    <row r="179" spans="1:27" x14ac:dyDescent="0.2">
      <c r="A179" t="str">
        <f t="shared" si="16"/>
        <v>E178</v>
      </c>
      <c r="B179" t="str" cm="1">
        <f t="array" aca="1" ref="B179" ca="1">INDEX(sheet2!$A$2:$A$6, RANDBETWEEN(1, 5))</f>
        <v>IT</v>
      </c>
      <c r="C179" t="str">
        <f ca="1">_xlfn.XLOOKUP(Table1[[#This Row],[Department]],sheet2!$A$2:$A$6,sheet2!$B$2:$B$6,_xleta.NA,0)</f>
        <v>Software Engineer</v>
      </c>
      <c r="D179" s="1">
        <f t="shared" ca="1" si="17"/>
        <v>43699</v>
      </c>
      <c r="E179" s="1">
        <f ca="1">Table1[[#This Row],[Job Posting Date]]+ RANDBETWEEN(15, 90)</f>
        <v>43715</v>
      </c>
      <c r="F179" s="1">
        <f ca="1">Table1[[#This Row],[Hire Date]]+ RANDBETWEEN(1, 15)</f>
        <v>43720</v>
      </c>
      <c r="G179" s="1" t="str">
        <f ca="1">IF(RAND() &lt; 0.5,  Table1[[#This Row],[Join Date]]+ RANDBETWEEN(30, TODAY()- Table1[[#This Row],[Join Date]]), "-")</f>
        <v>-</v>
      </c>
      <c r="H179" t="str">
        <f ca="1">IF(Table1[[#This Row],[Exit Date]]= "-", "Active", "Exited")</f>
        <v>Active</v>
      </c>
      <c r="I179" s="5">
        <f t="shared" ca="1" si="18"/>
        <v>3040</v>
      </c>
      <c r="J179" t="str" cm="1">
        <f t="array" aca="1" ref="J179" ca="1">INDEX(sheet2!$C$2:$C$6, RANDBETWEEN(1, 5))</f>
        <v>Communication Skills</v>
      </c>
      <c r="K179" t="str">
        <f t="shared" ca="1" si="19"/>
        <v>Completed</v>
      </c>
      <c r="L179">
        <v>260</v>
      </c>
      <c r="M179">
        <f t="shared" ca="1" si="20"/>
        <v>11</v>
      </c>
      <c r="N179" t="str">
        <f t="shared" ca="1" si="21"/>
        <v>Other</v>
      </c>
      <c r="O179" s="6">
        <f t="shared" ca="1" si="22"/>
        <v>1726</v>
      </c>
      <c r="P179">
        <f ca="1">Table1[[#This Row],[Hire Date]]-Table1[[#This Row],[Job Posting Date]]</f>
        <v>16</v>
      </c>
      <c r="Q179" s="7">
        <f ca="1">Table1[[#This Row],[Join Date]]-Table1[[#This Row],[Hire Date]]</f>
        <v>5</v>
      </c>
      <c r="R179" s="8">
        <f ca="1">(IF(Table1[[#This Row],[Status]]="Exited",Table1[[#This Row],[Exit Date]]-Table1[[#This Row],[Join Date]],TODAY()-Table1[[#This Row],[Join Date]]))/30</f>
        <v>65.433333333333337</v>
      </c>
      <c r="S179">
        <f ca="1">Table1[[#This Row],[Hire Date]]-Table1[[#This Row],[Job Posting Date]]</f>
        <v>16</v>
      </c>
      <c r="T179" s="7">
        <f ca="1">Table1[[#This Row],[Time to Onboard]]/Table1[[#This Row],[Time to Fill]]*100</f>
        <v>31.25</v>
      </c>
      <c r="U179" s="8">
        <f ca="1">Table1[[#This Row],[Time to Onboard]]/Table1[[#This Row],[Time to Fill]]*100</f>
        <v>31.25</v>
      </c>
      <c r="V179">
        <f ca="1">Table1[[#This Row],[Join Date]]-Table1[[#This Row],[Job Posting Date]]</f>
        <v>21</v>
      </c>
      <c r="W179">
        <f t="shared" ca="1" si="23"/>
        <v>167</v>
      </c>
      <c r="X179" s="8">
        <f ca="1">Table1[[#This Row],[Absentee Days]]/Table1[[#This Row],[Total Work Days]]*100</f>
        <v>4.2307692307692308</v>
      </c>
      <c r="Y179">
        <f ca="1">YEAR(Table1[[#This Row],[Join Date]])</f>
        <v>2019</v>
      </c>
      <c r="Z179">
        <f ca="1">IF(Table1[[#This Row],[Status]]="Active",1,0)</f>
        <v>1</v>
      </c>
      <c r="AA179">
        <f ca="1">IF(Table1[[#This Row],[Status]]="Exited",Table1[[#This Row],[Recruitment Cost]]+Table1[[#This Row],[Onboarding Cost]]+Table1[[#This Row],[Training Cost]],0)</f>
        <v>0</v>
      </c>
    </row>
    <row r="180" spans="1:27" x14ac:dyDescent="0.2">
      <c r="A180" t="str">
        <f t="shared" si="16"/>
        <v>E179</v>
      </c>
      <c r="B180" t="str" cm="1">
        <f t="array" aca="1" ref="B180" ca="1">INDEX(sheet2!$A$2:$A$6, RANDBETWEEN(1, 5))</f>
        <v>IT</v>
      </c>
      <c r="C180" t="str">
        <f ca="1">_xlfn.XLOOKUP(Table1[[#This Row],[Department]],sheet2!$A$2:$A$6,sheet2!$B$2:$B$6,_xleta.NA,0)</f>
        <v>Software Engineer</v>
      </c>
      <c r="D180" s="1">
        <f t="shared" ca="1" si="17"/>
        <v>44172</v>
      </c>
      <c r="E180" s="1">
        <f ca="1">Table1[[#This Row],[Job Posting Date]]+ RANDBETWEEN(15, 90)</f>
        <v>44237</v>
      </c>
      <c r="F180" s="1">
        <f ca="1">Table1[[#This Row],[Hire Date]]+ RANDBETWEEN(1, 15)</f>
        <v>44239</v>
      </c>
      <c r="G180" s="1" t="str">
        <f ca="1">IF(RAND() &lt; 0.5,  Table1[[#This Row],[Join Date]]+ RANDBETWEEN(30, TODAY()- Table1[[#This Row],[Join Date]]), "-")</f>
        <v>-</v>
      </c>
      <c r="H180" t="str">
        <f ca="1">IF(Table1[[#This Row],[Exit Date]]= "-", "Active", "Exited")</f>
        <v>Active</v>
      </c>
      <c r="I180" s="5">
        <f t="shared" ca="1" si="18"/>
        <v>4094</v>
      </c>
      <c r="J180" t="str" cm="1">
        <f t="array" aca="1" ref="J180" ca="1">INDEX(sheet2!$C$2:$C$6, RANDBETWEEN(1, 5))</f>
        <v>Conflict Resolution</v>
      </c>
      <c r="K180" t="str">
        <f t="shared" ca="1" si="19"/>
        <v>Not Completed</v>
      </c>
      <c r="L180">
        <v>260</v>
      </c>
      <c r="M180">
        <f t="shared" ca="1" si="20"/>
        <v>11</v>
      </c>
      <c r="N180" t="str">
        <f t="shared" ca="1" si="21"/>
        <v>Other</v>
      </c>
      <c r="O180" s="6">
        <f t="shared" ca="1" si="22"/>
        <v>1709</v>
      </c>
      <c r="P180">
        <f ca="1">Table1[[#This Row],[Hire Date]]-Table1[[#This Row],[Job Posting Date]]</f>
        <v>65</v>
      </c>
      <c r="Q180" s="7">
        <f ca="1">Table1[[#This Row],[Join Date]]-Table1[[#This Row],[Hire Date]]</f>
        <v>2</v>
      </c>
      <c r="R180" s="8">
        <f ca="1">(IF(Table1[[#This Row],[Status]]="Exited",Table1[[#This Row],[Exit Date]]-Table1[[#This Row],[Join Date]],TODAY()-Table1[[#This Row],[Join Date]]))/30</f>
        <v>48.133333333333333</v>
      </c>
      <c r="S180">
        <f ca="1">Table1[[#This Row],[Hire Date]]-Table1[[#This Row],[Job Posting Date]]</f>
        <v>65</v>
      </c>
      <c r="T180" s="7">
        <f ca="1">Table1[[#This Row],[Time to Onboard]]/Table1[[#This Row],[Time to Fill]]*100</f>
        <v>3.0769230769230771</v>
      </c>
      <c r="U180" s="8">
        <f ca="1">Table1[[#This Row],[Time to Onboard]]/Table1[[#This Row],[Time to Fill]]*100</f>
        <v>3.0769230769230771</v>
      </c>
      <c r="V180">
        <f ca="1">Table1[[#This Row],[Join Date]]-Table1[[#This Row],[Job Posting Date]]</f>
        <v>67</v>
      </c>
      <c r="W180">
        <f t="shared" ca="1" si="23"/>
        <v>148</v>
      </c>
      <c r="X180" s="8">
        <f ca="1">Table1[[#This Row],[Absentee Days]]/Table1[[#This Row],[Total Work Days]]*100</f>
        <v>4.2307692307692308</v>
      </c>
      <c r="Y180">
        <f ca="1">YEAR(Table1[[#This Row],[Join Date]])</f>
        <v>2021</v>
      </c>
      <c r="Z180">
        <f ca="1">IF(Table1[[#This Row],[Status]]="Active",1,0)</f>
        <v>1</v>
      </c>
      <c r="AA180">
        <f ca="1">IF(Table1[[#This Row],[Status]]="Exited",Table1[[#This Row],[Recruitment Cost]]+Table1[[#This Row],[Onboarding Cost]]+Table1[[#This Row],[Training Cost]],0)</f>
        <v>0</v>
      </c>
    </row>
    <row r="181" spans="1:27" x14ac:dyDescent="0.2">
      <c r="A181" t="str">
        <f t="shared" si="16"/>
        <v>E180</v>
      </c>
      <c r="B181" t="str" cm="1">
        <f t="array" aca="1" ref="B181" ca="1">INDEX(sheet2!$A$2:$A$6, RANDBETWEEN(1, 5))</f>
        <v>IT</v>
      </c>
      <c r="C181" t="str">
        <f ca="1">_xlfn.XLOOKUP(Table1[[#This Row],[Department]],sheet2!$A$2:$A$6,sheet2!$B$2:$B$6,_xleta.NA,0)</f>
        <v>Software Engineer</v>
      </c>
      <c r="D181" s="1">
        <f t="shared" ca="1" si="17"/>
        <v>43390</v>
      </c>
      <c r="E181" s="1">
        <f ca="1">Table1[[#This Row],[Job Posting Date]]+ RANDBETWEEN(15, 90)</f>
        <v>43464</v>
      </c>
      <c r="F181" s="1">
        <f ca="1">Table1[[#This Row],[Hire Date]]+ RANDBETWEEN(1, 15)</f>
        <v>43465</v>
      </c>
      <c r="G181" s="1" t="str">
        <f ca="1">IF(RAND() &lt; 0.5,  Table1[[#This Row],[Join Date]]+ RANDBETWEEN(30, TODAY()- Table1[[#This Row],[Join Date]]), "-")</f>
        <v>-</v>
      </c>
      <c r="H181" t="str">
        <f ca="1">IF(Table1[[#This Row],[Exit Date]]= "-", "Active", "Exited")</f>
        <v>Active</v>
      </c>
      <c r="I181" s="5">
        <f t="shared" ca="1" si="18"/>
        <v>2471</v>
      </c>
      <c r="J181" t="str" cm="1">
        <f t="array" aca="1" ref="J181" ca="1">INDEX(sheet2!$C$2:$C$6, RANDBETWEEN(1, 5))</f>
        <v>Advanced Excel Skills </v>
      </c>
      <c r="K181" t="str">
        <f t="shared" ca="1" si="19"/>
        <v>Not Completed</v>
      </c>
      <c r="L181">
        <v>260</v>
      </c>
      <c r="M181">
        <f t="shared" ca="1" si="20"/>
        <v>19</v>
      </c>
      <c r="N181" t="str">
        <f t="shared" ca="1" si="21"/>
        <v>Other</v>
      </c>
      <c r="O181" s="6">
        <f t="shared" ca="1" si="22"/>
        <v>2245</v>
      </c>
      <c r="P181">
        <f ca="1">Table1[[#This Row],[Hire Date]]-Table1[[#This Row],[Job Posting Date]]</f>
        <v>74</v>
      </c>
      <c r="Q181" s="7">
        <f ca="1">Table1[[#This Row],[Join Date]]-Table1[[#This Row],[Hire Date]]</f>
        <v>1</v>
      </c>
      <c r="R181" s="8">
        <f ca="1">(IF(Table1[[#This Row],[Status]]="Exited",Table1[[#This Row],[Exit Date]]-Table1[[#This Row],[Join Date]],TODAY()-Table1[[#This Row],[Join Date]]))/30</f>
        <v>73.933333333333337</v>
      </c>
      <c r="S181">
        <f ca="1">Table1[[#This Row],[Hire Date]]-Table1[[#This Row],[Job Posting Date]]</f>
        <v>74</v>
      </c>
      <c r="T181" s="7">
        <f ca="1">Table1[[#This Row],[Time to Onboard]]/Table1[[#This Row],[Time to Fill]]*100</f>
        <v>1.3513513513513513</v>
      </c>
      <c r="U181" s="8">
        <f ca="1">Table1[[#This Row],[Time to Onboard]]/Table1[[#This Row],[Time to Fill]]*100</f>
        <v>1.3513513513513513</v>
      </c>
      <c r="V181">
        <f ca="1">Table1[[#This Row],[Join Date]]-Table1[[#This Row],[Job Posting Date]]</f>
        <v>75</v>
      </c>
      <c r="W181">
        <f t="shared" ca="1" si="23"/>
        <v>139</v>
      </c>
      <c r="X181" s="8">
        <f ca="1">Table1[[#This Row],[Absentee Days]]/Table1[[#This Row],[Total Work Days]]*100</f>
        <v>7.3076923076923084</v>
      </c>
      <c r="Y181">
        <f ca="1">YEAR(Table1[[#This Row],[Join Date]])</f>
        <v>2018</v>
      </c>
      <c r="Z181">
        <f ca="1">IF(Table1[[#This Row],[Status]]="Active",1,0)</f>
        <v>1</v>
      </c>
      <c r="AA181">
        <f ca="1">IF(Table1[[#This Row],[Status]]="Exited",Table1[[#This Row],[Recruitment Cost]]+Table1[[#This Row],[Onboarding Cost]]+Table1[[#This Row],[Training Cost]],0)</f>
        <v>0</v>
      </c>
    </row>
    <row r="182" spans="1:27" x14ac:dyDescent="0.2">
      <c r="A182" t="str">
        <f t="shared" si="16"/>
        <v>E181</v>
      </c>
      <c r="B182" t="str" cm="1">
        <f t="array" aca="1" ref="B182" ca="1">INDEX(sheet2!$A$2:$A$6, RANDBETWEEN(1, 5))</f>
        <v>Sales</v>
      </c>
      <c r="C182" t="str">
        <f ca="1">_xlfn.XLOOKUP(Table1[[#This Row],[Department]],sheet2!$A$2:$A$6,sheet2!$B$2:$B$6,_xleta.NA,0)</f>
        <v>Marketing Manager</v>
      </c>
      <c r="D182" s="1">
        <f t="shared" ca="1" si="17"/>
        <v>43226</v>
      </c>
      <c r="E182" s="1">
        <f ca="1">Table1[[#This Row],[Job Posting Date]]+ RANDBETWEEN(15, 90)</f>
        <v>43263</v>
      </c>
      <c r="F182" s="1">
        <f ca="1">Table1[[#This Row],[Hire Date]]+ RANDBETWEEN(1, 15)</f>
        <v>43273</v>
      </c>
      <c r="G182" s="1" t="str">
        <f ca="1">IF(RAND() &lt; 0.5,  Table1[[#This Row],[Join Date]]+ RANDBETWEEN(30, TODAY()- Table1[[#This Row],[Join Date]]), "-")</f>
        <v>-</v>
      </c>
      <c r="H182" t="str">
        <f ca="1">IF(Table1[[#This Row],[Exit Date]]= "-", "Active", "Exited")</f>
        <v>Active</v>
      </c>
      <c r="I182" s="5">
        <f t="shared" ca="1" si="18"/>
        <v>3786</v>
      </c>
      <c r="J182" t="str" cm="1">
        <f t="array" aca="1" ref="J182" ca="1">INDEX(sheet2!$C$2:$C$6, RANDBETWEEN(1, 5))</f>
        <v>Advanced Excel Skills </v>
      </c>
      <c r="K182" t="str">
        <f t="shared" ca="1" si="19"/>
        <v>Completed</v>
      </c>
      <c r="L182">
        <v>260</v>
      </c>
      <c r="M182">
        <f t="shared" ca="1" si="20"/>
        <v>14</v>
      </c>
      <c r="N182" t="str">
        <f t="shared" ca="1" si="21"/>
        <v>Male</v>
      </c>
      <c r="O182" s="6">
        <f t="shared" ca="1" si="22"/>
        <v>2372</v>
      </c>
      <c r="P182">
        <f ca="1">Table1[[#This Row],[Hire Date]]-Table1[[#This Row],[Job Posting Date]]</f>
        <v>37</v>
      </c>
      <c r="Q182" s="7">
        <f ca="1">Table1[[#This Row],[Join Date]]-Table1[[#This Row],[Hire Date]]</f>
        <v>10</v>
      </c>
      <c r="R182" s="8">
        <f ca="1">(IF(Table1[[#This Row],[Status]]="Exited",Table1[[#This Row],[Exit Date]]-Table1[[#This Row],[Join Date]],TODAY()-Table1[[#This Row],[Join Date]]))/30</f>
        <v>80.333333333333329</v>
      </c>
      <c r="S182">
        <f ca="1">Table1[[#This Row],[Hire Date]]-Table1[[#This Row],[Job Posting Date]]</f>
        <v>37</v>
      </c>
      <c r="T182" s="7">
        <f ca="1">Table1[[#This Row],[Time to Onboard]]/Table1[[#This Row],[Time to Fill]]*100</f>
        <v>27.027027027027028</v>
      </c>
      <c r="U182" s="8">
        <f ca="1">Table1[[#This Row],[Time to Onboard]]/Table1[[#This Row],[Time to Fill]]*100</f>
        <v>27.027027027027028</v>
      </c>
      <c r="V182">
        <f ca="1">Table1[[#This Row],[Join Date]]-Table1[[#This Row],[Job Posting Date]]</f>
        <v>47</v>
      </c>
      <c r="W182">
        <f t="shared" ca="1" si="23"/>
        <v>162</v>
      </c>
      <c r="X182" s="8">
        <f ca="1">Table1[[#This Row],[Absentee Days]]/Table1[[#This Row],[Total Work Days]]*100</f>
        <v>5.384615384615385</v>
      </c>
      <c r="Y182">
        <f ca="1">YEAR(Table1[[#This Row],[Join Date]])</f>
        <v>2018</v>
      </c>
      <c r="Z182">
        <f ca="1">IF(Table1[[#This Row],[Status]]="Active",1,0)</f>
        <v>1</v>
      </c>
      <c r="AA182">
        <f ca="1">IF(Table1[[#This Row],[Status]]="Exited",Table1[[#This Row],[Recruitment Cost]]+Table1[[#This Row],[Onboarding Cost]]+Table1[[#This Row],[Training Cost]],0)</f>
        <v>0</v>
      </c>
    </row>
    <row r="183" spans="1:27" x14ac:dyDescent="0.2">
      <c r="A183" t="str">
        <f t="shared" si="16"/>
        <v>E182</v>
      </c>
      <c r="B183" t="str" cm="1">
        <f t="array" aca="1" ref="B183" ca="1">INDEX(sheet2!$A$2:$A$6, RANDBETWEEN(1, 5))</f>
        <v>Sales</v>
      </c>
      <c r="C183" t="str">
        <f ca="1">_xlfn.XLOOKUP(Table1[[#This Row],[Department]],sheet2!$A$2:$A$6,sheet2!$B$2:$B$6,_xleta.NA,0)</f>
        <v>Marketing Manager</v>
      </c>
      <c r="D183" s="1">
        <f t="shared" ca="1" si="17"/>
        <v>44341</v>
      </c>
      <c r="E183" s="1">
        <f ca="1">Table1[[#This Row],[Job Posting Date]]+ RANDBETWEEN(15, 90)</f>
        <v>44358</v>
      </c>
      <c r="F183" s="1">
        <f ca="1">Table1[[#This Row],[Hire Date]]+ RANDBETWEEN(1, 15)</f>
        <v>44359</v>
      </c>
      <c r="G183" s="1">
        <f ca="1">IF(RAND() &lt; 0.5,  Table1[[#This Row],[Join Date]]+ RANDBETWEEN(30, TODAY()- Table1[[#This Row],[Join Date]]), "-")</f>
        <v>45004</v>
      </c>
      <c r="H183" t="str">
        <f ca="1">IF(Table1[[#This Row],[Exit Date]]= "-", "Active", "Exited")</f>
        <v>Exited</v>
      </c>
      <c r="I183" s="5">
        <f t="shared" ca="1" si="18"/>
        <v>2470</v>
      </c>
      <c r="J183" t="str" cm="1">
        <f t="array" aca="1" ref="J183" ca="1">INDEX(sheet2!$C$2:$C$6, RANDBETWEEN(1, 5))</f>
        <v>Communication Skills</v>
      </c>
      <c r="K183" t="str">
        <f t="shared" ca="1" si="19"/>
        <v>Completed</v>
      </c>
      <c r="L183">
        <v>260</v>
      </c>
      <c r="M183">
        <f t="shared" ca="1" si="20"/>
        <v>6</v>
      </c>
      <c r="N183" t="str">
        <f t="shared" ca="1" si="21"/>
        <v>Other</v>
      </c>
      <c r="O183" s="6">
        <f t="shared" ca="1" si="22"/>
        <v>1935</v>
      </c>
      <c r="P183">
        <f ca="1">Table1[[#This Row],[Hire Date]]-Table1[[#This Row],[Job Posting Date]]</f>
        <v>17</v>
      </c>
      <c r="Q183" s="7">
        <f ca="1">Table1[[#This Row],[Join Date]]-Table1[[#This Row],[Hire Date]]</f>
        <v>1</v>
      </c>
      <c r="R183" s="8">
        <f ca="1">(IF(Table1[[#This Row],[Status]]="Exited",Table1[[#This Row],[Exit Date]]-Table1[[#This Row],[Join Date]],TODAY()-Table1[[#This Row],[Join Date]]))/30</f>
        <v>21.5</v>
      </c>
      <c r="S183">
        <f ca="1">Table1[[#This Row],[Hire Date]]-Table1[[#This Row],[Job Posting Date]]</f>
        <v>17</v>
      </c>
      <c r="T183" s="7">
        <f ca="1">Table1[[#This Row],[Time to Onboard]]/Table1[[#This Row],[Time to Fill]]*100</f>
        <v>5.8823529411764701</v>
      </c>
      <c r="U183" s="8">
        <f ca="1">Table1[[#This Row],[Time to Onboard]]/Table1[[#This Row],[Time to Fill]]*100</f>
        <v>5.8823529411764701</v>
      </c>
      <c r="V183">
        <f ca="1">Table1[[#This Row],[Join Date]]-Table1[[#This Row],[Job Posting Date]]</f>
        <v>18</v>
      </c>
      <c r="W183">
        <f t="shared" ca="1" si="23"/>
        <v>110</v>
      </c>
      <c r="X183" s="8">
        <f ca="1">Table1[[#This Row],[Absentee Days]]/Table1[[#This Row],[Total Work Days]]*100</f>
        <v>2.3076923076923079</v>
      </c>
      <c r="Y183">
        <f ca="1">YEAR(Table1[[#This Row],[Join Date]])</f>
        <v>2021</v>
      </c>
      <c r="Z183">
        <f ca="1">IF(Table1[[#This Row],[Status]]="Active",1,0)</f>
        <v>0</v>
      </c>
      <c r="AA183">
        <f ca="1">IF(Table1[[#This Row],[Status]]="Exited",Table1[[#This Row],[Recruitment Cost]]+Table1[[#This Row],[Onboarding Cost]]+Table1[[#This Row],[Training Cost]],0)</f>
        <v>4515</v>
      </c>
    </row>
    <row r="184" spans="1:27" x14ac:dyDescent="0.2">
      <c r="A184" t="str">
        <f t="shared" si="16"/>
        <v>E183</v>
      </c>
      <c r="B184" t="str" cm="1">
        <f t="array" aca="1" ref="B184" ca="1">INDEX(sheet2!$A$2:$A$6, RANDBETWEEN(1, 5))</f>
        <v>Analytics</v>
      </c>
      <c r="C184" t="str">
        <f ca="1">_xlfn.XLOOKUP(Table1[[#This Row],[Department]],sheet2!$A$2:$A$6,sheet2!$B$2:$B$6,_xleta.NA,0)</f>
        <v>Data Analyst</v>
      </c>
      <c r="D184" s="1">
        <f t="shared" ca="1" si="17"/>
        <v>44535</v>
      </c>
      <c r="E184" s="1">
        <f ca="1">Table1[[#This Row],[Job Posting Date]]+ RANDBETWEEN(15, 90)</f>
        <v>44580</v>
      </c>
      <c r="F184" s="1">
        <f ca="1">Table1[[#This Row],[Hire Date]]+ RANDBETWEEN(1, 15)</f>
        <v>44584</v>
      </c>
      <c r="G184" s="1" t="str">
        <f ca="1">IF(RAND() &lt; 0.5,  Table1[[#This Row],[Join Date]]+ RANDBETWEEN(30, TODAY()- Table1[[#This Row],[Join Date]]), "-")</f>
        <v>-</v>
      </c>
      <c r="H184" t="str">
        <f ca="1">IF(Table1[[#This Row],[Exit Date]]= "-", "Active", "Exited")</f>
        <v>Active</v>
      </c>
      <c r="I184" s="5">
        <f t="shared" ca="1" si="18"/>
        <v>2892</v>
      </c>
      <c r="J184" t="str" cm="1">
        <f t="array" aca="1" ref="J184" ca="1">INDEX(sheet2!$C$2:$C$6, RANDBETWEEN(1, 5))</f>
        <v>Ethics and Responsibilities</v>
      </c>
      <c r="K184" t="str">
        <f t="shared" ca="1" si="19"/>
        <v>Completed</v>
      </c>
      <c r="L184">
        <v>260</v>
      </c>
      <c r="M184">
        <f t="shared" ca="1" si="20"/>
        <v>16</v>
      </c>
      <c r="N184" t="str">
        <f t="shared" ca="1" si="21"/>
        <v>Other</v>
      </c>
      <c r="O184" s="6">
        <f t="shared" ca="1" si="22"/>
        <v>2475</v>
      </c>
      <c r="P184">
        <f ca="1">Table1[[#This Row],[Hire Date]]-Table1[[#This Row],[Job Posting Date]]</f>
        <v>45</v>
      </c>
      <c r="Q184" s="7">
        <f ca="1">Table1[[#This Row],[Join Date]]-Table1[[#This Row],[Hire Date]]</f>
        <v>4</v>
      </c>
      <c r="R184" s="8">
        <f ca="1">(IF(Table1[[#This Row],[Status]]="Exited",Table1[[#This Row],[Exit Date]]-Table1[[#This Row],[Join Date]],TODAY()-Table1[[#This Row],[Join Date]]))/30</f>
        <v>36.633333333333333</v>
      </c>
      <c r="S184">
        <f ca="1">Table1[[#This Row],[Hire Date]]-Table1[[#This Row],[Job Posting Date]]</f>
        <v>45</v>
      </c>
      <c r="T184" s="7">
        <f ca="1">Table1[[#This Row],[Time to Onboard]]/Table1[[#This Row],[Time to Fill]]*100</f>
        <v>8.8888888888888893</v>
      </c>
      <c r="U184" s="8">
        <f ca="1">Table1[[#This Row],[Time to Onboard]]/Table1[[#This Row],[Time to Fill]]*100</f>
        <v>8.8888888888888893</v>
      </c>
      <c r="V184">
        <f ca="1">Table1[[#This Row],[Join Date]]-Table1[[#This Row],[Job Posting Date]]</f>
        <v>49</v>
      </c>
      <c r="W184">
        <f t="shared" ca="1" si="23"/>
        <v>180</v>
      </c>
      <c r="X184" s="8">
        <f ca="1">Table1[[#This Row],[Absentee Days]]/Table1[[#This Row],[Total Work Days]]*100</f>
        <v>6.1538461538461542</v>
      </c>
      <c r="Y184">
        <f ca="1">YEAR(Table1[[#This Row],[Join Date]])</f>
        <v>2022</v>
      </c>
      <c r="Z184">
        <f ca="1">IF(Table1[[#This Row],[Status]]="Active",1,0)</f>
        <v>1</v>
      </c>
      <c r="AA184">
        <f ca="1">IF(Table1[[#This Row],[Status]]="Exited",Table1[[#This Row],[Recruitment Cost]]+Table1[[#This Row],[Onboarding Cost]]+Table1[[#This Row],[Training Cost]],0)</f>
        <v>0</v>
      </c>
    </row>
    <row r="185" spans="1:27" x14ac:dyDescent="0.2">
      <c r="A185" t="str">
        <f t="shared" si="16"/>
        <v>E184</v>
      </c>
      <c r="B185" t="str" cm="1">
        <f t="array" aca="1" ref="B185" ca="1">INDEX(sheet2!$A$2:$A$6, RANDBETWEEN(1, 5))</f>
        <v>Analytics</v>
      </c>
      <c r="C185" t="str">
        <f ca="1">_xlfn.XLOOKUP(Table1[[#This Row],[Department]],sheet2!$A$2:$A$6,sheet2!$B$2:$B$6,_xleta.NA,0)</f>
        <v>Data Analyst</v>
      </c>
      <c r="D185" s="1">
        <f t="shared" ca="1" si="17"/>
        <v>44782</v>
      </c>
      <c r="E185" s="1">
        <f ca="1">Table1[[#This Row],[Job Posting Date]]+ RANDBETWEEN(15, 90)</f>
        <v>44845</v>
      </c>
      <c r="F185" s="1">
        <f ca="1">Table1[[#This Row],[Hire Date]]+ RANDBETWEEN(1, 15)</f>
        <v>44854</v>
      </c>
      <c r="G185" s="1" t="str">
        <f ca="1">IF(RAND() &lt; 0.5,  Table1[[#This Row],[Join Date]]+ RANDBETWEEN(30, TODAY()- Table1[[#This Row],[Join Date]]), "-")</f>
        <v>-</v>
      </c>
      <c r="H185" t="str">
        <f ca="1">IF(Table1[[#This Row],[Exit Date]]= "-", "Active", "Exited")</f>
        <v>Active</v>
      </c>
      <c r="I185" s="5">
        <f t="shared" ca="1" si="18"/>
        <v>1965</v>
      </c>
      <c r="J185" t="str" cm="1">
        <f t="array" aca="1" ref="J185" ca="1">INDEX(sheet2!$C$2:$C$6, RANDBETWEEN(1, 5))</f>
        <v>Communication Skills</v>
      </c>
      <c r="K185" t="str">
        <f t="shared" ca="1" si="19"/>
        <v>Completed</v>
      </c>
      <c r="L185">
        <v>260</v>
      </c>
      <c r="M185">
        <f t="shared" ca="1" si="20"/>
        <v>5</v>
      </c>
      <c r="N185" t="str">
        <f t="shared" ca="1" si="21"/>
        <v>Female</v>
      </c>
      <c r="O185" s="6">
        <f t="shared" ca="1" si="22"/>
        <v>2010</v>
      </c>
      <c r="P185">
        <f ca="1">Table1[[#This Row],[Hire Date]]-Table1[[#This Row],[Job Posting Date]]</f>
        <v>63</v>
      </c>
      <c r="Q185" s="7">
        <f ca="1">Table1[[#This Row],[Join Date]]-Table1[[#This Row],[Hire Date]]</f>
        <v>9</v>
      </c>
      <c r="R185" s="8">
        <f ca="1">(IF(Table1[[#This Row],[Status]]="Exited",Table1[[#This Row],[Exit Date]]-Table1[[#This Row],[Join Date]],TODAY()-Table1[[#This Row],[Join Date]]))/30</f>
        <v>27.633333333333333</v>
      </c>
      <c r="S185">
        <f ca="1">Table1[[#This Row],[Hire Date]]-Table1[[#This Row],[Job Posting Date]]</f>
        <v>63</v>
      </c>
      <c r="T185" s="7">
        <f ca="1">Table1[[#This Row],[Time to Onboard]]/Table1[[#This Row],[Time to Fill]]*100</f>
        <v>14.285714285714285</v>
      </c>
      <c r="U185" s="8">
        <f ca="1">Table1[[#This Row],[Time to Onboard]]/Table1[[#This Row],[Time to Fill]]*100</f>
        <v>14.285714285714285</v>
      </c>
      <c r="V185">
        <f ca="1">Table1[[#This Row],[Join Date]]-Table1[[#This Row],[Job Posting Date]]</f>
        <v>72</v>
      </c>
      <c r="W185">
        <f t="shared" ca="1" si="23"/>
        <v>152</v>
      </c>
      <c r="X185" s="8">
        <f ca="1">Table1[[#This Row],[Absentee Days]]/Table1[[#This Row],[Total Work Days]]*100</f>
        <v>1.9230769230769231</v>
      </c>
      <c r="Y185">
        <f ca="1">YEAR(Table1[[#This Row],[Join Date]])</f>
        <v>2022</v>
      </c>
      <c r="Z185">
        <f ca="1">IF(Table1[[#This Row],[Status]]="Active",1,0)</f>
        <v>1</v>
      </c>
      <c r="AA185">
        <f ca="1">IF(Table1[[#This Row],[Status]]="Exited",Table1[[#This Row],[Recruitment Cost]]+Table1[[#This Row],[Onboarding Cost]]+Table1[[#This Row],[Training Cost]],0)</f>
        <v>0</v>
      </c>
    </row>
    <row r="186" spans="1:27" x14ac:dyDescent="0.2">
      <c r="A186" t="str">
        <f t="shared" si="16"/>
        <v>E185</v>
      </c>
      <c r="B186" t="str" cm="1">
        <f t="array" aca="1" ref="B186" ca="1">INDEX(sheet2!$A$2:$A$6, RANDBETWEEN(1, 5))</f>
        <v>IT</v>
      </c>
      <c r="C186" t="str">
        <f ca="1">_xlfn.XLOOKUP(Table1[[#This Row],[Department]],sheet2!$A$2:$A$6,sheet2!$B$2:$B$6,_xleta.NA,0)</f>
        <v>Software Engineer</v>
      </c>
      <c r="D186" s="1">
        <f t="shared" ca="1" si="17"/>
        <v>43653</v>
      </c>
      <c r="E186" s="1">
        <f ca="1">Table1[[#This Row],[Job Posting Date]]+ RANDBETWEEN(15, 90)</f>
        <v>43728</v>
      </c>
      <c r="F186" s="1">
        <f ca="1">Table1[[#This Row],[Hire Date]]+ RANDBETWEEN(1, 15)</f>
        <v>43741</v>
      </c>
      <c r="G186" s="1" t="str">
        <f ca="1">IF(RAND() &lt; 0.5,  Table1[[#This Row],[Join Date]]+ RANDBETWEEN(30, TODAY()- Table1[[#This Row],[Join Date]]), "-")</f>
        <v>-</v>
      </c>
      <c r="H186" t="str">
        <f ca="1">IF(Table1[[#This Row],[Exit Date]]= "-", "Active", "Exited")</f>
        <v>Active</v>
      </c>
      <c r="I186" s="5">
        <f t="shared" ca="1" si="18"/>
        <v>3075</v>
      </c>
      <c r="J186" t="str" cm="1">
        <f t="array" aca="1" ref="J186" ca="1">INDEX(sheet2!$C$2:$C$6, RANDBETWEEN(1, 5))</f>
        <v>Conflict Resolution</v>
      </c>
      <c r="K186" t="str">
        <f t="shared" ca="1" si="19"/>
        <v>Completed</v>
      </c>
      <c r="L186">
        <v>260</v>
      </c>
      <c r="M186">
        <f t="shared" ca="1" si="20"/>
        <v>15</v>
      </c>
      <c r="N186" t="str">
        <f t="shared" ca="1" si="21"/>
        <v>Male</v>
      </c>
      <c r="O186" s="6">
        <f t="shared" ca="1" si="22"/>
        <v>2272</v>
      </c>
      <c r="P186">
        <f ca="1">Table1[[#This Row],[Hire Date]]-Table1[[#This Row],[Job Posting Date]]</f>
        <v>75</v>
      </c>
      <c r="Q186" s="7">
        <f ca="1">Table1[[#This Row],[Join Date]]-Table1[[#This Row],[Hire Date]]</f>
        <v>13</v>
      </c>
      <c r="R186" s="8">
        <f ca="1">(IF(Table1[[#This Row],[Status]]="Exited",Table1[[#This Row],[Exit Date]]-Table1[[#This Row],[Join Date]],TODAY()-Table1[[#This Row],[Join Date]]))/30</f>
        <v>64.733333333333334</v>
      </c>
      <c r="S186">
        <f ca="1">Table1[[#This Row],[Hire Date]]-Table1[[#This Row],[Job Posting Date]]</f>
        <v>75</v>
      </c>
      <c r="T186" s="7">
        <f ca="1">Table1[[#This Row],[Time to Onboard]]/Table1[[#This Row],[Time to Fill]]*100</f>
        <v>17.333333333333336</v>
      </c>
      <c r="U186" s="8">
        <f ca="1">Table1[[#This Row],[Time to Onboard]]/Table1[[#This Row],[Time to Fill]]*100</f>
        <v>17.333333333333336</v>
      </c>
      <c r="V186">
        <f ca="1">Table1[[#This Row],[Join Date]]-Table1[[#This Row],[Job Posting Date]]</f>
        <v>88</v>
      </c>
      <c r="W186">
        <f t="shared" ca="1" si="23"/>
        <v>170</v>
      </c>
      <c r="X186" s="8">
        <f ca="1">Table1[[#This Row],[Absentee Days]]/Table1[[#This Row],[Total Work Days]]*100</f>
        <v>5.7692307692307692</v>
      </c>
      <c r="Y186">
        <f ca="1">YEAR(Table1[[#This Row],[Join Date]])</f>
        <v>2019</v>
      </c>
      <c r="Z186">
        <f ca="1">IF(Table1[[#This Row],[Status]]="Active",1,0)</f>
        <v>1</v>
      </c>
      <c r="AA186">
        <f ca="1">IF(Table1[[#This Row],[Status]]="Exited",Table1[[#This Row],[Recruitment Cost]]+Table1[[#This Row],[Onboarding Cost]]+Table1[[#This Row],[Training Cost]],0)</f>
        <v>0</v>
      </c>
    </row>
    <row r="187" spans="1:27" x14ac:dyDescent="0.2">
      <c r="A187" t="str">
        <f t="shared" si="16"/>
        <v>E186</v>
      </c>
      <c r="B187" t="str" cm="1">
        <f t="array" aca="1" ref="B187" ca="1">INDEX(sheet2!$A$2:$A$6, RANDBETWEEN(1, 5))</f>
        <v>Analytics</v>
      </c>
      <c r="C187" t="str">
        <f ca="1">_xlfn.XLOOKUP(Table1[[#This Row],[Department]],sheet2!$A$2:$A$6,sheet2!$B$2:$B$6,_xleta.NA,0)</f>
        <v>Data Analyst</v>
      </c>
      <c r="D187" s="1">
        <f t="shared" ca="1" si="17"/>
        <v>43908</v>
      </c>
      <c r="E187" s="1">
        <f ca="1">Table1[[#This Row],[Job Posting Date]]+ RANDBETWEEN(15, 90)</f>
        <v>43990</v>
      </c>
      <c r="F187" s="1">
        <f ca="1">Table1[[#This Row],[Hire Date]]+ RANDBETWEEN(1, 15)</f>
        <v>44002</v>
      </c>
      <c r="G187" s="1" t="str">
        <f ca="1">IF(RAND() &lt; 0.5,  Table1[[#This Row],[Join Date]]+ RANDBETWEEN(30, TODAY()- Table1[[#This Row],[Join Date]]), "-")</f>
        <v>-</v>
      </c>
      <c r="H187" t="str">
        <f ca="1">IF(Table1[[#This Row],[Exit Date]]= "-", "Active", "Exited")</f>
        <v>Active</v>
      </c>
      <c r="I187" s="5">
        <f t="shared" ca="1" si="18"/>
        <v>2310</v>
      </c>
      <c r="J187" t="str" cm="1">
        <f t="array" aca="1" ref="J187" ca="1">INDEX(sheet2!$C$2:$C$6, RANDBETWEEN(1, 5))</f>
        <v>Conflict Resolution</v>
      </c>
      <c r="K187" t="str">
        <f t="shared" ca="1" si="19"/>
        <v>Completed</v>
      </c>
      <c r="L187">
        <v>260</v>
      </c>
      <c r="M187">
        <f t="shared" ca="1" si="20"/>
        <v>20</v>
      </c>
      <c r="N187" t="str">
        <f t="shared" ca="1" si="21"/>
        <v>Male</v>
      </c>
      <c r="O187" s="6">
        <f t="shared" ca="1" si="22"/>
        <v>1311</v>
      </c>
      <c r="P187">
        <f ca="1">Table1[[#This Row],[Hire Date]]-Table1[[#This Row],[Job Posting Date]]</f>
        <v>82</v>
      </c>
      <c r="Q187" s="7">
        <f ca="1">Table1[[#This Row],[Join Date]]-Table1[[#This Row],[Hire Date]]</f>
        <v>12</v>
      </c>
      <c r="R187" s="8">
        <f ca="1">(IF(Table1[[#This Row],[Status]]="Exited",Table1[[#This Row],[Exit Date]]-Table1[[#This Row],[Join Date]],TODAY()-Table1[[#This Row],[Join Date]]))/30</f>
        <v>56.033333333333331</v>
      </c>
      <c r="S187">
        <f ca="1">Table1[[#This Row],[Hire Date]]-Table1[[#This Row],[Job Posting Date]]</f>
        <v>82</v>
      </c>
      <c r="T187" s="7">
        <f ca="1">Table1[[#This Row],[Time to Onboard]]/Table1[[#This Row],[Time to Fill]]*100</f>
        <v>14.634146341463413</v>
      </c>
      <c r="U187" s="8">
        <f ca="1">Table1[[#This Row],[Time to Onboard]]/Table1[[#This Row],[Time to Fill]]*100</f>
        <v>14.634146341463413</v>
      </c>
      <c r="V187">
        <f ca="1">Table1[[#This Row],[Join Date]]-Table1[[#This Row],[Job Posting Date]]</f>
        <v>94</v>
      </c>
      <c r="W187">
        <f t="shared" ca="1" si="23"/>
        <v>149</v>
      </c>
      <c r="X187" s="8">
        <f ca="1">Table1[[#This Row],[Absentee Days]]/Table1[[#This Row],[Total Work Days]]*100</f>
        <v>7.6923076923076925</v>
      </c>
      <c r="Y187">
        <f ca="1">YEAR(Table1[[#This Row],[Join Date]])</f>
        <v>2020</v>
      </c>
      <c r="Z187">
        <f ca="1">IF(Table1[[#This Row],[Status]]="Active",1,0)</f>
        <v>1</v>
      </c>
      <c r="AA187">
        <f ca="1">IF(Table1[[#This Row],[Status]]="Exited",Table1[[#This Row],[Recruitment Cost]]+Table1[[#This Row],[Onboarding Cost]]+Table1[[#This Row],[Training Cost]],0)</f>
        <v>0</v>
      </c>
    </row>
    <row r="188" spans="1:27" x14ac:dyDescent="0.2">
      <c r="A188" t="str">
        <f t="shared" si="16"/>
        <v>E187</v>
      </c>
      <c r="B188" t="str" cm="1">
        <f t="array" aca="1" ref="B188" ca="1">INDEX(sheet2!$A$2:$A$6, RANDBETWEEN(1, 5))</f>
        <v>HR</v>
      </c>
      <c r="C188" t="str">
        <f ca="1">_xlfn.XLOOKUP(Table1[[#This Row],[Department]],sheet2!$A$2:$A$6,sheet2!$B$2:$B$6,_xleta.NA,0)</f>
        <v>HR Manager</v>
      </c>
      <c r="D188" s="1">
        <f t="shared" ca="1" si="17"/>
        <v>44876</v>
      </c>
      <c r="E188" s="1">
        <f ca="1">Table1[[#This Row],[Job Posting Date]]+ RANDBETWEEN(15, 90)</f>
        <v>44950</v>
      </c>
      <c r="F188" s="1">
        <f ca="1">Table1[[#This Row],[Hire Date]]+ RANDBETWEEN(1, 15)</f>
        <v>44964</v>
      </c>
      <c r="G188" s="1" t="str">
        <f ca="1">IF(RAND() &lt; 0.5,  Table1[[#This Row],[Join Date]]+ RANDBETWEEN(30, TODAY()- Table1[[#This Row],[Join Date]]), "-")</f>
        <v>-</v>
      </c>
      <c r="H188" t="str">
        <f ca="1">IF(Table1[[#This Row],[Exit Date]]= "-", "Active", "Exited")</f>
        <v>Active</v>
      </c>
      <c r="I188" s="5">
        <f t="shared" ca="1" si="18"/>
        <v>2209</v>
      </c>
      <c r="J188" t="str" cm="1">
        <f t="array" aca="1" ref="J188" ca="1">INDEX(sheet2!$C$2:$C$6, RANDBETWEEN(1, 5))</f>
        <v>Leadership Development</v>
      </c>
      <c r="K188" t="str">
        <f t="shared" ca="1" si="19"/>
        <v>Completed</v>
      </c>
      <c r="L188">
        <v>260</v>
      </c>
      <c r="M188">
        <f t="shared" ca="1" si="20"/>
        <v>7</v>
      </c>
      <c r="N188" t="str">
        <f t="shared" ca="1" si="21"/>
        <v>Other</v>
      </c>
      <c r="O188" s="6">
        <f t="shared" ca="1" si="22"/>
        <v>2342</v>
      </c>
      <c r="P188">
        <f ca="1">Table1[[#This Row],[Hire Date]]-Table1[[#This Row],[Job Posting Date]]</f>
        <v>74</v>
      </c>
      <c r="Q188" s="7">
        <f ca="1">Table1[[#This Row],[Join Date]]-Table1[[#This Row],[Hire Date]]</f>
        <v>14</v>
      </c>
      <c r="R188" s="8">
        <f ca="1">(IF(Table1[[#This Row],[Status]]="Exited",Table1[[#This Row],[Exit Date]]-Table1[[#This Row],[Join Date]],TODAY()-Table1[[#This Row],[Join Date]]))/30</f>
        <v>23.966666666666665</v>
      </c>
      <c r="S188">
        <f ca="1">Table1[[#This Row],[Hire Date]]-Table1[[#This Row],[Job Posting Date]]</f>
        <v>74</v>
      </c>
      <c r="T188" s="7">
        <f ca="1">Table1[[#This Row],[Time to Onboard]]/Table1[[#This Row],[Time to Fill]]*100</f>
        <v>18.918918918918919</v>
      </c>
      <c r="U188" s="8">
        <f ca="1">Table1[[#This Row],[Time to Onboard]]/Table1[[#This Row],[Time to Fill]]*100</f>
        <v>18.918918918918919</v>
      </c>
      <c r="V188">
        <f ca="1">Table1[[#This Row],[Join Date]]-Table1[[#This Row],[Job Posting Date]]</f>
        <v>88</v>
      </c>
      <c r="W188">
        <f t="shared" ca="1" si="23"/>
        <v>101</v>
      </c>
      <c r="X188" s="8">
        <f ca="1">Table1[[#This Row],[Absentee Days]]/Table1[[#This Row],[Total Work Days]]*100</f>
        <v>2.6923076923076925</v>
      </c>
      <c r="Y188">
        <f ca="1">YEAR(Table1[[#This Row],[Join Date]])</f>
        <v>2023</v>
      </c>
      <c r="Z188">
        <f ca="1">IF(Table1[[#This Row],[Status]]="Active",1,0)</f>
        <v>1</v>
      </c>
      <c r="AA188">
        <f ca="1">IF(Table1[[#This Row],[Status]]="Exited",Table1[[#This Row],[Recruitment Cost]]+Table1[[#This Row],[Onboarding Cost]]+Table1[[#This Row],[Training Cost]],0)</f>
        <v>0</v>
      </c>
    </row>
    <row r="189" spans="1:27" x14ac:dyDescent="0.2">
      <c r="A189" t="str">
        <f t="shared" si="16"/>
        <v>E188</v>
      </c>
      <c r="B189" t="str" cm="1">
        <f t="array" aca="1" ref="B189" ca="1">INDEX(sheet2!$A$2:$A$6, RANDBETWEEN(1, 5))</f>
        <v>Sales</v>
      </c>
      <c r="C189" t="str">
        <f ca="1">_xlfn.XLOOKUP(Table1[[#This Row],[Department]],sheet2!$A$2:$A$6,sheet2!$B$2:$B$6,_xleta.NA,0)</f>
        <v>Marketing Manager</v>
      </c>
      <c r="D189" s="1">
        <f t="shared" ca="1" si="17"/>
        <v>43210</v>
      </c>
      <c r="E189" s="1">
        <f ca="1">Table1[[#This Row],[Job Posting Date]]+ RANDBETWEEN(15, 90)</f>
        <v>43292</v>
      </c>
      <c r="F189" s="1">
        <f ca="1">Table1[[#This Row],[Hire Date]]+ RANDBETWEEN(1, 15)</f>
        <v>43301</v>
      </c>
      <c r="G189" s="1" t="str">
        <f ca="1">IF(RAND() &lt; 0.5,  Table1[[#This Row],[Join Date]]+ RANDBETWEEN(30, TODAY()- Table1[[#This Row],[Join Date]]), "-")</f>
        <v>-</v>
      </c>
      <c r="H189" t="str">
        <f ca="1">IF(Table1[[#This Row],[Exit Date]]= "-", "Active", "Exited")</f>
        <v>Active</v>
      </c>
      <c r="I189" s="5">
        <f t="shared" ca="1" si="18"/>
        <v>2037</v>
      </c>
      <c r="J189" t="str" cm="1">
        <f t="array" aca="1" ref="J189" ca="1">INDEX(sheet2!$C$2:$C$6, RANDBETWEEN(1, 5))</f>
        <v>Conflict Resolution</v>
      </c>
      <c r="K189" t="str">
        <f t="shared" ca="1" si="19"/>
        <v>Not Completed</v>
      </c>
      <c r="L189">
        <v>260</v>
      </c>
      <c r="M189">
        <f t="shared" ca="1" si="20"/>
        <v>16</v>
      </c>
      <c r="N189" t="str">
        <f t="shared" ca="1" si="21"/>
        <v>Other</v>
      </c>
      <c r="O189" s="6">
        <f t="shared" ca="1" si="22"/>
        <v>2454</v>
      </c>
      <c r="P189">
        <f ca="1">Table1[[#This Row],[Hire Date]]-Table1[[#This Row],[Job Posting Date]]</f>
        <v>82</v>
      </c>
      <c r="Q189" s="7">
        <f ca="1">Table1[[#This Row],[Join Date]]-Table1[[#This Row],[Hire Date]]</f>
        <v>9</v>
      </c>
      <c r="R189" s="8">
        <f ca="1">(IF(Table1[[#This Row],[Status]]="Exited",Table1[[#This Row],[Exit Date]]-Table1[[#This Row],[Join Date]],TODAY()-Table1[[#This Row],[Join Date]]))/30</f>
        <v>79.400000000000006</v>
      </c>
      <c r="S189">
        <f ca="1">Table1[[#This Row],[Hire Date]]-Table1[[#This Row],[Job Posting Date]]</f>
        <v>82</v>
      </c>
      <c r="T189" s="7">
        <f ca="1">Table1[[#This Row],[Time to Onboard]]/Table1[[#This Row],[Time to Fill]]*100</f>
        <v>10.975609756097562</v>
      </c>
      <c r="U189" s="8">
        <f ca="1">Table1[[#This Row],[Time to Onboard]]/Table1[[#This Row],[Time to Fill]]*100</f>
        <v>10.975609756097562</v>
      </c>
      <c r="V189">
        <f ca="1">Table1[[#This Row],[Join Date]]-Table1[[#This Row],[Job Posting Date]]</f>
        <v>91</v>
      </c>
      <c r="W189">
        <f t="shared" ca="1" si="23"/>
        <v>175</v>
      </c>
      <c r="X189" s="8">
        <f ca="1">Table1[[#This Row],[Absentee Days]]/Table1[[#This Row],[Total Work Days]]*100</f>
        <v>6.1538461538461542</v>
      </c>
      <c r="Y189">
        <f ca="1">YEAR(Table1[[#This Row],[Join Date]])</f>
        <v>2018</v>
      </c>
      <c r="Z189">
        <f ca="1">IF(Table1[[#This Row],[Status]]="Active",1,0)</f>
        <v>1</v>
      </c>
      <c r="AA189">
        <f ca="1">IF(Table1[[#This Row],[Status]]="Exited",Table1[[#This Row],[Recruitment Cost]]+Table1[[#This Row],[Onboarding Cost]]+Table1[[#This Row],[Training Cost]],0)</f>
        <v>0</v>
      </c>
    </row>
    <row r="190" spans="1:27" x14ac:dyDescent="0.2">
      <c r="A190" t="str">
        <f t="shared" si="16"/>
        <v>E189</v>
      </c>
      <c r="B190" t="str" cm="1">
        <f t="array" aca="1" ref="B190" ca="1">INDEX(sheet2!$A$2:$A$6, RANDBETWEEN(1, 5))</f>
        <v>Finance</v>
      </c>
      <c r="C190" t="str">
        <f ca="1">_xlfn.XLOOKUP(Table1[[#This Row],[Department]],sheet2!$A$2:$A$6,sheet2!$B$2:$B$6,_xleta.NA,0)</f>
        <v>Finance Manager</v>
      </c>
      <c r="D190" s="1">
        <f t="shared" ca="1" si="17"/>
        <v>43996</v>
      </c>
      <c r="E190" s="1">
        <f ca="1">Table1[[#This Row],[Job Posting Date]]+ RANDBETWEEN(15, 90)</f>
        <v>44034</v>
      </c>
      <c r="F190" s="1">
        <f ca="1">Table1[[#This Row],[Hire Date]]+ RANDBETWEEN(1, 15)</f>
        <v>44043</v>
      </c>
      <c r="G190" s="1" t="str">
        <f ca="1">IF(RAND() &lt; 0.5,  Table1[[#This Row],[Join Date]]+ RANDBETWEEN(30, TODAY()- Table1[[#This Row],[Join Date]]), "-")</f>
        <v>-</v>
      </c>
      <c r="H190" t="str">
        <f ca="1">IF(Table1[[#This Row],[Exit Date]]= "-", "Active", "Exited")</f>
        <v>Active</v>
      </c>
      <c r="I190" s="5">
        <f t="shared" ca="1" si="18"/>
        <v>4216</v>
      </c>
      <c r="J190" t="str" cm="1">
        <f t="array" aca="1" ref="J190" ca="1">INDEX(sheet2!$C$2:$C$6, RANDBETWEEN(1, 5))</f>
        <v>Communication Skills</v>
      </c>
      <c r="K190" t="str">
        <f t="shared" ca="1" si="19"/>
        <v>Completed</v>
      </c>
      <c r="L190">
        <v>260</v>
      </c>
      <c r="M190">
        <f t="shared" ca="1" si="20"/>
        <v>14</v>
      </c>
      <c r="N190" t="str">
        <f t="shared" ca="1" si="21"/>
        <v>Other</v>
      </c>
      <c r="O190" s="6">
        <f t="shared" ca="1" si="22"/>
        <v>1801</v>
      </c>
      <c r="P190">
        <f ca="1">Table1[[#This Row],[Hire Date]]-Table1[[#This Row],[Job Posting Date]]</f>
        <v>38</v>
      </c>
      <c r="Q190" s="7">
        <f ca="1">Table1[[#This Row],[Join Date]]-Table1[[#This Row],[Hire Date]]</f>
        <v>9</v>
      </c>
      <c r="R190" s="8">
        <f ca="1">(IF(Table1[[#This Row],[Status]]="Exited",Table1[[#This Row],[Exit Date]]-Table1[[#This Row],[Join Date]],TODAY()-Table1[[#This Row],[Join Date]]))/30</f>
        <v>54.666666666666664</v>
      </c>
      <c r="S190">
        <f ca="1">Table1[[#This Row],[Hire Date]]-Table1[[#This Row],[Job Posting Date]]</f>
        <v>38</v>
      </c>
      <c r="T190" s="7">
        <f ca="1">Table1[[#This Row],[Time to Onboard]]/Table1[[#This Row],[Time to Fill]]*100</f>
        <v>23.684210526315788</v>
      </c>
      <c r="U190" s="8">
        <f ca="1">Table1[[#This Row],[Time to Onboard]]/Table1[[#This Row],[Time to Fill]]*100</f>
        <v>23.684210526315788</v>
      </c>
      <c r="V190">
        <f ca="1">Table1[[#This Row],[Join Date]]-Table1[[#This Row],[Job Posting Date]]</f>
        <v>47</v>
      </c>
      <c r="W190">
        <f t="shared" ca="1" si="23"/>
        <v>118</v>
      </c>
      <c r="X190" s="8">
        <f ca="1">Table1[[#This Row],[Absentee Days]]/Table1[[#This Row],[Total Work Days]]*100</f>
        <v>5.384615384615385</v>
      </c>
      <c r="Y190">
        <f ca="1">YEAR(Table1[[#This Row],[Join Date]])</f>
        <v>2020</v>
      </c>
      <c r="Z190">
        <f ca="1">IF(Table1[[#This Row],[Status]]="Active",1,0)</f>
        <v>1</v>
      </c>
      <c r="AA190">
        <f ca="1">IF(Table1[[#This Row],[Status]]="Exited",Table1[[#This Row],[Recruitment Cost]]+Table1[[#This Row],[Onboarding Cost]]+Table1[[#This Row],[Training Cost]],0)</f>
        <v>0</v>
      </c>
    </row>
    <row r="191" spans="1:27" x14ac:dyDescent="0.2">
      <c r="A191" t="str">
        <f t="shared" si="16"/>
        <v>E190</v>
      </c>
      <c r="B191" t="str" cm="1">
        <f t="array" aca="1" ref="B191" ca="1">INDEX(sheet2!$A$2:$A$6, RANDBETWEEN(1, 5))</f>
        <v>Finance</v>
      </c>
      <c r="C191" t="str">
        <f ca="1">_xlfn.XLOOKUP(Table1[[#This Row],[Department]],sheet2!$A$2:$A$6,sheet2!$B$2:$B$6,_xleta.NA,0)</f>
        <v>Finance Manager</v>
      </c>
      <c r="D191" s="1">
        <f t="shared" ca="1" si="17"/>
        <v>44611</v>
      </c>
      <c r="E191" s="1">
        <f ca="1">Table1[[#This Row],[Job Posting Date]]+ RANDBETWEEN(15, 90)</f>
        <v>44633</v>
      </c>
      <c r="F191" s="1">
        <f ca="1">Table1[[#This Row],[Hire Date]]+ RANDBETWEEN(1, 15)</f>
        <v>44647</v>
      </c>
      <c r="G191" s="1" t="str">
        <f ca="1">IF(RAND() &lt; 0.5,  Table1[[#This Row],[Join Date]]+ RANDBETWEEN(30, TODAY()- Table1[[#This Row],[Join Date]]), "-")</f>
        <v>-</v>
      </c>
      <c r="H191" t="str">
        <f ca="1">IF(Table1[[#This Row],[Exit Date]]= "-", "Active", "Exited")</f>
        <v>Active</v>
      </c>
      <c r="I191" s="5">
        <f t="shared" ca="1" si="18"/>
        <v>1797</v>
      </c>
      <c r="J191" t="str" cm="1">
        <f t="array" aca="1" ref="J191" ca="1">INDEX(sheet2!$C$2:$C$6, RANDBETWEEN(1, 5))</f>
        <v>Communication Skills</v>
      </c>
      <c r="K191" t="str">
        <f t="shared" ca="1" si="19"/>
        <v>Completed</v>
      </c>
      <c r="L191">
        <v>260</v>
      </c>
      <c r="M191">
        <f t="shared" ca="1" si="20"/>
        <v>11</v>
      </c>
      <c r="N191" t="str">
        <f t="shared" ca="1" si="21"/>
        <v>Other</v>
      </c>
      <c r="O191" s="6">
        <f t="shared" ca="1" si="22"/>
        <v>2011</v>
      </c>
      <c r="P191">
        <f ca="1">Table1[[#This Row],[Hire Date]]-Table1[[#This Row],[Job Posting Date]]</f>
        <v>22</v>
      </c>
      <c r="Q191" s="7">
        <f ca="1">Table1[[#This Row],[Join Date]]-Table1[[#This Row],[Hire Date]]</f>
        <v>14</v>
      </c>
      <c r="R191" s="8">
        <f ca="1">(IF(Table1[[#This Row],[Status]]="Exited",Table1[[#This Row],[Exit Date]]-Table1[[#This Row],[Join Date]],TODAY()-Table1[[#This Row],[Join Date]]))/30</f>
        <v>34.533333333333331</v>
      </c>
      <c r="S191">
        <f ca="1">Table1[[#This Row],[Hire Date]]-Table1[[#This Row],[Job Posting Date]]</f>
        <v>22</v>
      </c>
      <c r="T191" s="7">
        <f ca="1">Table1[[#This Row],[Time to Onboard]]/Table1[[#This Row],[Time to Fill]]*100</f>
        <v>63.636363636363633</v>
      </c>
      <c r="U191" s="8">
        <f ca="1">Table1[[#This Row],[Time to Onboard]]/Table1[[#This Row],[Time to Fill]]*100</f>
        <v>63.636363636363633</v>
      </c>
      <c r="V191">
        <f ca="1">Table1[[#This Row],[Join Date]]-Table1[[#This Row],[Job Posting Date]]</f>
        <v>36</v>
      </c>
      <c r="W191">
        <f t="shared" ca="1" si="23"/>
        <v>160</v>
      </c>
      <c r="X191" s="8">
        <f ca="1">Table1[[#This Row],[Absentee Days]]/Table1[[#This Row],[Total Work Days]]*100</f>
        <v>4.2307692307692308</v>
      </c>
      <c r="Y191">
        <f ca="1">YEAR(Table1[[#This Row],[Join Date]])</f>
        <v>2022</v>
      </c>
      <c r="Z191">
        <f ca="1">IF(Table1[[#This Row],[Status]]="Active",1,0)</f>
        <v>1</v>
      </c>
      <c r="AA191">
        <f ca="1">IF(Table1[[#This Row],[Status]]="Exited",Table1[[#This Row],[Recruitment Cost]]+Table1[[#This Row],[Onboarding Cost]]+Table1[[#This Row],[Training Cost]],0)</f>
        <v>0</v>
      </c>
    </row>
    <row r="192" spans="1:27" x14ac:dyDescent="0.2">
      <c r="A192" t="str">
        <f t="shared" si="16"/>
        <v>E191</v>
      </c>
      <c r="B192" t="str" cm="1">
        <f t="array" aca="1" ref="B192" ca="1">INDEX(sheet2!$A$2:$A$6, RANDBETWEEN(1, 5))</f>
        <v>Analytics</v>
      </c>
      <c r="C192" t="str">
        <f ca="1">_xlfn.XLOOKUP(Table1[[#This Row],[Department]],sheet2!$A$2:$A$6,sheet2!$B$2:$B$6,_xleta.NA,0)</f>
        <v>Data Analyst</v>
      </c>
      <c r="D192" s="1">
        <f t="shared" ca="1" si="17"/>
        <v>43927</v>
      </c>
      <c r="E192" s="1">
        <f ca="1">Table1[[#This Row],[Job Posting Date]]+ RANDBETWEEN(15, 90)</f>
        <v>43959</v>
      </c>
      <c r="F192" s="1">
        <f ca="1">Table1[[#This Row],[Hire Date]]+ RANDBETWEEN(1, 15)</f>
        <v>43964</v>
      </c>
      <c r="G192" s="1" t="str">
        <f ca="1">IF(RAND() &lt; 0.5,  Table1[[#This Row],[Join Date]]+ RANDBETWEEN(30, TODAY()- Table1[[#This Row],[Join Date]]), "-")</f>
        <v>-</v>
      </c>
      <c r="H192" t="str">
        <f ca="1">IF(Table1[[#This Row],[Exit Date]]= "-", "Active", "Exited")</f>
        <v>Active</v>
      </c>
      <c r="I192" s="5">
        <f t="shared" ca="1" si="18"/>
        <v>2301</v>
      </c>
      <c r="J192" t="str" cm="1">
        <f t="array" aca="1" ref="J192" ca="1">INDEX(sheet2!$C$2:$C$6, RANDBETWEEN(1, 5))</f>
        <v>Leadership Development</v>
      </c>
      <c r="K192" t="str">
        <f t="shared" ca="1" si="19"/>
        <v>Completed</v>
      </c>
      <c r="L192">
        <v>260</v>
      </c>
      <c r="M192">
        <f t="shared" ca="1" si="20"/>
        <v>5</v>
      </c>
      <c r="N192" t="str">
        <f t="shared" ca="1" si="21"/>
        <v>Male</v>
      </c>
      <c r="O192" s="6">
        <f t="shared" ca="1" si="22"/>
        <v>2253</v>
      </c>
      <c r="P192">
        <f ca="1">Table1[[#This Row],[Hire Date]]-Table1[[#This Row],[Job Posting Date]]</f>
        <v>32</v>
      </c>
      <c r="Q192" s="7">
        <f ca="1">Table1[[#This Row],[Join Date]]-Table1[[#This Row],[Hire Date]]</f>
        <v>5</v>
      </c>
      <c r="R192" s="8">
        <f ca="1">(IF(Table1[[#This Row],[Status]]="Exited",Table1[[#This Row],[Exit Date]]-Table1[[#This Row],[Join Date]],TODAY()-Table1[[#This Row],[Join Date]]))/30</f>
        <v>57.3</v>
      </c>
      <c r="S192">
        <f ca="1">Table1[[#This Row],[Hire Date]]-Table1[[#This Row],[Job Posting Date]]</f>
        <v>32</v>
      </c>
      <c r="T192" s="7">
        <f ca="1">Table1[[#This Row],[Time to Onboard]]/Table1[[#This Row],[Time to Fill]]*100</f>
        <v>15.625</v>
      </c>
      <c r="U192" s="8">
        <f ca="1">Table1[[#This Row],[Time to Onboard]]/Table1[[#This Row],[Time to Fill]]*100</f>
        <v>15.625</v>
      </c>
      <c r="V192">
        <f ca="1">Table1[[#This Row],[Join Date]]-Table1[[#This Row],[Job Posting Date]]</f>
        <v>37</v>
      </c>
      <c r="W192">
        <f t="shared" ca="1" si="23"/>
        <v>119</v>
      </c>
      <c r="X192" s="8">
        <f ca="1">Table1[[#This Row],[Absentee Days]]/Table1[[#This Row],[Total Work Days]]*100</f>
        <v>1.9230769230769231</v>
      </c>
      <c r="Y192">
        <f ca="1">YEAR(Table1[[#This Row],[Join Date]])</f>
        <v>2020</v>
      </c>
      <c r="Z192">
        <f ca="1">IF(Table1[[#This Row],[Status]]="Active",1,0)</f>
        <v>1</v>
      </c>
      <c r="AA192">
        <f ca="1">IF(Table1[[#This Row],[Status]]="Exited",Table1[[#This Row],[Recruitment Cost]]+Table1[[#This Row],[Onboarding Cost]]+Table1[[#This Row],[Training Cost]],0)</f>
        <v>0</v>
      </c>
    </row>
    <row r="193" spans="1:27" x14ac:dyDescent="0.2">
      <c r="A193" t="str">
        <f t="shared" si="16"/>
        <v>E192</v>
      </c>
      <c r="B193" t="str" cm="1">
        <f t="array" aca="1" ref="B193" ca="1">INDEX(sheet2!$A$2:$A$6, RANDBETWEEN(1, 5))</f>
        <v>Sales</v>
      </c>
      <c r="C193" t="str">
        <f ca="1">_xlfn.XLOOKUP(Table1[[#This Row],[Department]],sheet2!$A$2:$A$6,sheet2!$B$2:$B$6,_xleta.NA,0)</f>
        <v>Marketing Manager</v>
      </c>
      <c r="D193" s="1">
        <f t="shared" ca="1" si="17"/>
        <v>43704</v>
      </c>
      <c r="E193" s="1">
        <f ca="1">Table1[[#This Row],[Job Posting Date]]+ RANDBETWEEN(15, 90)</f>
        <v>43726</v>
      </c>
      <c r="F193" s="1">
        <f ca="1">Table1[[#This Row],[Hire Date]]+ RANDBETWEEN(1, 15)</f>
        <v>43727</v>
      </c>
      <c r="G193" s="1" t="str">
        <f ca="1">IF(RAND() &lt; 0.5,  Table1[[#This Row],[Join Date]]+ RANDBETWEEN(30, TODAY()- Table1[[#This Row],[Join Date]]), "-")</f>
        <v>-</v>
      </c>
      <c r="H193" t="str">
        <f ca="1">IF(Table1[[#This Row],[Exit Date]]= "-", "Active", "Exited")</f>
        <v>Active</v>
      </c>
      <c r="I193" s="5">
        <f t="shared" ca="1" si="18"/>
        <v>2037</v>
      </c>
      <c r="J193" t="str" cm="1">
        <f t="array" aca="1" ref="J193" ca="1">INDEX(sheet2!$C$2:$C$6, RANDBETWEEN(1, 5))</f>
        <v>Ethics and Responsibilities</v>
      </c>
      <c r="K193" t="str">
        <f t="shared" ca="1" si="19"/>
        <v>Completed</v>
      </c>
      <c r="L193">
        <v>260</v>
      </c>
      <c r="M193">
        <f t="shared" ca="1" si="20"/>
        <v>6</v>
      </c>
      <c r="N193" t="str">
        <f t="shared" ca="1" si="21"/>
        <v>Female</v>
      </c>
      <c r="O193" s="6">
        <f t="shared" ca="1" si="22"/>
        <v>2362</v>
      </c>
      <c r="P193">
        <f ca="1">Table1[[#This Row],[Hire Date]]-Table1[[#This Row],[Job Posting Date]]</f>
        <v>22</v>
      </c>
      <c r="Q193" s="7">
        <f ca="1">Table1[[#This Row],[Join Date]]-Table1[[#This Row],[Hire Date]]</f>
        <v>1</v>
      </c>
      <c r="R193" s="8">
        <f ca="1">(IF(Table1[[#This Row],[Status]]="Exited",Table1[[#This Row],[Exit Date]]-Table1[[#This Row],[Join Date]],TODAY()-Table1[[#This Row],[Join Date]]))/30</f>
        <v>65.2</v>
      </c>
      <c r="S193">
        <f ca="1">Table1[[#This Row],[Hire Date]]-Table1[[#This Row],[Job Posting Date]]</f>
        <v>22</v>
      </c>
      <c r="T193" s="7">
        <f ca="1">Table1[[#This Row],[Time to Onboard]]/Table1[[#This Row],[Time to Fill]]*100</f>
        <v>4.5454545454545459</v>
      </c>
      <c r="U193" s="8">
        <f ca="1">Table1[[#This Row],[Time to Onboard]]/Table1[[#This Row],[Time to Fill]]*100</f>
        <v>4.5454545454545459</v>
      </c>
      <c r="V193">
        <f ca="1">Table1[[#This Row],[Join Date]]-Table1[[#This Row],[Job Posting Date]]</f>
        <v>23</v>
      </c>
      <c r="W193">
        <f t="shared" ca="1" si="23"/>
        <v>106</v>
      </c>
      <c r="X193" s="8">
        <f ca="1">Table1[[#This Row],[Absentee Days]]/Table1[[#This Row],[Total Work Days]]*100</f>
        <v>2.3076923076923079</v>
      </c>
      <c r="Y193">
        <f ca="1">YEAR(Table1[[#This Row],[Join Date]])</f>
        <v>2019</v>
      </c>
      <c r="Z193">
        <f ca="1">IF(Table1[[#This Row],[Status]]="Active",1,0)</f>
        <v>1</v>
      </c>
      <c r="AA193">
        <f ca="1">IF(Table1[[#This Row],[Status]]="Exited",Table1[[#This Row],[Recruitment Cost]]+Table1[[#This Row],[Onboarding Cost]]+Table1[[#This Row],[Training Cost]],0)</f>
        <v>0</v>
      </c>
    </row>
    <row r="194" spans="1:27" x14ac:dyDescent="0.2">
      <c r="A194" t="str">
        <f t="shared" ref="A194:A251" si="24">"E" &amp; TEXT(ROW(A193), "000")</f>
        <v>E193</v>
      </c>
      <c r="B194" t="str" cm="1">
        <f t="array" aca="1" ref="B194" ca="1">INDEX(sheet2!$A$2:$A$6, RANDBETWEEN(1, 5))</f>
        <v>HR</v>
      </c>
      <c r="C194" t="str">
        <f ca="1">_xlfn.XLOOKUP(Table1[[#This Row],[Department]],sheet2!$A$2:$A$6,sheet2!$B$2:$B$6,_xleta.NA,0)</f>
        <v>HR Manager</v>
      </c>
      <c r="D194" s="1">
        <f t="shared" ref="D194:D251" ca="1" si="25">DATE(RANDBETWEEN(2018, 2022), RANDBETWEEN(1, 12), RANDBETWEEN(1, 28))</f>
        <v>43123</v>
      </c>
      <c r="E194" s="1">
        <f ca="1">Table1[[#This Row],[Job Posting Date]]+ RANDBETWEEN(15, 90)</f>
        <v>43163</v>
      </c>
      <c r="F194" s="1">
        <f ca="1">Table1[[#This Row],[Hire Date]]+ RANDBETWEEN(1, 15)</f>
        <v>43168</v>
      </c>
      <c r="G194" s="1">
        <f ca="1">IF(RAND() &lt; 0.5,  Table1[[#This Row],[Join Date]]+ RANDBETWEEN(30, TODAY()- Table1[[#This Row],[Join Date]]), "-")</f>
        <v>44094</v>
      </c>
      <c r="H194" t="str">
        <f ca="1">IF(Table1[[#This Row],[Exit Date]]= "-", "Active", "Exited")</f>
        <v>Exited</v>
      </c>
      <c r="I194" s="5">
        <f t="shared" ref="I194:I251" ca="1" si="26">RANDBETWEEN(1500, 5000)</f>
        <v>3041</v>
      </c>
      <c r="J194" t="str" cm="1">
        <f t="array" aca="1" ref="J194" ca="1">INDEX(sheet2!$C$2:$C$6, RANDBETWEEN(1, 5))</f>
        <v>Conflict Resolution</v>
      </c>
      <c r="K194" t="str">
        <f t="shared" ref="K194:K251" ca="1" si="27">IF(RAND() &lt; 0.7, "Completed", "Not Completed")</f>
        <v>Not Completed</v>
      </c>
      <c r="L194">
        <v>260</v>
      </c>
      <c r="M194">
        <f t="shared" ref="M194:M251" ca="1" si="28">RANDBETWEEN(0, 20)</f>
        <v>4</v>
      </c>
      <c r="N194" t="str">
        <f t="shared" ref="N194:N251" ca="1" si="29">CHOOSE(RANDBETWEEN(1, 3), "Male", "Female", "Other")</f>
        <v>Other</v>
      </c>
      <c r="O194" s="6">
        <f t="shared" ref="O194:O251" ca="1" si="30">RANDBETWEEN(1200, 2500)</f>
        <v>2265</v>
      </c>
      <c r="P194">
        <f ca="1">Table1[[#This Row],[Hire Date]]-Table1[[#This Row],[Job Posting Date]]</f>
        <v>40</v>
      </c>
      <c r="Q194" s="7">
        <f ca="1">Table1[[#This Row],[Join Date]]-Table1[[#This Row],[Hire Date]]</f>
        <v>5</v>
      </c>
      <c r="R194" s="8">
        <f ca="1">(IF(Table1[[#This Row],[Status]]="Exited",Table1[[#This Row],[Exit Date]]-Table1[[#This Row],[Join Date]],TODAY()-Table1[[#This Row],[Join Date]]))/30</f>
        <v>30.866666666666667</v>
      </c>
      <c r="S194">
        <f ca="1">Table1[[#This Row],[Hire Date]]-Table1[[#This Row],[Job Posting Date]]</f>
        <v>40</v>
      </c>
      <c r="T194" s="7">
        <f ca="1">Table1[[#This Row],[Time to Onboard]]/Table1[[#This Row],[Time to Fill]]*100</f>
        <v>12.5</v>
      </c>
      <c r="U194" s="8">
        <f ca="1">Table1[[#This Row],[Time to Onboard]]/Table1[[#This Row],[Time to Fill]]*100</f>
        <v>12.5</v>
      </c>
      <c r="V194">
        <f ca="1">Table1[[#This Row],[Join Date]]-Table1[[#This Row],[Job Posting Date]]</f>
        <v>45</v>
      </c>
      <c r="W194">
        <f t="shared" ref="W194:W251" ca="1" si="31">RANDBETWEEN(100,200)</f>
        <v>152</v>
      </c>
      <c r="X194" s="8">
        <f ca="1">Table1[[#This Row],[Absentee Days]]/Table1[[#This Row],[Total Work Days]]*100</f>
        <v>1.5384615384615385</v>
      </c>
      <c r="Y194">
        <f ca="1">YEAR(Table1[[#This Row],[Join Date]])</f>
        <v>2018</v>
      </c>
      <c r="Z194">
        <f ca="1">IF(Table1[[#This Row],[Status]]="Active",1,0)</f>
        <v>0</v>
      </c>
      <c r="AA194">
        <f ca="1">IF(Table1[[#This Row],[Status]]="Exited",Table1[[#This Row],[Recruitment Cost]]+Table1[[#This Row],[Onboarding Cost]]+Table1[[#This Row],[Training Cost]],0)</f>
        <v>5458</v>
      </c>
    </row>
    <row r="195" spans="1:27" x14ac:dyDescent="0.2">
      <c r="A195" t="str">
        <f t="shared" si="24"/>
        <v>E194</v>
      </c>
      <c r="B195" t="str" cm="1">
        <f t="array" aca="1" ref="B195" ca="1">INDEX(sheet2!$A$2:$A$6, RANDBETWEEN(1, 5))</f>
        <v>Finance</v>
      </c>
      <c r="C195" t="str">
        <f ca="1">_xlfn.XLOOKUP(Table1[[#This Row],[Department]],sheet2!$A$2:$A$6,sheet2!$B$2:$B$6,_xleta.NA,0)</f>
        <v>Finance Manager</v>
      </c>
      <c r="D195" s="1">
        <f t="shared" ca="1" si="25"/>
        <v>44704</v>
      </c>
      <c r="E195" s="1">
        <f ca="1">Table1[[#This Row],[Job Posting Date]]+ RANDBETWEEN(15, 90)</f>
        <v>44776</v>
      </c>
      <c r="F195" s="1">
        <f ca="1">Table1[[#This Row],[Hire Date]]+ RANDBETWEEN(1, 15)</f>
        <v>44789</v>
      </c>
      <c r="G195" s="1">
        <f ca="1">IF(RAND() &lt; 0.5,  Table1[[#This Row],[Join Date]]+ RANDBETWEEN(30, TODAY()- Table1[[#This Row],[Join Date]]), "-")</f>
        <v>45431</v>
      </c>
      <c r="H195" t="str">
        <f ca="1">IF(Table1[[#This Row],[Exit Date]]= "-", "Active", "Exited")</f>
        <v>Exited</v>
      </c>
      <c r="I195" s="5">
        <f t="shared" ca="1" si="26"/>
        <v>3073</v>
      </c>
      <c r="J195" t="str" cm="1">
        <f t="array" aca="1" ref="J195" ca="1">INDEX(sheet2!$C$2:$C$6, RANDBETWEEN(1, 5))</f>
        <v>Leadership Development</v>
      </c>
      <c r="K195" t="str">
        <f t="shared" ca="1" si="27"/>
        <v>Completed</v>
      </c>
      <c r="L195">
        <v>260</v>
      </c>
      <c r="M195">
        <f t="shared" ca="1" si="28"/>
        <v>12</v>
      </c>
      <c r="N195" t="str">
        <f t="shared" ca="1" si="29"/>
        <v>Male</v>
      </c>
      <c r="O195" s="6">
        <f t="shared" ca="1" si="30"/>
        <v>1474</v>
      </c>
      <c r="P195">
        <f ca="1">Table1[[#This Row],[Hire Date]]-Table1[[#This Row],[Job Posting Date]]</f>
        <v>72</v>
      </c>
      <c r="Q195" s="7">
        <f ca="1">Table1[[#This Row],[Join Date]]-Table1[[#This Row],[Hire Date]]</f>
        <v>13</v>
      </c>
      <c r="R195" s="8">
        <f ca="1">(IF(Table1[[#This Row],[Status]]="Exited",Table1[[#This Row],[Exit Date]]-Table1[[#This Row],[Join Date]],TODAY()-Table1[[#This Row],[Join Date]]))/30</f>
        <v>21.4</v>
      </c>
      <c r="S195">
        <f ca="1">Table1[[#This Row],[Hire Date]]-Table1[[#This Row],[Job Posting Date]]</f>
        <v>72</v>
      </c>
      <c r="T195" s="7">
        <f ca="1">Table1[[#This Row],[Time to Onboard]]/Table1[[#This Row],[Time to Fill]]*100</f>
        <v>18.055555555555554</v>
      </c>
      <c r="U195" s="8">
        <f ca="1">Table1[[#This Row],[Time to Onboard]]/Table1[[#This Row],[Time to Fill]]*100</f>
        <v>18.055555555555554</v>
      </c>
      <c r="V195">
        <f ca="1">Table1[[#This Row],[Join Date]]-Table1[[#This Row],[Job Posting Date]]</f>
        <v>85</v>
      </c>
      <c r="W195">
        <f t="shared" ca="1" si="31"/>
        <v>112</v>
      </c>
      <c r="X195" s="8">
        <f ca="1">Table1[[#This Row],[Absentee Days]]/Table1[[#This Row],[Total Work Days]]*100</f>
        <v>4.6153846153846159</v>
      </c>
      <c r="Y195">
        <f ca="1">YEAR(Table1[[#This Row],[Join Date]])</f>
        <v>2022</v>
      </c>
      <c r="Z195">
        <f ca="1">IF(Table1[[#This Row],[Status]]="Active",1,0)</f>
        <v>0</v>
      </c>
      <c r="AA195">
        <f ca="1">IF(Table1[[#This Row],[Status]]="Exited",Table1[[#This Row],[Recruitment Cost]]+Table1[[#This Row],[Onboarding Cost]]+Table1[[#This Row],[Training Cost]],0)</f>
        <v>4659</v>
      </c>
    </row>
    <row r="196" spans="1:27" x14ac:dyDescent="0.2">
      <c r="A196" t="str">
        <f t="shared" si="24"/>
        <v>E195</v>
      </c>
      <c r="B196" t="str" cm="1">
        <f t="array" aca="1" ref="B196" ca="1">INDEX(sheet2!$A$2:$A$6, RANDBETWEEN(1, 5))</f>
        <v>Analytics</v>
      </c>
      <c r="C196" t="str">
        <f ca="1">_xlfn.XLOOKUP(Table1[[#This Row],[Department]],sheet2!$A$2:$A$6,sheet2!$B$2:$B$6,_xleta.NA,0)</f>
        <v>Data Analyst</v>
      </c>
      <c r="D196" s="1">
        <f t="shared" ca="1" si="25"/>
        <v>43365</v>
      </c>
      <c r="E196" s="1">
        <f ca="1">Table1[[#This Row],[Job Posting Date]]+ RANDBETWEEN(15, 90)</f>
        <v>43390</v>
      </c>
      <c r="F196" s="1">
        <f ca="1">Table1[[#This Row],[Hire Date]]+ RANDBETWEEN(1, 15)</f>
        <v>43391</v>
      </c>
      <c r="G196" s="1">
        <f ca="1">IF(RAND() &lt; 0.5,  Table1[[#This Row],[Join Date]]+ RANDBETWEEN(30, TODAY()- Table1[[#This Row],[Join Date]]), "-")</f>
        <v>44324</v>
      </c>
      <c r="H196" t="str">
        <f ca="1">IF(Table1[[#This Row],[Exit Date]]= "-", "Active", "Exited")</f>
        <v>Exited</v>
      </c>
      <c r="I196" s="5">
        <f t="shared" ca="1" si="26"/>
        <v>1578</v>
      </c>
      <c r="J196" t="str" cm="1">
        <f t="array" aca="1" ref="J196" ca="1">INDEX(sheet2!$C$2:$C$6, RANDBETWEEN(1, 5))</f>
        <v>Leadership Development</v>
      </c>
      <c r="K196" t="str">
        <f t="shared" ca="1" si="27"/>
        <v>Completed</v>
      </c>
      <c r="L196">
        <v>260</v>
      </c>
      <c r="M196">
        <f t="shared" ca="1" si="28"/>
        <v>5</v>
      </c>
      <c r="N196" t="str">
        <f t="shared" ca="1" si="29"/>
        <v>Female</v>
      </c>
      <c r="O196" s="6">
        <f t="shared" ca="1" si="30"/>
        <v>1584</v>
      </c>
      <c r="P196">
        <f ca="1">Table1[[#This Row],[Hire Date]]-Table1[[#This Row],[Job Posting Date]]</f>
        <v>25</v>
      </c>
      <c r="Q196" s="7">
        <f ca="1">Table1[[#This Row],[Join Date]]-Table1[[#This Row],[Hire Date]]</f>
        <v>1</v>
      </c>
      <c r="R196" s="8">
        <f ca="1">(IF(Table1[[#This Row],[Status]]="Exited",Table1[[#This Row],[Exit Date]]-Table1[[#This Row],[Join Date]],TODAY()-Table1[[#This Row],[Join Date]]))/30</f>
        <v>31.1</v>
      </c>
      <c r="S196">
        <f ca="1">Table1[[#This Row],[Hire Date]]-Table1[[#This Row],[Job Posting Date]]</f>
        <v>25</v>
      </c>
      <c r="T196" s="7">
        <f ca="1">Table1[[#This Row],[Time to Onboard]]/Table1[[#This Row],[Time to Fill]]*100</f>
        <v>4</v>
      </c>
      <c r="U196" s="8">
        <f ca="1">Table1[[#This Row],[Time to Onboard]]/Table1[[#This Row],[Time to Fill]]*100</f>
        <v>4</v>
      </c>
      <c r="V196">
        <f ca="1">Table1[[#This Row],[Join Date]]-Table1[[#This Row],[Job Posting Date]]</f>
        <v>26</v>
      </c>
      <c r="W196">
        <f t="shared" ca="1" si="31"/>
        <v>102</v>
      </c>
      <c r="X196" s="8">
        <f ca="1">Table1[[#This Row],[Absentee Days]]/Table1[[#This Row],[Total Work Days]]*100</f>
        <v>1.9230769230769231</v>
      </c>
      <c r="Y196">
        <f ca="1">YEAR(Table1[[#This Row],[Join Date]])</f>
        <v>2018</v>
      </c>
      <c r="Z196">
        <f ca="1">IF(Table1[[#This Row],[Status]]="Active",1,0)</f>
        <v>0</v>
      </c>
      <c r="AA196">
        <f ca="1">IF(Table1[[#This Row],[Status]]="Exited",Table1[[#This Row],[Recruitment Cost]]+Table1[[#This Row],[Onboarding Cost]]+Table1[[#This Row],[Training Cost]],0)</f>
        <v>3264</v>
      </c>
    </row>
    <row r="197" spans="1:27" x14ac:dyDescent="0.2">
      <c r="A197" t="str">
        <f t="shared" si="24"/>
        <v>E196</v>
      </c>
      <c r="B197" t="str" cm="1">
        <f t="array" aca="1" ref="B197" ca="1">INDEX(sheet2!$A$2:$A$6, RANDBETWEEN(1, 5))</f>
        <v>Sales</v>
      </c>
      <c r="C197" t="str">
        <f ca="1">_xlfn.XLOOKUP(Table1[[#This Row],[Department]],sheet2!$A$2:$A$6,sheet2!$B$2:$B$6,_xleta.NA,0)</f>
        <v>Marketing Manager</v>
      </c>
      <c r="D197" s="1">
        <f t="shared" ca="1" si="25"/>
        <v>43569</v>
      </c>
      <c r="E197" s="1">
        <f ca="1">Table1[[#This Row],[Job Posting Date]]+ RANDBETWEEN(15, 90)</f>
        <v>43657</v>
      </c>
      <c r="F197" s="1">
        <f ca="1">Table1[[#This Row],[Hire Date]]+ RANDBETWEEN(1, 15)</f>
        <v>43665</v>
      </c>
      <c r="G197" s="1">
        <f ca="1">IF(RAND() &lt; 0.5,  Table1[[#This Row],[Join Date]]+ RANDBETWEEN(30, TODAY()- Table1[[#This Row],[Join Date]]), "-")</f>
        <v>44108</v>
      </c>
      <c r="H197" t="str">
        <f ca="1">IF(Table1[[#This Row],[Exit Date]]= "-", "Active", "Exited")</f>
        <v>Exited</v>
      </c>
      <c r="I197" s="5">
        <f t="shared" ca="1" si="26"/>
        <v>1523</v>
      </c>
      <c r="J197" t="str" cm="1">
        <f t="array" aca="1" ref="J197" ca="1">INDEX(sheet2!$C$2:$C$6, RANDBETWEEN(1, 5))</f>
        <v>Leadership Development</v>
      </c>
      <c r="K197" t="str">
        <f t="shared" ca="1" si="27"/>
        <v>Not Completed</v>
      </c>
      <c r="L197">
        <v>260</v>
      </c>
      <c r="M197">
        <f t="shared" ca="1" si="28"/>
        <v>1</v>
      </c>
      <c r="N197" t="str">
        <f t="shared" ca="1" si="29"/>
        <v>Female</v>
      </c>
      <c r="O197" s="6">
        <f t="shared" ca="1" si="30"/>
        <v>1420</v>
      </c>
      <c r="P197">
        <f ca="1">Table1[[#This Row],[Hire Date]]-Table1[[#This Row],[Job Posting Date]]</f>
        <v>88</v>
      </c>
      <c r="Q197" s="7">
        <f ca="1">Table1[[#This Row],[Join Date]]-Table1[[#This Row],[Hire Date]]</f>
        <v>8</v>
      </c>
      <c r="R197" s="8">
        <f ca="1">(IF(Table1[[#This Row],[Status]]="Exited",Table1[[#This Row],[Exit Date]]-Table1[[#This Row],[Join Date]],TODAY()-Table1[[#This Row],[Join Date]]))/30</f>
        <v>14.766666666666667</v>
      </c>
      <c r="S197">
        <f ca="1">Table1[[#This Row],[Hire Date]]-Table1[[#This Row],[Job Posting Date]]</f>
        <v>88</v>
      </c>
      <c r="T197" s="7">
        <f ca="1">Table1[[#This Row],[Time to Onboard]]/Table1[[#This Row],[Time to Fill]]*100</f>
        <v>9.0909090909090917</v>
      </c>
      <c r="U197" s="8">
        <f ca="1">Table1[[#This Row],[Time to Onboard]]/Table1[[#This Row],[Time to Fill]]*100</f>
        <v>9.0909090909090917</v>
      </c>
      <c r="V197">
        <f ca="1">Table1[[#This Row],[Join Date]]-Table1[[#This Row],[Job Posting Date]]</f>
        <v>96</v>
      </c>
      <c r="W197">
        <f t="shared" ca="1" si="31"/>
        <v>177</v>
      </c>
      <c r="X197" s="8">
        <f ca="1">Table1[[#This Row],[Absentee Days]]/Table1[[#This Row],[Total Work Days]]*100</f>
        <v>0.38461538461538464</v>
      </c>
      <c r="Y197">
        <f ca="1">YEAR(Table1[[#This Row],[Join Date]])</f>
        <v>2019</v>
      </c>
      <c r="Z197">
        <f ca="1">IF(Table1[[#This Row],[Status]]="Active",1,0)</f>
        <v>0</v>
      </c>
      <c r="AA197">
        <f ca="1">IF(Table1[[#This Row],[Status]]="Exited",Table1[[#This Row],[Recruitment Cost]]+Table1[[#This Row],[Onboarding Cost]]+Table1[[#This Row],[Training Cost]],0)</f>
        <v>3120</v>
      </c>
    </row>
    <row r="198" spans="1:27" x14ac:dyDescent="0.2">
      <c r="A198" t="str">
        <f t="shared" si="24"/>
        <v>E197</v>
      </c>
      <c r="B198" t="str" cm="1">
        <f t="array" aca="1" ref="B198" ca="1">INDEX(sheet2!$A$2:$A$6, RANDBETWEEN(1, 5))</f>
        <v>Analytics</v>
      </c>
      <c r="C198" t="str">
        <f ca="1">_xlfn.XLOOKUP(Table1[[#This Row],[Department]],sheet2!$A$2:$A$6,sheet2!$B$2:$B$6,_xleta.NA,0)</f>
        <v>Data Analyst</v>
      </c>
      <c r="D198" s="1">
        <f t="shared" ca="1" si="25"/>
        <v>43194</v>
      </c>
      <c r="E198" s="1">
        <f ca="1">Table1[[#This Row],[Job Posting Date]]+ RANDBETWEEN(15, 90)</f>
        <v>43281</v>
      </c>
      <c r="F198" s="1">
        <f ca="1">Table1[[#This Row],[Hire Date]]+ RANDBETWEEN(1, 15)</f>
        <v>43285</v>
      </c>
      <c r="G198" s="1" t="str">
        <f ca="1">IF(RAND() &lt; 0.5,  Table1[[#This Row],[Join Date]]+ RANDBETWEEN(30, TODAY()- Table1[[#This Row],[Join Date]]), "-")</f>
        <v>-</v>
      </c>
      <c r="H198" t="str">
        <f ca="1">IF(Table1[[#This Row],[Exit Date]]= "-", "Active", "Exited")</f>
        <v>Active</v>
      </c>
      <c r="I198" s="5">
        <f t="shared" ca="1" si="26"/>
        <v>2547</v>
      </c>
      <c r="J198" t="str" cm="1">
        <f t="array" aca="1" ref="J198" ca="1">INDEX(sheet2!$C$2:$C$6, RANDBETWEEN(1, 5))</f>
        <v>Conflict Resolution</v>
      </c>
      <c r="K198" t="str">
        <f t="shared" ca="1" si="27"/>
        <v>Completed</v>
      </c>
      <c r="L198">
        <v>260</v>
      </c>
      <c r="M198">
        <f t="shared" ca="1" si="28"/>
        <v>10</v>
      </c>
      <c r="N198" t="str">
        <f t="shared" ca="1" si="29"/>
        <v>Female</v>
      </c>
      <c r="O198" s="6">
        <f t="shared" ca="1" si="30"/>
        <v>2154</v>
      </c>
      <c r="P198">
        <f ca="1">Table1[[#This Row],[Hire Date]]-Table1[[#This Row],[Job Posting Date]]</f>
        <v>87</v>
      </c>
      <c r="Q198" s="7">
        <f ca="1">Table1[[#This Row],[Join Date]]-Table1[[#This Row],[Hire Date]]</f>
        <v>4</v>
      </c>
      <c r="R198" s="8">
        <f ca="1">(IF(Table1[[#This Row],[Status]]="Exited",Table1[[#This Row],[Exit Date]]-Table1[[#This Row],[Join Date]],TODAY()-Table1[[#This Row],[Join Date]]))/30</f>
        <v>79.933333333333337</v>
      </c>
      <c r="S198">
        <f ca="1">Table1[[#This Row],[Hire Date]]-Table1[[#This Row],[Job Posting Date]]</f>
        <v>87</v>
      </c>
      <c r="T198" s="7">
        <f ca="1">Table1[[#This Row],[Time to Onboard]]/Table1[[#This Row],[Time to Fill]]*100</f>
        <v>4.5977011494252871</v>
      </c>
      <c r="U198" s="8">
        <f ca="1">Table1[[#This Row],[Time to Onboard]]/Table1[[#This Row],[Time to Fill]]*100</f>
        <v>4.5977011494252871</v>
      </c>
      <c r="V198">
        <f ca="1">Table1[[#This Row],[Join Date]]-Table1[[#This Row],[Job Posting Date]]</f>
        <v>91</v>
      </c>
      <c r="W198">
        <f t="shared" ca="1" si="31"/>
        <v>124</v>
      </c>
      <c r="X198" s="8">
        <f ca="1">Table1[[#This Row],[Absentee Days]]/Table1[[#This Row],[Total Work Days]]*100</f>
        <v>3.8461538461538463</v>
      </c>
      <c r="Y198">
        <f ca="1">YEAR(Table1[[#This Row],[Join Date]])</f>
        <v>2018</v>
      </c>
      <c r="Z198">
        <f ca="1">IF(Table1[[#This Row],[Status]]="Active",1,0)</f>
        <v>1</v>
      </c>
      <c r="AA198">
        <f ca="1">IF(Table1[[#This Row],[Status]]="Exited",Table1[[#This Row],[Recruitment Cost]]+Table1[[#This Row],[Onboarding Cost]]+Table1[[#This Row],[Training Cost]],0)</f>
        <v>0</v>
      </c>
    </row>
    <row r="199" spans="1:27" x14ac:dyDescent="0.2">
      <c r="A199" t="str">
        <f t="shared" si="24"/>
        <v>E198</v>
      </c>
      <c r="B199" t="str" cm="1">
        <f t="array" aca="1" ref="B199" ca="1">INDEX(sheet2!$A$2:$A$6, RANDBETWEEN(1, 5))</f>
        <v>Sales</v>
      </c>
      <c r="C199" t="str">
        <f ca="1">_xlfn.XLOOKUP(Table1[[#This Row],[Department]],sheet2!$A$2:$A$6,sheet2!$B$2:$B$6,_xleta.NA,0)</f>
        <v>Marketing Manager</v>
      </c>
      <c r="D199" s="1">
        <f t="shared" ca="1" si="25"/>
        <v>44779</v>
      </c>
      <c r="E199" s="1">
        <f ca="1">Table1[[#This Row],[Job Posting Date]]+ RANDBETWEEN(15, 90)</f>
        <v>44817</v>
      </c>
      <c r="F199" s="1">
        <f ca="1">Table1[[#This Row],[Hire Date]]+ RANDBETWEEN(1, 15)</f>
        <v>44818</v>
      </c>
      <c r="G199" s="1" t="str">
        <f ca="1">IF(RAND() &lt; 0.5,  Table1[[#This Row],[Join Date]]+ RANDBETWEEN(30, TODAY()- Table1[[#This Row],[Join Date]]), "-")</f>
        <v>-</v>
      </c>
      <c r="H199" t="str">
        <f ca="1">IF(Table1[[#This Row],[Exit Date]]= "-", "Active", "Exited")</f>
        <v>Active</v>
      </c>
      <c r="I199" s="5">
        <f t="shared" ca="1" si="26"/>
        <v>2519</v>
      </c>
      <c r="J199" t="str" cm="1">
        <f t="array" aca="1" ref="J199" ca="1">INDEX(sheet2!$C$2:$C$6, RANDBETWEEN(1, 5))</f>
        <v>Conflict Resolution</v>
      </c>
      <c r="K199" t="str">
        <f t="shared" ca="1" si="27"/>
        <v>Not Completed</v>
      </c>
      <c r="L199">
        <v>260</v>
      </c>
      <c r="M199">
        <f t="shared" ca="1" si="28"/>
        <v>8</v>
      </c>
      <c r="N199" t="str">
        <f t="shared" ca="1" si="29"/>
        <v>Female</v>
      </c>
      <c r="O199" s="6">
        <f t="shared" ca="1" si="30"/>
        <v>1561</v>
      </c>
      <c r="P199">
        <f ca="1">Table1[[#This Row],[Hire Date]]-Table1[[#This Row],[Job Posting Date]]</f>
        <v>38</v>
      </c>
      <c r="Q199" s="7">
        <f ca="1">Table1[[#This Row],[Join Date]]-Table1[[#This Row],[Hire Date]]</f>
        <v>1</v>
      </c>
      <c r="R199" s="8">
        <f ca="1">(IF(Table1[[#This Row],[Status]]="Exited",Table1[[#This Row],[Exit Date]]-Table1[[#This Row],[Join Date]],TODAY()-Table1[[#This Row],[Join Date]]))/30</f>
        <v>28.833333333333332</v>
      </c>
      <c r="S199">
        <f ca="1">Table1[[#This Row],[Hire Date]]-Table1[[#This Row],[Job Posting Date]]</f>
        <v>38</v>
      </c>
      <c r="T199" s="7">
        <f ca="1">Table1[[#This Row],[Time to Onboard]]/Table1[[#This Row],[Time to Fill]]*100</f>
        <v>2.6315789473684208</v>
      </c>
      <c r="U199" s="8">
        <f ca="1">Table1[[#This Row],[Time to Onboard]]/Table1[[#This Row],[Time to Fill]]*100</f>
        <v>2.6315789473684208</v>
      </c>
      <c r="V199">
        <f ca="1">Table1[[#This Row],[Join Date]]-Table1[[#This Row],[Job Posting Date]]</f>
        <v>39</v>
      </c>
      <c r="W199">
        <f t="shared" ca="1" si="31"/>
        <v>105</v>
      </c>
      <c r="X199" s="8">
        <f ca="1">Table1[[#This Row],[Absentee Days]]/Table1[[#This Row],[Total Work Days]]*100</f>
        <v>3.0769230769230771</v>
      </c>
      <c r="Y199">
        <f ca="1">YEAR(Table1[[#This Row],[Join Date]])</f>
        <v>2022</v>
      </c>
      <c r="Z199">
        <f ca="1">IF(Table1[[#This Row],[Status]]="Active",1,0)</f>
        <v>1</v>
      </c>
      <c r="AA199">
        <f ca="1">IF(Table1[[#This Row],[Status]]="Exited",Table1[[#This Row],[Recruitment Cost]]+Table1[[#This Row],[Onboarding Cost]]+Table1[[#This Row],[Training Cost]],0)</f>
        <v>0</v>
      </c>
    </row>
    <row r="200" spans="1:27" x14ac:dyDescent="0.2">
      <c r="A200" t="str">
        <f t="shared" si="24"/>
        <v>E199</v>
      </c>
      <c r="B200" t="str" cm="1">
        <f t="array" aca="1" ref="B200" ca="1">INDEX(sheet2!$A$2:$A$6, RANDBETWEEN(1, 5))</f>
        <v>IT</v>
      </c>
      <c r="C200" t="str">
        <f ca="1">_xlfn.XLOOKUP(Table1[[#This Row],[Department]],sheet2!$A$2:$A$6,sheet2!$B$2:$B$6,_xleta.NA,0)</f>
        <v>Software Engineer</v>
      </c>
      <c r="D200" s="1">
        <f t="shared" ca="1" si="25"/>
        <v>43881</v>
      </c>
      <c r="E200" s="1">
        <f ca="1">Table1[[#This Row],[Job Posting Date]]+ RANDBETWEEN(15, 90)</f>
        <v>43911</v>
      </c>
      <c r="F200" s="1">
        <f ca="1">Table1[[#This Row],[Hire Date]]+ RANDBETWEEN(1, 15)</f>
        <v>43921</v>
      </c>
      <c r="G200" s="1" t="str">
        <f ca="1">IF(RAND() &lt; 0.5,  Table1[[#This Row],[Join Date]]+ RANDBETWEEN(30, TODAY()- Table1[[#This Row],[Join Date]]), "-")</f>
        <v>-</v>
      </c>
      <c r="H200" t="str">
        <f ca="1">IF(Table1[[#This Row],[Exit Date]]= "-", "Active", "Exited")</f>
        <v>Active</v>
      </c>
      <c r="I200" s="5">
        <f t="shared" ca="1" si="26"/>
        <v>2312</v>
      </c>
      <c r="J200" t="str" cm="1">
        <f t="array" aca="1" ref="J200" ca="1">INDEX(sheet2!$C$2:$C$6, RANDBETWEEN(1, 5))</f>
        <v>Ethics and Responsibilities</v>
      </c>
      <c r="K200" t="str">
        <f t="shared" ca="1" si="27"/>
        <v>Not Completed</v>
      </c>
      <c r="L200">
        <v>260</v>
      </c>
      <c r="M200">
        <f t="shared" ca="1" si="28"/>
        <v>20</v>
      </c>
      <c r="N200" t="str">
        <f t="shared" ca="1" si="29"/>
        <v>Female</v>
      </c>
      <c r="O200" s="6">
        <f t="shared" ca="1" si="30"/>
        <v>1912</v>
      </c>
      <c r="P200">
        <f ca="1">Table1[[#This Row],[Hire Date]]-Table1[[#This Row],[Job Posting Date]]</f>
        <v>30</v>
      </c>
      <c r="Q200" s="7">
        <f ca="1">Table1[[#This Row],[Join Date]]-Table1[[#This Row],[Hire Date]]</f>
        <v>10</v>
      </c>
      <c r="R200" s="8">
        <f ca="1">(IF(Table1[[#This Row],[Status]]="Exited",Table1[[#This Row],[Exit Date]]-Table1[[#This Row],[Join Date]],TODAY()-Table1[[#This Row],[Join Date]]))/30</f>
        <v>58.733333333333334</v>
      </c>
      <c r="S200">
        <f ca="1">Table1[[#This Row],[Hire Date]]-Table1[[#This Row],[Job Posting Date]]</f>
        <v>30</v>
      </c>
      <c r="T200" s="7">
        <f ca="1">Table1[[#This Row],[Time to Onboard]]/Table1[[#This Row],[Time to Fill]]*100</f>
        <v>33.333333333333329</v>
      </c>
      <c r="U200" s="8">
        <f ca="1">Table1[[#This Row],[Time to Onboard]]/Table1[[#This Row],[Time to Fill]]*100</f>
        <v>33.333333333333329</v>
      </c>
      <c r="V200">
        <f ca="1">Table1[[#This Row],[Join Date]]-Table1[[#This Row],[Job Posting Date]]</f>
        <v>40</v>
      </c>
      <c r="W200">
        <f t="shared" ca="1" si="31"/>
        <v>105</v>
      </c>
      <c r="X200" s="8">
        <f ca="1">Table1[[#This Row],[Absentee Days]]/Table1[[#This Row],[Total Work Days]]*100</f>
        <v>7.6923076923076925</v>
      </c>
      <c r="Y200">
        <f ca="1">YEAR(Table1[[#This Row],[Join Date]])</f>
        <v>2020</v>
      </c>
      <c r="Z200">
        <f ca="1">IF(Table1[[#This Row],[Status]]="Active",1,0)</f>
        <v>1</v>
      </c>
      <c r="AA200">
        <f ca="1">IF(Table1[[#This Row],[Status]]="Exited",Table1[[#This Row],[Recruitment Cost]]+Table1[[#This Row],[Onboarding Cost]]+Table1[[#This Row],[Training Cost]],0)</f>
        <v>0</v>
      </c>
    </row>
    <row r="201" spans="1:27" x14ac:dyDescent="0.2">
      <c r="A201" t="str">
        <f t="shared" si="24"/>
        <v>E200</v>
      </c>
      <c r="B201" t="str" cm="1">
        <f t="array" aca="1" ref="B201" ca="1">INDEX(sheet2!$A$2:$A$6, RANDBETWEEN(1, 5))</f>
        <v>HR</v>
      </c>
      <c r="C201" t="str">
        <f ca="1">_xlfn.XLOOKUP(Table1[[#This Row],[Department]],sheet2!$A$2:$A$6,sheet2!$B$2:$B$6,_xleta.NA,0)</f>
        <v>HR Manager</v>
      </c>
      <c r="D201" s="1">
        <f t="shared" ca="1" si="25"/>
        <v>43806</v>
      </c>
      <c r="E201" s="1">
        <f ca="1">Table1[[#This Row],[Job Posting Date]]+ RANDBETWEEN(15, 90)</f>
        <v>43868</v>
      </c>
      <c r="F201" s="1">
        <f ca="1">Table1[[#This Row],[Hire Date]]+ RANDBETWEEN(1, 15)</f>
        <v>43869</v>
      </c>
      <c r="G201" s="1">
        <f ca="1">IF(RAND() &lt; 0.5,  Table1[[#This Row],[Join Date]]+ RANDBETWEEN(30, TODAY()- Table1[[#This Row],[Join Date]]), "-")</f>
        <v>45174</v>
      </c>
      <c r="H201" t="str">
        <f ca="1">IF(Table1[[#This Row],[Exit Date]]= "-", "Active", "Exited")</f>
        <v>Exited</v>
      </c>
      <c r="I201" s="5">
        <f t="shared" ca="1" si="26"/>
        <v>3160</v>
      </c>
      <c r="J201" t="str" cm="1">
        <f t="array" aca="1" ref="J201" ca="1">INDEX(sheet2!$C$2:$C$6, RANDBETWEEN(1, 5))</f>
        <v>Conflict Resolution</v>
      </c>
      <c r="K201" t="str">
        <f t="shared" ca="1" si="27"/>
        <v>Not Completed</v>
      </c>
      <c r="L201">
        <v>260</v>
      </c>
      <c r="M201">
        <f t="shared" ca="1" si="28"/>
        <v>19</v>
      </c>
      <c r="N201" t="str">
        <f t="shared" ca="1" si="29"/>
        <v>Other</v>
      </c>
      <c r="O201" s="6">
        <f t="shared" ca="1" si="30"/>
        <v>1534</v>
      </c>
      <c r="P201">
        <f ca="1">Table1[[#This Row],[Hire Date]]-Table1[[#This Row],[Job Posting Date]]</f>
        <v>62</v>
      </c>
      <c r="Q201" s="7">
        <f ca="1">Table1[[#This Row],[Join Date]]-Table1[[#This Row],[Hire Date]]</f>
        <v>1</v>
      </c>
      <c r="R201" s="8">
        <f ca="1">(IF(Table1[[#This Row],[Status]]="Exited",Table1[[#This Row],[Exit Date]]-Table1[[#This Row],[Join Date]],TODAY()-Table1[[#This Row],[Join Date]]))/30</f>
        <v>43.5</v>
      </c>
      <c r="S201">
        <f ca="1">Table1[[#This Row],[Hire Date]]-Table1[[#This Row],[Job Posting Date]]</f>
        <v>62</v>
      </c>
      <c r="T201" s="7">
        <f ca="1">Table1[[#This Row],[Time to Onboard]]/Table1[[#This Row],[Time to Fill]]*100</f>
        <v>1.6129032258064515</v>
      </c>
      <c r="U201" s="8">
        <f ca="1">Table1[[#This Row],[Time to Onboard]]/Table1[[#This Row],[Time to Fill]]*100</f>
        <v>1.6129032258064515</v>
      </c>
      <c r="V201">
        <f ca="1">Table1[[#This Row],[Join Date]]-Table1[[#This Row],[Job Posting Date]]</f>
        <v>63</v>
      </c>
      <c r="W201">
        <f t="shared" ca="1" si="31"/>
        <v>104</v>
      </c>
      <c r="X201" s="8">
        <f ca="1">Table1[[#This Row],[Absentee Days]]/Table1[[#This Row],[Total Work Days]]*100</f>
        <v>7.3076923076923084</v>
      </c>
      <c r="Y201">
        <f ca="1">YEAR(Table1[[#This Row],[Join Date]])</f>
        <v>2020</v>
      </c>
      <c r="Z201">
        <f ca="1">IF(Table1[[#This Row],[Status]]="Active",1,0)</f>
        <v>0</v>
      </c>
      <c r="AA201">
        <f ca="1">IF(Table1[[#This Row],[Status]]="Exited",Table1[[#This Row],[Recruitment Cost]]+Table1[[#This Row],[Onboarding Cost]]+Table1[[#This Row],[Training Cost]],0)</f>
        <v>4798</v>
      </c>
    </row>
    <row r="202" spans="1:27" x14ac:dyDescent="0.2">
      <c r="A202" t="str">
        <f t="shared" si="24"/>
        <v>E201</v>
      </c>
      <c r="B202" t="str" cm="1">
        <f t="array" aca="1" ref="B202" ca="1">INDEX(sheet2!$A$2:$A$6, RANDBETWEEN(1, 5))</f>
        <v>HR</v>
      </c>
      <c r="C202" t="str">
        <f ca="1">_xlfn.XLOOKUP(Table1[[#This Row],[Department]],sheet2!$A$2:$A$6,sheet2!$B$2:$B$6,_xleta.NA,0)</f>
        <v>HR Manager</v>
      </c>
      <c r="D202" s="1">
        <f t="shared" ca="1" si="25"/>
        <v>44534</v>
      </c>
      <c r="E202" s="1">
        <f ca="1">Table1[[#This Row],[Job Posting Date]]+ RANDBETWEEN(15, 90)</f>
        <v>44620</v>
      </c>
      <c r="F202" s="1">
        <f ca="1">Table1[[#This Row],[Hire Date]]+ RANDBETWEEN(1, 15)</f>
        <v>44622</v>
      </c>
      <c r="G202" s="1" t="str">
        <f ca="1">IF(RAND() &lt; 0.5,  Table1[[#This Row],[Join Date]]+ RANDBETWEEN(30, TODAY()- Table1[[#This Row],[Join Date]]), "-")</f>
        <v>-</v>
      </c>
      <c r="H202" t="str">
        <f ca="1">IF(Table1[[#This Row],[Exit Date]]= "-", "Active", "Exited")</f>
        <v>Active</v>
      </c>
      <c r="I202" s="5">
        <f t="shared" ca="1" si="26"/>
        <v>4929</v>
      </c>
      <c r="J202" t="str" cm="1">
        <f t="array" aca="1" ref="J202" ca="1">INDEX(sheet2!$C$2:$C$6, RANDBETWEEN(1, 5))</f>
        <v>Leadership Development</v>
      </c>
      <c r="K202" t="str">
        <f t="shared" ca="1" si="27"/>
        <v>Completed</v>
      </c>
      <c r="L202">
        <v>260</v>
      </c>
      <c r="M202">
        <f t="shared" ca="1" si="28"/>
        <v>7</v>
      </c>
      <c r="N202" t="str">
        <f t="shared" ca="1" si="29"/>
        <v>Female</v>
      </c>
      <c r="O202" s="6">
        <f t="shared" ca="1" si="30"/>
        <v>2184</v>
      </c>
      <c r="P202">
        <f ca="1">Table1[[#This Row],[Hire Date]]-Table1[[#This Row],[Job Posting Date]]</f>
        <v>86</v>
      </c>
      <c r="Q202" s="7">
        <f ca="1">Table1[[#This Row],[Join Date]]-Table1[[#This Row],[Hire Date]]</f>
        <v>2</v>
      </c>
      <c r="R202" s="8">
        <f ca="1">(IF(Table1[[#This Row],[Status]]="Exited",Table1[[#This Row],[Exit Date]]-Table1[[#This Row],[Join Date]],TODAY()-Table1[[#This Row],[Join Date]]))/30</f>
        <v>35.366666666666667</v>
      </c>
      <c r="S202">
        <f ca="1">Table1[[#This Row],[Hire Date]]-Table1[[#This Row],[Job Posting Date]]</f>
        <v>86</v>
      </c>
      <c r="T202" s="7">
        <f ca="1">Table1[[#This Row],[Time to Onboard]]/Table1[[#This Row],[Time to Fill]]*100</f>
        <v>2.3255813953488373</v>
      </c>
      <c r="U202" s="8">
        <f ca="1">Table1[[#This Row],[Time to Onboard]]/Table1[[#This Row],[Time to Fill]]*100</f>
        <v>2.3255813953488373</v>
      </c>
      <c r="V202">
        <f ca="1">Table1[[#This Row],[Join Date]]-Table1[[#This Row],[Job Posting Date]]</f>
        <v>88</v>
      </c>
      <c r="W202">
        <f t="shared" ca="1" si="31"/>
        <v>155</v>
      </c>
      <c r="X202" s="8">
        <f ca="1">Table1[[#This Row],[Absentee Days]]/Table1[[#This Row],[Total Work Days]]*100</f>
        <v>2.6923076923076925</v>
      </c>
      <c r="Y202">
        <f ca="1">YEAR(Table1[[#This Row],[Join Date]])</f>
        <v>2022</v>
      </c>
      <c r="Z202">
        <f ca="1">IF(Table1[[#This Row],[Status]]="Active",1,0)</f>
        <v>1</v>
      </c>
      <c r="AA202">
        <f ca="1">IF(Table1[[#This Row],[Status]]="Exited",Table1[[#This Row],[Recruitment Cost]]+Table1[[#This Row],[Onboarding Cost]]+Table1[[#This Row],[Training Cost]],0)</f>
        <v>0</v>
      </c>
    </row>
    <row r="203" spans="1:27" x14ac:dyDescent="0.2">
      <c r="A203" t="str">
        <f t="shared" si="24"/>
        <v>E202</v>
      </c>
      <c r="B203" t="str" cm="1">
        <f t="array" aca="1" ref="B203" ca="1">INDEX(sheet2!$A$2:$A$6, RANDBETWEEN(1, 5))</f>
        <v>Finance</v>
      </c>
      <c r="C203" t="str">
        <f ca="1">_xlfn.XLOOKUP(Table1[[#This Row],[Department]],sheet2!$A$2:$A$6,sheet2!$B$2:$B$6,_xleta.NA,0)</f>
        <v>Finance Manager</v>
      </c>
      <c r="D203" s="1">
        <f t="shared" ca="1" si="25"/>
        <v>43440</v>
      </c>
      <c r="E203" s="1">
        <f ca="1">Table1[[#This Row],[Job Posting Date]]+ RANDBETWEEN(15, 90)</f>
        <v>43497</v>
      </c>
      <c r="F203" s="1">
        <f ca="1">Table1[[#This Row],[Hire Date]]+ RANDBETWEEN(1, 15)</f>
        <v>43512</v>
      </c>
      <c r="G203" s="1">
        <f ca="1">IF(RAND() &lt; 0.5,  Table1[[#This Row],[Join Date]]+ RANDBETWEEN(30, TODAY()- Table1[[#This Row],[Join Date]]), "-")</f>
        <v>45574</v>
      </c>
      <c r="H203" t="str">
        <f ca="1">IF(Table1[[#This Row],[Exit Date]]= "-", "Active", "Exited")</f>
        <v>Exited</v>
      </c>
      <c r="I203" s="5">
        <f t="shared" ca="1" si="26"/>
        <v>4962</v>
      </c>
      <c r="J203" t="str" cm="1">
        <f t="array" aca="1" ref="J203" ca="1">INDEX(sheet2!$C$2:$C$6, RANDBETWEEN(1, 5))</f>
        <v>Leadership Development</v>
      </c>
      <c r="K203" t="str">
        <f t="shared" ca="1" si="27"/>
        <v>Completed</v>
      </c>
      <c r="L203">
        <v>260</v>
      </c>
      <c r="M203">
        <f t="shared" ca="1" si="28"/>
        <v>15</v>
      </c>
      <c r="N203" t="str">
        <f t="shared" ca="1" si="29"/>
        <v>Other</v>
      </c>
      <c r="O203" s="6">
        <f t="shared" ca="1" si="30"/>
        <v>1481</v>
      </c>
      <c r="P203">
        <f ca="1">Table1[[#This Row],[Hire Date]]-Table1[[#This Row],[Job Posting Date]]</f>
        <v>57</v>
      </c>
      <c r="Q203" s="7">
        <f ca="1">Table1[[#This Row],[Join Date]]-Table1[[#This Row],[Hire Date]]</f>
        <v>15</v>
      </c>
      <c r="R203" s="8">
        <f ca="1">(IF(Table1[[#This Row],[Status]]="Exited",Table1[[#This Row],[Exit Date]]-Table1[[#This Row],[Join Date]],TODAY()-Table1[[#This Row],[Join Date]]))/30</f>
        <v>68.733333333333334</v>
      </c>
      <c r="S203">
        <f ca="1">Table1[[#This Row],[Hire Date]]-Table1[[#This Row],[Job Posting Date]]</f>
        <v>57</v>
      </c>
      <c r="T203" s="7">
        <f ca="1">Table1[[#This Row],[Time to Onboard]]/Table1[[#This Row],[Time to Fill]]*100</f>
        <v>26.315789473684209</v>
      </c>
      <c r="U203" s="8">
        <f ca="1">Table1[[#This Row],[Time to Onboard]]/Table1[[#This Row],[Time to Fill]]*100</f>
        <v>26.315789473684209</v>
      </c>
      <c r="V203">
        <f ca="1">Table1[[#This Row],[Join Date]]-Table1[[#This Row],[Job Posting Date]]</f>
        <v>72</v>
      </c>
      <c r="W203">
        <f t="shared" ca="1" si="31"/>
        <v>170</v>
      </c>
      <c r="X203" s="8">
        <f ca="1">Table1[[#This Row],[Absentee Days]]/Table1[[#This Row],[Total Work Days]]*100</f>
        <v>5.7692307692307692</v>
      </c>
      <c r="Y203">
        <f ca="1">YEAR(Table1[[#This Row],[Join Date]])</f>
        <v>2019</v>
      </c>
      <c r="Z203">
        <f ca="1">IF(Table1[[#This Row],[Status]]="Active",1,0)</f>
        <v>0</v>
      </c>
      <c r="AA203">
        <f ca="1">IF(Table1[[#This Row],[Status]]="Exited",Table1[[#This Row],[Recruitment Cost]]+Table1[[#This Row],[Onboarding Cost]]+Table1[[#This Row],[Training Cost]],0)</f>
        <v>6613</v>
      </c>
    </row>
    <row r="204" spans="1:27" x14ac:dyDescent="0.2">
      <c r="A204" t="str">
        <f t="shared" si="24"/>
        <v>E203</v>
      </c>
      <c r="B204" t="str" cm="1">
        <f t="array" aca="1" ref="B204" ca="1">INDEX(sheet2!$A$2:$A$6, RANDBETWEEN(1, 5))</f>
        <v>HR</v>
      </c>
      <c r="C204" t="str">
        <f ca="1">_xlfn.XLOOKUP(Table1[[#This Row],[Department]],sheet2!$A$2:$A$6,sheet2!$B$2:$B$6,_xleta.NA,0)</f>
        <v>HR Manager</v>
      </c>
      <c r="D204" s="1">
        <f t="shared" ca="1" si="25"/>
        <v>43302</v>
      </c>
      <c r="E204" s="1">
        <f ca="1">Table1[[#This Row],[Job Posting Date]]+ RANDBETWEEN(15, 90)</f>
        <v>43365</v>
      </c>
      <c r="F204" s="1">
        <f ca="1">Table1[[#This Row],[Hire Date]]+ RANDBETWEEN(1, 15)</f>
        <v>43367</v>
      </c>
      <c r="G204" s="1" t="str">
        <f ca="1">IF(RAND() &lt; 0.5,  Table1[[#This Row],[Join Date]]+ RANDBETWEEN(30, TODAY()- Table1[[#This Row],[Join Date]]), "-")</f>
        <v>-</v>
      </c>
      <c r="H204" t="str">
        <f ca="1">IF(Table1[[#This Row],[Exit Date]]= "-", "Active", "Exited")</f>
        <v>Active</v>
      </c>
      <c r="I204" s="5">
        <f t="shared" ca="1" si="26"/>
        <v>2385</v>
      </c>
      <c r="J204" t="str" cm="1">
        <f t="array" aca="1" ref="J204" ca="1">INDEX(sheet2!$C$2:$C$6, RANDBETWEEN(1, 5))</f>
        <v>Ethics and Responsibilities</v>
      </c>
      <c r="K204" t="str">
        <f t="shared" ca="1" si="27"/>
        <v>Completed</v>
      </c>
      <c r="L204">
        <v>260</v>
      </c>
      <c r="M204">
        <f t="shared" ca="1" si="28"/>
        <v>19</v>
      </c>
      <c r="N204" t="str">
        <f t="shared" ca="1" si="29"/>
        <v>Female</v>
      </c>
      <c r="O204" s="6">
        <f t="shared" ca="1" si="30"/>
        <v>2387</v>
      </c>
      <c r="P204">
        <f ca="1">Table1[[#This Row],[Hire Date]]-Table1[[#This Row],[Job Posting Date]]</f>
        <v>63</v>
      </c>
      <c r="Q204" s="7">
        <f ca="1">Table1[[#This Row],[Join Date]]-Table1[[#This Row],[Hire Date]]</f>
        <v>2</v>
      </c>
      <c r="R204" s="8">
        <f ca="1">(IF(Table1[[#This Row],[Status]]="Exited",Table1[[#This Row],[Exit Date]]-Table1[[#This Row],[Join Date]],TODAY()-Table1[[#This Row],[Join Date]]))/30</f>
        <v>77.2</v>
      </c>
      <c r="S204">
        <f ca="1">Table1[[#This Row],[Hire Date]]-Table1[[#This Row],[Job Posting Date]]</f>
        <v>63</v>
      </c>
      <c r="T204" s="7">
        <f ca="1">Table1[[#This Row],[Time to Onboard]]/Table1[[#This Row],[Time to Fill]]*100</f>
        <v>3.1746031746031744</v>
      </c>
      <c r="U204" s="8">
        <f ca="1">Table1[[#This Row],[Time to Onboard]]/Table1[[#This Row],[Time to Fill]]*100</f>
        <v>3.1746031746031744</v>
      </c>
      <c r="V204">
        <f ca="1">Table1[[#This Row],[Join Date]]-Table1[[#This Row],[Job Posting Date]]</f>
        <v>65</v>
      </c>
      <c r="W204">
        <f t="shared" ca="1" si="31"/>
        <v>163</v>
      </c>
      <c r="X204" s="8">
        <f ca="1">Table1[[#This Row],[Absentee Days]]/Table1[[#This Row],[Total Work Days]]*100</f>
        <v>7.3076923076923084</v>
      </c>
      <c r="Y204">
        <f ca="1">YEAR(Table1[[#This Row],[Join Date]])</f>
        <v>2018</v>
      </c>
      <c r="Z204">
        <f ca="1">IF(Table1[[#This Row],[Status]]="Active",1,0)</f>
        <v>1</v>
      </c>
      <c r="AA204">
        <f ca="1">IF(Table1[[#This Row],[Status]]="Exited",Table1[[#This Row],[Recruitment Cost]]+Table1[[#This Row],[Onboarding Cost]]+Table1[[#This Row],[Training Cost]],0)</f>
        <v>0</v>
      </c>
    </row>
    <row r="205" spans="1:27" x14ac:dyDescent="0.2">
      <c r="A205" t="str">
        <f t="shared" si="24"/>
        <v>E204</v>
      </c>
      <c r="B205" t="str" cm="1">
        <f t="array" aca="1" ref="B205" ca="1">INDEX(sheet2!$A$2:$A$6, RANDBETWEEN(1, 5))</f>
        <v>Sales</v>
      </c>
      <c r="C205" t="str">
        <f ca="1">_xlfn.XLOOKUP(Table1[[#This Row],[Department]],sheet2!$A$2:$A$6,sheet2!$B$2:$B$6,_xleta.NA,0)</f>
        <v>Marketing Manager</v>
      </c>
      <c r="D205" s="1">
        <f t="shared" ca="1" si="25"/>
        <v>43703</v>
      </c>
      <c r="E205" s="1">
        <f ca="1">Table1[[#This Row],[Job Posting Date]]+ RANDBETWEEN(15, 90)</f>
        <v>43787</v>
      </c>
      <c r="F205" s="1">
        <f ca="1">Table1[[#This Row],[Hire Date]]+ RANDBETWEEN(1, 15)</f>
        <v>43795</v>
      </c>
      <c r="G205" s="1" t="str">
        <f ca="1">IF(RAND() &lt; 0.5,  Table1[[#This Row],[Join Date]]+ RANDBETWEEN(30, TODAY()- Table1[[#This Row],[Join Date]]), "-")</f>
        <v>-</v>
      </c>
      <c r="H205" t="str">
        <f ca="1">IF(Table1[[#This Row],[Exit Date]]= "-", "Active", "Exited")</f>
        <v>Active</v>
      </c>
      <c r="I205" s="5">
        <f t="shared" ca="1" si="26"/>
        <v>4525</v>
      </c>
      <c r="J205" t="str" cm="1">
        <f t="array" aca="1" ref="J205" ca="1">INDEX(sheet2!$C$2:$C$6, RANDBETWEEN(1, 5))</f>
        <v>Conflict Resolution</v>
      </c>
      <c r="K205" t="str">
        <f t="shared" ca="1" si="27"/>
        <v>Completed</v>
      </c>
      <c r="L205">
        <v>260</v>
      </c>
      <c r="M205">
        <f t="shared" ca="1" si="28"/>
        <v>17</v>
      </c>
      <c r="N205" t="str">
        <f t="shared" ca="1" si="29"/>
        <v>Other</v>
      </c>
      <c r="O205" s="6">
        <f t="shared" ca="1" si="30"/>
        <v>1621</v>
      </c>
      <c r="P205">
        <f ca="1">Table1[[#This Row],[Hire Date]]-Table1[[#This Row],[Job Posting Date]]</f>
        <v>84</v>
      </c>
      <c r="Q205" s="7">
        <f ca="1">Table1[[#This Row],[Join Date]]-Table1[[#This Row],[Hire Date]]</f>
        <v>8</v>
      </c>
      <c r="R205" s="8">
        <f ca="1">(IF(Table1[[#This Row],[Status]]="Exited",Table1[[#This Row],[Exit Date]]-Table1[[#This Row],[Join Date]],TODAY()-Table1[[#This Row],[Join Date]]))/30</f>
        <v>62.93333333333333</v>
      </c>
      <c r="S205">
        <f ca="1">Table1[[#This Row],[Hire Date]]-Table1[[#This Row],[Job Posting Date]]</f>
        <v>84</v>
      </c>
      <c r="T205" s="7">
        <f ca="1">Table1[[#This Row],[Time to Onboard]]/Table1[[#This Row],[Time to Fill]]*100</f>
        <v>9.5238095238095237</v>
      </c>
      <c r="U205" s="8">
        <f ca="1">Table1[[#This Row],[Time to Onboard]]/Table1[[#This Row],[Time to Fill]]*100</f>
        <v>9.5238095238095237</v>
      </c>
      <c r="V205">
        <f ca="1">Table1[[#This Row],[Join Date]]-Table1[[#This Row],[Job Posting Date]]</f>
        <v>92</v>
      </c>
      <c r="W205">
        <f t="shared" ca="1" si="31"/>
        <v>123</v>
      </c>
      <c r="X205" s="8">
        <f ca="1">Table1[[#This Row],[Absentee Days]]/Table1[[#This Row],[Total Work Days]]*100</f>
        <v>6.5384615384615392</v>
      </c>
      <c r="Y205">
        <f ca="1">YEAR(Table1[[#This Row],[Join Date]])</f>
        <v>2019</v>
      </c>
      <c r="Z205">
        <f ca="1">IF(Table1[[#This Row],[Status]]="Active",1,0)</f>
        <v>1</v>
      </c>
      <c r="AA205">
        <f ca="1">IF(Table1[[#This Row],[Status]]="Exited",Table1[[#This Row],[Recruitment Cost]]+Table1[[#This Row],[Onboarding Cost]]+Table1[[#This Row],[Training Cost]],0)</f>
        <v>0</v>
      </c>
    </row>
    <row r="206" spans="1:27" x14ac:dyDescent="0.2">
      <c r="A206" t="str">
        <f t="shared" si="24"/>
        <v>E205</v>
      </c>
      <c r="B206" t="str" cm="1">
        <f t="array" aca="1" ref="B206" ca="1">INDEX(sheet2!$A$2:$A$6, RANDBETWEEN(1, 5))</f>
        <v>IT</v>
      </c>
      <c r="C206" t="str">
        <f ca="1">_xlfn.XLOOKUP(Table1[[#This Row],[Department]],sheet2!$A$2:$A$6,sheet2!$B$2:$B$6,_xleta.NA,0)</f>
        <v>Software Engineer</v>
      </c>
      <c r="D206" s="1">
        <f t="shared" ca="1" si="25"/>
        <v>43877</v>
      </c>
      <c r="E206" s="1">
        <f ca="1">Table1[[#This Row],[Job Posting Date]]+ RANDBETWEEN(15, 90)</f>
        <v>43914</v>
      </c>
      <c r="F206" s="1">
        <f ca="1">Table1[[#This Row],[Hire Date]]+ RANDBETWEEN(1, 15)</f>
        <v>43917</v>
      </c>
      <c r="G206" s="1">
        <f ca="1">IF(RAND() &lt; 0.5,  Table1[[#This Row],[Join Date]]+ RANDBETWEEN(30, TODAY()- Table1[[#This Row],[Join Date]]), "-")</f>
        <v>44773</v>
      </c>
      <c r="H206" t="str">
        <f ca="1">IF(Table1[[#This Row],[Exit Date]]= "-", "Active", "Exited")</f>
        <v>Exited</v>
      </c>
      <c r="I206" s="5">
        <f t="shared" ca="1" si="26"/>
        <v>2458</v>
      </c>
      <c r="J206" t="str" cm="1">
        <f t="array" aca="1" ref="J206" ca="1">INDEX(sheet2!$C$2:$C$6, RANDBETWEEN(1, 5))</f>
        <v>Ethics and Responsibilities</v>
      </c>
      <c r="K206" t="str">
        <f t="shared" ca="1" si="27"/>
        <v>Not Completed</v>
      </c>
      <c r="L206">
        <v>260</v>
      </c>
      <c r="M206">
        <f t="shared" ca="1" si="28"/>
        <v>1</v>
      </c>
      <c r="N206" t="str">
        <f t="shared" ca="1" si="29"/>
        <v>Female</v>
      </c>
      <c r="O206" s="6">
        <f t="shared" ca="1" si="30"/>
        <v>1400</v>
      </c>
      <c r="P206">
        <f ca="1">Table1[[#This Row],[Hire Date]]-Table1[[#This Row],[Job Posting Date]]</f>
        <v>37</v>
      </c>
      <c r="Q206" s="7">
        <f ca="1">Table1[[#This Row],[Join Date]]-Table1[[#This Row],[Hire Date]]</f>
        <v>3</v>
      </c>
      <c r="R206" s="8">
        <f ca="1">(IF(Table1[[#This Row],[Status]]="Exited",Table1[[#This Row],[Exit Date]]-Table1[[#This Row],[Join Date]],TODAY()-Table1[[#This Row],[Join Date]]))/30</f>
        <v>28.533333333333335</v>
      </c>
      <c r="S206">
        <f ca="1">Table1[[#This Row],[Hire Date]]-Table1[[#This Row],[Job Posting Date]]</f>
        <v>37</v>
      </c>
      <c r="T206" s="7">
        <f ca="1">Table1[[#This Row],[Time to Onboard]]/Table1[[#This Row],[Time to Fill]]*100</f>
        <v>8.1081081081081088</v>
      </c>
      <c r="U206" s="8">
        <f ca="1">Table1[[#This Row],[Time to Onboard]]/Table1[[#This Row],[Time to Fill]]*100</f>
        <v>8.1081081081081088</v>
      </c>
      <c r="V206">
        <f ca="1">Table1[[#This Row],[Join Date]]-Table1[[#This Row],[Job Posting Date]]</f>
        <v>40</v>
      </c>
      <c r="W206">
        <f t="shared" ca="1" si="31"/>
        <v>147</v>
      </c>
      <c r="X206" s="8">
        <f ca="1">Table1[[#This Row],[Absentee Days]]/Table1[[#This Row],[Total Work Days]]*100</f>
        <v>0.38461538461538464</v>
      </c>
      <c r="Y206">
        <f ca="1">YEAR(Table1[[#This Row],[Join Date]])</f>
        <v>2020</v>
      </c>
      <c r="Z206">
        <f ca="1">IF(Table1[[#This Row],[Status]]="Active",1,0)</f>
        <v>0</v>
      </c>
      <c r="AA206">
        <f ca="1">IF(Table1[[#This Row],[Status]]="Exited",Table1[[#This Row],[Recruitment Cost]]+Table1[[#This Row],[Onboarding Cost]]+Table1[[#This Row],[Training Cost]],0)</f>
        <v>4005</v>
      </c>
    </row>
    <row r="207" spans="1:27" x14ac:dyDescent="0.2">
      <c r="A207" t="str">
        <f t="shared" si="24"/>
        <v>E206</v>
      </c>
      <c r="B207" t="str" cm="1">
        <f t="array" aca="1" ref="B207" ca="1">INDEX(sheet2!$A$2:$A$6, RANDBETWEEN(1, 5))</f>
        <v>Analytics</v>
      </c>
      <c r="C207" t="str">
        <f ca="1">_xlfn.XLOOKUP(Table1[[#This Row],[Department]],sheet2!$A$2:$A$6,sheet2!$B$2:$B$6,_xleta.NA,0)</f>
        <v>Data Analyst</v>
      </c>
      <c r="D207" s="1">
        <f t="shared" ca="1" si="25"/>
        <v>43367</v>
      </c>
      <c r="E207" s="1">
        <f ca="1">Table1[[#This Row],[Job Posting Date]]+ RANDBETWEEN(15, 90)</f>
        <v>43433</v>
      </c>
      <c r="F207" s="1">
        <f ca="1">Table1[[#This Row],[Hire Date]]+ RANDBETWEEN(1, 15)</f>
        <v>43448</v>
      </c>
      <c r="G207" s="1">
        <f ca="1">IF(RAND() &lt; 0.5,  Table1[[#This Row],[Join Date]]+ RANDBETWEEN(30, TODAY()- Table1[[#This Row],[Join Date]]), "-")</f>
        <v>44395</v>
      </c>
      <c r="H207" t="str">
        <f ca="1">IF(Table1[[#This Row],[Exit Date]]= "-", "Active", "Exited")</f>
        <v>Exited</v>
      </c>
      <c r="I207" s="5">
        <f t="shared" ca="1" si="26"/>
        <v>4898</v>
      </c>
      <c r="J207" t="str" cm="1">
        <f t="array" aca="1" ref="J207" ca="1">INDEX(sheet2!$C$2:$C$6, RANDBETWEEN(1, 5))</f>
        <v>Leadership Development</v>
      </c>
      <c r="K207" t="str">
        <f t="shared" ca="1" si="27"/>
        <v>Completed</v>
      </c>
      <c r="L207">
        <v>260</v>
      </c>
      <c r="M207">
        <f t="shared" ca="1" si="28"/>
        <v>7</v>
      </c>
      <c r="N207" t="str">
        <f t="shared" ca="1" si="29"/>
        <v>Female</v>
      </c>
      <c r="O207" s="6">
        <f t="shared" ca="1" si="30"/>
        <v>1460</v>
      </c>
      <c r="P207">
        <f ca="1">Table1[[#This Row],[Hire Date]]-Table1[[#This Row],[Job Posting Date]]</f>
        <v>66</v>
      </c>
      <c r="Q207" s="7">
        <f ca="1">Table1[[#This Row],[Join Date]]-Table1[[#This Row],[Hire Date]]</f>
        <v>15</v>
      </c>
      <c r="R207" s="8">
        <f ca="1">(IF(Table1[[#This Row],[Status]]="Exited",Table1[[#This Row],[Exit Date]]-Table1[[#This Row],[Join Date]],TODAY()-Table1[[#This Row],[Join Date]]))/30</f>
        <v>31.566666666666666</v>
      </c>
      <c r="S207">
        <f ca="1">Table1[[#This Row],[Hire Date]]-Table1[[#This Row],[Job Posting Date]]</f>
        <v>66</v>
      </c>
      <c r="T207" s="7">
        <f ca="1">Table1[[#This Row],[Time to Onboard]]/Table1[[#This Row],[Time to Fill]]*100</f>
        <v>22.727272727272727</v>
      </c>
      <c r="U207" s="8">
        <f ca="1">Table1[[#This Row],[Time to Onboard]]/Table1[[#This Row],[Time to Fill]]*100</f>
        <v>22.727272727272727</v>
      </c>
      <c r="V207">
        <f ca="1">Table1[[#This Row],[Join Date]]-Table1[[#This Row],[Job Posting Date]]</f>
        <v>81</v>
      </c>
      <c r="W207">
        <f t="shared" ca="1" si="31"/>
        <v>134</v>
      </c>
      <c r="X207" s="8">
        <f ca="1">Table1[[#This Row],[Absentee Days]]/Table1[[#This Row],[Total Work Days]]*100</f>
        <v>2.6923076923076925</v>
      </c>
      <c r="Y207">
        <f ca="1">YEAR(Table1[[#This Row],[Join Date]])</f>
        <v>2018</v>
      </c>
      <c r="Z207">
        <f ca="1">IF(Table1[[#This Row],[Status]]="Active",1,0)</f>
        <v>0</v>
      </c>
      <c r="AA207">
        <f ca="1">IF(Table1[[#This Row],[Status]]="Exited",Table1[[#This Row],[Recruitment Cost]]+Table1[[#This Row],[Onboarding Cost]]+Table1[[#This Row],[Training Cost]],0)</f>
        <v>6492</v>
      </c>
    </row>
    <row r="208" spans="1:27" x14ac:dyDescent="0.2">
      <c r="A208" t="str">
        <f t="shared" si="24"/>
        <v>E207</v>
      </c>
      <c r="B208" t="str" cm="1">
        <f t="array" aca="1" ref="B208" ca="1">INDEX(sheet2!$A$2:$A$6, RANDBETWEEN(1, 5))</f>
        <v>IT</v>
      </c>
      <c r="C208" t="str">
        <f ca="1">_xlfn.XLOOKUP(Table1[[#This Row],[Department]],sheet2!$A$2:$A$6,sheet2!$B$2:$B$6,_xleta.NA,0)</f>
        <v>Software Engineer</v>
      </c>
      <c r="D208" s="1">
        <f t="shared" ca="1" si="25"/>
        <v>44489</v>
      </c>
      <c r="E208" s="1">
        <f ca="1">Table1[[#This Row],[Job Posting Date]]+ RANDBETWEEN(15, 90)</f>
        <v>44559</v>
      </c>
      <c r="F208" s="1">
        <f ca="1">Table1[[#This Row],[Hire Date]]+ RANDBETWEEN(1, 15)</f>
        <v>44571</v>
      </c>
      <c r="G208" s="1" t="str">
        <f ca="1">IF(RAND() &lt; 0.5,  Table1[[#This Row],[Join Date]]+ RANDBETWEEN(30, TODAY()- Table1[[#This Row],[Join Date]]), "-")</f>
        <v>-</v>
      </c>
      <c r="H208" t="str">
        <f ca="1">IF(Table1[[#This Row],[Exit Date]]= "-", "Active", "Exited")</f>
        <v>Active</v>
      </c>
      <c r="I208" s="5">
        <f t="shared" ca="1" si="26"/>
        <v>3275</v>
      </c>
      <c r="J208" t="str" cm="1">
        <f t="array" aca="1" ref="J208" ca="1">INDEX(sheet2!$C$2:$C$6, RANDBETWEEN(1, 5))</f>
        <v>Advanced Excel Skills </v>
      </c>
      <c r="K208" t="str">
        <f t="shared" ca="1" si="27"/>
        <v>Completed</v>
      </c>
      <c r="L208">
        <v>260</v>
      </c>
      <c r="M208">
        <f t="shared" ca="1" si="28"/>
        <v>17</v>
      </c>
      <c r="N208" t="str">
        <f t="shared" ca="1" si="29"/>
        <v>Other</v>
      </c>
      <c r="O208" s="6">
        <f t="shared" ca="1" si="30"/>
        <v>1614</v>
      </c>
      <c r="P208">
        <f ca="1">Table1[[#This Row],[Hire Date]]-Table1[[#This Row],[Job Posting Date]]</f>
        <v>70</v>
      </c>
      <c r="Q208" s="7">
        <f ca="1">Table1[[#This Row],[Join Date]]-Table1[[#This Row],[Hire Date]]</f>
        <v>12</v>
      </c>
      <c r="R208" s="8">
        <f ca="1">(IF(Table1[[#This Row],[Status]]="Exited",Table1[[#This Row],[Exit Date]]-Table1[[#This Row],[Join Date]],TODAY()-Table1[[#This Row],[Join Date]]))/30</f>
        <v>37.06666666666667</v>
      </c>
      <c r="S208">
        <f ca="1">Table1[[#This Row],[Hire Date]]-Table1[[#This Row],[Job Posting Date]]</f>
        <v>70</v>
      </c>
      <c r="T208" s="7">
        <f ca="1">Table1[[#This Row],[Time to Onboard]]/Table1[[#This Row],[Time to Fill]]*100</f>
        <v>17.142857142857142</v>
      </c>
      <c r="U208" s="8">
        <f ca="1">Table1[[#This Row],[Time to Onboard]]/Table1[[#This Row],[Time to Fill]]*100</f>
        <v>17.142857142857142</v>
      </c>
      <c r="V208">
        <f ca="1">Table1[[#This Row],[Join Date]]-Table1[[#This Row],[Job Posting Date]]</f>
        <v>82</v>
      </c>
      <c r="W208">
        <f t="shared" ca="1" si="31"/>
        <v>173</v>
      </c>
      <c r="X208" s="8">
        <f ca="1">Table1[[#This Row],[Absentee Days]]/Table1[[#This Row],[Total Work Days]]*100</f>
        <v>6.5384615384615392</v>
      </c>
      <c r="Y208">
        <f ca="1">YEAR(Table1[[#This Row],[Join Date]])</f>
        <v>2022</v>
      </c>
      <c r="Z208">
        <f ca="1">IF(Table1[[#This Row],[Status]]="Active",1,0)</f>
        <v>1</v>
      </c>
      <c r="AA208">
        <f ca="1">IF(Table1[[#This Row],[Status]]="Exited",Table1[[#This Row],[Recruitment Cost]]+Table1[[#This Row],[Onboarding Cost]]+Table1[[#This Row],[Training Cost]],0)</f>
        <v>0</v>
      </c>
    </row>
    <row r="209" spans="1:27" x14ac:dyDescent="0.2">
      <c r="A209" t="str">
        <f t="shared" si="24"/>
        <v>E208</v>
      </c>
      <c r="B209" t="str" cm="1">
        <f t="array" aca="1" ref="B209" ca="1">INDEX(sheet2!$A$2:$A$6, RANDBETWEEN(1, 5))</f>
        <v>HR</v>
      </c>
      <c r="C209" t="str">
        <f ca="1">_xlfn.XLOOKUP(Table1[[#This Row],[Department]],sheet2!$A$2:$A$6,sheet2!$B$2:$B$6,_xleta.NA,0)</f>
        <v>HR Manager</v>
      </c>
      <c r="D209" s="1">
        <f t="shared" ca="1" si="25"/>
        <v>43635</v>
      </c>
      <c r="E209" s="1">
        <f ca="1">Table1[[#This Row],[Job Posting Date]]+ RANDBETWEEN(15, 90)</f>
        <v>43679</v>
      </c>
      <c r="F209" s="1">
        <f ca="1">Table1[[#This Row],[Hire Date]]+ RANDBETWEEN(1, 15)</f>
        <v>43680</v>
      </c>
      <c r="G209" s="1">
        <f ca="1">IF(RAND() &lt; 0.5,  Table1[[#This Row],[Join Date]]+ RANDBETWEEN(30, TODAY()- Table1[[#This Row],[Join Date]]), "-")</f>
        <v>45403</v>
      </c>
      <c r="H209" t="str">
        <f ca="1">IF(Table1[[#This Row],[Exit Date]]= "-", "Active", "Exited")</f>
        <v>Exited</v>
      </c>
      <c r="I209" s="5">
        <f t="shared" ca="1" si="26"/>
        <v>3959</v>
      </c>
      <c r="J209" t="str" cm="1">
        <f t="array" aca="1" ref="J209" ca="1">INDEX(sheet2!$C$2:$C$6, RANDBETWEEN(1, 5))</f>
        <v>Leadership Development</v>
      </c>
      <c r="K209" t="str">
        <f t="shared" ca="1" si="27"/>
        <v>Completed</v>
      </c>
      <c r="L209">
        <v>260</v>
      </c>
      <c r="M209">
        <f t="shared" ca="1" si="28"/>
        <v>16</v>
      </c>
      <c r="N209" t="str">
        <f t="shared" ca="1" si="29"/>
        <v>Female</v>
      </c>
      <c r="O209" s="6">
        <f t="shared" ca="1" si="30"/>
        <v>1282</v>
      </c>
      <c r="P209">
        <f ca="1">Table1[[#This Row],[Hire Date]]-Table1[[#This Row],[Job Posting Date]]</f>
        <v>44</v>
      </c>
      <c r="Q209" s="7">
        <f ca="1">Table1[[#This Row],[Join Date]]-Table1[[#This Row],[Hire Date]]</f>
        <v>1</v>
      </c>
      <c r="R209" s="8">
        <f ca="1">(IF(Table1[[#This Row],[Status]]="Exited",Table1[[#This Row],[Exit Date]]-Table1[[#This Row],[Join Date]],TODAY()-Table1[[#This Row],[Join Date]]))/30</f>
        <v>57.43333333333333</v>
      </c>
      <c r="S209">
        <f ca="1">Table1[[#This Row],[Hire Date]]-Table1[[#This Row],[Job Posting Date]]</f>
        <v>44</v>
      </c>
      <c r="T209" s="7">
        <f ca="1">Table1[[#This Row],[Time to Onboard]]/Table1[[#This Row],[Time to Fill]]*100</f>
        <v>2.2727272727272729</v>
      </c>
      <c r="U209" s="8">
        <f ca="1">Table1[[#This Row],[Time to Onboard]]/Table1[[#This Row],[Time to Fill]]*100</f>
        <v>2.2727272727272729</v>
      </c>
      <c r="V209">
        <f ca="1">Table1[[#This Row],[Join Date]]-Table1[[#This Row],[Job Posting Date]]</f>
        <v>45</v>
      </c>
      <c r="W209">
        <f t="shared" ca="1" si="31"/>
        <v>143</v>
      </c>
      <c r="X209" s="8">
        <f ca="1">Table1[[#This Row],[Absentee Days]]/Table1[[#This Row],[Total Work Days]]*100</f>
        <v>6.1538461538461542</v>
      </c>
      <c r="Y209">
        <f ca="1">YEAR(Table1[[#This Row],[Join Date]])</f>
        <v>2019</v>
      </c>
      <c r="Z209">
        <f ca="1">IF(Table1[[#This Row],[Status]]="Active",1,0)</f>
        <v>0</v>
      </c>
      <c r="AA209">
        <f ca="1">IF(Table1[[#This Row],[Status]]="Exited",Table1[[#This Row],[Recruitment Cost]]+Table1[[#This Row],[Onboarding Cost]]+Table1[[#This Row],[Training Cost]],0)</f>
        <v>5384</v>
      </c>
    </row>
    <row r="210" spans="1:27" x14ac:dyDescent="0.2">
      <c r="A210" t="str">
        <f t="shared" si="24"/>
        <v>E209</v>
      </c>
      <c r="B210" t="str" cm="1">
        <f t="array" aca="1" ref="B210" ca="1">INDEX(sheet2!$A$2:$A$6, RANDBETWEEN(1, 5))</f>
        <v>IT</v>
      </c>
      <c r="C210" t="str">
        <f ca="1">_xlfn.XLOOKUP(Table1[[#This Row],[Department]],sheet2!$A$2:$A$6,sheet2!$B$2:$B$6,_xleta.NA,0)</f>
        <v>Software Engineer</v>
      </c>
      <c r="D210" s="1">
        <f t="shared" ca="1" si="25"/>
        <v>43381</v>
      </c>
      <c r="E210" s="1">
        <f ca="1">Table1[[#This Row],[Job Posting Date]]+ RANDBETWEEN(15, 90)</f>
        <v>43400</v>
      </c>
      <c r="F210" s="1">
        <f ca="1">Table1[[#This Row],[Hire Date]]+ RANDBETWEEN(1, 15)</f>
        <v>43403</v>
      </c>
      <c r="G210" s="1">
        <f ca="1">IF(RAND() &lt; 0.5,  Table1[[#This Row],[Join Date]]+ RANDBETWEEN(30, TODAY()- Table1[[#This Row],[Join Date]]), "-")</f>
        <v>43877</v>
      </c>
      <c r="H210" t="str">
        <f ca="1">IF(Table1[[#This Row],[Exit Date]]= "-", "Active", "Exited")</f>
        <v>Exited</v>
      </c>
      <c r="I210" s="5">
        <f t="shared" ca="1" si="26"/>
        <v>2187</v>
      </c>
      <c r="J210" t="str" cm="1">
        <f t="array" aca="1" ref="J210" ca="1">INDEX(sheet2!$C$2:$C$6, RANDBETWEEN(1, 5))</f>
        <v>Ethics and Responsibilities</v>
      </c>
      <c r="K210" t="str">
        <f t="shared" ca="1" si="27"/>
        <v>Completed</v>
      </c>
      <c r="L210">
        <v>260</v>
      </c>
      <c r="M210">
        <f t="shared" ca="1" si="28"/>
        <v>2</v>
      </c>
      <c r="N210" t="str">
        <f t="shared" ca="1" si="29"/>
        <v>Other</v>
      </c>
      <c r="O210" s="6">
        <f t="shared" ca="1" si="30"/>
        <v>2444</v>
      </c>
      <c r="P210">
        <f ca="1">Table1[[#This Row],[Hire Date]]-Table1[[#This Row],[Job Posting Date]]</f>
        <v>19</v>
      </c>
      <c r="Q210" s="7">
        <f ca="1">Table1[[#This Row],[Join Date]]-Table1[[#This Row],[Hire Date]]</f>
        <v>3</v>
      </c>
      <c r="R210" s="8">
        <f ca="1">(IF(Table1[[#This Row],[Status]]="Exited",Table1[[#This Row],[Exit Date]]-Table1[[#This Row],[Join Date]],TODAY()-Table1[[#This Row],[Join Date]]))/30</f>
        <v>15.8</v>
      </c>
      <c r="S210">
        <f ca="1">Table1[[#This Row],[Hire Date]]-Table1[[#This Row],[Job Posting Date]]</f>
        <v>19</v>
      </c>
      <c r="T210" s="7">
        <f ca="1">Table1[[#This Row],[Time to Onboard]]/Table1[[#This Row],[Time to Fill]]*100</f>
        <v>15.789473684210526</v>
      </c>
      <c r="U210" s="8">
        <f ca="1">Table1[[#This Row],[Time to Onboard]]/Table1[[#This Row],[Time to Fill]]*100</f>
        <v>15.789473684210526</v>
      </c>
      <c r="V210">
        <f ca="1">Table1[[#This Row],[Join Date]]-Table1[[#This Row],[Job Posting Date]]</f>
        <v>22</v>
      </c>
      <c r="W210">
        <f t="shared" ca="1" si="31"/>
        <v>173</v>
      </c>
      <c r="X210" s="8">
        <f ca="1">Table1[[#This Row],[Absentee Days]]/Table1[[#This Row],[Total Work Days]]*100</f>
        <v>0.76923076923076927</v>
      </c>
      <c r="Y210">
        <f ca="1">YEAR(Table1[[#This Row],[Join Date]])</f>
        <v>2018</v>
      </c>
      <c r="Z210">
        <f ca="1">IF(Table1[[#This Row],[Status]]="Active",1,0)</f>
        <v>0</v>
      </c>
      <c r="AA210">
        <f ca="1">IF(Table1[[#This Row],[Status]]="Exited",Table1[[#This Row],[Recruitment Cost]]+Table1[[#This Row],[Onboarding Cost]]+Table1[[#This Row],[Training Cost]],0)</f>
        <v>4804</v>
      </c>
    </row>
    <row r="211" spans="1:27" x14ac:dyDescent="0.2">
      <c r="A211" t="str">
        <f t="shared" si="24"/>
        <v>E210</v>
      </c>
      <c r="B211" t="str" cm="1">
        <f t="array" aca="1" ref="B211" ca="1">INDEX(sheet2!$A$2:$A$6, RANDBETWEEN(1, 5))</f>
        <v>IT</v>
      </c>
      <c r="C211" t="str">
        <f ca="1">_xlfn.XLOOKUP(Table1[[#This Row],[Department]],sheet2!$A$2:$A$6,sheet2!$B$2:$B$6,_xleta.NA,0)</f>
        <v>Software Engineer</v>
      </c>
      <c r="D211" s="1">
        <f t="shared" ca="1" si="25"/>
        <v>44740</v>
      </c>
      <c r="E211" s="1">
        <f ca="1">Table1[[#This Row],[Job Posting Date]]+ RANDBETWEEN(15, 90)</f>
        <v>44773</v>
      </c>
      <c r="F211" s="1">
        <f ca="1">Table1[[#This Row],[Hire Date]]+ RANDBETWEEN(1, 15)</f>
        <v>44784</v>
      </c>
      <c r="G211" s="1" t="str">
        <f ca="1">IF(RAND() &lt; 0.5,  Table1[[#This Row],[Join Date]]+ RANDBETWEEN(30, TODAY()- Table1[[#This Row],[Join Date]]), "-")</f>
        <v>-</v>
      </c>
      <c r="H211" t="str">
        <f ca="1">IF(Table1[[#This Row],[Exit Date]]= "-", "Active", "Exited")</f>
        <v>Active</v>
      </c>
      <c r="I211" s="5">
        <f t="shared" ca="1" si="26"/>
        <v>4908</v>
      </c>
      <c r="J211" t="str" cm="1">
        <f t="array" aca="1" ref="J211" ca="1">INDEX(sheet2!$C$2:$C$6, RANDBETWEEN(1, 5))</f>
        <v>Conflict Resolution</v>
      </c>
      <c r="K211" t="str">
        <f t="shared" ca="1" si="27"/>
        <v>Completed</v>
      </c>
      <c r="L211">
        <v>260</v>
      </c>
      <c r="M211">
        <f t="shared" ca="1" si="28"/>
        <v>16</v>
      </c>
      <c r="N211" t="str">
        <f t="shared" ca="1" si="29"/>
        <v>Male</v>
      </c>
      <c r="O211" s="6">
        <f t="shared" ca="1" si="30"/>
        <v>2351</v>
      </c>
      <c r="P211">
        <f ca="1">Table1[[#This Row],[Hire Date]]-Table1[[#This Row],[Job Posting Date]]</f>
        <v>33</v>
      </c>
      <c r="Q211" s="7">
        <f ca="1">Table1[[#This Row],[Join Date]]-Table1[[#This Row],[Hire Date]]</f>
        <v>11</v>
      </c>
      <c r="R211" s="8">
        <f ca="1">(IF(Table1[[#This Row],[Status]]="Exited",Table1[[#This Row],[Exit Date]]-Table1[[#This Row],[Join Date]],TODAY()-Table1[[#This Row],[Join Date]]))/30</f>
        <v>29.966666666666665</v>
      </c>
      <c r="S211">
        <f ca="1">Table1[[#This Row],[Hire Date]]-Table1[[#This Row],[Job Posting Date]]</f>
        <v>33</v>
      </c>
      <c r="T211" s="7">
        <f ca="1">Table1[[#This Row],[Time to Onboard]]/Table1[[#This Row],[Time to Fill]]*100</f>
        <v>33.333333333333329</v>
      </c>
      <c r="U211" s="8">
        <f ca="1">Table1[[#This Row],[Time to Onboard]]/Table1[[#This Row],[Time to Fill]]*100</f>
        <v>33.333333333333329</v>
      </c>
      <c r="V211">
        <f ca="1">Table1[[#This Row],[Join Date]]-Table1[[#This Row],[Job Posting Date]]</f>
        <v>44</v>
      </c>
      <c r="W211">
        <f t="shared" ca="1" si="31"/>
        <v>128</v>
      </c>
      <c r="X211" s="8">
        <f ca="1">Table1[[#This Row],[Absentee Days]]/Table1[[#This Row],[Total Work Days]]*100</f>
        <v>6.1538461538461542</v>
      </c>
      <c r="Y211">
        <f ca="1">YEAR(Table1[[#This Row],[Join Date]])</f>
        <v>2022</v>
      </c>
      <c r="Z211">
        <f ca="1">IF(Table1[[#This Row],[Status]]="Active",1,0)</f>
        <v>1</v>
      </c>
      <c r="AA211">
        <f ca="1">IF(Table1[[#This Row],[Status]]="Exited",Table1[[#This Row],[Recruitment Cost]]+Table1[[#This Row],[Onboarding Cost]]+Table1[[#This Row],[Training Cost]],0)</f>
        <v>0</v>
      </c>
    </row>
    <row r="212" spans="1:27" x14ac:dyDescent="0.2">
      <c r="A212" t="str">
        <f t="shared" si="24"/>
        <v>E211</v>
      </c>
      <c r="B212" t="str" cm="1">
        <f t="array" aca="1" ref="B212" ca="1">INDEX(sheet2!$A$2:$A$6, RANDBETWEEN(1, 5))</f>
        <v>Finance</v>
      </c>
      <c r="C212" t="str">
        <f ca="1">_xlfn.XLOOKUP(Table1[[#This Row],[Department]],sheet2!$A$2:$A$6,sheet2!$B$2:$B$6,_xleta.NA,0)</f>
        <v>Finance Manager</v>
      </c>
      <c r="D212" s="1">
        <f t="shared" ca="1" si="25"/>
        <v>44631</v>
      </c>
      <c r="E212" s="1">
        <f ca="1">Table1[[#This Row],[Job Posting Date]]+ RANDBETWEEN(15, 90)</f>
        <v>44665</v>
      </c>
      <c r="F212" s="1">
        <f ca="1">Table1[[#This Row],[Hire Date]]+ RANDBETWEEN(1, 15)</f>
        <v>44678</v>
      </c>
      <c r="G212" s="1" t="str">
        <f ca="1">IF(RAND() &lt; 0.5,  Table1[[#This Row],[Join Date]]+ RANDBETWEEN(30, TODAY()- Table1[[#This Row],[Join Date]]), "-")</f>
        <v>-</v>
      </c>
      <c r="H212" t="str">
        <f ca="1">IF(Table1[[#This Row],[Exit Date]]= "-", "Active", "Exited")</f>
        <v>Active</v>
      </c>
      <c r="I212" s="5">
        <f t="shared" ca="1" si="26"/>
        <v>2028</v>
      </c>
      <c r="J212" t="str" cm="1">
        <f t="array" aca="1" ref="J212" ca="1">INDEX(sheet2!$C$2:$C$6, RANDBETWEEN(1, 5))</f>
        <v>Ethics and Responsibilities</v>
      </c>
      <c r="K212" t="str">
        <f t="shared" ca="1" si="27"/>
        <v>Completed</v>
      </c>
      <c r="L212">
        <v>260</v>
      </c>
      <c r="M212">
        <f t="shared" ca="1" si="28"/>
        <v>2</v>
      </c>
      <c r="N212" t="str">
        <f t="shared" ca="1" si="29"/>
        <v>Female</v>
      </c>
      <c r="O212" s="6">
        <f t="shared" ca="1" si="30"/>
        <v>1663</v>
      </c>
      <c r="P212">
        <f ca="1">Table1[[#This Row],[Hire Date]]-Table1[[#This Row],[Job Posting Date]]</f>
        <v>34</v>
      </c>
      <c r="Q212" s="7">
        <f ca="1">Table1[[#This Row],[Join Date]]-Table1[[#This Row],[Hire Date]]</f>
        <v>13</v>
      </c>
      <c r="R212" s="8">
        <f ca="1">(IF(Table1[[#This Row],[Status]]="Exited",Table1[[#This Row],[Exit Date]]-Table1[[#This Row],[Join Date]],TODAY()-Table1[[#This Row],[Join Date]]))/30</f>
        <v>33.5</v>
      </c>
      <c r="S212">
        <f ca="1">Table1[[#This Row],[Hire Date]]-Table1[[#This Row],[Job Posting Date]]</f>
        <v>34</v>
      </c>
      <c r="T212" s="7">
        <f ca="1">Table1[[#This Row],[Time to Onboard]]/Table1[[#This Row],[Time to Fill]]*100</f>
        <v>38.235294117647058</v>
      </c>
      <c r="U212" s="8">
        <f ca="1">Table1[[#This Row],[Time to Onboard]]/Table1[[#This Row],[Time to Fill]]*100</f>
        <v>38.235294117647058</v>
      </c>
      <c r="V212">
        <f ca="1">Table1[[#This Row],[Join Date]]-Table1[[#This Row],[Job Posting Date]]</f>
        <v>47</v>
      </c>
      <c r="W212">
        <f t="shared" ca="1" si="31"/>
        <v>133</v>
      </c>
      <c r="X212" s="8">
        <f ca="1">Table1[[#This Row],[Absentee Days]]/Table1[[#This Row],[Total Work Days]]*100</f>
        <v>0.76923076923076927</v>
      </c>
      <c r="Y212">
        <f ca="1">YEAR(Table1[[#This Row],[Join Date]])</f>
        <v>2022</v>
      </c>
      <c r="Z212">
        <f ca="1">IF(Table1[[#This Row],[Status]]="Active",1,0)</f>
        <v>1</v>
      </c>
      <c r="AA212">
        <f ca="1">IF(Table1[[#This Row],[Status]]="Exited",Table1[[#This Row],[Recruitment Cost]]+Table1[[#This Row],[Onboarding Cost]]+Table1[[#This Row],[Training Cost]],0)</f>
        <v>0</v>
      </c>
    </row>
    <row r="213" spans="1:27" x14ac:dyDescent="0.2">
      <c r="A213" t="str">
        <f t="shared" si="24"/>
        <v>E212</v>
      </c>
      <c r="B213" t="str" cm="1">
        <f t="array" aca="1" ref="B213" ca="1">INDEX(sheet2!$A$2:$A$6, RANDBETWEEN(1, 5))</f>
        <v>HR</v>
      </c>
      <c r="C213" t="str">
        <f ca="1">_xlfn.XLOOKUP(Table1[[#This Row],[Department]],sheet2!$A$2:$A$6,sheet2!$B$2:$B$6,_xleta.NA,0)</f>
        <v>HR Manager</v>
      </c>
      <c r="D213" s="1">
        <f t="shared" ca="1" si="25"/>
        <v>44335</v>
      </c>
      <c r="E213" s="1">
        <f ca="1">Table1[[#This Row],[Job Posting Date]]+ RANDBETWEEN(15, 90)</f>
        <v>44406</v>
      </c>
      <c r="F213" s="1">
        <f ca="1">Table1[[#This Row],[Hire Date]]+ RANDBETWEEN(1, 15)</f>
        <v>44421</v>
      </c>
      <c r="G213" s="1" t="str">
        <f ca="1">IF(RAND() &lt; 0.5,  Table1[[#This Row],[Join Date]]+ RANDBETWEEN(30, TODAY()- Table1[[#This Row],[Join Date]]), "-")</f>
        <v>-</v>
      </c>
      <c r="H213" t="str">
        <f ca="1">IF(Table1[[#This Row],[Exit Date]]= "-", "Active", "Exited")</f>
        <v>Active</v>
      </c>
      <c r="I213" s="5">
        <f t="shared" ca="1" si="26"/>
        <v>3199</v>
      </c>
      <c r="J213" t="str" cm="1">
        <f t="array" aca="1" ref="J213" ca="1">INDEX(sheet2!$C$2:$C$6, RANDBETWEEN(1, 5))</f>
        <v>Communication Skills</v>
      </c>
      <c r="K213" t="str">
        <f t="shared" ca="1" si="27"/>
        <v>Completed</v>
      </c>
      <c r="L213">
        <v>260</v>
      </c>
      <c r="M213">
        <f t="shared" ca="1" si="28"/>
        <v>15</v>
      </c>
      <c r="N213" t="str">
        <f t="shared" ca="1" si="29"/>
        <v>Male</v>
      </c>
      <c r="O213" s="6">
        <f t="shared" ca="1" si="30"/>
        <v>1478</v>
      </c>
      <c r="P213">
        <f ca="1">Table1[[#This Row],[Hire Date]]-Table1[[#This Row],[Job Posting Date]]</f>
        <v>71</v>
      </c>
      <c r="Q213" s="7">
        <f ca="1">Table1[[#This Row],[Join Date]]-Table1[[#This Row],[Hire Date]]</f>
        <v>15</v>
      </c>
      <c r="R213" s="8">
        <f ca="1">(IF(Table1[[#This Row],[Status]]="Exited",Table1[[#This Row],[Exit Date]]-Table1[[#This Row],[Join Date]],TODAY()-Table1[[#This Row],[Join Date]]))/30</f>
        <v>42.06666666666667</v>
      </c>
      <c r="S213">
        <f ca="1">Table1[[#This Row],[Hire Date]]-Table1[[#This Row],[Job Posting Date]]</f>
        <v>71</v>
      </c>
      <c r="T213" s="7">
        <f ca="1">Table1[[#This Row],[Time to Onboard]]/Table1[[#This Row],[Time to Fill]]*100</f>
        <v>21.12676056338028</v>
      </c>
      <c r="U213" s="8">
        <f ca="1">Table1[[#This Row],[Time to Onboard]]/Table1[[#This Row],[Time to Fill]]*100</f>
        <v>21.12676056338028</v>
      </c>
      <c r="V213">
        <f ca="1">Table1[[#This Row],[Join Date]]-Table1[[#This Row],[Job Posting Date]]</f>
        <v>86</v>
      </c>
      <c r="W213">
        <f t="shared" ca="1" si="31"/>
        <v>165</v>
      </c>
      <c r="X213" s="8">
        <f ca="1">Table1[[#This Row],[Absentee Days]]/Table1[[#This Row],[Total Work Days]]*100</f>
        <v>5.7692307692307692</v>
      </c>
      <c r="Y213">
        <f ca="1">YEAR(Table1[[#This Row],[Join Date]])</f>
        <v>2021</v>
      </c>
      <c r="Z213">
        <f ca="1">IF(Table1[[#This Row],[Status]]="Active",1,0)</f>
        <v>1</v>
      </c>
      <c r="AA213">
        <f ca="1">IF(Table1[[#This Row],[Status]]="Exited",Table1[[#This Row],[Recruitment Cost]]+Table1[[#This Row],[Onboarding Cost]]+Table1[[#This Row],[Training Cost]],0)</f>
        <v>0</v>
      </c>
    </row>
    <row r="214" spans="1:27" x14ac:dyDescent="0.2">
      <c r="A214" t="str">
        <f t="shared" si="24"/>
        <v>E213</v>
      </c>
      <c r="B214" t="str" cm="1">
        <f t="array" aca="1" ref="B214" ca="1">INDEX(sheet2!$A$2:$A$6, RANDBETWEEN(1, 5))</f>
        <v>Analytics</v>
      </c>
      <c r="C214" t="str">
        <f ca="1">_xlfn.XLOOKUP(Table1[[#This Row],[Department]],sheet2!$A$2:$A$6,sheet2!$B$2:$B$6,_xleta.NA,0)</f>
        <v>Data Analyst</v>
      </c>
      <c r="D214" s="1">
        <f t="shared" ca="1" si="25"/>
        <v>43101</v>
      </c>
      <c r="E214" s="1">
        <f ca="1">Table1[[#This Row],[Job Posting Date]]+ RANDBETWEEN(15, 90)</f>
        <v>43118</v>
      </c>
      <c r="F214" s="1">
        <f ca="1">Table1[[#This Row],[Hire Date]]+ RANDBETWEEN(1, 15)</f>
        <v>43123</v>
      </c>
      <c r="G214" s="1">
        <f ca="1">IF(RAND() &lt; 0.5,  Table1[[#This Row],[Join Date]]+ RANDBETWEEN(30, TODAY()- Table1[[#This Row],[Join Date]]), "-")</f>
        <v>45269</v>
      </c>
      <c r="H214" t="str">
        <f ca="1">IF(Table1[[#This Row],[Exit Date]]= "-", "Active", "Exited")</f>
        <v>Exited</v>
      </c>
      <c r="I214" s="5">
        <f t="shared" ca="1" si="26"/>
        <v>3110</v>
      </c>
      <c r="J214" t="str" cm="1">
        <f t="array" aca="1" ref="J214" ca="1">INDEX(sheet2!$C$2:$C$6, RANDBETWEEN(1, 5))</f>
        <v>Communication Skills</v>
      </c>
      <c r="K214" t="str">
        <f t="shared" ca="1" si="27"/>
        <v>Completed</v>
      </c>
      <c r="L214">
        <v>260</v>
      </c>
      <c r="M214">
        <f t="shared" ca="1" si="28"/>
        <v>8</v>
      </c>
      <c r="N214" t="str">
        <f t="shared" ca="1" si="29"/>
        <v>Other</v>
      </c>
      <c r="O214" s="6">
        <f t="shared" ca="1" si="30"/>
        <v>1846</v>
      </c>
      <c r="P214">
        <f ca="1">Table1[[#This Row],[Hire Date]]-Table1[[#This Row],[Job Posting Date]]</f>
        <v>17</v>
      </c>
      <c r="Q214" s="7">
        <f ca="1">Table1[[#This Row],[Join Date]]-Table1[[#This Row],[Hire Date]]</f>
        <v>5</v>
      </c>
      <c r="R214" s="8">
        <f ca="1">(IF(Table1[[#This Row],[Status]]="Exited",Table1[[#This Row],[Exit Date]]-Table1[[#This Row],[Join Date]],TODAY()-Table1[[#This Row],[Join Date]]))/30</f>
        <v>71.533333333333331</v>
      </c>
      <c r="S214">
        <f ca="1">Table1[[#This Row],[Hire Date]]-Table1[[#This Row],[Job Posting Date]]</f>
        <v>17</v>
      </c>
      <c r="T214" s="7">
        <f ca="1">Table1[[#This Row],[Time to Onboard]]/Table1[[#This Row],[Time to Fill]]*100</f>
        <v>29.411764705882355</v>
      </c>
      <c r="U214" s="8">
        <f ca="1">Table1[[#This Row],[Time to Onboard]]/Table1[[#This Row],[Time to Fill]]*100</f>
        <v>29.411764705882355</v>
      </c>
      <c r="V214">
        <f ca="1">Table1[[#This Row],[Join Date]]-Table1[[#This Row],[Job Posting Date]]</f>
        <v>22</v>
      </c>
      <c r="W214">
        <f t="shared" ca="1" si="31"/>
        <v>131</v>
      </c>
      <c r="X214" s="8">
        <f ca="1">Table1[[#This Row],[Absentee Days]]/Table1[[#This Row],[Total Work Days]]*100</f>
        <v>3.0769230769230771</v>
      </c>
      <c r="Y214">
        <f ca="1">YEAR(Table1[[#This Row],[Join Date]])</f>
        <v>2018</v>
      </c>
      <c r="Z214">
        <f ca="1">IF(Table1[[#This Row],[Status]]="Active",1,0)</f>
        <v>0</v>
      </c>
      <c r="AA214">
        <f ca="1">IF(Table1[[#This Row],[Status]]="Exited",Table1[[#This Row],[Recruitment Cost]]+Table1[[#This Row],[Onboarding Cost]]+Table1[[#This Row],[Training Cost]],0)</f>
        <v>5087</v>
      </c>
    </row>
    <row r="215" spans="1:27" x14ac:dyDescent="0.2">
      <c r="A215" t="str">
        <f t="shared" si="24"/>
        <v>E214</v>
      </c>
      <c r="B215" t="str" cm="1">
        <f t="array" aca="1" ref="B215" ca="1">INDEX(sheet2!$A$2:$A$6, RANDBETWEEN(1, 5))</f>
        <v>HR</v>
      </c>
      <c r="C215" t="str">
        <f ca="1">_xlfn.XLOOKUP(Table1[[#This Row],[Department]],sheet2!$A$2:$A$6,sheet2!$B$2:$B$6,_xleta.NA,0)</f>
        <v>HR Manager</v>
      </c>
      <c r="D215" s="1">
        <f t="shared" ca="1" si="25"/>
        <v>44617</v>
      </c>
      <c r="E215" s="1">
        <f ca="1">Table1[[#This Row],[Job Posting Date]]+ RANDBETWEEN(15, 90)</f>
        <v>44688</v>
      </c>
      <c r="F215" s="1">
        <f ca="1">Table1[[#This Row],[Hire Date]]+ RANDBETWEEN(1, 15)</f>
        <v>44692</v>
      </c>
      <c r="G215" s="1">
        <f ca="1">IF(RAND() &lt; 0.5,  Table1[[#This Row],[Join Date]]+ RANDBETWEEN(30, TODAY()- Table1[[#This Row],[Join Date]]), "-")</f>
        <v>44877</v>
      </c>
      <c r="H215" t="str">
        <f ca="1">IF(Table1[[#This Row],[Exit Date]]= "-", "Active", "Exited")</f>
        <v>Exited</v>
      </c>
      <c r="I215" s="5">
        <f t="shared" ca="1" si="26"/>
        <v>2181</v>
      </c>
      <c r="J215" t="str" cm="1">
        <f t="array" aca="1" ref="J215" ca="1">INDEX(sheet2!$C$2:$C$6, RANDBETWEEN(1, 5))</f>
        <v>Leadership Development</v>
      </c>
      <c r="K215" t="str">
        <f t="shared" ca="1" si="27"/>
        <v>Completed</v>
      </c>
      <c r="L215">
        <v>260</v>
      </c>
      <c r="M215">
        <f t="shared" ca="1" si="28"/>
        <v>13</v>
      </c>
      <c r="N215" t="str">
        <f t="shared" ca="1" si="29"/>
        <v>Female</v>
      </c>
      <c r="O215" s="6">
        <f t="shared" ca="1" si="30"/>
        <v>2201</v>
      </c>
      <c r="P215">
        <f ca="1">Table1[[#This Row],[Hire Date]]-Table1[[#This Row],[Job Posting Date]]</f>
        <v>71</v>
      </c>
      <c r="Q215" s="7">
        <f ca="1">Table1[[#This Row],[Join Date]]-Table1[[#This Row],[Hire Date]]</f>
        <v>4</v>
      </c>
      <c r="R215" s="8">
        <f ca="1">(IF(Table1[[#This Row],[Status]]="Exited",Table1[[#This Row],[Exit Date]]-Table1[[#This Row],[Join Date]],TODAY()-Table1[[#This Row],[Join Date]]))/30</f>
        <v>6.166666666666667</v>
      </c>
      <c r="S215">
        <f ca="1">Table1[[#This Row],[Hire Date]]-Table1[[#This Row],[Job Posting Date]]</f>
        <v>71</v>
      </c>
      <c r="T215" s="7">
        <f ca="1">Table1[[#This Row],[Time to Onboard]]/Table1[[#This Row],[Time to Fill]]*100</f>
        <v>5.6338028169014089</v>
      </c>
      <c r="U215" s="8">
        <f ca="1">Table1[[#This Row],[Time to Onboard]]/Table1[[#This Row],[Time to Fill]]*100</f>
        <v>5.6338028169014089</v>
      </c>
      <c r="V215">
        <f ca="1">Table1[[#This Row],[Join Date]]-Table1[[#This Row],[Job Posting Date]]</f>
        <v>75</v>
      </c>
      <c r="W215">
        <f t="shared" ca="1" si="31"/>
        <v>190</v>
      </c>
      <c r="X215" s="8">
        <f ca="1">Table1[[#This Row],[Absentee Days]]/Table1[[#This Row],[Total Work Days]]*100</f>
        <v>5</v>
      </c>
      <c r="Y215">
        <f ca="1">YEAR(Table1[[#This Row],[Join Date]])</f>
        <v>2022</v>
      </c>
      <c r="Z215">
        <f ca="1">IF(Table1[[#This Row],[Status]]="Active",1,0)</f>
        <v>0</v>
      </c>
      <c r="AA215">
        <f ca="1">IF(Table1[[#This Row],[Status]]="Exited",Table1[[#This Row],[Recruitment Cost]]+Table1[[#This Row],[Onboarding Cost]]+Table1[[#This Row],[Training Cost]],0)</f>
        <v>4572</v>
      </c>
    </row>
    <row r="216" spans="1:27" x14ac:dyDescent="0.2">
      <c r="A216" t="str">
        <f t="shared" si="24"/>
        <v>E215</v>
      </c>
      <c r="B216" t="str" cm="1">
        <f t="array" aca="1" ref="B216" ca="1">INDEX(sheet2!$A$2:$A$6, RANDBETWEEN(1, 5))</f>
        <v>Finance</v>
      </c>
      <c r="C216" t="str">
        <f ca="1">_xlfn.XLOOKUP(Table1[[#This Row],[Department]],sheet2!$A$2:$A$6,sheet2!$B$2:$B$6,_xleta.NA,0)</f>
        <v>Finance Manager</v>
      </c>
      <c r="D216" s="1">
        <f t="shared" ca="1" si="25"/>
        <v>44724</v>
      </c>
      <c r="E216" s="1">
        <f ca="1">Table1[[#This Row],[Job Posting Date]]+ RANDBETWEEN(15, 90)</f>
        <v>44808</v>
      </c>
      <c r="F216" s="1">
        <f ca="1">Table1[[#This Row],[Hire Date]]+ RANDBETWEEN(1, 15)</f>
        <v>44813</v>
      </c>
      <c r="G216" s="1" t="str">
        <f ca="1">IF(RAND() &lt; 0.5,  Table1[[#This Row],[Join Date]]+ RANDBETWEEN(30, TODAY()- Table1[[#This Row],[Join Date]]), "-")</f>
        <v>-</v>
      </c>
      <c r="H216" t="str">
        <f ca="1">IF(Table1[[#This Row],[Exit Date]]= "-", "Active", "Exited")</f>
        <v>Active</v>
      </c>
      <c r="I216" s="5">
        <f t="shared" ca="1" si="26"/>
        <v>2717</v>
      </c>
      <c r="J216" t="str" cm="1">
        <f t="array" aca="1" ref="J216" ca="1">INDEX(sheet2!$C$2:$C$6, RANDBETWEEN(1, 5))</f>
        <v>Leadership Development</v>
      </c>
      <c r="K216" t="str">
        <f t="shared" ca="1" si="27"/>
        <v>Not Completed</v>
      </c>
      <c r="L216">
        <v>260</v>
      </c>
      <c r="M216">
        <f t="shared" ca="1" si="28"/>
        <v>20</v>
      </c>
      <c r="N216" t="str">
        <f t="shared" ca="1" si="29"/>
        <v>Other</v>
      </c>
      <c r="O216" s="6">
        <f t="shared" ca="1" si="30"/>
        <v>2021</v>
      </c>
      <c r="P216">
        <f ca="1">Table1[[#This Row],[Hire Date]]-Table1[[#This Row],[Job Posting Date]]</f>
        <v>84</v>
      </c>
      <c r="Q216" s="7">
        <f ca="1">Table1[[#This Row],[Join Date]]-Table1[[#This Row],[Hire Date]]</f>
        <v>5</v>
      </c>
      <c r="R216" s="8">
        <f ca="1">(IF(Table1[[#This Row],[Status]]="Exited",Table1[[#This Row],[Exit Date]]-Table1[[#This Row],[Join Date]],TODAY()-Table1[[#This Row],[Join Date]]))/30</f>
        <v>29</v>
      </c>
      <c r="S216">
        <f ca="1">Table1[[#This Row],[Hire Date]]-Table1[[#This Row],[Job Posting Date]]</f>
        <v>84</v>
      </c>
      <c r="T216" s="7">
        <f ca="1">Table1[[#This Row],[Time to Onboard]]/Table1[[#This Row],[Time to Fill]]*100</f>
        <v>5.9523809523809517</v>
      </c>
      <c r="U216" s="8">
        <f ca="1">Table1[[#This Row],[Time to Onboard]]/Table1[[#This Row],[Time to Fill]]*100</f>
        <v>5.9523809523809517</v>
      </c>
      <c r="V216">
        <f ca="1">Table1[[#This Row],[Join Date]]-Table1[[#This Row],[Job Posting Date]]</f>
        <v>89</v>
      </c>
      <c r="W216">
        <f t="shared" ca="1" si="31"/>
        <v>108</v>
      </c>
      <c r="X216" s="8">
        <f ca="1">Table1[[#This Row],[Absentee Days]]/Table1[[#This Row],[Total Work Days]]*100</f>
        <v>7.6923076923076925</v>
      </c>
      <c r="Y216">
        <f ca="1">YEAR(Table1[[#This Row],[Join Date]])</f>
        <v>2022</v>
      </c>
      <c r="Z216">
        <f ca="1">IF(Table1[[#This Row],[Status]]="Active",1,0)</f>
        <v>1</v>
      </c>
      <c r="AA216">
        <f ca="1">IF(Table1[[#This Row],[Status]]="Exited",Table1[[#This Row],[Recruitment Cost]]+Table1[[#This Row],[Onboarding Cost]]+Table1[[#This Row],[Training Cost]],0)</f>
        <v>0</v>
      </c>
    </row>
    <row r="217" spans="1:27" x14ac:dyDescent="0.2">
      <c r="A217" t="str">
        <f t="shared" si="24"/>
        <v>E216</v>
      </c>
      <c r="B217" t="str" cm="1">
        <f t="array" aca="1" ref="B217" ca="1">INDEX(sheet2!$A$2:$A$6, RANDBETWEEN(1, 5))</f>
        <v>Analytics</v>
      </c>
      <c r="C217" t="str">
        <f ca="1">_xlfn.XLOOKUP(Table1[[#This Row],[Department]],sheet2!$A$2:$A$6,sheet2!$B$2:$B$6,_xleta.NA,0)</f>
        <v>Data Analyst</v>
      </c>
      <c r="D217" s="1">
        <f t="shared" ca="1" si="25"/>
        <v>43763</v>
      </c>
      <c r="E217" s="1">
        <f ca="1">Table1[[#This Row],[Job Posting Date]]+ RANDBETWEEN(15, 90)</f>
        <v>43853</v>
      </c>
      <c r="F217" s="1">
        <f ca="1">Table1[[#This Row],[Hire Date]]+ RANDBETWEEN(1, 15)</f>
        <v>43859</v>
      </c>
      <c r="G217" s="1" t="str">
        <f ca="1">IF(RAND() &lt; 0.5,  Table1[[#This Row],[Join Date]]+ RANDBETWEEN(30, TODAY()- Table1[[#This Row],[Join Date]]), "-")</f>
        <v>-</v>
      </c>
      <c r="H217" t="str">
        <f ca="1">IF(Table1[[#This Row],[Exit Date]]= "-", "Active", "Exited")</f>
        <v>Active</v>
      </c>
      <c r="I217" s="5">
        <f t="shared" ca="1" si="26"/>
        <v>2576</v>
      </c>
      <c r="J217" t="str" cm="1">
        <f t="array" aca="1" ref="J217" ca="1">INDEX(sheet2!$C$2:$C$6, RANDBETWEEN(1, 5))</f>
        <v>Conflict Resolution</v>
      </c>
      <c r="K217" t="str">
        <f t="shared" ca="1" si="27"/>
        <v>Completed</v>
      </c>
      <c r="L217">
        <v>260</v>
      </c>
      <c r="M217">
        <f t="shared" ca="1" si="28"/>
        <v>7</v>
      </c>
      <c r="N217" t="str">
        <f t="shared" ca="1" si="29"/>
        <v>Male</v>
      </c>
      <c r="O217" s="6">
        <f t="shared" ca="1" si="30"/>
        <v>1207</v>
      </c>
      <c r="P217">
        <f ca="1">Table1[[#This Row],[Hire Date]]-Table1[[#This Row],[Job Posting Date]]</f>
        <v>90</v>
      </c>
      <c r="Q217" s="7">
        <f ca="1">Table1[[#This Row],[Join Date]]-Table1[[#This Row],[Hire Date]]</f>
        <v>6</v>
      </c>
      <c r="R217" s="8">
        <f ca="1">(IF(Table1[[#This Row],[Status]]="Exited",Table1[[#This Row],[Exit Date]]-Table1[[#This Row],[Join Date]],TODAY()-Table1[[#This Row],[Join Date]]))/30</f>
        <v>60.8</v>
      </c>
      <c r="S217">
        <f ca="1">Table1[[#This Row],[Hire Date]]-Table1[[#This Row],[Job Posting Date]]</f>
        <v>90</v>
      </c>
      <c r="T217" s="7">
        <f ca="1">Table1[[#This Row],[Time to Onboard]]/Table1[[#This Row],[Time to Fill]]*100</f>
        <v>6.666666666666667</v>
      </c>
      <c r="U217" s="8">
        <f ca="1">Table1[[#This Row],[Time to Onboard]]/Table1[[#This Row],[Time to Fill]]*100</f>
        <v>6.666666666666667</v>
      </c>
      <c r="V217">
        <f ca="1">Table1[[#This Row],[Join Date]]-Table1[[#This Row],[Job Posting Date]]</f>
        <v>96</v>
      </c>
      <c r="W217">
        <f t="shared" ca="1" si="31"/>
        <v>147</v>
      </c>
      <c r="X217" s="8">
        <f ca="1">Table1[[#This Row],[Absentee Days]]/Table1[[#This Row],[Total Work Days]]*100</f>
        <v>2.6923076923076925</v>
      </c>
      <c r="Y217">
        <f ca="1">YEAR(Table1[[#This Row],[Join Date]])</f>
        <v>2020</v>
      </c>
      <c r="Z217">
        <f ca="1">IF(Table1[[#This Row],[Status]]="Active",1,0)</f>
        <v>1</v>
      </c>
      <c r="AA217">
        <f ca="1">IF(Table1[[#This Row],[Status]]="Exited",Table1[[#This Row],[Recruitment Cost]]+Table1[[#This Row],[Onboarding Cost]]+Table1[[#This Row],[Training Cost]],0)</f>
        <v>0</v>
      </c>
    </row>
    <row r="218" spans="1:27" x14ac:dyDescent="0.2">
      <c r="A218" t="str">
        <f t="shared" si="24"/>
        <v>E217</v>
      </c>
      <c r="B218" t="str" cm="1">
        <f t="array" aca="1" ref="B218" ca="1">INDEX(sheet2!$A$2:$A$6, RANDBETWEEN(1, 5))</f>
        <v>Sales</v>
      </c>
      <c r="C218" t="str">
        <f ca="1">_xlfn.XLOOKUP(Table1[[#This Row],[Department]],sheet2!$A$2:$A$6,sheet2!$B$2:$B$6,_xleta.NA,0)</f>
        <v>Marketing Manager</v>
      </c>
      <c r="D218" s="1">
        <f t="shared" ca="1" si="25"/>
        <v>43454</v>
      </c>
      <c r="E218" s="1">
        <f ca="1">Table1[[#This Row],[Job Posting Date]]+ RANDBETWEEN(15, 90)</f>
        <v>43508</v>
      </c>
      <c r="F218" s="1">
        <f ca="1">Table1[[#This Row],[Hire Date]]+ RANDBETWEEN(1, 15)</f>
        <v>43511</v>
      </c>
      <c r="G218" s="1" t="str">
        <f ca="1">IF(RAND() &lt; 0.5,  Table1[[#This Row],[Join Date]]+ RANDBETWEEN(30, TODAY()- Table1[[#This Row],[Join Date]]), "-")</f>
        <v>-</v>
      </c>
      <c r="H218" t="str">
        <f ca="1">IF(Table1[[#This Row],[Exit Date]]= "-", "Active", "Exited")</f>
        <v>Active</v>
      </c>
      <c r="I218" s="5">
        <f t="shared" ca="1" si="26"/>
        <v>4669</v>
      </c>
      <c r="J218" t="str" cm="1">
        <f t="array" aca="1" ref="J218" ca="1">INDEX(sheet2!$C$2:$C$6, RANDBETWEEN(1, 5))</f>
        <v>Leadership Development</v>
      </c>
      <c r="K218" t="str">
        <f t="shared" ca="1" si="27"/>
        <v>Not Completed</v>
      </c>
      <c r="L218">
        <v>260</v>
      </c>
      <c r="M218">
        <f t="shared" ca="1" si="28"/>
        <v>18</v>
      </c>
      <c r="N218" t="str">
        <f t="shared" ca="1" si="29"/>
        <v>Female</v>
      </c>
      <c r="O218" s="6">
        <f t="shared" ca="1" si="30"/>
        <v>1823</v>
      </c>
      <c r="P218">
        <f ca="1">Table1[[#This Row],[Hire Date]]-Table1[[#This Row],[Job Posting Date]]</f>
        <v>54</v>
      </c>
      <c r="Q218" s="7">
        <f ca="1">Table1[[#This Row],[Join Date]]-Table1[[#This Row],[Hire Date]]</f>
        <v>3</v>
      </c>
      <c r="R218" s="8">
        <f ca="1">(IF(Table1[[#This Row],[Status]]="Exited",Table1[[#This Row],[Exit Date]]-Table1[[#This Row],[Join Date]],TODAY()-Table1[[#This Row],[Join Date]]))/30</f>
        <v>72.400000000000006</v>
      </c>
      <c r="S218">
        <f ca="1">Table1[[#This Row],[Hire Date]]-Table1[[#This Row],[Job Posting Date]]</f>
        <v>54</v>
      </c>
      <c r="T218" s="7">
        <f ca="1">Table1[[#This Row],[Time to Onboard]]/Table1[[#This Row],[Time to Fill]]*100</f>
        <v>5.5555555555555554</v>
      </c>
      <c r="U218" s="8">
        <f ca="1">Table1[[#This Row],[Time to Onboard]]/Table1[[#This Row],[Time to Fill]]*100</f>
        <v>5.5555555555555554</v>
      </c>
      <c r="V218">
        <f ca="1">Table1[[#This Row],[Join Date]]-Table1[[#This Row],[Job Posting Date]]</f>
        <v>57</v>
      </c>
      <c r="W218">
        <f t="shared" ca="1" si="31"/>
        <v>130</v>
      </c>
      <c r="X218" s="8">
        <f ca="1">Table1[[#This Row],[Absentee Days]]/Table1[[#This Row],[Total Work Days]]*100</f>
        <v>6.9230769230769234</v>
      </c>
      <c r="Y218">
        <f ca="1">YEAR(Table1[[#This Row],[Join Date]])</f>
        <v>2019</v>
      </c>
      <c r="Z218">
        <f ca="1">IF(Table1[[#This Row],[Status]]="Active",1,0)</f>
        <v>1</v>
      </c>
      <c r="AA218">
        <f ca="1">IF(Table1[[#This Row],[Status]]="Exited",Table1[[#This Row],[Recruitment Cost]]+Table1[[#This Row],[Onboarding Cost]]+Table1[[#This Row],[Training Cost]],0)</f>
        <v>0</v>
      </c>
    </row>
    <row r="219" spans="1:27" x14ac:dyDescent="0.2">
      <c r="A219" t="str">
        <f t="shared" si="24"/>
        <v>E218</v>
      </c>
      <c r="B219" t="str" cm="1">
        <f t="array" aca="1" ref="B219" ca="1">INDEX(sheet2!$A$2:$A$6, RANDBETWEEN(1, 5))</f>
        <v>Sales</v>
      </c>
      <c r="C219" t="str">
        <f ca="1">_xlfn.XLOOKUP(Table1[[#This Row],[Department]],sheet2!$A$2:$A$6,sheet2!$B$2:$B$6,_xleta.NA,0)</f>
        <v>Marketing Manager</v>
      </c>
      <c r="D219" s="1">
        <f t="shared" ca="1" si="25"/>
        <v>43844</v>
      </c>
      <c r="E219" s="1">
        <f ca="1">Table1[[#This Row],[Job Posting Date]]+ RANDBETWEEN(15, 90)</f>
        <v>43895</v>
      </c>
      <c r="F219" s="1">
        <f ca="1">Table1[[#This Row],[Hire Date]]+ RANDBETWEEN(1, 15)</f>
        <v>43910</v>
      </c>
      <c r="G219" s="1" t="str">
        <f ca="1">IF(RAND() &lt; 0.5,  Table1[[#This Row],[Join Date]]+ RANDBETWEEN(30, TODAY()- Table1[[#This Row],[Join Date]]), "-")</f>
        <v>-</v>
      </c>
      <c r="H219" t="str">
        <f ca="1">IF(Table1[[#This Row],[Exit Date]]= "-", "Active", "Exited")</f>
        <v>Active</v>
      </c>
      <c r="I219" s="5">
        <f t="shared" ca="1" si="26"/>
        <v>2825</v>
      </c>
      <c r="J219" t="str" cm="1">
        <f t="array" aca="1" ref="J219" ca="1">INDEX(sheet2!$C$2:$C$6, RANDBETWEEN(1, 5))</f>
        <v>Ethics and Responsibilities</v>
      </c>
      <c r="K219" t="str">
        <f t="shared" ca="1" si="27"/>
        <v>Completed</v>
      </c>
      <c r="L219">
        <v>260</v>
      </c>
      <c r="M219">
        <f t="shared" ca="1" si="28"/>
        <v>6</v>
      </c>
      <c r="N219" t="str">
        <f t="shared" ca="1" si="29"/>
        <v>Other</v>
      </c>
      <c r="O219" s="6">
        <f t="shared" ca="1" si="30"/>
        <v>2385</v>
      </c>
      <c r="P219">
        <f ca="1">Table1[[#This Row],[Hire Date]]-Table1[[#This Row],[Job Posting Date]]</f>
        <v>51</v>
      </c>
      <c r="Q219" s="7">
        <f ca="1">Table1[[#This Row],[Join Date]]-Table1[[#This Row],[Hire Date]]</f>
        <v>15</v>
      </c>
      <c r="R219" s="8">
        <f ca="1">(IF(Table1[[#This Row],[Status]]="Exited",Table1[[#This Row],[Exit Date]]-Table1[[#This Row],[Join Date]],TODAY()-Table1[[#This Row],[Join Date]]))/30</f>
        <v>59.1</v>
      </c>
      <c r="S219">
        <f ca="1">Table1[[#This Row],[Hire Date]]-Table1[[#This Row],[Job Posting Date]]</f>
        <v>51</v>
      </c>
      <c r="T219" s="7">
        <f ca="1">Table1[[#This Row],[Time to Onboard]]/Table1[[#This Row],[Time to Fill]]*100</f>
        <v>29.411764705882355</v>
      </c>
      <c r="U219" s="8">
        <f ca="1">Table1[[#This Row],[Time to Onboard]]/Table1[[#This Row],[Time to Fill]]*100</f>
        <v>29.411764705882355</v>
      </c>
      <c r="V219">
        <f ca="1">Table1[[#This Row],[Join Date]]-Table1[[#This Row],[Job Posting Date]]</f>
        <v>66</v>
      </c>
      <c r="W219">
        <f t="shared" ca="1" si="31"/>
        <v>174</v>
      </c>
      <c r="X219" s="8">
        <f ca="1">Table1[[#This Row],[Absentee Days]]/Table1[[#This Row],[Total Work Days]]*100</f>
        <v>2.3076923076923079</v>
      </c>
      <c r="Y219">
        <f ca="1">YEAR(Table1[[#This Row],[Join Date]])</f>
        <v>2020</v>
      </c>
      <c r="Z219">
        <f ca="1">IF(Table1[[#This Row],[Status]]="Active",1,0)</f>
        <v>1</v>
      </c>
      <c r="AA219">
        <f ca="1">IF(Table1[[#This Row],[Status]]="Exited",Table1[[#This Row],[Recruitment Cost]]+Table1[[#This Row],[Onboarding Cost]]+Table1[[#This Row],[Training Cost]],0)</f>
        <v>0</v>
      </c>
    </row>
    <row r="220" spans="1:27" x14ac:dyDescent="0.2">
      <c r="A220" t="str">
        <f t="shared" si="24"/>
        <v>E219</v>
      </c>
      <c r="B220" t="str" cm="1">
        <f t="array" aca="1" ref="B220" ca="1">INDEX(sheet2!$A$2:$A$6, RANDBETWEEN(1, 5))</f>
        <v>Analytics</v>
      </c>
      <c r="C220" t="str">
        <f ca="1">_xlfn.XLOOKUP(Table1[[#This Row],[Department]],sheet2!$A$2:$A$6,sheet2!$B$2:$B$6,_xleta.NA,0)</f>
        <v>Data Analyst</v>
      </c>
      <c r="D220" s="1">
        <f t="shared" ca="1" si="25"/>
        <v>44713</v>
      </c>
      <c r="E220" s="1">
        <f ca="1">Table1[[#This Row],[Job Posting Date]]+ RANDBETWEEN(15, 90)</f>
        <v>44763</v>
      </c>
      <c r="F220" s="1">
        <f ca="1">Table1[[#This Row],[Hire Date]]+ RANDBETWEEN(1, 15)</f>
        <v>44776</v>
      </c>
      <c r="G220" s="1">
        <f ca="1">IF(RAND() &lt; 0.5,  Table1[[#This Row],[Join Date]]+ RANDBETWEEN(30, TODAY()- Table1[[#This Row],[Join Date]]), "-")</f>
        <v>44942</v>
      </c>
      <c r="H220" t="str">
        <f ca="1">IF(Table1[[#This Row],[Exit Date]]= "-", "Active", "Exited")</f>
        <v>Exited</v>
      </c>
      <c r="I220" s="5">
        <f t="shared" ca="1" si="26"/>
        <v>4928</v>
      </c>
      <c r="J220" t="str" cm="1">
        <f t="array" aca="1" ref="J220" ca="1">INDEX(sheet2!$C$2:$C$6, RANDBETWEEN(1, 5))</f>
        <v>Leadership Development</v>
      </c>
      <c r="K220" t="str">
        <f t="shared" ca="1" si="27"/>
        <v>Completed</v>
      </c>
      <c r="L220">
        <v>260</v>
      </c>
      <c r="M220">
        <f t="shared" ca="1" si="28"/>
        <v>20</v>
      </c>
      <c r="N220" t="str">
        <f t="shared" ca="1" si="29"/>
        <v>Female</v>
      </c>
      <c r="O220" s="6">
        <f t="shared" ca="1" si="30"/>
        <v>1255</v>
      </c>
      <c r="P220">
        <f ca="1">Table1[[#This Row],[Hire Date]]-Table1[[#This Row],[Job Posting Date]]</f>
        <v>50</v>
      </c>
      <c r="Q220" s="7">
        <f ca="1">Table1[[#This Row],[Join Date]]-Table1[[#This Row],[Hire Date]]</f>
        <v>13</v>
      </c>
      <c r="R220" s="8">
        <f ca="1">(IF(Table1[[#This Row],[Status]]="Exited",Table1[[#This Row],[Exit Date]]-Table1[[#This Row],[Join Date]],TODAY()-Table1[[#This Row],[Join Date]]))/30</f>
        <v>5.5333333333333332</v>
      </c>
      <c r="S220">
        <f ca="1">Table1[[#This Row],[Hire Date]]-Table1[[#This Row],[Job Posting Date]]</f>
        <v>50</v>
      </c>
      <c r="T220" s="7">
        <f ca="1">Table1[[#This Row],[Time to Onboard]]/Table1[[#This Row],[Time to Fill]]*100</f>
        <v>26</v>
      </c>
      <c r="U220" s="8">
        <f ca="1">Table1[[#This Row],[Time to Onboard]]/Table1[[#This Row],[Time to Fill]]*100</f>
        <v>26</v>
      </c>
      <c r="V220">
        <f ca="1">Table1[[#This Row],[Join Date]]-Table1[[#This Row],[Job Posting Date]]</f>
        <v>63</v>
      </c>
      <c r="W220">
        <f t="shared" ca="1" si="31"/>
        <v>133</v>
      </c>
      <c r="X220" s="8">
        <f ca="1">Table1[[#This Row],[Absentee Days]]/Table1[[#This Row],[Total Work Days]]*100</f>
        <v>7.6923076923076925</v>
      </c>
      <c r="Y220">
        <f ca="1">YEAR(Table1[[#This Row],[Join Date]])</f>
        <v>2022</v>
      </c>
      <c r="Z220">
        <f ca="1">IF(Table1[[#This Row],[Status]]="Active",1,0)</f>
        <v>0</v>
      </c>
      <c r="AA220">
        <f ca="1">IF(Table1[[#This Row],[Status]]="Exited",Table1[[#This Row],[Recruitment Cost]]+Table1[[#This Row],[Onboarding Cost]]+Table1[[#This Row],[Training Cost]],0)</f>
        <v>6316</v>
      </c>
    </row>
    <row r="221" spans="1:27" x14ac:dyDescent="0.2">
      <c r="A221" t="str">
        <f t="shared" si="24"/>
        <v>E220</v>
      </c>
      <c r="B221" t="str" cm="1">
        <f t="array" aca="1" ref="B221" ca="1">INDEX(sheet2!$A$2:$A$6, RANDBETWEEN(1, 5))</f>
        <v>Sales</v>
      </c>
      <c r="C221" t="str">
        <f ca="1">_xlfn.XLOOKUP(Table1[[#This Row],[Department]],sheet2!$A$2:$A$6,sheet2!$B$2:$B$6,_xleta.NA,0)</f>
        <v>Marketing Manager</v>
      </c>
      <c r="D221" s="1">
        <f t="shared" ca="1" si="25"/>
        <v>44683</v>
      </c>
      <c r="E221" s="1">
        <f ca="1">Table1[[#This Row],[Job Posting Date]]+ RANDBETWEEN(15, 90)</f>
        <v>44726</v>
      </c>
      <c r="F221" s="1">
        <f ca="1">Table1[[#This Row],[Hire Date]]+ RANDBETWEEN(1, 15)</f>
        <v>44741</v>
      </c>
      <c r="G221" s="1" t="str">
        <f ca="1">IF(RAND() &lt; 0.5,  Table1[[#This Row],[Join Date]]+ RANDBETWEEN(30, TODAY()- Table1[[#This Row],[Join Date]]), "-")</f>
        <v>-</v>
      </c>
      <c r="H221" t="str">
        <f ca="1">IF(Table1[[#This Row],[Exit Date]]= "-", "Active", "Exited")</f>
        <v>Active</v>
      </c>
      <c r="I221" s="5">
        <f t="shared" ca="1" si="26"/>
        <v>1948</v>
      </c>
      <c r="J221" t="str" cm="1">
        <f t="array" aca="1" ref="J221" ca="1">INDEX(sheet2!$C$2:$C$6, RANDBETWEEN(1, 5))</f>
        <v>Advanced Excel Skills </v>
      </c>
      <c r="K221" t="str">
        <f t="shared" ca="1" si="27"/>
        <v>Completed</v>
      </c>
      <c r="L221">
        <v>260</v>
      </c>
      <c r="M221">
        <f t="shared" ca="1" si="28"/>
        <v>12</v>
      </c>
      <c r="N221" t="str">
        <f t="shared" ca="1" si="29"/>
        <v>Male</v>
      </c>
      <c r="O221" s="6">
        <f t="shared" ca="1" si="30"/>
        <v>2391</v>
      </c>
      <c r="P221">
        <f ca="1">Table1[[#This Row],[Hire Date]]-Table1[[#This Row],[Job Posting Date]]</f>
        <v>43</v>
      </c>
      <c r="Q221" s="7">
        <f ca="1">Table1[[#This Row],[Join Date]]-Table1[[#This Row],[Hire Date]]</f>
        <v>15</v>
      </c>
      <c r="R221" s="8">
        <f ca="1">(IF(Table1[[#This Row],[Status]]="Exited",Table1[[#This Row],[Exit Date]]-Table1[[#This Row],[Join Date]],TODAY()-Table1[[#This Row],[Join Date]]))/30</f>
        <v>31.4</v>
      </c>
      <c r="S221">
        <f ca="1">Table1[[#This Row],[Hire Date]]-Table1[[#This Row],[Job Posting Date]]</f>
        <v>43</v>
      </c>
      <c r="T221" s="7">
        <f ca="1">Table1[[#This Row],[Time to Onboard]]/Table1[[#This Row],[Time to Fill]]*100</f>
        <v>34.883720930232556</v>
      </c>
      <c r="U221" s="8">
        <f ca="1">Table1[[#This Row],[Time to Onboard]]/Table1[[#This Row],[Time to Fill]]*100</f>
        <v>34.883720930232556</v>
      </c>
      <c r="V221">
        <f ca="1">Table1[[#This Row],[Join Date]]-Table1[[#This Row],[Job Posting Date]]</f>
        <v>58</v>
      </c>
      <c r="W221">
        <f t="shared" ca="1" si="31"/>
        <v>144</v>
      </c>
      <c r="X221" s="8">
        <f ca="1">Table1[[#This Row],[Absentee Days]]/Table1[[#This Row],[Total Work Days]]*100</f>
        <v>4.6153846153846159</v>
      </c>
      <c r="Y221">
        <f ca="1">YEAR(Table1[[#This Row],[Join Date]])</f>
        <v>2022</v>
      </c>
      <c r="Z221">
        <f ca="1">IF(Table1[[#This Row],[Status]]="Active",1,0)</f>
        <v>1</v>
      </c>
      <c r="AA221">
        <f ca="1">IF(Table1[[#This Row],[Status]]="Exited",Table1[[#This Row],[Recruitment Cost]]+Table1[[#This Row],[Onboarding Cost]]+Table1[[#This Row],[Training Cost]],0)</f>
        <v>0</v>
      </c>
    </row>
    <row r="222" spans="1:27" x14ac:dyDescent="0.2">
      <c r="A222" t="str">
        <f t="shared" si="24"/>
        <v>E221</v>
      </c>
      <c r="B222" t="str" cm="1">
        <f t="array" aca="1" ref="B222" ca="1">INDEX(sheet2!$A$2:$A$6, RANDBETWEEN(1, 5))</f>
        <v>Finance</v>
      </c>
      <c r="C222" t="str">
        <f ca="1">_xlfn.XLOOKUP(Table1[[#This Row],[Department]],sheet2!$A$2:$A$6,sheet2!$B$2:$B$6,_xleta.NA,0)</f>
        <v>Finance Manager</v>
      </c>
      <c r="D222" s="1">
        <f t="shared" ca="1" si="25"/>
        <v>44106</v>
      </c>
      <c r="E222" s="1">
        <f ca="1">Table1[[#This Row],[Job Posting Date]]+ RANDBETWEEN(15, 90)</f>
        <v>44131</v>
      </c>
      <c r="F222" s="1">
        <f ca="1">Table1[[#This Row],[Hire Date]]+ RANDBETWEEN(1, 15)</f>
        <v>44141</v>
      </c>
      <c r="G222" s="1">
        <f ca="1">IF(RAND() &lt; 0.5,  Table1[[#This Row],[Join Date]]+ RANDBETWEEN(30, TODAY()- Table1[[#This Row],[Join Date]]), "-")</f>
        <v>44837</v>
      </c>
      <c r="H222" t="str">
        <f ca="1">IF(Table1[[#This Row],[Exit Date]]= "-", "Active", "Exited")</f>
        <v>Exited</v>
      </c>
      <c r="I222" s="5">
        <f t="shared" ca="1" si="26"/>
        <v>4319</v>
      </c>
      <c r="J222" t="str" cm="1">
        <f t="array" aca="1" ref="J222" ca="1">INDEX(sheet2!$C$2:$C$6, RANDBETWEEN(1, 5))</f>
        <v>Advanced Excel Skills </v>
      </c>
      <c r="K222" t="str">
        <f t="shared" ca="1" si="27"/>
        <v>Completed</v>
      </c>
      <c r="L222">
        <v>260</v>
      </c>
      <c r="M222">
        <f t="shared" ca="1" si="28"/>
        <v>8</v>
      </c>
      <c r="N222" t="str">
        <f t="shared" ca="1" si="29"/>
        <v>Male</v>
      </c>
      <c r="O222" s="6">
        <f t="shared" ca="1" si="30"/>
        <v>1292</v>
      </c>
      <c r="P222">
        <f ca="1">Table1[[#This Row],[Hire Date]]-Table1[[#This Row],[Job Posting Date]]</f>
        <v>25</v>
      </c>
      <c r="Q222" s="7">
        <f ca="1">Table1[[#This Row],[Join Date]]-Table1[[#This Row],[Hire Date]]</f>
        <v>10</v>
      </c>
      <c r="R222" s="8">
        <f ca="1">(IF(Table1[[#This Row],[Status]]="Exited",Table1[[#This Row],[Exit Date]]-Table1[[#This Row],[Join Date]],TODAY()-Table1[[#This Row],[Join Date]]))/30</f>
        <v>23.2</v>
      </c>
      <c r="S222">
        <f ca="1">Table1[[#This Row],[Hire Date]]-Table1[[#This Row],[Job Posting Date]]</f>
        <v>25</v>
      </c>
      <c r="T222" s="7">
        <f ca="1">Table1[[#This Row],[Time to Onboard]]/Table1[[#This Row],[Time to Fill]]*100</f>
        <v>40</v>
      </c>
      <c r="U222" s="8">
        <f ca="1">Table1[[#This Row],[Time to Onboard]]/Table1[[#This Row],[Time to Fill]]*100</f>
        <v>40</v>
      </c>
      <c r="V222">
        <f ca="1">Table1[[#This Row],[Join Date]]-Table1[[#This Row],[Job Posting Date]]</f>
        <v>35</v>
      </c>
      <c r="W222">
        <f t="shared" ca="1" si="31"/>
        <v>183</v>
      </c>
      <c r="X222" s="8">
        <f ca="1">Table1[[#This Row],[Absentee Days]]/Table1[[#This Row],[Total Work Days]]*100</f>
        <v>3.0769230769230771</v>
      </c>
      <c r="Y222">
        <f ca="1">YEAR(Table1[[#This Row],[Join Date]])</f>
        <v>2020</v>
      </c>
      <c r="Z222">
        <f ca="1">IF(Table1[[#This Row],[Status]]="Active",1,0)</f>
        <v>0</v>
      </c>
      <c r="AA222">
        <f ca="1">IF(Table1[[#This Row],[Status]]="Exited",Table1[[#This Row],[Recruitment Cost]]+Table1[[#This Row],[Onboarding Cost]]+Table1[[#This Row],[Training Cost]],0)</f>
        <v>5794</v>
      </c>
    </row>
    <row r="223" spans="1:27" x14ac:dyDescent="0.2">
      <c r="A223" t="str">
        <f t="shared" si="24"/>
        <v>E222</v>
      </c>
      <c r="B223" t="str" cm="1">
        <f t="array" aca="1" ref="B223" ca="1">INDEX(sheet2!$A$2:$A$6, RANDBETWEEN(1, 5))</f>
        <v>Finance</v>
      </c>
      <c r="C223" t="str">
        <f ca="1">_xlfn.XLOOKUP(Table1[[#This Row],[Department]],sheet2!$A$2:$A$6,sheet2!$B$2:$B$6,_xleta.NA,0)</f>
        <v>Finance Manager</v>
      </c>
      <c r="D223" s="1">
        <f t="shared" ca="1" si="25"/>
        <v>44678</v>
      </c>
      <c r="E223" s="1">
        <f ca="1">Table1[[#This Row],[Job Posting Date]]+ RANDBETWEEN(15, 90)</f>
        <v>44697</v>
      </c>
      <c r="F223" s="1">
        <f ca="1">Table1[[#This Row],[Hire Date]]+ RANDBETWEEN(1, 15)</f>
        <v>44707</v>
      </c>
      <c r="G223" s="1" t="str">
        <f ca="1">IF(RAND() &lt; 0.5,  Table1[[#This Row],[Join Date]]+ RANDBETWEEN(30, TODAY()- Table1[[#This Row],[Join Date]]), "-")</f>
        <v>-</v>
      </c>
      <c r="H223" t="str">
        <f ca="1">IF(Table1[[#This Row],[Exit Date]]= "-", "Active", "Exited")</f>
        <v>Active</v>
      </c>
      <c r="I223" s="5">
        <f t="shared" ca="1" si="26"/>
        <v>2766</v>
      </c>
      <c r="J223" t="str" cm="1">
        <f t="array" aca="1" ref="J223" ca="1">INDEX(sheet2!$C$2:$C$6, RANDBETWEEN(1, 5))</f>
        <v>Communication Skills</v>
      </c>
      <c r="K223" t="str">
        <f t="shared" ca="1" si="27"/>
        <v>Completed</v>
      </c>
      <c r="L223">
        <v>260</v>
      </c>
      <c r="M223">
        <f t="shared" ca="1" si="28"/>
        <v>3</v>
      </c>
      <c r="N223" t="str">
        <f t="shared" ca="1" si="29"/>
        <v>Male</v>
      </c>
      <c r="O223" s="6">
        <f t="shared" ca="1" si="30"/>
        <v>2226</v>
      </c>
      <c r="P223">
        <f ca="1">Table1[[#This Row],[Hire Date]]-Table1[[#This Row],[Job Posting Date]]</f>
        <v>19</v>
      </c>
      <c r="Q223" s="7">
        <f ca="1">Table1[[#This Row],[Join Date]]-Table1[[#This Row],[Hire Date]]</f>
        <v>10</v>
      </c>
      <c r="R223" s="8">
        <f ca="1">(IF(Table1[[#This Row],[Status]]="Exited",Table1[[#This Row],[Exit Date]]-Table1[[#This Row],[Join Date]],TODAY()-Table1[[#This Row],[Join Date]]))/30</f>
        <v>32.533333333333331</v>
      </c>
      <c r="S223">
        <f ca="1">Table1[[#This Row],[Hire Date]]-Table1[[#This Row],[Job Posting Date]]</f>
        <v>19</v>
      </c>
      <c r="T223" s="7">
        <f ca="1">Table1[[#This Row],[Time to Onboard]]/Table1[[#This Row],[Time to Fill]]*100</f>
        <v>52.631578947368418</v>
      </c>
      <c r="U223" s="8">
        <f ca="1">Table1[[#This Row],[Time to Onboard]]/Table1[[#This Row],[Time to Fill]]*100</f>
        <v>52.631578947368418</v>
      </c>
      <c r="V223">
        <f ca="1">Table1[[#This Row],[Join Date]]-Table1[[#This Row],[Job Posting Date]]</f>
        <v>29</v>
      </c>
      <c r="W223">
        <f t="shared" ca="1" si="31"/>
        <v>105</v>
      </c>
      <c r="X223" s="8">
        <f ca="1">Table1[[#This Row],[Absentee Days]]/Table1[[#This Row],[Total Work Days]]*100</f>
        <v>1.153846153846154</v>
      </c>
      <c r="Y223">
        <f ca="1">YEAR(Table1[[#This Row],[Join Date]])</f>
        <v>2022</v>
      </c>
      <c r="Z223">
        <f ca="1">IF(Table1[[#This Row],[Status]]="Active",1,0)</f>
        <v>1</v>
      </c>
      <c r="AA223">
        <f ca="1">IF(Table1[[#This Row],[Status]]="Exited",Table1[[#This Row],[Recruitment Cost]]+Table1[[#This Row],[Onboarding Cost]]+Table1[[#This Row],[Training Cost]],0)</f>
        <v>0</v>
      </c>
    </row>
    <row r="224" spans="1:27" x14ac:dyDescent="0.2">
      <c r="A224" t="str">
        <f t="shared" si="24"/>
        <v>E223</v>
      </c>
      <c r="B224" t="str" cm="1">
        <f t="array" aca="1" ref="B224" ca="1">INDEX(sheet2!$A$2:$A$6, RANDBETWEEN(1, 5))</f>
        <v>IT</v>
      </c>
      <c r="C224" t="str">
        <f ca="1">_xlfn.XLOOKUP(Table1[[#This Row],[Department]],sheet2!$A$2:$A$6,sheet2!$B$2:$B$6,_xleta.NA,0)</f>
        <v>Software Engineer</v>
      </c>
      <c r="D224" s="1">
        <f t="shared" ca="1" si="25"/>
        <v>43204</v>
      </c>
      <c r="E224" s="1">
        <f ca="1">Table1[[#This Row],[Job Posting Date]]+ RANDBETWEEN(15, 90)</f>
        <v>43268</v>
      </c>
      <c r="F224" s="1">
        <f ca="1">Table1[[#This Row],[Hire Date]]+ RANDBETWEEN(1, 15)</f>
        <v>43273</v>
      </c>
      <c r="G224" s="1" t="str">
        <f ca="1">IF(RAND() &lt; 0.5,  Table1[[#This Row],[Join Date]]+ RANDBETWEEN(30, TODAY()- Table1[[#This Row],[Join Date]]), "-")</f>
        <v>-</v>
      </c>
      <c r="H224" t="str">
        <f ca="1">IF(Table1[[#This Row],[Exit Date]]= "-", "Active", "Exited")</f>
        <v>Active</v>
      </c>
      <c r="I224" s="5">
        <f t="shared" ca="1" si="26"/>
        <v>3627</v>
      </c>
      <c r="J224" t="str" cm="1">
        <f t="array" aca="1" ref="J224" ca="1">INDEX(sheet2!$C$2:$C$6, RANDBETWEEN(1, 5))</f>
        <v>Leadership Development</v>
      </c>
      <c r="K224" t="str">
        <f t="shared" ca="1" si="27"/>
        <v>Not Completed</v>
      </c>
      <c r="L224">
        <v>260</v>
      </c>
      <c r="M224">
        <f t="shared" ca="1" si="28"/>
        <v>14</v>
      </c>
      <c r="N224" t="str">
        <f t="shared" ca="1" si="29"/>
        <v>Other</v>
      </c>
      <c r="O224" s="6">
        <f t="shared" ca="1" si="30"/>
        <v>1427</v>
      </c>
      <c r="P224">
        <f ca="1">Table1[[#This Row],[Hire Date]]-Table1[[#This Row],[Job Posting Date]]</f>
        <v>64</v>
      </c>
      <c r="Q224" s="7">
        <f ca="1">Table1[[#This Row],[Join Date]]-Table1[[#This Row],[Hire Date]]</f>
        <v>5</v>
      </c>
      <c r="R224" s="8">
        <f ca="1">(IF(Table1[[#This Row],[Status]]="Exited",Table1[[#This Row],[Exit Date]]-Table1[[#This Row],[Join Date]],TODAY()-Table1[[#This Row],[Join Date]]))/30</f>
        <v>80.333333333333329</v>
      </c>
      <c r="S224">
        <f ca="1">Table1[[#This Row],[Hire Date]]-Table1[[#This Row],[Job Posting Date]]</f>
        <v>64</v>
      </c>
      <c r="T224" s="7">
        <f ca="1">Table1[[#This Row],[Time to Onboard]]/Table1[[#This Row],[Time to Fill]]*100</f>
        <v>7.8125</v>
      </c>
      <c r="U224" s="8">
        <f ca="1">Table1[[#This Row],[Time to Onboard]]/Table1[[#This Row],[Time to Fill]]*100</f>
        <v>7.8125</v>
      </c>
      <c r="V224">
        <f ca="1">Table1[[#This Row],[Join Date]]-Table1[[#This Row],[Job Posting Date]]</f>
        <v>69</v>
      </c>
      <c r="W224">
        <f t="shared" ca="1" si="31"/>
        <v>120</v>
      </c>
      <c r="X224" s="8">
        <f ca="1">Table1[[#This Row],[Absentee Days]]/Table1[[#This Row],[Total Work Days]]*100</f>
        <v>5.384615384615385</v>
      </c>
      <c r="Y224">
        <f ca="1">YEAR(Table1[[#This Row],[Join Date]])</f>
        <v>2018</v>
      </c>
      <c r="Z224">
        <f ca="1">IF(Table1[[#This Row],[Status]]="Active",1,0)</f>
        <v>1</v>
      </c>
      <c r="AA224">
        <f ca="1">IF(Table1[[#This Row],[Status]]="Exited",Table1[[#This Row],[Recruitment Cost]]+Table1[[#This Row],[Onboarding Cost]]+Table1[[#This Row],[Training Cost]],0)</f>
        <v>0</v>
      </c>
    </row>
    <row r="225" spans="1:27" x14ac:dyDescent="0.2">
      <c r="A225" t="str">
        <f t="shared" si="24"/>
        <v>E224</v>
      </c>
      <c r="B225" t="str" cm="1">
        <f t="array" aca="1" ref="B225" ca="1">INDEX(sheet2!$A$2:$A$6, RANDBETWEEN(1, 5))</f>
        <v>Finance</v>
      </c>
      <c r="C225" t="str">
        <f ca="1">_xlfn.XLOOKUP(Table1[[#This Row],[Department]],sheet2!$A$2:$A$6,sheet2!$B$2:$B$6,_xleta.NA,0)</f>
        <v>Finance Manager</v>
      </c>
      <c r="D225" s="1">
        <f t="shared" ca="1" si="25"/>
        <v>43408</v>
      </c>
      <c r="E225" s="1">
        <f ca="1">Table1[[#This Row],[Job Posting Date]]+ RANDBETWEEN(15, 90)</f>
        <v>43491</v>
      </c>
      <c r="F225" s="1">
        <f ca="1">Table1[[#This Row],[Hire Date]]+ RANDBETWEEN(1, 15)</f>
        <v>43501</v>
      </c>
      <c r="G225" s="1">
        <f ca="1">IF(RAND() &lt; 0.5,  Table1[[#This Row],[Join Date]]+ RANDBETWEEN(30, TODAY()- Table1[[#This Row],[Join Date]]), "-")</f>
        <v>45473</v>
      </c>
      <c r="H225" t="str">
        <f ca="1">IF(Table1[[#This Row],[Exit Date]]= "-", "Active", "Exited")</f>
        <v>Exited</v>
      </c>
      <c r="I225" s="5">
        <f t="shared" ca="1" si="26"/>
        <v>2928</v>
      </c>
      <c r="J225" t="str" cm="1">
        <f t="array" aca="1" ref="J225" ca="1">INDEX(sheet2!$C$2:$C$6, RANDBETWEEN(1, 5))</f>
        <v>Ethics and Responsibilities</v>
      </c>
      <c r="K225" t="str">
        <f t="shared" ca="1" si="27"/>
        <v>Completed</v>
      </c>
      <c r="L225">
        <v>260</v>
      </c>
      <c r="M225">
        <f t="shared" ca="1" si="28"/>
        <v>19</v>
      </c>
      <c r="N225" t="str">
        <f t="shared" ca="1" si="29"/>
        <v>Female</v>
      </c>
      <c r="O225" s="6">
        <f t="shared" ca="1" si="30"/>
        <v>1421</v>
      </c>
      <c r="P225">
        <f ca="1">Table1[[#This Row],[Hire Date]]-Table1[[#This Row],[Job Posting Date]]</f>
        <v>83</v>
      </c>
      <c r="Q225" s="7">
        <f ca="1">Table1[[#This Row],[Join Date]]-Table1[[#This Row],[Hire Date]]</f>
        <v>10</v>
      </c>
      <c r="R225" s="8">
        <f ca="1">(IF(Table1[[#This Row],[Status]]="Exited",Table1[[#This Row],[Exit Date]]-Table1[[#This Row],[Join Date]],TODAY()-Table1[[#This Row],[Join Date]]))/30</f>
        <v>65.733333333333334</v>
      </c>
      <c r="S225">
        <f ca="1">Table1[[#This Row],[Hire Date]]-Table1[[#This Row],[Job Posting Date]]</f>
        <v>83</v>
      </c>
      <c r="T225" s="7">
        <f ca="1">Table1[[#This Row],[Time to Onboard]]/Table1[[#This Row],[Time to Fill]]*100</f>
        <v>12.048192771084338</v>
      </c>
      <c r="U225" s="8">
        <f ca="1">Table1[[#This Row],[Time to Onboard]]/Table1[[#This Row],[Time to Fill]]*100</f>
        <v>12.048192771084338</v>
      </c>
      <c r="V225">
        <f ca="1">Table1[[#This Row],[Join Date]]-Table1[[#This Row],[Job Posting Date]]</f>
        <v>93</v>
      </c>
      <c r="W225">
        <f t="shared" ca="1" si="31"/>
        <v>174</v>
      </c>
      <c r="X225" s="8">
        <f ca="1">Table1[[#This Row],[Absentee Days]]/Table1[[#This Row],[Total Work Days]]*100</f>
        <v>7.3076923076923084</v>
      </c>
      <c r="Y225">
        <f ca="1">YEAR(Table1[[#This Row],[Join Date]])</f>
        <v>2019</v>
      </c>
      <c r="Z225">
        <f ca="1">IF(Table1[[#This Row],[Status]]="Active",1,0)</f>
        <v>0</v>
      </c>
      <c r="AA225">
        <f ca="1">IF(Table1[[#This Row],[Status]]="Exited",Table1[[#This Row],[Recruitment Cost]]+Table1[[#This Row],[Onboarding Cost]]+Table1[[#This Row],[Training Cost]],0)</f>
        <v>4523</v>
      </c>
    </row>
    <row r="226" spans="1:27" x14ac:dyDescent="0.2">
      <c r="A226" t="str">
        <f t="shared" si="24"/>
        <v>E225</v>
      </c>
      <c r="B226" t="str" cm="1">
        <f t="array" aca="1" ref="B226" ca="1">INDEX(sheet2!$A$2:$A$6, RANDBETWEEN(1, 5))</f>
        <v>Sales</v>
      </c>
      <c r="C226" t="str">
        <f ca="1">_xlfn.XLOOKUP(Table1[[#This Row],[Department]],sheet2!$A$2:$A$6,sheet2!$B$2:$B$6,_xleta.NA,0)</f>
        <v>Marketing Manager</v>
      </c>
      <c r="D226" s="1">
        <f t="shared" ca="1" si="25"/>
        <v>44534</v>
      </c>
      <c r="E226" s="1">
        <f ca="1">Table1[[#This Row],[Job Posting Date]]+ RANDBETWEEN(15, 90)</f>
        <v>44591</v>
      </c>
      <c r="F226" s="1">
        <f ca="1">Table1[[#This Row],[Hire Date]]+ RANDBETWEEN(1, 15)</f>
        <v>44602</v>
      </c>
      <c r="G226" s="1" t="str">
        <f ca="1">IF(RAND() &lt; 0.5,  Table1[[#This Row],[Join Date]]+ RANDBETWEEN(30, TODAY()- Table1[[#This Row],[Join Date]]), "-")</f>
        <v>-</v>
      </c>
      <c r="H226" t="str">
        <f ca="1">IF(Table1[[#This Row],[Exit Date]]= "-", "Active", "Exited")</f>
        <v>Active</v>
      </c>
      <c r="I226" s="5">
        <f t="shared" ca="1" si="26"/>
        <v>2589</v>
      </c>
      <c r="J226" t="str" cm="1">
        <f t="array" aca="1" ref="J226" ca="1">INDEX(sheet2!$C$2:$C$6, RANDBETWEEN(1, 5))</f>
        <v>Leadership Development</v>
      </c>
      <c r="K226" t="str">
        <f t="shared" ca="1" si="27"/>
        <v>Completed</v>
      </c>
      <c r="L226">
        <v>260</v>
      </c>
      <c r="M226">
        <f t="shared" ca="1" si="28"/>
        <v>4</v>
      </c>
      <c r="N226" t="str">
        <f t="shared" ca="1" si="29"/>
        <v>Male</v>
      </c>
      <c r="O226" s="6">
        <f t="shared" ca="1" si="30"/>
        <v>1694</v>
      </c>
      <c r="P226">
        <f ca="1">Table1[[#This Row],[Hire Date]]-Table1[[#This Row],[Job Posting Date]]</f>
        <v>57</v>
      </c>
      <c r="Q226" s="7">
        <f ca="1">Table1[[#This Row],[Join Date]]-Table1[[#This Row],[Hire Date]]</f>
        <v>11</v>
      </c>
      <c r="R226" s="8">
        <f ca="1">(IF(Table1[[#This Row],[Status]]="Exited",Table1[[#This Row],[Exit Date]]-Table1[[#This Row],[Join Date]],TODAY()-Table1[[#This Row],[Join Date]]))/30</f>
        <v>36.033333333333331</v>
      </c>
      <c r="S226">
        <f ca="1">Table1[[#This Row],[Hire Date]]-Table1[[#This Row],[Job Posting Date]]</f>
        <v>57</v>
      </c>
      <c r="T226" s="7">
        <f ca="1">Table1[[#This Row],[Time to Onboard]]/Table1[[#This Row],[Time to Fill]]*100</f>
        <v>19.298245614035086</v>
      </c>
      <c r="U226" s="8">
        <f ca="1">Table1[[#This Row],[Time to Onboard]]/Table1[[#This Row],[Time to Fill]]*100</f>
        <v>19.298245614035086</v>
      </c>
      <c r="V226">
        <f ca="1">Table1[[#This Row],[Join Date]]-Table1[[#This Row],[Job Posting Date]]</f>
        <v>68</v>
      </c>
      <c r="W226">
        <f t="shared" ca="1" si="31"/>
        <v>156</v>
      </c>
      <c r="X226" s="8">
        <f ca="1">Table1[[#This Row],[Absentee Days]]/Table1[[#This Row],[Total Work Days]]*100</f>
        <v>1.5384615384615385</v>
      </c>
      <c r="Y226">
        <f ca="1">YEAR(Table1[[#This Row],[Join Date]])</f>
        <v>2022</v>
      </c>
      <c r="Z226">
        <f ca="1">IF(Table1[[#This Row],[Status]]="Active",1,0)</f>
        <v>1</v>
      </c>
      <c r="AA226">
        <f ca="1">IF(Table1[[#This Row],[Status]]="Exited",Table1[[#This Row],[Recruitment Cost]]+Table1[[#This Row],[Onboarding Cost]]+Table1[[#This Row],[Training Cost]],0)</f>
        <v>0</v>
      </c>
    </row>
    <row r="227" spans="1:27" x14ac:dyDescent="0.2">
      <c r="A227" t="str">
        <f t="shared" si="24"/>
        <v>E226</v>
      </c>
      <c r="B227" t="str" cm="1">
        <f t="array" aca="1" ref="B227" ca="1">INDEX(sheet2!$A$2:$A$6, RANDBETWEEN(1, 5))</f>
        <v>IT</v>
      </c>
      <c r="C227" t="str">
        <f ca="1">_xlfn.XLOOKUP(Table1[[#This Row],[Department]],sheet2!$A$2:$A$6,sheet2!$B$2:$B$6,_xleta.NA,0)</f>
        <v>Software Engineer</v>
      </c>
      <c r="D227" s="1">
        <f t="shared" ca="1" si="25"/>
        <v>43662</v>
      </c>
      <c r="E227" s="1">
        <f ca="1">Table1[[#This Row],[Job Posting Date]]+ RANDBETWEEN(15, 90)</f>
        <v>43696</v>
      </c>
      <c r="F227" s="1">
        <f ca="1">Table1[[#This Row],[Hire Date]]+ RANDBETWEEN(1, 15)</f>
        <v>43706</v>
      </c>
      <c r="G227" s="1">
        <f ca="1">IF(RAND() &lt; 0.5,  Table1[[#This Row],[Join Date]]+ RANDBETWEEN(30, TODAY()- Table1[[#This Row],[Join Date]]), "-")</f>
        <v>43783</v>
      </c>
      <c r="H227" t="str">
        <f ca="1">IF(Table1[[#This Row],[Exit Date]]= "-", "Active", "Exited")</f>
        <v>Exited</v>
      </c>
      <c r="I227" s="5">
        <f t="shared" ca="1" si="26"/>
        <v>4293</v>
      </c>
      <c r="J227" t="str" cm="1">
        <f t="array" aca="1" ref="J227" ca="1">INDEX(sheet2!$C$2:$C$6, RANDBETWEEN(1, 5))</f>
        <v>Ethics and Responsibilities</v>
      </c>
      <c r="K227" t="str">
        <f t="shared" ca="1" si="27"/>
        <v>Not Completed</v>
      </c>
      <c r="L227">
        <v>260</v>
      </c>
      <c r="M227">
        <f t="shared" ca="1" si="28"/>
        <v>4</v>
      </c>
      <c r="N227" t="str">
        <f t="shared" ca="1" si="29"/>
        <v>Male</v>
      </c>
      <c r="O227" s="6">
        <f t="shared" ca="1" si="30"/>
        <v>2015</v>
      </c>
      <c r="P227">
        <f ca="1">Table1[[#This Row],[Hire Date]]-Table1[[#This Row],[Job Posting Date]]</f>
        <v>34</v>
      </c>
      <c r="Q227" s="7">
        <f ca="1">Table1[[#This Row],[Join Date]]-Table1[[#This Row],[Hire Date]]</f>
        <v>10</v>
      </c>
      <c r="R227" s="8">
        <f ca="1">(IF(Table1[[#This Row],[Status]]="Exited",Table1[[#This Row],[Exit Date]]-Table1[[#This Row],[Join Date]],TODAY()-Table1[[#This Row],[Join Date]]))/30</f>
        <v>2.5666666666666669</v>
      </c>
      <c r="S227">
        <f ca="1">Table1[[#This Row],[Hire Date]]-Table1[[#This Row],[Job Posting Date]]</f>
        <v>34</v>
      </c>
      <c r="T227" s="7">
        <f ca="1">Table1[[#This Row],[Time to Onboard]]/Table1[[#This Row],[Time to Fill]]*100</f>
        <v>29.411764705882355</v>
      </c>
      <c r="U227" s="8">
        <f ca="1">Table1[[#This Row],[Time to Onboard]]/Table1[[#This Row],[Time to Fill]]*100</f>
        <v>29.411764705882355</v>
      </c>
      <c r="V227">
        <f ca="1">Table1[[#This Row],[Join Date]]-Table1[[#This Row],[Job Posting Date]]</f>
        <v>44</v>
      </c>
      <c r="W227">
        <f t="shared" ca="1" si="31"/>
        <v>181</v>
      </c>
      <c r="X227" s="8">
        <f ca="1">Table1[[#This Row],[Absentee Days]]/Table1[[#This Row],[Total Work Days]]*100</f>
        <v>1.5384615384615385</v>
      </c>
      <c r="Y227">
        <f ca="1">YEAR(Table1[[#This Row],[Join Date]])</f>
        <v>2019</v>
      </c>
      <c r="Z227">
        <f ca="1">IF(Table1[[#This Row],[Status]]="Active",1,0)</f>
        <v>0</v>
      </c>
      <c r="AA227">
        <f ca="1">IF(Table1[[#This Row],[Status]]="Exited",Table1[[#This Row],[Recruitment Cost]]+Table1[[#This Row],[Onboarding Cost]]+Table1[[#This Row],[Training Cost]],0)</f>
        <v>6489</v>
      </c>
    </row>
    <row r="228" spans="1:27" x14ac:dyDescent="0.2">
      <c r="A228" t="str">
        <f t="shared" si="24"/>
        <v>E227</v>
      </c>
      <c r="B228" t="str" cm="1">
        <f t="array" aca="1" ref="B228" ca="1">INDEX(sheet2!$A$2:$A$6, RANDBETWEEN(1, 5))</f>
        <v>Finance</v>
      </c>
      <c r="C228" t="str">
        <f ca="1">_xlfn.XLOOKUP(Table1[[#This Row],[Department]],sheet2!$A$2:$A$6,sheet2!$B$2:$B$6,_xleta.NA,0)</f>
        <v>Finance Manager</v>
      </c>
      <c r="D228" s="1">
        <f t="shared" ca="1" si="25"/>
        <v>44708</v>
      </c>
      <c r="E228" s="1">
        <f ca="1">Table1[[#This Row],[Job Posting Date]]+ RANDBETWEEN(15, 90)</f>
        <v>44795</v>
      </c>
      <c r="F228" s="1">
        <f ca="1">Table1[[#This Row],[Hire Date]]+ RANDBETWEEN(1, 15)</f>
        <v>44806</v>
      </c>
      <c r="G228" s="1">
        <f ca="1">IF(RAND() &lt; 0.5,  Table1[[#This Row],[Join Date]]+ RANDBETWEEN(30, TODAY()- Table1[[#This Row],[Join Date]]), "-")</f>
        <v>45641</v>
      </c>
      <c r="H228" t="str">
        <f ca="1">IF(Table1[[#This Row],[Exit Date]]= "-", "Active", "Exited")</f>
        <v>Exited</v>
      </c>
      <c r="I228" s="5">
        <f t="shared" ca="1" si="26"/>
        <v>2003</v>
      </c>
      <c r="J228" t="str" cm="1">
        <f t="array" aca="1" ref="J228" ca="1">INDEX(sheet2!$C$2:$C$6, RANDBETWEEN(1, 5))</f>
        <v>Conflict Resolution</v>
      </c>
      <c r="K228" t="str">
        <f t="shared" ca="1" si="27"/>
        <v>Completed</v>
      </c>
      <c r="L228">
        <v>260</v>
      </c>
      <c r="M228">
        <f t="shared" ca="1" si="28"/>
        <v>3</v>
      </c>
      <c r="N228" t="str">
        <f t="shared" ca="1" si="29"/>
        <v>Other</v>
      </c>
      <c r="O228" s="6">
        <f t="shared" ca="1" si="30"/>
        <v>1307</v>
      </c>
      <c r="P228">
        <f ca="1">Table1[[#This Row],[Hire Date]]-Table1[[#This Row],[Job Posting Date]]</f>
        <v>87</v>
      </c>
      <c r="Q228" s="7">
        <f ca="1">Table1[[#This Row],[Join Date]]-Table1[[#This Row],[Hire Date]]</f>
        <v>11</v>
      </c>
      <c r="R228" s="8">
        <f ca="1">(IF(Table1[[#This Row],[Status]]="Exited",Table1[[#This Row],[Exit Date]]-Table1[[#This Row],[Join Date]],TODAY()-Table1[[#This Row],[Join Date]]))/30</f>
        <v>27.833333333333332</v>
      </c>
      <c r="S228">
        <f ca="1">Table1[[#This Row],[Hire Date]]-Table1[[#This Row],[Job Posting Date]]</f>
        <v>87</v>
      </c>
      <c r="T228" s="7">
        <f ca="1">Table1[[#This Row],[Time to Onboard]]/Table1[[#This Row],[Time to Fill]]*100</f>
        <v>12.643678160919542</v>
      </c>
      <c r="U228" s="8">
        <f ca="1">Table1[[#This Row],[Time to Onboard]]/Table1[[#This Row],[Time to Fill]]*100</f>
        <v>12.643678160919542</v>
      </c>
      <c r="V228">
        <f ca="1">Table1[[#This Row],[Join Date]]-Table1[[#This Row],[Job Posting Date]]</f>
        <v>98</v>
      </c>
      <c r="W228">
        <f t="shared" ca="1" si="31"/>
        <v>198</v>
      </c>
      <c r="X228" s="8">
        <f ca="1">Table1[[#This Row],[Absentee Days]]/Table1[[#This Row],[Total Work Days]]*100</f>
        <v>1.153846153846154</v>
      </c>
      <c r="Y228">
        <f ca="1">YEAR(Table1[[#This Row],[Join Date]])</f>
        <v>2022</v>
      </c>
      <c r="Z228">
        <f ca="1">IF(Table1[[#This Row],[Status]]="Active",1,0)</f>
        <v>0</v>
      </c>
      <c r="AA228">
        <f ca="1">IF(Table1[[#This Row],[Status]]="Exited",Table1[[#This Row],[Recruitment Cost]]+Table1[[#This Row],[Onboarding Cost]]+Table1[[#This Row],[Training Cost]],0)</f>
        <v>3508</v>
      </c>
    </row>
    <row r="229" spans="1:27" x14ac:dyDescent="0.2">
      <c r="A229" t="str">
        <f t="shared" si="24"/>
        <v>E228</v>
      </c>
      <c r="B229" t="str" cm="1">
        <f t="array" aca="1" ref="B229" ca="1">INDEX(sheet2!$A$2:$A$6, RANDBETWEEN(1, 5))</f>
        <v>Sales</v>
      </c>
      <c r="C229" t="str">
        <f ca="1">_xlfn.XLOOKUP(Table1[[#This Row],[Department]],sheet2!$A$2:$A$6,sheet2!$B$2:$B$6,_xleta.NA,0)</f>
        <v>Marketing Manager</v>
      </c>
      <c r="D229" s="1">
        <f t="shared" ca="1" si="25"/>
        <v>44006</v>
      </c>
      <c r="E229" s="1">
        <f ca="1">Table1[[#This Row],[Job Posting Date]]+ RANDBETWEEN(15, 90)</f>
        <v>44077</v>
      </c>
      <c r="F229" s="1">
        <f ca="1">Table1[[#This Row],[Hire Date]]+ RANDBETWEEN(1, 15)</f>
        <v>44083</v>
      </c>
      <c r="G229" s="1" t="str">
        <f ca="1">IF(RAND() &lt; 0.5,  Table1[[#This Row],[Join Date]]+ RANDBETWEEN(30, TODAY()- Table1[[#This Row],[Join Date]]), "-")</f>
        <v>-</v>
      </c>
      <c r="H229" t="str">
        <f ca="1">IF(Table1[[#This Row],[Exit Date]]= "-", "Active", "Exited")</f>
        <v>Active</v>
      </c>
      <c r="I229" s="5">
        <f t="shared" ca="1" si="26"/>
        <v>2659</v>
      </c>
      <c r="J229" t="str" cm="1">
        <f t="array" aca="1" ref="J229" ca="1">INDEX(sheet2!$C$2:$C$6, RANDBETWEEN(1, 5))</f>
        <v>Conflict Resolution</v>
      </c>
      <c r="K229" t="str">
        <f t="shared" ca="1" si="27"/>
        <v>Completed</v>
      </c>
      <c r="L229">
        <v>260</v>
      </c>
      <c r="M229">
        <f t="shared" ca="1" si="28"/>
        <v>2</v>
      </c>
      <c r="N229" t="str">
        <f t="shared" ca="1" si="29"/>
        <v>Male</v>
      </c>
      <c r="O229" s="6">
        <f t="shared" ca="1" si="30"/>
        <v>1538</v>
      </c>
      <c r="P229">
        <f ca="1">Table1[[#This Row],[Hire Date]]-Table1[[#This Row],[Job Posting Date]]</f>
        <v>71</v>
      </c>
      <c r="Q229" s="7">
        <f ca="1">Table1[[#This Row],[Join Date]]-Table1[[#This Row],[Hire Date]]</f>
        <v>6</v>
      </c>
      <c r="R229" s="8">
        <f ca="1">(IF(Table1[[#This Row],[Status]]="Exited",Table1[[#This Row],[Exit Date]]-Table1[[#This Row],[Join Date]],TODAY()-Table1[[#This Row],[Join Date]]))/30</f>
        <v>53.333333333333336</v>
      </c>
      <c r="S229">
        <f ca="1">Table1[[#This Row],[Hire Date]]-Table1[[#This Row],[Job Posting Date]]</f>
        <v>71</v>
      </c>
      <c r="T229" s="7">
        <f ca="1">Table1[[#This Row],[Time to Onboard]]/Table1[[#This Row],[Time to Fill]]*100</f>
        <v>8.4507042253521121</v>
      </c>
      <c r="U229" s="8">
        <f ca="1">Table1[[#This Row],[Time to Onboard]]/Table1[[#This Row],[Time to Fill]]*100</f>
        <v>8.4507042253521121</v>
      </c>
      <c r="V229">
        <f ca="1">Table1[[#This Row],[Join Date]]-Table1[[#This Row],[Job Posting Date]]</f>
        <v>77</v>
      </c>
      <c r="W229">
        <f t="shared" ca="1" si="31"/>
        <v>100</v>
      </c>
      <c r="X229" s="8">
        <f ca="1">Table1[[#This Row],[Absentee Days]]/Table1[[#This Row],[Total Work Days]]*100</f>
        <v>0.76923076923076927</v>
      </c>
      <c r="Y229">
        <f ca="1">YEAR(Table1[[#This Row],[Join Date]])</f>
        <v>2020</v>
      </c>
      <c r="Z229">
        <f ca="1">IF(Table1[[#This Row],[Status]]="Active",1,0)</f>
        <v>1</v>
      </c>
      <c r="AA229">
        <f ca="1">IF(Table1[[#This Row],[Status]]="Exited",Table1[[#This Row],[Recruitment Cost]]+Table1[[#This Row],[Onboarding Cost]]+Table1[[#This Row],[Training Cost]],0)</f>
        <v>0</v>
      </c>
    </row>
    <row r="230" spans="1:27" x14ac:dyDescent="0.2">
      <c r="A230" t="str">
        <f t="shared" si="24"/>
        <v>E229</v>
      </c>
      <c r="B230" t="str" cm="1">
        <f t="array" aca="1" ref="B230" ca="1">INDEX(sheet2!$A$2:$A$6, RANDBETWEEN(1, 5))</f>
        <v>Analytics</v>
      </c>
      <c r="C230" t="str">
        <f ca="1">_xlfn.XLOOKUP(Table1[[#This Row],[Department]],sheet2!$A$2:$A$6,sheet2!$B$2:$B$6,_xleta.NA,0)</f>
        <v>Data Analyst</v>
      </c>
      <c r="D230" s="1">
        <f t="shared" ca="1" si="25"/>
        <v>43306</v>
      </c>
      <c r="E230" s="1">
        <f ca="1">Table1[[#This Row],[Job Posting Date]]+ RANDBETWEEN(15, 90)</f>
        <v>43389</v>
      </c>
      <c r="F230" s="1">
        <f ca="1">Table1[[#This Row],[Hire Date]]+ RANDBETWEEN(1, 15)</f>
        <v>43402</v>
      </c>
      <c r="G230" s="1">
        <f ca="1">IF(RAND() &lt; 0.5,  Table1[[#This Row],[Join Date]]+ RANDBETWEEN(30, TODAY()- Table1[[#This Row],[Join Date]]), "-")</f>
        <v>44987</v>
      </c>
      <c r="H230" t="str">
        <f ca="1">IF(Table1[[#This Row],[Exit Date]]= "-", "Active", "Exited")</f>
        <v>Exited</v>
      </c>
      <c r="I230" s="5">
        <f t="shared" ca="1" si="26"/>
        <v>3429</v>
      </c>
      <c r="J230" t="str" cm="1">
        <f t="array" aca="1" ref="J230" ca="1">INDEX(sheet2!$C$2:$C$6, RANDBETWEEN(1, 5))</f>
        <v>Advanced Excel Skills </v>
      </c>
      <c r="K230" t="str">
        <f t="shared" ca="1" si="27"/>
        <v>Not Completed</v>
      </c>
      <c r="L230">
        <v>260</v>
      </c>
      <c r="M230">
        <f t="shared" ca="1" si="28"/>
        <v>17</v>
      </c>
      <c r="N230" t="str">
        <f t="shared" ca="1" si="29"/>
        <v>Female</v>
      </c>
      <c r="O230" s="6">
        <f t="shared" ca="1" si="30"/>
        <v>2434</v>
      </c>
      <c r="P230">
        <f ca="1">Table1[[#This Row],[Hire Date]]-Table1[[#This Row],[Job Posting Date]]</f>
        <v>83</v>
      </c>
      <c r="Q230" s="7">
        <f ca="1">Table1[[#This Row],[Join Date]]-Table1[[#This Row],[Hire Date]]</f>
        <v>13</v>
      </c>
      <c r="R230" s="8">
        <f ca="1">(IF(Table1[[#This Row],[Status]]="Exited",Table1[[#This Row],[Exit Date]]-Table1[[#This Row],[Join Date]],TODAY()-Table1[[#This Row],[Join Date]]))/30</f>
        <v>52.833333333333336</v>
      </c>
      <c r="S230">
        <f ca="1">Table1[[#This Row],[Hire Date]]-Table1[[#This Row],[Job Posting Date]]</f>
        <v>83</v>
      </c>
      <c r="T230" s="7">
        <f ca="1">Table1[[#This Row],[Time to Onboard]]/Table1[[#This Row],[Time to Fill]]*100</f>
        <v>15.66265060240964</v>
      </c>
      <c r="U230" s="8">
        <f ca="1">Table1[[#This Row],[Time to Onboard]]/Table1[[#This Row],[Time to Fill]]*100</f>
        <v>15.66265060240964</v>
      </c>
      <c r="V230">
        <f ca="1">Table1[[#This Row],[Join Date]]-Table1[[#This Row],[Job Posting Date]]</f>
        <v>96</v>
      </c>
      <c r="W230">
        <f t="shared" ca="1" si="31"/>
        <v>181</v>
      </c>
      <c r="X230" s="8">
        <f ca="1">Table1[[#This Row],[Absentee Days]]/Table1[[#This Row],[Total Work Days]]*100</f>
        <v>6.5384615384615392</v>
      </c>
      <c r="Y230">
        <f ca="1">YEAR(Table1[[#This Row],[Join Date]])</f>
        <v>2018</v>
      </c>
      <c r="Z230">
        <f ca="1">IF(Table1[[#This Row],[Status]]="Active",1,0)</f>
        <v>0</v>
      </c>
      <c r="AA230">
        <f ca="1">IF(Table1[[#This Row],[Status]]="Exited",Table1[[#This Row],[Recruitment Cost]]+Table1[[#This Row],[Onboarding Cost]]+Table1[[#This Row],[Training Cost]],0)</f>
        <v>6044</v>
      </c>
    </row>
    <row r="231" spans="1:27" x14ac:dyDescent="0.2">
      <c r="A231" t="str">
        <f t="shared" si="24"/>
        <v>E230</v>
      </c>
      <c r="B231" t="str" cm="1">
        <f t="array" aca="1" ref="B231" ca="1">INDEX(sheet2!$A$2:$A$6, RANDBETWEEN(1, 5))</f>
        <v>HR</v>
      </c>
      <c r="C231" t="str">
        <f ca="1">_xlfn.XLOOKUP(Table1[[#This Row],[Department]],sheet2!$A$2:$A$6,sheet2!$B$2:$B$6,_xleta.NA,0)</f>
        <v>HR Manager</v>
      </c>
      <c r="D231" s="1">
        <f t="shared" ca="1" si="25"/>
        <v>43394</v>
      </c>
      <c r="E231" s="1">
        <f ca="1">Table1[[#This Row],[Job Posting Date]]+ RANDBETWEEN(15, 90)</f>
        <v>43476</v>
      </c>
      <c r="F231" s="1">
        <f ca="1">Table1[[#This Row],[Hire Date]]+ RANDBETWEEN(1, 15)</f>
        <v>43483</v>
      </c>
      <c r="G231" s="1">
        <f ca="1">IF(RAND() &lt; 0.5,  Table1[[#This Row],[Join Date]]+ RANDBETWEEN(30, TODAY()- Table1[[#This Row],[Join Date]]), "-")</f>
        <v>44007</v>
      </c>
      <c r="H231" t="str">
        <f ca="1">IF(Table1[[#This Row],[Exit Date]]= "-", "Active", "Exited")</f>
        <v>Exited</v>
      </c>
      <c r="I231" s="5">
        <f t="shared" ca="1" si="26"/>
        <v>3455</v>
      </c>
      <c r="J231" t="str" cm="1">
        <f t="array" aca="1" ref="J231" ca="1">INDEX(sheet2!$C$2:$C$6, RANDBETWEEN(1, 5))</f>
        <v>Ethics and Responsibilities</v>
      </c>
      <c r="K231" t="str">
        <f t="shared" ca="1" si="27"/>
        <v>Completed</v>
      </c>
      <c r="L231">
        <v>260</v>
      </c>
      <c r="M231">
        <f t="shared" ca="1" si="28"/>
        <v>6</v>
      </c>
      <c r="N231" t="str">
        <f t="shared" ca="1" si="29"/>
        <v>Female</v>
      </c>
      <c r="O231" s="6">
        <f t="shared" ca="1" si="30"/>
        <v>2406</v>
      </c>
      <c r="P231">
        <f ca="1">Table1[[#This Row],[Hire Date]]-Table1[[#This Row],[Job Posting Date]]</f>
        <v>82</v>
      </c>
      <c r="Q231" s="7">
        <f ca="1">Table1[[#This Row],[Join Date]]-Table1[[#This Row],[Hire Date]]</f>
        <v>7</v>
      </c>
      <c r="R231" s="8">
        <f ca="1">(IF(Table1[[#This Row],[Status]]="Exited",Table1[[#This Row],[Exit Date]]-Table1[[#This Row],[Join Date]],TODAY()-Table1[[#This Row],[Join Date]]))/30</f>
        <v>17.466666666666665</v>
      </c>
      <c r="S231">
        <f ca="1">Table1[[#This Row],[Hire Date]]-Table1[[#This Row],[Job Posting Date]]</f>
        <v>82</v>
      </c>
      <c r="T231" s="7">
        <f ca="1">Table1[[#This Row],[Time to Onboard]]/Table1[[#This Row],[Time to Fill]]*100</f>
        <v>8.536585365853659</v>
      </c>
      <c r="U231" s="8">
        <f ca="1">Table1[[#This Row],[Time to Onboard]]/Table1[[#This Row],[Time to Fill]]*100</f>
        <v>8.536585365853659</v>
      </c>
      <c r="V231">
        <f ca="1">Table1[[#This Row],[Join Date]]-Table1[[#This Row],[Job Posting Date]]</f>
        <v>89</v>
      </c>
      <c r="W231">
        <f t="shared" ca="1" si="31"/>
        <v>186</v>
      </c>
      <c r="X231" s="8">
        <f ca="1">Table1[[#This Row],[Absentee Days]]/Table1[[#This Row],[Total Work Days]]*100</f>
        <v>2.3076923076923079</v>
      </c>
      <c r="Y231">
        <f ca="1">YEAR(Table1[[#This Row],[Join Date]])</f>
        <v>2019</v>
      </c>
      <c r="Z231">
        <f ca="1">IF(Table1[[#This Row],[Status]]="Active",1,0)</f>
        <v>0</v>
      </c>
      <c r="AA231">
        <f ca="1">IF(Table1[[#This Row],[Status]]="Exited",Table1[[#This Row],[Recruitment Cost]]+Table1[[#This Row],[Onboarding Cost]]+Table1[[#This Row],[Training Cost]],0)</f>
        <v>6047</v>
      </c>
    </row>
    <row r="232" spans="1:27" x14ac:dyDescent="0.2">
      <c r="A232" t="str">
        <f t="shared" si="24"/>
        <v>E231</v>
      </c>
      <c r="B232" t="str" cm="1">
        <f t="array" aca="1" ref="B232" ca="1">INDEX(sheet2!$A$2:$A$6, RANDBETWEEN(1, 5))</f>
        <v>Finance</v>
      </c>
      <c r="C232" t="str">
        <f ca="1">_xlfn.XLOOKUP(Table1[[#This Row],[Department]],sheet2!$A$2:$A$6,sheet2!$B$2:$B$6,_xleta.NA,0)</f>
        <v>Finance Manager</v>
      </c>
      <c r="D232" s="1">
        <f t="shared" ca="1" si="25"/>
        <v>43229</v>
      </c>
      <c r="E232" s="1">
        <f ca="1">Table1[[#This Row],[Job Posting Date]]+ RANDBETWEEN(15, 90)</f>
        <v>43309</v>
      </c>
      <c r="F232" s="1">
        <f ca="1">Table1[[#This Row],[Hire Date]]+ RANDBETWEEN(1, 15)</f>
        <v>43318</v>
      </c>
      <c r="G232" s="1">
        <f ca="1">IF(RAND() &lt; 0.5,  Table1[[#This Row],[Join Date]]+ RANDBETWEEN(30, TODAY()- Table1[[#This Row],[Join Date]]), "-")</f>
        <v>45148</v>
      </c>
      <c r="H232" t="str">
        <f ca="1">IF(Table1[[#This Row],[Exit Date]]= "-", "Active", "Exited")</f>
        <v>Exited</v>
      </c>
      <c r="I232" s="5">
        <f t="shared" ca="1" si="26"/>
        <v>2139</v>
      </c>
      <c r="J232" t="str" cm="1">
        <f t="array" aca="1" ref="J232" ca="1">INDEX(sheet2!$C$2:$C$6, RANDBETWEEN(1, 5))</f>
        <v>Advanced Excel Skills </v>
      </c>
      <c r="K232" t="str">
        <f t="shared" ca="1" si="27"/>
        <v>Completed</v>
      </c>
      <c r="L232">
        <v>260</v>
      </c>
      <c r="M232">
        <f t="shared" ca="1" si="28"/>
        <v>5</v>
      </c>
      <c r="N232" t="str">
        <f t="shared" ca="1" si="29"/>
        <v>Other</v>
      </c>
      <c r="O232" s="6">
        <f t="shared" ca="1" si="30"/>
        <v>2124</v>
      </c>
      <c r="P232">
        <f ca="1">Table1[[#This Row],[Hire Date]]-Table1[[#This Row],[Job Posting Date]]</f>
        <v>80</v>
      </c>
      <c r="Q232" s="7">
        <f ca="1">Table1[[#This Row],[Join Date]]-Table1[[#This Row],[Hire Date]]</f>
        <v>9</v>
      </c>
      <c r="R232" s="8">
        <f ca="1">(IF(Table1[[#This Row],[Status]]="Exited",Table1[[#This Row],[Exit Date]]-Table1[[#This Row],[Join Date]],TODAY()-Table1[[#This Row],[Join Date]]))/30</f>
        <v>61</v>
      </c>
      <c r="S232">
        <f ca="1">Table1[[#This Row],[Hire Date]]-Table1[[#This Row],[Job Posting Date]]</f>
        <v>80</v>
      </c>
      <c r="T232" s="7">
        <f ca="1">Table1[[#This Row],[Time to Onboard]]/Table1[[#This Row],[Time to Fill]]*100</f>
        <v>11.25</v>
      </c>
      <c r="U232" s="8">
        <f ca="1">Table1[[#This Row],[Time to Onboard]]/Table1[[#This Row],[Time to Fill]]*100</f>
        <v>11.25</v>
      </c>
      <c r="V232">
        <f ca="1">Table1[[#This Row],[Join Date]]-Table1[[#This Row],[Job Posting Date]]</f>
        <v>89</v>
      </c>
      <c r="W232">
        <f t="shared" ca="1" si="31"/>
        <v>167</v>
      </c>
      <c r="X232" s="8">
        <f ca="1">Table1[[#This Row],[Absentee Days]]/Table1[[#This Row],[Total Work Days]]*100</f>
        <v>1.9230769230769231</v>
      </c>
      <c r="Y232">
        <f ca="1">YEAR(Table1[[#This Row],[Join Date]])</f>
        <v>2018</v>
      </c>
      <c r="Z232">
        <f ca="1">IF(Table1[[#This Row],[Status]]="Active",1,0)</f>
        <v>0</v>
      </c>
      <c r="AA232">
        <f ca="1">IF(Table1[[#This Row],[Status]]="Exited",Table1[[#This Row],[Recruitment Cost]]+Table1[[#This Row],[Onboarding Cost]]+Table1[[#This Row],[Training Cost]],0)</f>
        <v>4430</v>
      </c>
    </row>
    <row r="233" spans="1:27" x14ac:dyDescent="0.2">
      <c r="A233" t="str">
        <f t="shared" si="24"/>
        <v>E232</v>
      </c>
      <c r="B233" t="str" cm="1">
        <f t="array" aca="1" ref="B233" ca="1">INDEX(sheet2!$A$2:$A$6, RANDBETWEEN(1, 5))</f>
        <v>IT</v>
      </c>
      <c r="C233" t="str">
        <f ca="1">_xlfn.XLOOKUP(Table1[[#This Row],[Department]],sheet2!$A$2:$A$6,sheet2!$B$2:$B$6,_xleta.NA,0)</f>
        <v>Software Engineer</v>
      </c>
      <c r="D233" s="1">
        <f t="shared" ca="1" si="25"/>
        <v>44357</v>
      </c>
      <c r="E233" s="1">
        <f ca="1">Table1[[#This Row],[Job Posting Date]]+ RANDBETWEEN(15, 90)</f>
        <v>44424</v>
      </c>
      <c r="F233" s="1">
        <f ca="1">Table1[[#This Row],[Hire Date]]+ RANDBETWEEN(1, 15)</f>
        <v>44429</v>
      </c>
      <c r="G233" s="1">
        <f ca="1">IF(RAND() &lt; 0.5,  Table1[[#This Row],[Join Date]]+ RANDBETWEEN(30, TODAY()- Table1[[#This Row],[Join Date]]), "-")</f>
        <v>45019</v>
      </c>
      <c r="H233" t="str">
        <f ca="1">IF(Table1[[#This Row],[Exit Date]]= "-", "Active", "Exited")</f>
        <v>Exited</v>
      </c>
      <c r="I233" s="5">
        <f t="shared" ca="1" si="26"/>
        <v>4365</v>
      </c>
      <c r="J233" t="str" cm="1">
        <f t="array" aca="1" ref="J233" ca="1">INDEX(sheet2!$C$2:$C$6, RANDBETWEEN(1, 5))</f>
        <v>Communication Skills</v>
      </c>
      <c r="K233" t="str">
        <f t="shared" ca="1" si="27"/>
        <v>Completed</v>
      </c>
      <c r="L233">
        <v>260</v>
      </c>
      <c r="M233">
        <f t="shared" ca="1" si="28"/>
        <v>9</v>
      </c>
      <c r="N233" t="str">
        <f t="shared" ca="1" si="29"/>
        <v>Male</v>
      </c>
      <c r="O233" s="6">
        <f t="shared" ca="1" si="30"/>
        <v>1980</v>
      </c>
      <c r="P233">
        <f ca="1">Table1[[#This Row],[Hire Date]]-Table1[[#This Row],[Job Posting Date]]</f>
        <v>67</v>
      </c>
      <c r="Q233" s="7">
        <f ca="1">Table1[[#This Row],[Join Date]]-Table1[[#This Row],[Hire Date]]</f>
        <v>5</v>
      </c>
      <c r="R233" s="8">
        <f ca="1">(IF(Table1[[#This Row],[Status]]="Exited",Table1[[#This Row],[Exit Date]]-Table1[[#This Row],[Join Date]],TODAY()-Table1[[#This Row],[Join Date]]))/30</f>
        <v>19.666666666666668</v>
      </c>
      <c r="S233">
        <f ca="1">Table1[[#This Row],[Hire Date]]-Table1[[#This Row],[Job Posting Date]]</f>
        <v>67</v>
      </c>
      <c r="T233" s="7">
        <f ca="1">Table1[[#This Row],[Time to Onboard]]/Table1[[#This Row],[Time to Fill]]*100</f>
        <v>7.4626865671641784</v>
      </c>
      <c r="U233" s="8">
        <f ca="1">Table1[[#This Row],[Time to Onboard]]/Table1[[#This Row],[Time to Fill]]*100</f>
        <v>7.4626865671641784</v>
      </c>
      <c r="V233">
        <f ca="1">Table1[[#This Row],[Join Date]]-Table1[[#This Row],[Job Posting Date]]</f>
        <v>72</v>
      </c>
      <c r="W233">
        <f t="shared" ca="1" si="31"/>
        <v>115</v>
      </c>
      <c r="X233" s="8">
        <f ca="1">Table1[[#This Row],[Absentee Days]]/Table1[[#This Row],[Total Work Days]]*100</f>
        <v>3.4615384615384617</v>
      </c>
      <c r="Y233">
        <f ca="1">YEAR(Table1[[#This Row],[Join Date]])</f>
        <v>2021</v>
      </c>
      <c r="Z233">
        <f ca="1">IF(Table1[[#This Row],[Status]]="Active",1,0)</f>
        <v>0</v>
      </c>
      <c r="AA233">
        <f ca="1">IF(Table1[[#This Row],[Status]]="Exited",Table1[[#This Row],[Recruitment Cost]]+Table1[[#This Row],[Onboarding Cost]]+Table1[[#This Row],[Training Cost]],0)</f>
        <v>6460</v>
      </c>
    </row>
    <row r="234" spans="1:27" x14ac:dyDescent="0.2">
      <c r="A234" t="str">
        <f t="shared" si="24"/>
        <v>E233</v>
      </c>
      <c r="B234" t="str" cm="1">
        <f t="array" aca="1" ref="B234" ca="1">INDEX(sheet2!$A$2:$A$6, RANDBETWEEN(1, 5))</f>
        <v>IT</v>
      </c>
      <c r="C234" t="str">
        <f ca="1">_xlfn.XLOOKUP(Table1[[#This Row],[Department]],sheet2!$A$2:$A$6,sheet2!$B$2:$B$6,_xleta.NA,0)</f>
        <v>Software Engineer</v>
      </c>
      <c r="D234" s="1">
        <f t="shared" ca="1" si="25"/>
        <v>43515</v>
      </c>
      <c r="E234" s="1">
        <f ca="1">Table1[[#This Row],[Job Posting Date]]+ RANDBETWEEN(15, 90)</f>
        <v>43567</v>
      </c>
      <c r="F234" s="1">
        <f ca="1">Table1[[#This Row],[Hire Date]]+ RANDBETWEEN(1, 15)</f>
        <v>43570</v>
      </c>
      <c r="G234" s="1">
        <f ca="1">IF(RAND() &lt; 0.5,  Table1[[#This Row],[Join Date]]+ RANDBETWEEN(30, TODAY()- Table1[[#This Row],[Join Date]]), "-")</f>
        <v>44035</v>
      </c>
      <c r="H234" t="str">
        <f ca="1">IF(Table1[[#This Row],[Exit Date]]= "-", "Active", "Exited")</f>
        <v>Exited</v>
      </c>
      <c r="I234" s="5">
        <f t="shared" ca="1" si="26"/>
        <v>4508</v>
      </c>
      <c r="J234" t="str" cm="1">
        <f t="array" aca="1" ref="J234" ca="1">INDEX(sheet2!$C$2:$C$6, RANDBETWEEN(1, 5))</f>
        <v>Communication Skills</v>
      </c>
      <c r="K234" t="str">
        <f t="shared" ca="1" si="27"/>
        <v>Completed</v>
      </c>
      <c r="L234">
        <v>260</v>
      </c>
      <c r="M234">
        <f t="shared" ca="1" si="28"/>
        <v>15</v>
      </c>
      <c r="N234" t="str">
        <f t="shared" ca="1" si="29"/>
        <v>Other</v>
      </c>
      <c r="O234" s="6">
        <f t="shared" ca="1" si="30"/>
        <v>1870</v>
      </c>
      <c r="P234">
        <f ca="1">Table1[[#This Row],[Hire Date]]-Table1[[#This Row],[Job Posting Date]]</f>
        <v>52</v>
      </c>
      <c r="Q234" s="7">
        <f ca="1">Table1[[#This Row],[Join Date]]-Table1[[#This Row],[Hire Date]]</f>
        <v>3</v>
      </c>
      <c r="R234" s="8">
        <f ca="1">(IF(Table1[[#This Row],[Status]]="Exited",Table1[[#This Row],[Exit Date]]-Table1[[#This Row],[Join Date]],TODAY()-Table1[[#This Row],[Join Date]]))/30</f>
        <v>15.5</v>
      </c>
      <c r="S234">
        <f ca="1">Table1[[#This Row],[Hire Date]]-Table1[[#This Row],[Job Posting Date]]</f>
        <v>52</v>
      </c>
      <c r="T234" s="7">
        <f ca="1">Table1[[#This Row],[Time to Onboard]]/Table1[[#This Row],[Time to Fill]]*100</f>
        <v>5.7692307692307692</v>
      </c>
      <c r="U234" s="8">
        <f ca="1">Table1[[#This Row],[Time to Onboard]]/Table1[[#This Row],[Time to Fill]]*100</f>
        <v>5.7692307692307692</v>
      </c>
      <c r="V234">
        <f ca="1">Table1[[#This Row],[Join Date]]-Table1[[#This Row],[Job Posting Date]]</f>
        <v>55</v>
      </c>
      <c r="W234">
        <f t="shared" ca="1" si="31"/>
        <v>110</v>
      </c>
      <c r="X234" s="8">
        <f ca="1">Table1[[#This Row],[Absentee Days]]/Table1[[#This Row],[Total Work Days]]*100</f>
        <v>5.7692307692307692</v>
      </c>
      <c r="Y234">
        <f ca="1">YEAR(Table1[[#This Row],[Join Date]])</f>
        <v>2019</v>
      </c>
      <c r="Z234">
        <f ca="1">IF(Table1[[#This Row],[Status]]="Active",1,0)</f>
        <v>0</v>
      </c>
      <c r="AA234">
        <f ca="1">IF(Table1[[#This Row],[Status]]="Exited",Table1[[#This Row],[Recruitment Cost]]+Table1[[#This Row],[Onboarding Cost]]+Table1[[#This Row],[Training Cost]],0)</f>
        <v>6488</v>
      </c>
    </row>
    <row r="235" spans="1:27" x14ac:dyDescent="0.2">
      <c r="A235" t="str">
        <f t="shared" si="24"/>
        <v>E234</v>
      </c>
      <c r="B235" t="str" cm="1">
        <f t="array" aca="1" ref="B235" ca="1">INDEX(sheet2!$A$2:$A$6, RANDBETWEEN(1, 5))</f>
        <v>Sales</v>
      </c>
      <c r="C235" t="str">
        <f ca="1">_xlfn.XLOOKUP(Table1[[#This Row],[Department]],sheet2!$A$2:$A$6,sheet2!$B$2:$B$6,_xleta.NA,0)</f>
        <v>Marketing Manager</v>
      </c>
      <c r="D235" s="1">
        <f t="shared" ca="1" si="25"/>
        <v>44726</v>
      </c>
      <c r="E235" s="1">
        <f ca="1">Table1[[#This Row],[Job Posting Date]]+ RANDBETWEEN(15, 90)</f>
        <v>44794</v>
      </c>
      <c r="F235" s="1">
        <f ca="1">Table1[[#This Row],[Hire Date]]+ RANDBETWEEN(1, 15)</f>
        <v>44800</v>
      </c>
      <c r="G235" s="1" t="str">
        <f ca="1">IF(RAND() &lt; 0.5,  Table1[[#This Row],[Join Date]]+ RANDBETWEEN(30, TODAY()- Table1[[#This Row],[Join Date]]), "-")</f>
        <v>-</v>
      </c>
      <c r="H235" t="str">
        <f ca="1">IF(Table1[[#This Row],[Exit Date]]= "-", "Active", "Exited")</f>
        <v>Active</v>
      </c>
      <c r="I235" s="5">
        <f t="shared" ca="1" si="26"/>
        <v>4779</v>
      </c>
      <c r="J235" t="str" cm="1">
        <f t="array" aca="1" ref="J235" ca="1">INDEX(sheet2!$C$2:$C$6, RANDBETWEEN(1, 5))</f>
        <v>Ethics and Responsibilities</v>
      </c>
      <c r="K235" t="str">
        <f t="shared" ca="1" si="27"/>
        <v>Not Completed</v>
      </c>
      <c r="L235">
        <v>260</v>
      </c>
      <c r="M235">
        <f t="shared" ca="1" si="28"/>
        <v>16</v>
      </c>
      <c r="N235" t="str">
        <f t="shared" ca="1" si="29"/>
        <v>Male</v>
      </c>
      <c r="O235" s="6">
        <f t="shared" ca="1" si="30"/>
        <v>2471</v>
      </c>
      <c r="P235">
        <f ca="1">Table1[[#This Row],[Hire Date]]-Table1[[#This Row],[Job Posting Date]]</f>
        <v>68</v>
      </c>
      <c r="Q235" s="7">
        <f ca="1">Table1[[#This Row],[Join Date]]-Table1[[#This Row],[Hire Date]]</f>
        <v>6</v>
      </c>
      <c r="R235" s="8">
        <f ca="1">(IF(Table1[[#This Row],[Status]]="Exited",Table1[[#This Row],[Exit Date]]-Table1[[#This Row],[Join Date]],TODAY()-Table1[[#This Row],[Join Date]]))/30</f>
        <v>29.433333333333334</v>
      </c>
      <c r="S235">
        <f ca="1">Table1[[#This Row],[Hire Date]]-Table1[[#This Row],[Job Posting Date]]</f>
        <v>68</v>
      </c>
      <c r="T235" s="7">
        <f ca="1">Table1[[#This Row],[Time to Onboard]]/Table1[[#This Row],[Time to Fill]]*100</f>
        <v>8.8235294117647065</v>
      </c>
      <c r="U235" s="8">
        <f ca="1">Table1[[#This Row],[Time to Onboard]]/Table1[[#This Row],[Time to Fill]]*100</f>
        <v>8.8235294117647065</v>
      </c>
      <c r="V235">
        <f ca="1">Table1[[#This Row],[Join Date]]-Table1[[#This Row],[Job Posting Date]]</f>
        <v>74</v>
      </c>
      <c r="W235">
        <f t="shared" ca="1" si="31"/>
        <v>102</v>
      </c>
      <c r="X235" s="8">
        <f ca="1">Table1[[#This Row],[Absentee Days]]/Table1[[#This Row],[Total Work Days]]*100</f>
        <v>6.1538461538461542</v>
      </c>
      <c r="Y235">
        <f ca="1">YEAR(Table1[[#This Row],[Join Date]])</f>
        <v>2022</v>
      </c>
      <c r="Z235">
        <f ca="1">IF(Table1[[#This Row],[Status]]="Active",1,0)</f>
        <v>1</v>
      </c>
      <c r="AA235">
        <f ca="1">IF(Table1[[#This Row],[Status]]="Exited",Table1[[#This Row],[Recruitment Cost]]+Table1[[#This Row],[Onboarding Cost]]+Table1[[#This Row],[Training Cost]],0)</f>
        <v>0</v>
      </c>
    </row>
    <row r="236" spans="1:27" x14ac:dyDescent="0.2">
      <c r="A236" t="str">
        <f t="shared" si="24"/>
        <v>E235</v>
      </c>
      <c r="B236" t="str" cm="1">
        <f t="array" aca="1" ref="B236" ca="1">INDEX(sheet2!$A$2:$A$6, RANDBETWEEN(1, 5))</f>
        <v>IT</v>
      </c>
      <c r="C236" t="str">
        <f ca="1">_xlfn.XLOOKUP(Table1[[#This Row],[Department]],sheet2!$A$2:$A$6,sheet2!$B$2:$B$6,_xleta.NA,0)</f>
        <v>Software Engineer</v>
      </c>
      <c r="D236" s="1">
        <f t="shared" ca="1" si="25"/>
        <v>44635</v>
      </c>
      <c r="E236" s="1">
        <f ca="1">Table1[[#This Row],[Job Posting Date]]+ RANDBETWEEN(15, 90)</f>
        <v>44681</v>
      </c>
      <c r="F236" s="1">
        <f ca="1">Table1[[#This Row],[Hire Date]]+ RANDBETWEEN(1, 15)</f>
        <v>44691</v>
      </c>
      <c r="G236" s="1">
        <f ca="1">IF(RAND() &lt; 0.5,  Table1[[#This Row],[Join Date]]+ RANDBETWEEN(30, TODAY()- Table1[[#This Row],[Join Date]]), "-")</f>
        <v>45622</v>
      </c>
      <c r="H236" t="str">
        <f ca="1">IF(Table1[[#This Row],[Exit Date]]= "-", "Active", "Exited")</f>
        <v>Exited</v>
      </c>
      <c r="I236" s="5">
        <f t="shared" ca="1" si="26"/>
        <v>2275</v>
      </c>
      <c r="J236" t="str" cm="1">
        <f t="array" aca="1" ref="J236" ca="1">INDEX(sheet2!$C$2:$C$6, RANDBETWEEN(1, 5))</f>
        <v>Communication Skills</v>
      </c>
      <c r="K236" t="str">
        <f t="shared" ca="1" si="27"/>
        <v>Completed</v>
      </c>
      <c r="L236">
        <v>260</v>
      </c>
      <c r="M236">
        <f t="shared" ca="1" si="28"/>
        <v>20</v>
      </c>
      <c r="N236" t="str">
        <f t="shared" ca="1" si="29"/>
        <v>Male</v>
      </c>
      <c r="O236" s="6">
        <f t="shared" ca="1" si="30"/>
        <v>1739</v>
      </c>
      <c r="P236">
        <f ca="1">Table1[[#This Row],[Hire Date]]-Table1[[#This Row],[Job Posting Date]]</f>
        <v>46</v>
      </c>
      <c r="Q236" s="7">
        <f ca="1">Table1[[#This Row],[Join Date]]-Table1[[#This Row],[Hire Date]]</f>
        <v>10</v>
      </c>
      <c r="R236" s="8">
        <f ca="1">(IF(Table1[[#This Row],[Status]]="Exited",Table1[[#This Row],[Exit Date]]-Table1[[#This Row],[Join Date]],TODAY()-Table1[[#This Row],[Join Date]]))/30</f>
        <v>31.033333333333335</v>
      </c>
      <c r="S236">
        <f ca="1">Table1[[#This Row],[Hire Date]]-Table1[[#This Row],[Job Posting Date]]</f>
        <v>46</v>
      </c>
      <c r="T236" s="7">
        <f ca="1">Table1[[#This Row],[Time to Onboard]]/Table1[[#This Row],[Time to Fill]]*100</f>
        <v>21.739130434782609</v>
      </c>
      <c r="U236" s="8">
        <f ca="1">Table1[[#This Row],[Time to Onboard]]/Table1[[#This Row],[Time to Fill]]*100</f>
        <v>21.739130434782609</v>
      </c>
      <c r="V236">
        <f ca="1">Table1[[#This Row],[Join Date]]-Table1[[#This Row],[Job Posting Date]]</f>
        <v>56</v>
      </c>
      <c r="W236">
        <f t="shared" ca="1" si="31"/>
        <v>170</v>
      </c>
      <c r="X236" s="8">
        <f ca="1">Table1[[#This Row],[Absentee Days]]/Table1[[#This Row],[Total Work Days]]*100</f>
        <v>7.6923076923076925</v>
      </c>
      <c r="Y236">
        <f ca="1">YEAR(Table1[[#This Row],[Join Date]])</f>
        <v>2022</v>
      </c>
      <c r="Z236">
        <f ca="1">IF(Table1[[#This Row],[Status]]="Active",1,0)</f>
        <v>0</v>
      </c>
      <c r="AA236">
        <f ca="1">IF(Table1[[#This Row],[Status]]="Exited",Table1[[#This Row],[Recruitment Cost]]+Table1[[#This Row],[Onboarding Cost]]+Table1[[#This Row],[Training Cost]],0)</f>
        <v>4184</v>
      </c>
    </row>
    <row r="237" spans="1:27" x14ac:dyDescent="0.2">
      <c r="A237" t="str">
        <f t="shared" si="24"/>
        <v>E236</v>
      </c>
      <c r="B237" t="str" cm="1">
        <f t="array" aca="1" ref="B237" ca="1">INDEX(sheet2!$A$2:$A$6, RANDBETWEEN(1, 5))</f>
        <v>IT</v>
      </c>
      <c r="C237" t="str">
        <f ca="1">_xlfn.XLOOKUP(Table1[[#This Row],[Department]],sheet2!$A$2:$A$6,sheet2!$B$2:$B$6,_xleta.NA,0)</f>
        <v>Software Engineer</v>
      </c>
      <c r="D237" s="1">
        <f t="shared" ca="1" si="25"/>
        <v>43572</v>
      </c>
      <c r="E237" s="1">
        <f ca="1">Table1[[#This Row],[Job Posting Date]]+ RANDBETWEEN(15, 90)</f>
        <v>43649</v>
      </c>
      <c r="F237" s="1">
        <f ca="1">Table1[[#This Row],[Hire Date]]+ RANDBETWEEN(1, 15)</f>
        <v>43658</v>
      </c>
      <c r="G237" s="1">
        <f ca="1">IF(RAND() &lt; 0.5,  Table1[[#This Row],[Join Date]]+ RANDBETWEEN(30, TODAY()- Table1[[#This Row],[Join Date]]), "-")</f>
        <v>44817</v>
      </c>
      <c r="H237" t="str">
        <f ca="1">IF(Table1[[#This Row],[Exit Date]]= "-", "Active", "Exited")</f>
        <v>Exited</v>
      </c>
      <c r="I237" s="5">
        <f t="shared" ca="1" si="26"/>
        <v>3610</v>
      </c>
      <c r="J237" t="str" cm="1">
        <f t="array" aca="1" ref="J237" ca="1">INDEX(sheet2!$C$2:$C$6, RANDBETWEEN(1, 5))</f>
        <v>Leadership Development</v>
      </c>
      <c r="K237" t="str">
        <f t="shared" ca="1" si="27"/>
        <v>Completed</v>
      </c>
      <c r="L237">
        <v>260</v>
      </c>
      <c r="M237">
        <f t="shared" ca="1" si="28"/>
        <v>20</v>
      </c>
      <c r="N237" t="str">
        <f t="shared" ca="1" si="29"/>
        <v>Other</v>
      </c>
      <c r="O237" s="6">
        <f t="shared" ca="1" si="30"/>
        <v>2248</v>
      </c>
      <c r="P237">
        <f ca="1">Table1[[#This Row],[Hire Date]]-Table1[[#This Row],[Job Posting Date]]</f>
        <v>77</v>
      </c>
      <c r="Q237" s="7">
        <f ca="1">Table1[[#This Row],[Join Date]]-Table1[[#This Row],[Hire Date]]</f>
        <v>9</v>
      </c>
      <c r="R237" s="8">
        <f ca="1">(IF(Table1[[#This Row],[Status]]="Exited",Table1[[#This Row],[Exit Date]]-Table1[[#This Row],[Join Date]],TODAY()-Table1[[#This Row],[Join Date]]))/30</f>
        <v>38.633333333333333</v>
      </c>
      <c r="S237">
        <f ca="1">Table1[[#This Row],[Hire Date]]-Table1[[#This Row],[Job Posting Date]]</f>
        <v>77</v>
      </c>
      <c r="T237" s="7">
        <f ca="1">Table1[[#This Row],[Time to Onboard]]/Table1[[#This Row],[Time to Fill]]*100</f>
        <v>11.688311688311687</v>
      </c>
      <c r="U237" s="8">
        <f ca="1">Table1[[#This Row],[Time to Onboard]]/Table1[[#This Row],[Time to Fill]]*100</f>
        <v>11.688311688311687</v>
      </c>
      <c r="V237">
        <f ca="1">Table1[[#This Row],[Join Date]]-Table1[[#This Row],[Job Posting Date]]</f>
        <v>86</v>
      </c>
      <c r="W237">
        <f t="shared" ca="1" si="31"/>
        <v>197</v>
      </c>
      <c r="X237" s="8">
        <f ca="1">Table1[[#This Row],[Absentee Days]]/Table1[[#This Row],[Total Work Days]]*100</f>
        <v>7.6923076923076925</v>
      </c>
      <c r="Y237">
        <f ca="1">YEAR(Table1[[#This Row],[Join Date]])</f>
        <v>2019</v>
      </c>
      <c r="Z237">
        <f ca="1">IF(Table1[[#This Row],[Status]]="Active",1,0)</f>
        <v>0</v>
      </c>
      <c r="AA237">
        <f ca="1">IF(Table1[[#This Row],[Status]]="Exited",Table1[[#This Row],[Recruitment Cost]]+Table1[[#This Row],[Onboarding Cost]]+Table1[[#This Row],[Training Cost]],0)</f>
        <v>6055</v>
      </c>
    </row>
    <row r="238" spans="1:27" x14ac:dyDescent="0.2">
      <c r="A238" t="str">
        <f t="shared" si="24"/>
        <v>E237</v>
      </c>
      <c r="B238" t="str" cm="1">
        <f t="array" aca="1" ref="B238" ca="1">INDEX(sheet2!$A$2:$A$6, RANDBETWEEN(1, 5))</f>
        <v>Finance</v>
      </c>
      <c r="C238" t="str">
        <f ca="1">_xlfn.XLOOKUP(Table1[[#This Row],[Department]],sheet2!$A$2:$A$6,sheet2!$B$2:$B$6,_xleta.NA,0)</f>
        <v>Finance Manager</v>
      </c>
      <c r="D238" s="1">
        <f t="shared" ca="1" si="25"/>
        <v>43516</v>
      </c>
      <c r="E238" s="1">
        <f ca="1">Table1[[#This Row],[Job Posting Date]]+ RANDBETWEEN(15, 90)</f>
        <v>43571</v>
      </c>
      <c r="F238" s="1">
        <f ca="1">Table1[[#This Row],[Hire Date]]+ RANDBETWEEN(1, 15)</f>
        <v>43572</v>
      </c>
      <c r="G238" s="1">
        <f ca="1">IF(RAND() &lt; 0.5,  Table1[[#This Row],[Join Date]]+ RANDBETWEEN(30, TODAY()- Table1[[#This Row],[Join Date]]), "-")</f>
        <v>45133</v>
      </c>
      <c r="H238" t="str">
        <f ca="1">IF(Table1[[#This Row],[Exit Date]]= "-", "Active", "Exited")</f>
        <v>Exited</v>
      </c>
      <c r="I238" s="5">
        <f t="shared" ca="1" si="26"/>
        <v>2272</v>
      </c>
      <c r="J238" t="str" cm="1">
        <f t="array" aca="1" ref="J238" ca="1">INDEX(sheet2!$C$2:$C$6, RANDBETWEEN(1, 5))</f>
        <v>Ethics and Responsibilities</v>
      </c>
      <c r="K238" t="str">
        <f t="shared" ca="1" si="27"/>
        <v>Completed</v>
      </c>
      <c r="L238">
        <v>260</v>
      </c>
      <c r="M238">
        <f t="shared" ca="1" si="28"/>
        <v>8</v>
      </c>
      <c r="N238" t="str">
        <f t="shared" ca="1" si="29"/>
        <v>Female</v>
      </c>
      <c r="O238" s="6">
        <f t="shared" ca="1" si="30"/>
        <v>2245</v>
      </c>
      <c r="P238">
        <f ca="1">Table1[[#This Row],[Hire Date]]-Table1[[#This Row],[Job Posting Date]]</f>
        <v>55</v>
      </c>
      <c r="Q238" s="7">
        <f ca="1">Table1[[#This Row],[Join Date]]-Table1[[#This Row],[Hire Date]]</f>
        <v>1</v>
      </c>
      <c r="R238" s="8">
        <f ca="1">(IF(Table1[[#This Row],[Status]]="Exited",Table1[[#This Row],[Exit Date]]-Table1[[#This Row],[Join Date]],TODAY()-Table1[[#This Row],[Join Date]]))/30</f>
        <v>52.033333333333331</v>
      </c>
      <c r="S238">
        <f ca="1">Table1[[#This Row],[Hire Date]]-Table1[[#This Row],[Job Posting Date]]</f>
        <v>55</v>
      </c>
      <c r="T238" s="7">
        <f ca="1">Table1[[#This Row],[Time to Onboard]]/Table1[[#This Row],[Time to Fill]]*100</f>
        <v>1.8181818181818181</v>
      </c>
      <c r="U238" s="8">
        <f ca="1">Table1[[#This Row],[Time to Onboard]]/Table1[[#This Row],[Time to Fill]]*100</f>
        <v>1.8181818181818181</v>
      </c>
      <c r="V238">
        <f ca="1">Table1[[#This Row],[Join Date]]-Table1[[#This Row],[Job Posting Date]]</f>
        <v>56</v>
      </c>
      <c r="W238">
        <f t="shared" ca="1" si="31"/>
        <v>178</v>
      </c>
      <c r="X238" s="8">
        <f ca="1">Table1[[#This Row],[Absentee Days]]/Table1[[#This Row],[Total Work Days]]*100</f>
        <v>3.0769230769230771</v>
      </c>
      <c r="Y238">
        <f ca="1">YEAR(Table1[[#This Row],[Join Date]])</f>
        <v>2019</v>
      </c>
      <c r="Z238">
        <f ca="1">IF(Table1[[#This Row],[Status]]="Active",1,0)</f>
        <v>0</v>
      </c>
      <c r="AA238">
        <f ca="1">IF(Table1[[#This Row],[Status]]="Exited",Table1[[#This Row],[Recruitment Cost]]+Table1[[#This Row],[Onboarding Cost]]+Table1[[#This Row],[Training Cost]],0)</f>
        <v>4695</v>
      </c>
    </row>
    <row r="239" spans="1:27" x14ac:dyDescent="0.2">
      <c r="A239" t="str">
        <f t="shared" si="24"/>
        <v>E238</v>
      </c>
      <c r="B239" t="str" cm="1">
        <f t="array" aca="1" ref="B239" ca="1">INDEX(sheet2!$A$2:$A$6, RANDBETWEEN(1, 5))</f>
        <v>IT</v>
      </c>
      <c r="C239" t="str">
        <f ca="1">_xlfn.XLOOKUP(Table1[[#This Row],[Department]],sheet2!$A$2:$A$6,sheet2!$B$2:$B$6,_xleta.NA,0)</f>
        <v>Software Engineer</v>
      </c>
      <c r="D239" s="1">
        <f t="shared" ca="1" si="25"/>
        <v>43916</v>
      </c>
      <c r="E239" s="1">
        <f ca="1">Table1[[#This Row],[Job Posting Date]]+ RANDBETWEEN(15, 90)</f>
        <v>43999</v>
      </c>
      <c r="F239" s="1">
        <f ca="1">Table1[[#This Row],[Hire Date]]+ RANDBETWEEN(1, 15)</f>
        <v>44014</v>
      </c>
      <c r="G239" s="1" t="str">
        <f ca="1">IF(RAND() &lt; 0.5,  Table1[[#This Row],[Join Date]]+ RANDBETWEEN(30, TODAY()- Table1[[#This Row],[Join Date]]), "-")</f>
        <v>-</v>
      </c>
      <c r="H239" t="str">
        <f ca="1">IF(Table1[[#This Row],[Exit Date]]= "-", "Active", "Exited")</f>
        <v>Active</v>
      </c>
      <c r="I239" s="5">
        <f t="shared" ca="1" si="26"/>
        <v>4632</v>
      </c>
      <c r="J239" t="str" cm="1">
        <f t="array" aca="1" ref="J239" ca="1">INDEX(sheet2!$C$2:$C$6, RANDBETWEEN(1, 5))</f>
        <v>Leadership Development</v>
      </c>
      <c r="K239" t="str">
        <f t="shared" ca="1" si="27"/>
        <v>Completed</v>
      </c>
      <c r="L239">
        <v>260</v>
      </c>
      <c r="M239">
        <f t="shared" ca="1" si="28"/>
        <v>20</v>
      </c>
      <c r="N239" t="str">
        <f t="shared" ca="1" si="29"/>
        <v>Other</v>
      </c>
      <c r="O239" s="6">
        <f t="shared" ca="1" si="30"/>
        <v>1260</v>
      </c>
      <c r="P239">
        <f ca="1">Table1[[#This Row],[Hire Date]]-Table1[[#This Row],[Job Posting Date]]</f>
        <v>83</v>
      </c>
      <c r="Q239" s="7">
        <f ca="1">Table1[[#This Row],[Join Date]]-Table1[[#This Row],[Hire Date]]</f>
        <v>15</v>
      </c>
      <c r="R239" s="8">
        <f ca="1">(IF(Table1[[#This Row],[Status]]="Exited",Table1[[#This Row],[Exit Date]]-Table1[[#This Row],[Join Date]],TODAY()-Table1[[#This Row],[Join Date]]))/30</f>
        <v>55.633333333333333</v>
      </c>
      <c r="S239">
        <f ca="1">Table1[[#This Row],[Hire Date]]-Table1[[#This Row],[Job Posting Date]]</f>
        <v>83</v>
      </c>
      <c r="T239" s="7">
        <f ca="1">Table1[[#This Row],[Time to Onboard]]/Table1[[#This Row],[Time to Fill]]*100</f>
        <v>18.072289156626507</v>
      </c>
      <c r="U239" s="8">
        <f ca="1">Table1[[#This Row],[Time to Onboard]]/Table1[[#This Row],[Time to Fill]]*100</f>
        <v>18.072289156626507</v>
      </c>
      <c r="V239">
        <f ca="1">Table1[[#This Row],[Join Date]]-Table1[[#This Row],[Job Posting Date]]</f>
        <v>98</v>
      </c>
      <c r="W239">
        <f t="shared" ca="1" si="31"/>
        <v>138</v>
      </c>
      <c r="X239" s="8">
        <f ca="1">Table1[[#This Row],[Absentee Days]]/Table1[[#This Row],[Total Work Days]]*100</f>
        <v>7.6923076923076925</v>
      </c>
      <c r="Y239">
        <f ca="1">YEAR(Table1[[#This Row],[Join Date]])</f>
        <v>2020</v>
      </c>
      <c r="Z239">
        <f ca="1">IF(Table1[[#This Row],[Status]]="Active",1,0)</f>
        <v>1</v>
      </c>
      <c r="AA239">
        <f ca="1">IF(Table1[[#This Row],[Status]]="Exited",Table1[[#This Row],[Recruitment Cost]]+Table1[[#This Row],[Onboarding Cost]]+Table1[[#This Row],[Training Cost]],0)</f>
        <v>0</v>
      </c>
    </row>
    <row r="240" spans="1:27" x14ac:dyDescent="0.2">
      <c r="A240" t="str">
        <f t="shared" si="24"/>
        <v>E239</v>
      </c>
      <c r="B240" t="str" cm="1">
        <f t="array" aca="1" ref="B240" ca="1">INDEX(sheet2!$A$2:$A$6, RANDBETWEEN(1, 5))</f>
        <v>Finance</v>
      </c>
      <c r="C240" t="str">
        <f ca="1">_xlfn.XLOOKUP(Table1[[#This Row],[Department]],sheet2!$A$2:$A$6,sheet2!$B$2:$B$6,_xleta.NA,0)</f>
        <v>Finance Manager</v>
      </c>
      <c r="D240" s="1">
        <f t="shared" ca="1" si="25"/>
        <v>44664</v>
      </c>
      <c r="E240" s="1">
        <f ca="1">Table1[[#This Row],[Job Posting Date]]+ RANDBETWEEN(15, 90)</f>
        <v>44752</v>
      </c>
      <c r="F240" s="1">
        <f ca="1">Table1[[#This Row],[Hire Date]]+ RANDBETWEEN(1, 15)</f>
        <v>44767</v>
      </c>
      <c r="G240" s="1" t="str">
        <f ca="1">IF(RAND() &lt; 0.5,  Table1[[#This Row],[Join Date]]+ RANDBETWEEN(30, TODAY()- Table1[[#This Row],[Join Date]]), "-")</f>
        <v>-</v>
      </c>
      <c r="H240" t="str">
        <f ca="1">IF(Table1[[#This Row],[Exit Date]]= "-", "Active", "Exited")</f>
        <v>Active</v>
      </c>
      <c r="I240" s="5">
        <f t="shared" ca="1" si="26"/>
        <v>3974</v>
      </c>
      <c r="J240" t="str" cm="1">
        <f t="array" aca="1" ref="J240" ca="1">INDEX(sheet2!$C$2:$C$6, RANDBETWEEN(1, 5))</f>
        <v>Communication Skills</v>
      </c>
      <c r="K240" t="str">
        <f t="shared" ca="1" si="27"/>
        <v>Completed</v>
      </c>
      <c r="L240">
        <v>260</v>
      </c>
      <c r="M240">
        <f t="shared" ca="1" si="28"/>
        <v>2</v>
      </c>
      <c r="N240" t="str">
        <f t="shared" ca="1" si="29"/>
        <v>Other</v>
      </c>
      <c r="O240" s="6">
        <f t="shared" ca="1" si="30"/>
        <v>2035</v>
      </c>
      <c r="P240">
        <f ca="1">Table1[[#This Row],[Hire Date]]-Table1[[#This Row],[Job Posting Date]]</f>
        <v>88</v>
      </c>
      <c r="Q240" s="7">
        <f ca="1">Table1[[#This Row],[Join Date]]-Table1[[#This Row],[Hire Date]]</f>
        <v>15</v>
      </c>
      <c r="R240" s="8">
        <f ca="1">(IF(Table1[[#This Row],[Status]]="Exited",Table1[[#This Row],[Exit Date]]-Table1[[#This Row],[Join Date]],TODAY()-Table1[[#This Row],[Join Date]]))/30</f>
        <v>30.533333333333335</v>
      </c>
      <c r="S240">
        <f ca="1">Table1[[#This Row],[Hire Date]]-Table1[[#This Row],[Job Posting Date]]</f>
        <v>88</v>
      </c>
      <c r="T240" s="7">
        <f ca="1">Table1[[#This Row],[Time to Onboard]]/Table1[[#This Row],[Time to Fill]]*100</f>
        <v>17.045454545454543</v>
      </c>
      <c r="U240" s="8">
        <f ca="1">Table1[[#This Row],[Time to Onboard]]/Table1[[#This Row],[Time to Fill]]*100</f>
        <v>17.045454545454543</v>
      </c>
      <c r="V240">
        <f ca="1">Table1[[#This Row],[Join Date]]-Table1[[#This Row],[Job Posting Date]]</f>
        <v>103</v>
      </c>
      <c r="W240">
        <f t="shared" ca="1" si="31"/>
        <v>189</v>
      </c>
      <c r="X240" s="8">
        <f ca="1">Table1[[#This Row],[Absentee Days]]/Table1[[#This Row],[Total Work Days]]*100</f>
        <v>0.76923076923076927</v>
      </c>
      <c r="Y240">
        <f ca="1">YEAR(Table1[[#This Row],[Join Date]])</f>
        <v>2022</v>
      </c>
      <c r="Z240">
        <f ca="1">IF(Table1[[#This Row],[Status]]="Active",1,0)</f>
        <v>1</v>
      </c>
      <c r="AA240">
        <f ca="1">IF(Table1[[#This Row],[Status]]="Exited",Table1[[#This Row],[Recruitment Cost]]+Table1[[#This Row],[Onboarding Cost]]+Table1[[#This Row],[Training Cost]],0)</f>
        <v>0</v>
      </c>
    </row>
    <row r="241" spans="1:27" x14ac:dyDescent="0.2">
      <c r="A241" t="str">
        <f t="shared" si="24"/>
        <v>E240</v>
      </c>
      <c r="B241" t="str" cm="1">
        <f t="array" aca="1" ref="B241" ca="1">INDEX(sheet2!$A$2:$A$6, RANDBETWEEN(1, 5))</f>
        <v>Sales</v>
      </c>
      <c r="C241" t="str">
        <f ca="1">_xlfn.XLOOKUP(Table1[[#This Row],[Department]],sheet2!$A$2:$A$6,sheet2!$B$2:$B$6,_xleta.NA,0)</f>
        <v>Marketing Manager</v>
      </c>
      <c r="D241" s="1">
        <f t="shared" ca="1" si="25"/>
        <v>43501</v>
      </c>
      <c r="E241" s="1">
        <f ca="1">Table1[[#This Row],[Job Posting Date]]+ RANDBETWEEN(15, 90)</f>
        <v>43541</v>
      </c>
      <c r="F241" s="1">
        <f ca="1">Table1[[#This Row],[Hire Date]]+ RANDBETWEEN(1, 15)</f>
        <v>43542</v>
      </c>
      <c r="G241" s="1">
        <f ca="1">IF(RAND() &lt; 0.5,  Table1[[#This Row],[Join Date]]+ RANDBETWEEN(30, TODAY()- Table1[[#This Row],[Join Date]]), "-")</f>
        <v>44449</v>
      </c>
      <c r="H241" t="str">
        <f ca="1">IF(Table1[[#This Row],[Exit Date]]= "-", "Active", "Exited")</f>
        <v>Exited</v>
      </c>
      <c r="I241" s="5">
        <f t="shared" ca="1" si="26"/>
        <v>4040</v>
      </c>
      <c r="J241" t="str" cm="1">
        <f t="array" aca="1" ref="J241" ca="1">INDEX(sheet2!$C$2:$C$6, RANDBETWEEN(1, 5))</f>
        <v>Ethics and Responsibilities</v>
      </c>
      <c r="K241" t="str">
        <f t="shared" ca="1" si="27"/>
        <v>Completed</v>
      </c>
      <c r="L241">
        <v>260</v>
      </c>
      <c r="M241">
        <f t="shared" ca="1" si="28"/>
        <v>0</v>
      </c>
      <c r="N241" t="str">
        <f t="shared" ca="1" si="29"/>
        <v>Male</v>
      </c>
      <c r="O241" s="6">
        <f t="shared" ca="1" si="30"/>
        <v>1550</v>
      </c>
      <c r="P241">
        <f ca="1">Table1[[#This Row],[Hire Date]]-Table1[[#This Row],[Job Posting Date]]</f>
        <v>40</v>
      </c>
      <c r="Q241" s="7">
        <f ca="1">Table1[[#This Row],[Join Date]]-Table1[[#This Row],[Hire Date]]</f>
        <v>1</v>
      </c>
      <c r="R241" s="8">
        <f ca="1">(IF(Table1[[#This Row],[Status]]="Exited",Table1[[#This Row],[Exit Date]]-Table1[[#This Row],[Join Date]],TODAY()-Table1[[#This Row],[Join Date]]))/30</f>
        <v>30.233333333333334</v>
      </c>
      <c r="S241">
        <f ca="1">Table1[[#This Row],[Hire Date]]-Table1[[#This Row],[Job Posting Date]]</f>
        <v>40</v>
      </c>
      <c r="T241" s="7">
        <f ca="1">Table1[[#This Row],[Time to Onboard]]/Table1[[#This Row],[Time to Fill]]*100</f>
        <v>2.5</v>
      </c>
      <c r="U241" s="8">
        <f ca="1">Table1[[#This Row],[Time to Onboard]]/Table1[[#This Row],[Time to Fill]]*100</f>
        <v>2.5</v>
      </c>
      <c r="V241">
        <f ca="1">Table1[[#This Row],[Join Date]]-Table1[[#This Row],[Job Posting Date]]</f>
        <v>41</v>
      </c>
      <c r="W241">
        <f t="shared" ca="1" si="31"/>
        <v>192</v>
      </c>
      <c r="X241" s="8">
        <f ca="1">Table1[[#This Row],[Absentee Days]]/Table1[[#This Row],[Total Work Days]]*100</f>
        <v>0</v>
      </c>
      <c r="Y241">
        <f ca="1">YEAR(Table1[[#This Row],[Join Date]])</f>
        <v>2019</v>
      </c>
      <c r="Z241">
        <f ca="1">IF(Table1[[#This Row],[Status]]="Active",1,0)</f>
        <v>0</v>
      </c>
      <c r="AA241">
        <f ca="1">IF(Table1[[#This Row],[Status]]="Exited",Table1[[#This Row],[Recruitment Cost]]+Table1[[#This Row],[Onboarding Cost]]+Table1[[#This Row],[Training Cost]],0)</f>
        <v>5782</v>
      </c>
    </row>
    <row r="242" spans="1:27" x14ac:dyDescent="0.2">
      <c r="A242" t="str">
        <f t="shared" si="24"/>
        <v>E241</v>
      </c>
      <c r="B242" t="str" cm="1">
        <f t="array" aca="1" ref="B242" ca="1">INDEX(sheet2!$A$2:$A$6, RANDBETWEEN(1, 5))</f>
        <v>Finance</v>
      </c>
      <c r="C242" t="str">
        <f ca="1">_xlfn.XLOOKUP(Table1[[#This Row],[Department]],sheet2!$A$2:$A$6,sheet2!$B$2:$B$6,_xleta.NA,0)</f>
        <v>Finance Manager</v>
      </c>
      <c r="D242" s="1">
        <f t="shared" ca="1" si="25"/>
        <v>43164</v>
      </c>
      <c r="E242" s="1">
        <f ca="1">Table1[[#This Row],[Job Posting Date]]+ RANDBETWEEN(15, 90)</f>
        <v>43218</v>
      </c>
      <c r="F242" s="1">
        <f ca="1">Table1[[#This Row],[Hire Date]]+ RANDBETWEEN(1, 15)</f>
        <v>43229</v>
      </c>
      <c r="G242" s="1" t="str">
        <f ca="1">IF(RAND() &lt; 0.5,  Table1[[#This Row],[Join Date]]+ RANDBETWEEN(30, TODAY()- Table1[[#This Row],[Join Date]]), "-")</f>
        <v>-</v>
      </c>
      <c r="H242" t="str">
        <f ca="1">IF(Table1[[#This Row],[Exit Date]]= "-", "Active", "Exited")</f>
        <v>Active</v>
      </c>
      <c r="I242" s="5">
        <f t="shared" ca="1" si="26"/>
        <v>4401</v>
      </c>
      <c r="J242" t="str" cm="1">
        <f t="array" aca="1" ref="J242" ca="1">INDEX(sheet2!$C$2:$C$6, RANDBETWEEN(1, 5))</f>
        <v>Conflict Resolution</v>
      </c>
      <c r="K242" t="str">
        <f t="shared" ca="1" si="27"/>
        <v>Not Completed</v>
      </c>
      <c r="L242">
        <v>260</v>
      </c>
      <c r="M242">
        <f t="shared" ca="1" si="28"/>
        <v>17</v>
      </c>
      <c r="N242" t="str">
        <f t="shared" ca="1" si="29"/>
        <v>Male</v>
      </c>
      <c r="O242" s="6">
        <f t="shared" ca="1" si="30"/>
        <v>1739</v>
      </c>
      <c r="P242">
        <f ca="1">Table1[[#This Row],[Hire Date]]-Table1[[#This Row],[Job Posting Date]]</f>
        <v>54</v>
      </c>
      <c r="Q242" s="7">
        <f ca="1">Table1[[#This Row],[Join Date]]-Table1[[#This Row],[Hire Date]]</f>
        <v>11</v>
      </c>
      <c r="R242" s="8">
        <f ca="1">(IF(Table1[[#This Row],[Status]]="Exited",Table1[[#This Row],[Exit Date]]-Table1[[#This Row],[Join Date]],TODAY()-Table1[[#This Row],[Join Date]]))/30</f>
        <v>81.8</v>
      </c>
      <c r="S242">
        <f ca="1">Table1[[#This Row],[Hire Date]]-Table1[[#This Row],[Job Posting Date]]</f>
        <v>54</v>
      </c>
      <c r="T242" s="7">
        <f ca="1">Table1[[#This Row],[Time to Onboard]]/Table1[[#This Row],[Time to Fill]]*100</f>
        <v>20.37037037037037</v>
      </c>
      <c r="U242" s="8">
        <f ca="1">Table1[[#This Row],[Time to Onboard]]/Table1[[#This Row],[Time to Fill]]*100</f>
        <v>20.37037037037037</v>
      </c>
      <c r="V242">
        <f ca="1">Table1[[#This Row],[Join Date]]-Table1[[#This Row],[Job Posting Date]]</f>
        <v>65</v>
      </c>
      <c r="W242">
        <f t="shared" ca="1" si="31"/>
        <v>119</v>
      </c>
      <c r="X242" s="8">
        <f ca="1">Table1[[#This Row],[Absentee Days]]/Table1[[#This Row],[Total Work Days]]*100</f>
        <v>6.5384615384615392</v>
      </c>
      <c r="Y242">
        <f ca="1">YEAR(Table1[[#This Row],[Join Date]])</f>
        <v>2018</v>
      </c>
      <c r="Z242">
        <f ca="1">IF(Table1[[#This Row],[Status]]="Active",1,0)</f>
        <v>1</v>
      </c>
      <c r="AA242">
        <f ca="1">IF(Table1[[#This Row],[Status]]="Exited",Table1[[#This Row],[Recruitment Cost]]+Table1[[#This Row],[Onboarding Cost]]+Table1[[#This Row],[Training Cost]],0)</f>
        <v>0</v>
      </c>
    </row>
    <row r="243" spans="1:27" x14ac:dyDescent="0.2">
      <c r="A243" t="str">
        <f t="shared" si="24"/>
        <v>E242</v>
      </c>
      <c r="B243" t="str" cm="1">
        <f t="array" aca="1" ref="B243" ca="1">INDEX(sheet2!$A$2:$A$6, RANDBETWEEN(1, 5))</f>
        <v>Sales</v>
      </c>
      <c r="C243" t="str">
        <f ca="1">_xlfn.XLOOKUP(Table1[[#This Row],[Department]],sheet2!$A$2:$A$6,sheet2!$B$2:$B$6,_xleta.NA,0)</f>
        <v>Marketing Manager</v>
      </c>
      <c r="D243" s="1">
        <f t="shared" ca="1" si="25"/>
        <v>44798</v>
      </c>
      <c r="E243" s="1">
        <f ca="1">Table1[[#This Row],[Job Posting Date]]+ RANDBETWEEN(15, 90)</f>
        <v>44827</v>
      </c>
      <c r="F243" s="1">
        <f ca="1">Table1[[#This Row],[Hire Date]]+ RANDBETWEEN(1, 15)</f>
        <v>44837</v>
      </c>
      <c r="G243" s="1">
        <f ca="1">IF(RAND() &lt; 0.5,  Table1[[#This Row],[Join Date]]+ RANDBETWEEN(30, TODAY()- Table1[[#This Row],[Join Date]]), "-")</f>
        <v>45660</v>
      </c>
      <c r="H243" t="str">
        <f ca="1">IF(Table1[[#This Row],[Exit Date]]= "-", "Active", "Exited")</f>
        <v>Exited</v>
      </c>
      <c r="I243" s="5">
        <f t="shared" ca="1" si="26"/>
        <v>1953</v>
      </c>
      <c r="J243" t="str" cm="1">
        <f t="array" aca="1" ref="J243" ca="1">INDEX(sheet2!$C$2:$C$6, RANDBETWEEN(1, 5))</f>
        <v>Communication Skills</v>
      </c>
      <c r="K243" t="str">
        <f t="shared" ca="1" si="27"/>
        <v>Completed</v>
      </c>
      <c r="L243">
        <v>260</v>
      </c>
      <c r="M243">
        <f t="shared" ca="1" si="28"/>
        <v>7</v>
      </c>
      <c r="N243" t="str">
        <f t="shared" ca="1" si="29"/>
        <v>Male</v>
      </c>
      <c r="O243" s="6">
        <f t="shared" ca="1" si="30"/>
        <v>1755</v>
      </c>
      <c r="P243">
        <f ca="1">Table1[[#This Row],[Hire Date]]-Table1[[#This Row],[Job Posting Date]]</f>
        <v>29</v>
      </c>
      <c r="Q243" s="7">
        <f ca="1">Table1[[#This Row],[Join Date]]-Table1[[#This Row],[Hire Date]]</f>
        <v>10</v>
      </c>
      <c r="R243" s="8">
        <f ca="1">(IF(Table1[[#This Row],[Status]]="Exited",Table1[[#This Row],[Exit Date]]-Table1[[#This Row],[Join Date]],TODAY()-Table1[[#This Row],[Join Date]]))/30</f>
        <v>27.433333333333334</v>
      </c>
      <c r="S243">
        <f ca="1">Table1[[#This Row],[Hire Date]]-Table1[[#This Row],[Job Posting Date]]</f>
        <v>29</v>
      </c>
      <c r="T243" s="7">
        <f ca="1">Table1[[#This Row],[Time to Onboard]]/Table1[[#This Row],[Time to Fill]]*100</f>
        <v>34.482758620689658</v>
      </c>
      <c r="U243" s="8">
        <f ca="1">Table1[[#This Row],[Time to Onboard]]/Table1[[#This Row],[Time to Fill]]*100</f>
        <v>34.482758620689658</v>
      </c>
      <c r="V243">
        <f ca="1">Table1[[#This Row],[Join Date]]-Table1[[#This Row],[Job Posting Date]]</f>
        <v>39</v>
      </c>
      <c r="W243">
        <f t="shared" ca="1" si="31"/>
        <v>119</v>
      </c>
      <c r="X243" s="8">
        <f ca="1">Table1[[#This Row],[Absentee Days]]/Table1[[#This Row],[Total Work Days]]*100</f>
        <v>2.6923076923076925</v>
      </c>
      <c r="Y243">
        <f ca="1">YEAR(Table1[[#This Row],[Join Date]])</f>
        <v>2022</v>
      </c>
      <c r="Z243">
        <f ca="1">IF(Table1[[#This Row],[Status]]="Active",1,0)</f>
        <v>0</v>
      </c>
      <c r="AA243">
        <f ca="1">IF(Table1[[#This Row],[Status]]="Exited",Table1[[#This Row],[Recruitment Cost]]+Table1[[#This Row],[Onboarding Cost]]+Table1[[#This Row],[Training Cost]],0)</f>
        <v>3827</v>
      </c>
    </row>
    <row r="244" spans="1:27" x14ac:dyDescent="0.2">
      <c r="A244" t="str">
        <f t="shared" si="24"/>
        <v>E243</v>
      </c>
      <c r="B244" t="str" cm="1">
        <f t="array" aca="1" ref="B244" ca="1">INDEX(sheet2!$A$2:$A$6, RANDBETWEEN(1, 5))</f>
        <v>IT</v>
      </c>
      <c r="C244" t="str">
        <f ca="1">_xlfn.XLOOKUP(Table1[[#This Row],[Department]],sheet2!$A$2:$A$6,sheet2!$B$2:$B$6,_xleta.NA,0)</f>
        <v>Software Engineer</v>
      </c>
      <c r="D244" s="1">
        <f t="shared" ca="1" si="25"/>
        <v>43979</v>
      </c>
      <c r="E244" s="1">
        <f ca="1">Table1[[#This Row],[Job Posting Date]]+ RANDBETWEEN(15, 90)</f>
        <v>44039</v>
      </c>
      <c r="F244" s="1">
        <f ca="1">Table1[[#This Row],[Hire Date]]+ RANDBETWEEN(1, 15)</f>
        <v>44054</v>
      </c>
      <c r="G244" s="1">
        <f ca="1">IF(RAND() &lt; 0.5,  Table1[[#This Row],[Join Date]]+ RANDBETWEEN(30, TODAY()- Table1[[#This Row],[Join Date]]), "-")</f>
        <v>45176</v>
      </c>
      <c r="H244" t="str">
        <f ca="1">IF(Table1[[#This Row],[Exit Date]]= "-", "Active", "Exited")</f>
        <v>Exited</v>
      </c>
      <c r="I244" s="5">
        <f t="shared" ca="1" si="26"/>
        <v>4336</v>
      </c>
      <c r="J244" t="str" cm="1">
        <f t="array" aca="1" ref="J244" ca="1">INDEX(sheet2!$C$2:$C$6, RANDBETWEEN(1, 5))</f>
        <v>Conflict Resolution</v>
      </c>
      <c r="K244" t="str">
        <f t="shared" ca="1" si="27"/>
        <v>Completed</v>
      </c>
      <c r="L244">
        <v>260</v>
      </c>
      <c r="M244">
        <f t="shared" ca="1" si="28"/>
        <v>2</v>
      </c>
      <c r="N244" t="str">
        <f t="shared" ca="1" si="29"/>
        <v>Female</v>
      </c>
      <c r="O244" s="6">
        <f t="shared" ca="1" si="30"/>
        <v>2143</v>
      </c>
      <c r="P244">
        <f ca="1">Table1[[#This Row],[Hire Date]]-Table1[[#This Row],[Job Posting Date]]</f>
        <v>60</v>
      </c>
      <c r="Q244" s="7">
        <f ca="1">Table1[[#This Row],[Join Date]]-Table1[[#This Row],[Hire Date]]</f>
        <v>15</v>
      </c>
      <c r="R244" s="8">
        <f ca="1">(IF(Table1[[#This Row],[Status]]="Exited",Table1[[#This Row],[Exit Date]]-Table1[[#This Row],[Join Date]],TODAY()-Table1[[#This Row],[Join Date]]))/30</f>
        <v>37.4</v>
      </c>
      <c r="S244">
        <f ca="1">Table1[[#This Row],[Hire Date]]-Table1[[#This Row],[Job Posting Date]]</f>
        <v>60</v>
      </c>
      <c r="T244" s="7">
        <f ca="1">Table1[[#This Row],[Time to Onboard]]/Table1[[#This Row],[Time to Fill]]*100</f>
        <v>25</v>
      </c>
      <c r="U244" s="8">
        <f ca="1">Table1[[#This Row],[Time to Onboard]]/Table1[[#This Row],[Time to Fill]]*100</f>
        <v>25</v>
      </c>
      <c r="V244">
        <f ca="1">Table1[[#This Row],[Join Date]]-Table1[[#This Row],[Job Posting Date]]</f>
        <v>75</v>
      </c>
      <c r="W244">
        <f t="shared" ca="1" si="31"/>
        <v>187</v>
      </c>
      <c r="X244" s="8">
        <f ca="1">Table1[[#This Row],[Absentee Days]]/Table1[[#This Row],[Total Work Days]]*100</f>
        <v>0.76923076923076927</v>
      </c>
      <c r="Y244">
        <f ca="1">YEAR(Table1[[#This Row],[Join Date]])</f>
        <v>2020</v>
      </c>
      <c r="Z244">
        <f ca="1">IF(Table1[[#This Row],[Status]]="Active",1,0)</f>
        <v>0</v>
      </c>
      <c r="AA244">
        <f ca="1">IF(Table1[[#This Row],[Status]]="Exited",Table1[[#This Row],[Recruitment Cost]]+Table1[[#This Row],[Onboarding Cost]]+Table1[[#This Row],[Training Cost]],0)</f>
        <v>6666</v>
      </c>
    </row>
    <row r="245" spans="1:27" x14ac:dyDescent="0.2">
      <c r="A245" t="str">
        <f t="shared" si="24"/>
        <v>E244</v>
      </c>
      <c r="B245" t="str" cm="1">
        <f t="array" aca="1" ref="B245" ca="1">INDEX(sheet2!$A$2:$A$6, RANDBETWEEN(1, 5))</f>
        <v>Finance</v>
      </c>
      <c r="C245" t="str">
        <f ca="1">_xlfn.XLOOKUP(Table1[[#This Row],[Department]],sheet2!$A$2:$A$6,sheet2!$B$2:$B$6,_xleta.NA,0)</f>
        <v>Finance Manager</v>
      </c>
      <c r="D245" s="1">
        <f t="shared" ca="1" si="25"/>
        <v>43663</v>
      </c>
      <c r="E245" s="1">
        <f ca="1">Table1[[#This Row],[Job Posting Date]]+ RANDBETWEEN(15, 90)</f>
        <v>43725</v>
      </c>
      <c r="F245" s="1">
        <f ca="1">Table1[[#This Row],[Hire Date]]+ RANDBETWEEN(1, 15)</f>
        <v>43740</v>
      </c>
      <c r="G245" s="1">
        <f ca="1">IF(RAND() &lt; 0.5,  Table1[[#This Row],[Join Date]]+ RANDBETWEEN(30, TODAY()- Table1[[#This Row],[Join Date]]), "-")</f>
        <v>44119</v>
      </c>
      <c r="H245" t="str">
        <f ca="1">IF(Table1[[#This Row],[Exit Date]]= "-", "Active", "Exited")</f>
        <v>Exited</v>
      </c>
      <c r="I245" s="5">
        <f t="shared" ca="1" si="26"/>
        <v>4052</v>
      </c>
      <c r="J245" t="str" cm="1">
        <f t="array" aca="1" ref="J245" ca="1">INDEX(sheet2!$C$2:$C$6, RANDBETWEEN(1, 5))</f>
        <v>Ethics and Responsibilities</v>
      </c>
      <c r="K245" t="str">
        <f t="shared" ca="1" si="27"/>
        <v>Not Completed</v>
      </c>
      <c r="L245">
        <v>260</v>
      </c>
      <c r="M245">
        <f t="shared" ca="1" si="28"/>
        <v>4</v>
      </c>
      <c r="N245" t="str">
        <f t="shared" ca="1" si="29"/>
        <v>Male</v>
      </c>
      <c r="O245" s="6">
        <f t="shared" ca="1" si="30"/>
        <v>1904</v>
      </c>
      <c r="P245">
        <f ca="1">Table1[[#This Row],[Hire Date]]-Table1[[#This Row],[Job Posting Date]]</f>
        <v>62</v>
      </c>
      <c r="Q245" s="7">
        <f ca="1">Table1[[#This Row],[Join Date]]-Table1[[#This Row],[Hire Date]]</f>
        <v>15</v>
      </c>
      <c r="R245" s="8">
        <f ca="1">(IF(Table1[[#This Row],[Status]]="Exited",Table1[[#This Row],[Exit Date]]-Table1[[#This Row],[Join Date]],TODAY()-Table1[[#This Row],[Join Date]]))/30</f>
        <v>12.633333333333333</v>
      </c>
      <c r="S245">
        <f ca="1">Table1[[#This Row],[Hire Date]]-Table1[[#This Row],[Job Posting Date]]</f>
        <v>62</v>
      </c>
      <c r="T245" s="7">
        <f ca="1">Table1[[#This Row],[Time to Onboard]]/Table1[[#This Row],[Time to Fill]]*100</f>
        <v>24.193548387096776</v>
      </c>
      <c r="U245" s="8">
        <f ca="1">Table1[[#This Row],[Time to Onboard]]/Table1[[#This Row],[Time to Fill]]*100</f>
        <v>24.193548387096776</v>
      </c>
      <c r="V245">
        <f ca="1">Table1[[#This Row],[Join Date]]-Table1[[#This Row],[Job Posting Date]]</f>
        <v>77</v>
      </c>
      <c r="W245">
        <f t="shared" ca="1" si="31"/>
        <v>182</v>
      </c>
      <c r="X245" s="8">
        <f ca="1">Table1[[#This Row],[Absentee Days]]/Table1[[#This Row],[Total Work Days]]*100</f>
        <v>1.5384615384615385</v>
      </c>
      <c r="Y245">
        <f ca="1">YEAR(Table1[[#This Row],[Join Date]])</f>
        <v>2019</v>
      </c>
      <c r="Z245">
        <f ca="1">IF(Table1[[#This Row],[Status]]="Active",1,0)</f>
        <v>0</v>
      </c>
      <c r="AA245">
        <f ca="1">IF(Table1[[#This Row],[Status]]="Exited",Table1[[#This Row],[Recruitment Cost]]+Table1[[#This Row],[Onboarding Cost]]+Table1[[#This Row],[Training Cost]],0)</f>
        <v>6138</v>
      </c>
    </row>
    <row r="246" spans="1:27" x14ac:dyDescent="0.2">
      <c r="A246" t="str">
        <f t="shared" si="24"/>
        <v>E245</v>
      </c>
      <c r="B246" t="str" cm="1">
        <f t="array" aca="1" ref="B246" ca="1">INDEX(sheet2!$A$2:$A$6, RANDBETWEEN(1, 5))</f>
        <v>Finance</v>
      </c>
      <c r="C246" t="str">
        <f ca="1">_xlfn.XLOOKUP(Table1[[#This Row],[Department]],sheet2!$A$2:$A$6,sheet2!$B$2:$B$6,_xleta.NA,0)</f>
        <v>Finance Manager</v>
      </c>
      <c r="D246" s="1">
        <f t="shared" ca="1" si="25"/>
        <v>43613</v>
      </c>
      <c r="E246" s="1">
        <f ca="1">Table1[[#This Row],[Job Posting Date]]+ RANDBETWEEN(15, 90)</f>
        <v>43637</v>
      </c>
      <c r="F246" s="1">
        <f ca="1">Table1[[#This Row],[Hire Date]]+ RANDBETWEEN(1, 15)</f>
        <v>43646</v>
      </c>
      <c r="G246" s="1" t="str">
        <f ca="1">IF(RAND() &lt; 0.5,  Table1[[#This Row],[Join Date]]+ RANDBETWEEN(30, TODAY()- Table1[[#This Row],[Join Date]]), "-")</f>
        <v>-</v>
      </c>
      <c r="H246" t="str">
        <f ca="1">IF(Table1[[#This Row],[Exit Date]]= "-", "Active", "Exited")</f>
        <v>Active</v>
      </c>
      <c r="I246" s="5">
        <f t="shared" ca="1" si="26"/>
        <v>2366</v>
      </c>
      <c r="J246" t="str" cm="1">
        <f t="array" aca="1" ref="J246" ca="1">INDEX(sheet2!$C$2:$C$6, RANDBETWEEN(1, 5))</f>
        <v>Ethics and Responsibilities</v>
      </c>
      <c r="K246" t="str">
        <f t="shared" ca="1" si="27"/>
        <v>Completed</v>
      </c>
      <c r="L246">
        <v>260</v>
      </c>
      <c r="M246">
        <f t="shared" ca="1" si="28"/>
        <v>16</v>
      </c>
      <c r="N246" t="str">
        <f t="shared" ca="1" si="29"/>
        <v>Other</v>
      </c>
      <c r="O246" s="6">
        <f t="shared" ca="1" si="30"/>
        <v>1721</v>
      </c>
      <c r="P246">
        <f ca="1">Table1[[#This Row],[Hire Date]]-Table1[[#This Row],[Job Posting Date]]</f>
        <v>24</v>
      </c>
      <c r="Q246" s="7">
        <f ca="1">Table1[[#This Row],[Join Date]]-Table1[[#This Row],[Hire Date]]</f>
        <v>9</v>
      </c>
      <c r="R246" s="8">
        <f ca="1">(IF(Table1[[#This Row],[Status]]="Exited",Table1[[#This Row],[Exit Date]]-Table1[[#This Row],[Join Date]],TODAY()-Table1[[#This Row],[Join Date]]))/30</f>
        <v>67.900000000000006</v>
      </c>
      <c r="S246">
        <f ca="1">Table1[[#This Row],[Hire Date]]-Table1[[#This Row],[Job Posting Date]]</f>
        <v>24</v>
      </c>
      <c r="T246" s="7">
        <f ca="1">Table1[[#This Row],[Time to Onboard]]/Table1[[#This Row],[Time to Fill]]*100</f>
        <v>37.5</v>
      </c>
      <c r="U246" s="8">
        <f ca="1">Table1[[#This Row],[Time to Onboard]]/Table1[[#This Row],[Time to Fill]]*100</f>
        <v>37.5</v>
      </c>
      <c r="V246">
        <f ca="1">Table1[[#This Row],[Join Date]]-Table1[[#This Row],[Job Posting Date]]</f>
        <v>33</v>
      </c>
      <c r="W246">
        <f t="shared" ca="1" si="31"/>
        <v>110</v>
      </c>
      <c r="X246" s="8">
        <f ca="1">Table1[[#This Row],[Absentee Days]]/Table1[[#This Row],[Total Work Days]]*100</f>
        <v>6.1538461538461542</v>
      </c>
      <c r="Y246">
        <f ca="1">YEAR(Table1[[#This Row],[Join Date]])</f>
        <v>2019</v>
      </c>
      <c r="Z246">
        <f ca="1">IF(Table1[[#This Row],[Status]]="Active",1,0)</f>
        <v>1</v>
      </c>
      <c r="AA246">
        <f ca="1">IF(Table1[[#This Row],[Status]]="Exited",Table1[[#This Row],[Recruitment Cost]]+Table1[[#This Row],[Onboarding Cost]]+Table1[[#This Row],[Training Cost]],0)</f>
        <v>0</v>
      </c>
    </row>
    <row r="247" spans="1:27" x14ac:dyDescent="0.2">
      <c r="A247" t="str">
        <f t="shared" si="24"/>
        <v>E246</v>
      </c>
      <c r="B247" t="str" cm="1">
        <f t="array" aca="1" ref="B247" ca="1">INDEX(sheet2!$A$2:$A$6, RANDBETWEEN(1, 5))</f>
        <v>IT</v>
      </c>
      <c r="C247" t="str">
        <f ca="1">_xlfn.XLOOKUP(Table1[[#This Row],[Department]],sheet2!$A$2:$A$6,sheet2!$B$2:$B$6,_xleta.NA,0)</f>
        <v>Software Engineer</v>
      </c>
      <c r="D247" s="1">
        <f t="shared" ca="1" si="25"/>
        <v>43389</v>
      </c>
      <c r="E247" s="1">
        <f ca="1">Table1[[#This Row],[Job Posting Date]]+ RANDBETWEEN(15, 90)</f>
        <v>43422</v>
      </c>
      <c r="F247" s="1">
        <f ca="1">Table1[[#This Row],[Hire Date]]+ RANDBETWEEN(1, 15)</f>
        <v>43432</v>
      </c>
      <c r="G247" s="1" t="str">
        <f ca="1">IF(RAND() &lt; 0.5,  Table1[[#This Row],[Join Date]]+ RANDBETWEEN(30, TODAY()- Table1[[#This Row],[Join Date]]), "-")</f>
        <v>-</v>
      </c>
      <c r="H247" t="str">
        <f ca="1">IF(Table1[[#This Row],[Exit Date]]= "-", "Active", "Exited")</f>
        <v>Active</v>
      </c>
      <c r="I247" s="5">
        <f t="shared" ca="1" si="26"/>
        <v>1989</v>
      </c>
      <c r="J247" t="str" cm="1">
        <f t="array" aca="1" ref="J247" ca="1">INDEX(sheet2!$C$2:$C$6, RANDBETWEEN(1, 5))</f>
        <v>Advanced Excel Skills </v>
      </c>
      <c r="K247" t="str">
        <f t="shared" ca="1" si="27"/>
        <v>Not Completed</v>
      </c>
      <c r="L247">
        <v>260</v>
      </c>
      <c r="M247">
        <f t="shared" ca="1" si="28"/>
        <v>3</v>
      </c>
      <c r="N247" t="str">
        <f t="shared" ca="1" si="29"/>
        <v>Other</v>
      </c>
      <c r="O247" s="6">
        <f t="shared" ca="1" si="30"/>
        <v>1593</v>
      </c>
      <c r="P247">
        <f ca="1">Table1[[#This Row],[Hire Date]]-Table1[[#This Row],[Job Posting Date]]</f>
        <v>33</v>
      </c>
      <c r="Q247" s="7">
        <f ca="1">Table1[[#This Row],[Join Date]]-Table1[[#This Row],[Hire Date]]</f>
        <v>10</v>
      </c>
      <c r="R247" s="8">
        <f ca="1">(IF(Table1[[#This Row],[Status]]="Exited",Table1[[#This Row],[Exit Date]]-Table1[[#This Row],[Join Date]],TODAY()-Table1[[#This Row],[Join Date]]))/30</f>
        <v>75.033333333333331</v>
      </c>
      <c r="S247">
        <f ca="1">Table1[[#This Row],[Hire Date]]-Table1[[#This Row],[Job Posting Date]]</f>
        <v>33</v>
      </c>
      <c r="T247" s="7">
        <f ca="1">Table1[[#This Row],[Time to Onboard]]/Table1[[#This Row],[Time to Fill]]*100</f>
        <v>30.303030303030305</v>
      </c>
      <c r="U247" s="8">
        <f ca="1">Table1[[#This Row],[Time to Onboard]]/Table1[[#This Row],[Time to Fill]]*100</f>
        <v>30.303030303030305</v>
      </c>
      <c r="V247">
        <f ca="1">Table1[[#This Row],[Join Date]]-Table1[[#This Row],[Job Posting Date]]</f>
        <v>43</v>
      </c>
      <c r="W247">
        <f t="shared" ca="1" si="31"/>
        <v>170</v>
      </c>
      <c r="X247" s="8">
        <f ca="1">Table1[[#This Row],[Absentee Days]]/Table1[[#This Row],[Total Work Days]]*100</f>
        <v>1.153846153846154</v>
      </c>
      <c r="Y247">
        <f ca="1">YEAR(Table1[[#This Row],[Join Date]])</f>
        <v>2018</v>
      </c>
      <c r="Z247">
        <f ca="1">IF(Table1[[#This Row],[Status]]="Active",1,0)</f>
        <v>1</v>
      </c>
      <c r="AA247">
        <f ca="1">IF(Table1[[#This Row],[Status]]="Exited",Table1[[#This Row],[Recruitment Cost]]+Table1[[#This Row],[Onboarding Cost]]+Table1[[#This Row],[Training Cost]],0)</f>
        <v>0</v>
      </c>
    </row>
    <row r="248" spans="1:27" x14ac:dyDescent="0.2">
      <c r="A248" t="str">
        <f t="shared" si="24"/>
        <v>E247</v>
      </c>
      <c r="B248" t="str" cm="1">
        <f t="array" aca="1" ref="B248" ca="1">INDEX(sheet2!$A$2:$A$6, RANDBETWEEN(1, 5))</f>
        <v>IT</v>
      </c>
      <c r="C248" t="str">
        <f ca="1">_xlfn.XLOOKUP(Table1[[#This Row],[Department]],sheet2!$A$2:$A$6,sheet2!$B$2:$B$6,_xleta.NA,0)</f>
        <v>Software Engineer</v>
      </c>
      <c r="D248" s="1">
        <f t="shared" ca="1" si="25"/>
        <v>44758</v>
      </c>
      <c r="E248" s="1">
        <f ca="1">Table1[[#This Row],[Job Posting Date]]+ RANDBETWEEN(15, 90)</f>
        <v>44827</v>
      </c>
      <c r="F248" s="1">
        <f ca="1">Table1[[#This Row],[Hire Date]]+ RANDBETWEEN(1, 15)</f>
        <v>44833</v>
      </c>
      <c r="G248" s="1">
        <f ca="1">IF(RAND() &lt; 0.5,  Table1[[#This Row],[Join Date]]+ RANDBETWEEN(30, TODAY()- Table1[[#This Row],[Join Date]]), "-")</f>
        <v>45192</v>
      </c>
      <c r="H248" t="str">
        <f ca="1">IF(Table1[[#This Row],[Exit Date]]= "-", "Active", "Exited")</f>
        <v>Exited</v>
      </c>
      <c r="I248" s="5">
        <f t="shared" ca="1" si="26"/>
        <v>4856</v>
      </c>
      <c r="J248" t="str" cm="1">
        <f t="array" aca="1" ref="J248" ca="1">INDEX(sheet2!$C$2:$C$6, RANDBETWEEN(1, 5))</f>
        <v>Ethics and Responsibilities</v>
      </c>
      <c r="K248" t="str">
        <f t="shared" ca="1" si="27"/>
        <v>Not Completed</v>
      </c>
      <c r="L248">
        <v>260</v>
      </c>
      <c r="M248">
        <f t="shared" ca="1" si="28"/>
        <v>14</v>
      </c>
      <c r="N248" t="str">
        <f t="shared" ca="1" si="29"/>
        <v>Male</v>
      </c>
      <c r="O248" s="6">
        <f t="shared" ca="1" si="30"/>
        <v>1516</v>
      </c>
      <c r="P248">
        <f ca="1">Table1[[#This Row],[Hire Date]]-Table1[[#This Row],[Job Posting Date]]</f>
        <v>69</v>
      </c>
      <c r="Q248" s="7">
        <f ca="1">Table1[[#This Row],[Join Date]]-Table1[[#This Row],[Hire Date]]</f>
        <v>6</v>
      </c>
      <c r="R248" s="8">
        <f ca="1">(IF(Table1[[#This Row],[Status]]="Exited",Table1[[#This Row],[Exit Date]]-Table1[[#This Row],[Join Date]],TODAY()-Table1[[#This Row],[Join Date]]))/30</f>
        <v>11.966666666666667</v>
      </c>
      <c r="S248">
        <f ca="1">Table1[[#This Row],[Hire Date]]-Table1[[#This Row],[Job Posting Date]]</f>
        <v>69</v>
      </c>
      <c r="T248" s="7">
        <f ca="1">Table1[[#This Row],[Time to Onboard]]/Table1[[#This Row],[Time to Fill]]*100</f>
        <v>8.695652173913043</v>
      </c>
      <c r="U248" s="8">
        <f ca="1">Table1[[#This Row],[Time to Onboard]]/Table1[[#This Row],[Time to Fill]]*100</f>
        <v>8.695652173913043</v>
      </c>
      <c r="V248">
        <f ca="1">Table1[[#This Row],[Join Date]]-Table1[[#This Row],[Job Posting Date]]</f>
        <v>75</v>
      </c>
      <c r="W248">
        <f t="shared" ca="1" si="31"/>
        <v>157</v>
      </c>
      <c r="X248" s="8">
        <f ca="1">Table1[[#This Row],[Absentee Days]]/Table1[[#This Row],[Total Work Days]]*100</f>
        <v>5.384615384615385</v>
      </c>
      <c r="Y248">
        <f ca="1">YEAR(Table1[[#This Row],[Join Date]])</f>
        <v>2022</v>
      </c>
      <c r="Z248">
        <f ca="1">IF(Table1[[#This Row],[Status]]="Active",1,0)</f>
        <v>0</v>
      </c>
      <c r="AA248">
        <f ca="1">IF(Table1[[#This Row],[Status]]="Exited",Table1[[#This Row],[Recruitment Cost]]+Table1[[#This Row],[Onboarding Cost]]+Table1[[#This Row],[Training Cost]],0)</f>
        <v>6529</v>
      </c>
    </row>
    <row r="249" spans="1:27" x14ac:dyDescent="0.2">
      <c r="A249" t="str">
        <f t="shared" si="24"/>
        <v>E248</v>
      </c>
      <c r="B249" t="str" cm="1">
        <f t="array" aca="1" ref="B249" ca="1">INDEX(sheet2!$A$2:$A$6, RANDBETWEEN(1, 5))</f>
        <v>IT</v>
      </c>
      <c r="C249" t="str">
        <f ca="1">_xlfn.XLOOKUP(Table1[[#This Row],[Department]],sheet2!$A$2:$A$6,sheet2!$B$2:$B$6,_xleta.NA,0)</f>
        <v>Software Engineer</v>
      </c>
      <c r="D249" s="1">
        <f t="shared" ca="1" si="25"/>
        <v>43894</v>
      </c>
      <c r="E249" s="1">
        <f ca="1">Table1[[#This Row],[Job Posting Date]]+ RANDBETWEEN(15, 90)</f>
        <v>43955</v>
      </c>
      <c r="F249" s="1">
        <f ca="1">Table1[[#This Row],[Hire Date]]+ RANDBETWEEN(1, 15)</f>
        <v>43962</v>
      </c>
      <c r="G249" s="1">
        <f ca="1">IF(RAND() &lt; 0.5,  Table1[[#This Row],[Join Date]]+ RANDBETWEEN(30, TODAY()- Table1[[#This Row],[Join Date]]), "-")</f>
        <v>44636</v>
      </c>
      <c r="H249" t="str">
        <f ca="1">IF(Table1[[#This Row],[Exit Date]]= "-", "Active", "Exited")</f>
        <v>Exited</v>
      </c>
      <c r="I249" s="5">
        <f t="shared" ca="1" si="26"/>
        <v>2234</v>
      </c>
      <c r="J249" t="str" cm="1">
        <f t="array" aca="1" ref="J249" ca="1">INDEX(sheet2!$C$2:$C$6, RANDBETWEEN(1, 5))</f>
        <v>Ethics and Responsibilities</v>
      </c>
      <c r="K249" t="str">
        <f t="shared" ca="1" si="27"/>
        <v>Completed</v>
      </c>
      <c r="L249">
        <v>260</v>
      </c>
      <c r="M249">
        <f t="shared" ca="1" si="28"/>
        <v>18</v>
      </c>
      <c r="N249" t="str">
        <f t="shared" ca="1" si="29"/>
        <v>Female</v>
      </c>
      <c r="O249" s="6">
        <f t="shared" ca="1" si="30"/>
        <v>2376</v>
      </c>
      <c r="P249">
        <f ca="1">Table1[[#This Row],[Hire Date]]-Table1[[#This Row],[Job Posting Date]]</f>
        <v>61</v>
      </c>
      <c r="Q249" s="7">
        <f ca="1">Table1[[#This Row],[Join Date]]-Table1[[#This Row],[Hire Date]]</f>
        <v>7</v>
      </c>
      <c r="R249" s="8">
        <f ca="1">(IF(Table1[[#This Row],[Status]]="Exited",Table1[[#This Row],[Exit Date]]-Table1[[#This Row],[Join Date]],TODAY()-Table1[[#This Row],[Join Date]]))/30</f>
        <v>22.466666666666665</v>
      </c>
      <c r="S249">
        <f ca="1">Table1[[#This Row],[Hire Date]]-Table1[[#This Row],[Job Posting Date]]</f>
        <v>61</v>
      </c>
      <c r="T249" s="7">
        <f ca="1">Table1[[#This Row],[Time to Onboard]]/Table1[[#This Row],[Time to Fill]]*100</f>
        <v>11.475409836065573</v>
      </c>
      <c r="U249" s="8">
        <f ca="1">Table1[[#This Row],[Time to Onboard]]/Table1[[#This Row],[Time to Fill]]*100</f>
        <v>11.475409836065573</v>
      </c>
      <c r="V249">
        <f ca="1">Table1[[#This Row],[Join Date]]-Table1[[#This Row],[Job Posting Date]]</f>
        <v>68</v>
      </c>
      <c r="W249">
        <f t="shared" ca="1" si="31"/>
        <v>103</v>
      </c>
      <c r="X249" s="8">
        <f ca="1">Table1[[#This Row],[Absentee Days]]/Table1[[#This Row],[Total Work Days]]*100</f>
        <v>6.9230769230769234</v>
      </c>
      <c r="Y249">
        <f ca="1">YEAR(Table1[[#This Row],[Join Date]])</f>
        <v>2020</v>
      </c>
      <c r="Z249">
        <f ca="1">IF(Table1[[#This Row],[Status]]="Active",1,0)</f>
        <v>0</v>
      </c>
      <c r="AA249">
        <f ca="1">IF(Table1[[#This Row],[Status]]="Exited",Table1[[#This Row],[Recruitment Cost]]+Table1[[#This Row],[Onboarding Cost]]+Table1[[#This Row],[Training Cost]],0)</f>
        <v>4713</v>
      </c>
    </row>
    <row r="250" spans="1:27" x14ac:dyDescent="0.2">
      <c r="A250" t="str">
        <f t="shared" si="24"/>
        <v>E249</v>
      </c>
      <c r="B250" t="str" cm="1">
        <f t="array" aca="1" ref="B250" ca="1">INDEX(sheet2!$A$2:$A$6, RANDBETWEEN(1, 5))</f>
        <v>Sales</v>
      </c>
      <c r="C250" t="str">
        <f ca="1">_xlfn.XLOOKUP(Table1[[#This Row],[Department]],sheet2!$A$2:$A$6,sheet2!$B$2:$B$6,_xleta.NA,0)</f>
        <v>Marketing Manager</v>
      </c>
      <c r="D250" s="1">
        <f t="shared" ca="1" si="25"/>
        <v>44521</v>
      </c>
      <c r="E250" s="1">
        <f ca="1">Table1[[#This Row],[Job Posting Date]]+ RANDBETWEEN(15, 90)</f>
        <v>44587</v>
      </c>
      <c r="F250" s="1">
        <f ca="1">Table1[[#This Row],[Hire Date]]+ RANDBETWEEN(1, 15)</f>
        <v>44594</v>
      </c>
      <c r="G250" s="1" t="str">
        <f ca="1">IF(RAND() &lt; 0.5,  Table1[[#This Row],[Join Date]]+ RANDBETWEEN(30, TODAY()- Table1[[#This Row],[Join Date]]), "-")</f>
        <v>-</v>
      </c>
      <c r="H250" t="str">
        <f ca="1">IF(Table1[[#This Row],[Exit Date]]= "-", "Active", "Exited")</f>
        <v>Active</v>
      </c>
      <c r="I250" s="5">
        <f t="shared" ca="1" si="26"/>
        <v>4386</v>
      </c>
      <c r="J250" t="str" cm="1">
        <f t="array" aca="1" ref="J250" ca="1">INDEX(sheet2!$C$2:$C$6, RANDBETWEEN(1, 5))</f>
        <v>Communication Skills</v>
      </c>
      <c r="K250" t="str">
        <f t="shared" ca="1" si="27"/>
        <v>Completed</v>
      </c>
      <c r="L250">
        <v>260</v>
      </c>
      <c r="M250">
        <f t="shared" ca="1" si="28"/>
        <v>2</v>
      </c>
      <c r="N250" t="str">
        <f t="shared" ca="1" si="29"/>
        <v>Other</v>
      </c>
      <c r="O250" s="6">
        <f t="shared" ca="1" si="30"/>
        <v>1821</v>
      </c>
      <c r="P250">
        <f ca="1">Table1[[#This Row],[Hire Date]]-Table1[[#This Row],[Job Posting Date]]</f>
        <v>66</v>
      </c>
      <c r="Q250" s="7">
        <f ca="1">Table1[[#This Row],[Join Date]]-Table1[[#This Row],[Hire Date]]</f>
        <v>7</v>
      </c>
      <c r="R250" s="8">
        <f ca="1">(IF(Table1[[#This Row],[Status]]="Exited",Table1[[#This Row],[Exit Date]]-Table1[[#This Row],[Join Date]],TODAY()-Table1[[#This Row],[Join Date]]))/30</f>
        <v>36.299999999999997</v>
      </c>
      <c r="S250">
        <f ca="1">Table1[[#This Row],[Hire Date]]-Table1[[#This Row],[Job Posting Date]]</f>
        <v>66</v>
      </c>
      <c r="T250" s="7">
        <f ca="1">Table1[[#This Row],[Time to Onboard]]/Table1[[#This Row],[Time to Fill]]*100</f>
        <v>10.606060606060606</v>
      </c>
      <c r="U250" s="8">
        <f ca="1">Table1[[#This Row],[Time to Onboard]]/Table1[[#This Row],[Time to Fill]]*100</f>
        <v>10.606060606060606</v>
      </c>
      <c r="V250">
        <f ca="1">Table1[[#This Row],[Join Date]]-Table1[[#This Row],[Job Posting Date]]</f>
        <v>73</v>
      </c>
      <c r="W250">
        <f t="shared" ca="1" si="31"/>
        <v>197</v>
      </c>
      <c r="X250" s="8">
        <f ca="1">Table1[[#This Row],[Absentee Days]]/Table1[[#This Row],[Total Work Days]]*100</f>
        <v>0.76923076923076927</v>
      </c>
      <c r="Y250">
        <f ca="1">YEAR(Table1[[#This Row],[Join Date]])</f>
        <v>2022</v>
      </c>
      <c r="Z250">
        <f ca="1">IF(Table1[[#This Row],[Status]]="Active",1,0)</f>
        <v>1</v>
      </c>
      <c r="AA250">
        <f ca="1">IF(Table1[[#This Row],[Status]]="Exited",Table1[[#This Row],[Recruitment Cost]]+Table1[[#This Row],[Onboarding Cost]]+Table1[[#This Row],[Training Cost]],0)</f>
        <v>0</v>
      </c>
    </row>
    <row r="251" spans="1:27" x14ac:dyDescent="0.2">
      <c r="A251" t="str">
        <f t="shared" si="24"/>
        <v>E250</v>
      </c>
      <c r="B251" t="str" cm="1">
        <f t="array" aca="1" ref="B251" ca="1">INDEX(sheet2!$A$2:$A$6, RANDBETWEEN(1, 5))</f>
        <v>Finance</v>
      </c>
      <c r="C251" t="str">
        <f ca="1">_xlfn.XLOOKUP(Table1[[#This Row],[Department]],sheet2!$A$2:$A$6,sheet2!$B$2:$B$6,_xleta.NA,0)</f>
        <v>Finance Manager</v>
      </c>
      <c r="D251" s="1">
        <f t="shared" ca="1" si="25"/>
        <v>43750</v>
      </c>
      <c r="E251" s="1">
        <f ca="1">Table1[[#This Row],[Job Posting Date]]+ RANDBETWEEN(15, 90)</f>
        <v>43811</v>
      </c>
      <c r="F251" s="1">
        <f ca="1">Table1[[#This Row],[Hire Date]]+ RANDBETWEEN(1, 15)</f>
        <v>43817</v>
      </c>
      <c r="G251" s="1">
        <f ca="1">IF(RAND() &lt; 0.5,  Table1[[#This Row],[Join Date]]+ RANDBETWEEN(30, TODAY()- Table1[[#This Row],[Join Date]]), "-")</f>
        <v>44858</v>
      </c>
      <c r="H251" t="str">
        <f ca="1">IF(Table1[[#This Row],[Exit Date]]= "-", "Active", "Exited")</f>
        <v>Exited</v>
      </c>
      <c r="I251" s="5">
        <f t="shared" ca="1" si="26"/>
        <v>2010</v>
      </c>
      <c r="J251" t="str" cm="1">
        <f t="array" aca="1" ref="J251" ca="1">INDEX(sheet2!$C$2:$C$6, RANDBETWEEN(1, 5))</f>
        <v>Communication Skills</v>
      </c>
      <c r="K251" t="str">
        <f t="shared" ca="1" si="27"/>
        <v>Completed</v>
      </c>
      <c r="L251">
        <v>260</v>
      </c>
      <c r="M251">
        <f t="shared" ca="1" si="28"/>
        <v>20</v>
      </c>
      <c r="N251" t="str">
        <f t="shared" ca="1" si="29"/>
        <v>Female</v>
      </c>
      <c r="O251" s="6">
        <f t="shared" ca="1" si="30"/>
        <v>1584</v>
      </c>
      <c r="P251">
        <f ca="1">Table1[[#This Row],[Hire Date]]-Table1[[#This Row],[Job Posting Date]]</f>
        <v>61</v>
      </c>
      <c r="Q251" s="7">
        <f ca="1">Table1[[#This Row],[Join Date]]-Table1[[#This Row],[Hire Date]]</f>
        <v>6</v>
      </c>
      <c r="R251" s="8">
        <f ca="1">(IF(Table1[[#This Row],[Status]]="Exited",Table1[[#This Row],[Exit Date]]-Table1[[#This Row],[Join Date]],TODAY()-Table1[[#This Row],[Join Date]]))/30</f>
        <v>34.700000000000003</v>
      </c>
      <c r="S251">
        <f ca="1">Table1[[#This Row],[Hire Date]]-Table1[[#This Row],[Job Posting Date]]</f>
        <v>61</v>
      </c>
      <c r="T251" s="7">
        <f ca="1">Table1[[#This Row],[Time to Onboard]]/Table1[[#This Row],[Time to Fill]]*100</f>
        <v>9.8360655737704921</v>
      </c>
      <c r="U251" s="8">
        <f ca="1">Table1[[#This Row],[Time to Onboard]]/Table1[[#This Row],[Time to Fill]]*100</f>
        <v>9.8360655737704921</v>
      </c>
      <c r="V251">
        <f ca="1">Table1[[#This Row],[Join Date]]-Table1[[#This Row],[Job Posting Date]]</f>
        <v>67</v>
      </c>
      <c r="W251">
        <f t="shared" ca="1" si="31"/>
        <v>119</v>
      </c>
      <c r="X251" s="8">
        <f ca="1">Table1[[#This Row],[Absentee Days]]/Table1[[#This Row],[Total Work Days]]*100</f>
        <v>7.6923076923076925</v>
      </c>
      <c r="Y251">
        <f ca="1">YEAR(Table1[[#This Row],[Join Date]])</f>
        <v>2019</v>
      </c>
      <c r="Z251">
        <f ca="1">IF(Table1[[#This Row],[Status]]="Active",1,0)</f>
        <v>0</v>
      </c>
      <c r="AA251">
        <f ca="1">IF(Table1[[#This Row],[Status]]="Exited",Table1[[#This Row],[Recruitment Cost]]+Table1[[#This Row],[Onboarding Cost]]+Table1[[#This Row],[Training Cost]],0)</f>
        <v>3713</v>
      </c>
    </row>
  </sheetData>
  <phoneticPr fontId="4" type="noConversion"/>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42D30-8959-E549-A99C-C4C87E7EBD1C}">
  <dimension ref="A1:C6"/>
  <sheetViews>
    <sheetView workbookViewId="0">
      <selection activeCell="C10" sqref="C10"/>
    </sheetView>
  </sheetViews>
  <sheetFormatPr baseColWidth="10" defaultColWidth="10.83203125" defaultRowHeight="15.75" customHeight="1" x14ac:dyDescent="0.2"/>
  <cols>
    <col min="1" max="1" width="11" customWidth="1"/>
    <col min="2" max="2" width="16.6640625" customWidth="1"/>
    <col min="3" max="3" width="25.5" customWidth="1"/>
  </cols>
  <sheetData>
    <row r="1" spans="1:3" s="3" customFormat="1" x14ac:dyDescent="0.2">
      <c r="A1" s="3" t="s">
        <v>1</v>
      </c>
      <c r="B1" s="3" t="s">
        <v>2</v>
      </c>
      <c r="C1" s="3" t="s">
        <v>39</v>
      </c>
    </row>
    <row r="2" spans="1:3" x14ac:dyDescent="0.2">
      <c r="A2" t="s">
        <v>40</v>
      </c>
      <c r="B2" t="s">
        <v>41</v>
      </c>
      <c r="C2" s="2" t="s">
        <v>42</v>
      </c>
    </row>
    <row r="3" spans="1:3" x14ac:dyDescent="0.2">
      <c r="A3" t="s">
        <v>43</v>
      </c>
      <c r="B3" t="s">
        <v>44</v>
      </c>
      <c r="C3" s="2" t="s">
        <v>45</v>
      </c>
    </row>
    <row r="4" spans="1:3" x14ac:dyDescent="0.2">
      <c r="A4" t="s">
        <v>46</v>
      </c>
      <c r="B4" t="s">
        <v>47</v>
      </c>
      <c r="C4" s="2" t="s">
        <v>48</v>
      </c>
    </row>
    <row r="5" spans="1:3" x14ac:dyDescent="0.2">
      <c r="A5" t="s">
        <v>49</v>
      </c>
      <c r="B5" t="s">
        <v>50</v>
      </c>
      <c r="C5" s="2" t="s">
        <v>51</v>
      </c>
    </row>
    <row r="6" spans="1:3" x14ac:dyDescent="0.2">
      <c r="A6" t="s">
        <v>52</v>
      </c>
      <c r="B6" t="s">
        <v>53</v>
      </c>
      <c r="C6" s="2" t="s">
        <v>54</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E6F2D-38F2-BA46-B9FB-B9C3ED32AD2D}">
  <dimension ref="A3:P144"/>
  <sheetViews>
    <sheetView topLeftCell="A48" zoomScaleNormal="100" workbookViewId="0">
      <selection activeCell="B139" sqref="B139"/>
    </sheetView>
  </sheetViews>
  <sheetFormatPr baseColWidth="10" defaultColWidth="11" defaultRowHeight="16" x14ac:dyDescent="0.2"/>
  <cols>
    <col min="1" max="1" width="18.83203125" bestFit="1" customWidth="1"/>
    <col min="2" max="2" width="16" bestFit="1" customWidth="1"/>
    <col min="3" max="3" width="5.1640625" bestFit="1" customWidth="1"/>
    <col min="4" max="4" width="5.83203125" bestFit="1" customWidth="1"/>
    <col min="5" max="5" width="10.5" bestFit="1" customWidth="1"/>
    <col min="6" max="43" width="11.6640625" customWidth="1"/>
    <col min="44" max="83" width="3.1640625" bestFit="1" customWidth="1"/>
    <col min="84" max="88" width="4.1640625" bestFit="1" customWidth="1"/>
    <col min="89" max="89" width="10.5" bestFit="1" customWidth="1"/>
  </cols>
  <sheetData>
    <row r="3" spans="1:2" x14ac:dyDescent="0.2">
      <c r="A3" s="11" t="s">
        <v>55</v>
      </c>
      <c r="B3" t="s">
        <v>56</v>
      </c>
    </row>
    <row r="4" spans="1:2" x14ac:dyDescent="0.2">
      <c r="A4" s="12" t="s">
        <v>52</v>
      </c>
      <c r="B4" s="8">
        <v>7.9622641509433958</v>
      </c>
    </row>
    <row r="5" spans="1:2" x14ac:dyDescent="0.2">
      <c r="A5" s="12" t="s">
        <v>49</v>
      </c>
      <c r="B5" s="8">
        <v>6.98</v>
      </c>
    </row>
    <row r="6" spans="1:2" x14ac:dyDescent="0.2">
      <c r="A6" s="12" t="s">
        <v>43</v>
      </c>
      <c r="B6" s="8">
        <v>8.4897959183673475</v>
      </c>
    </row>
    <row r="7" spans="1:2" x14ac:dyDescent="0.2">
      <c r="A7" s="12" t="s">
        <v>40</v>
      </c>
      <c r="B7" s="8">
        <v>6.98</v>
      </c>
    </row>
    <row r="8" spans="1:2" x14ac:dyDescent="0.2">
      <c r="A8" s="12" t="s">
        <v>46</v>
      </c>
      <c r="B8" s="8">
        <v>8.7083333333333339</v>
      </c>
    </row>
    <row r="9" spans="1:2" x14ac:dyDescent="0.2">
      <c r="A9" s="12" t="s">
        <v>57</v>
      </c>
      <c r="B9" s="8">
        <v>7.8159999999999998</v>
      </c>
    </row>
    <row r="20" spans="1:16" x14ac:dyDescent="0.2">
      <c r="A20" s="11" t="s">
        <v>55</v>
      </c>
      <c r="B20" t="s">
        <v>58</v>
      </c>
    </row>
    <row r="21" spans="1:16" x14ac:dyDescent="0.2">
      <c r="A21" s="12" t="s">
        <v>53</v>
      </c>
      <c r="B21" s="8">
        <v>51.679245283018865</v>
      </c>
    </row>
    <row r="22" spans="1:16" x14ac:dyDescent="0.2">
      <c r="A22" s="12" t="s">
        <v>50</v>
      </c>
      <c r="B22" s="8">
        <v>54.04</v>
      </c>
      <c r="P22" s="13"/>
    </row>
    <row r="23" spans="1:16" x14ac:dyDescent="0.2">
      <c r="A23" s="12" t="s">
        <v>44</v>
      </c>
      <c r="B23" s="8">
        <v>50.918367346938773</v>
      </c>
    </row>
    <row r="24" spans="1:16" x14ac:dyDescent="0.2">
      <c r="A24" s="12" t="s">
        <v>47</v>
      </c>
      <c r="B24" s="8">
        <v>55.833333333333336</v>
      </c>
    </row>
    <row r="25" spans="1:16" x14ac:dyDescent="0.2">
      <c r="A25" s="12" t="s">
        <v>41</v>
      </c>
      <c r="B25" s="8">
        <v>57.1</v>
      </c>
    </row>
    <row r="26" spans="1:16" x14ac:dyDescent="0.2">
      <c r="A26" s="12" t="s">
        <v>57</v>
      </c>
      <c r="B26" s="8">
        <v>53.884</v>
      </c>
    </row>
    <row r="40" spans="1:2" x14ac:dyDescent="0.2">
      <c r="A40" s="11" t="s">
        <v>55</v>
      </c>
      <c r="B40" t="s">
        <v>59</v>
      </c>
    </row>
    <row r="41" spans="1:2" x14ac:dyDescent="0.2">
      <c r="A41" s="12" t="s">
        <v>52</v>
      </c>
      <c r="B41" s="8">
        <v>51.679245283018865</v>
      </c>
    </row>
    <row r="42" spans="1:2" x14ac:dyDescent="0.2">
      <c r="A42" s="12" t="s">
        <v>49</v>
      </c>
      <c r="B42" s="8">
        <v>54.04</v>
      </c>
    </row>
    <row r="43" spans="1:2" x14ac:dyDescent="0.2">
      <c r="A43" s="12" t="s">
        <v>43</v>
      </c>
      <c r="B43" s="8">
        <v>50.918367346938773</v>
      </c>
    </row>
    <row r="44" spans="1:2" x14ac:dyDescent="0.2">
      <c r="A44" s="12" t="s">
        <v>40</v>
      </c>
      <c r="B44" s="8">
        <v>57.1</v>
      </c>
    </row>
    <row r="45" spans="1:2" x14ac:dyDescent="0.2">
      <c r="A45" s="12" t="s">
        <v>46</v>
      </c>
      <c r="B45" s="8">
        <v>55.833333333333336</v>
      </c>
    </row>
    <row r="46" spans="1:2" x14ac:dyDescent="0.2">
      <c r="A46" s="12" t="s">
        <v>57</v>
      </c>
      <c r="B46" s="8">
        <v>53.884</v>
      </c>
    </row>
    <row r="55" spans="1:2" x14ac:dyDescent="0.2">
      <c r="A55" s="11" t="s">
        <v>55</v>
      </c>
      <c r="B55" t="s">
        <v>60</v>
      </c>
    </row>
    <row r="56" spans="1:2" x14ac:dyDescent="0.2">
      <c r="A56" s="12">
        <v>2018</v>
      </c>
      <c r="B56" s="8">
        <v>2122.7666666666669</v>
      </c>
    </row>
    <row r="57" spans="1:2" x14ac:dyDescent="0.2">
      <c r="A57" s="12">
        <v>2019</v>
      </c>
      <c r="B57" s="8">
        <v>2138.666666666667</v>
      </c>
    </row>
    <row r="58" spans="1:2" x14ac:dyDescent="0.2">
      <c r="A58" s="12">
        <v>2020</v>
      </c>
      <c r="B58" s="8">
        <v>2155.9666666666672</v>
      </c>
    </row>
    <row r="59" spans="1:2" x14ac:dyDescent="0.2">
      <c r="A59" s="12">
        <v>2021</v>
      </c>
      <c r="B59" s="8">
        <v>1368.3333333333328</v>
      </c>
    </row>
    <row r="60" spans="1:2" x14ac:dyDescent="0.2">
      <c r="A60" s="12">
        <v>2022</v>
      </c>
      <c r="B60" s="8">
        <v>1333.333333333333</v>
      </c>
    </row>
    <row r="61" spans="1:2" x14ac:dyDescent="0.2">
      <c r="A61" s="12">
        <v>2023</v>
      </c>
      <c r="B61" s="8">
        <v>131.56666666666666</v>
      </c>
    </row>
    <row r="62" spans="1:2" x14ac:dyDescent="0.2">
      <c r="A62" s="12" t="s">
        <v>57</v>
      </c>
      <c r="B62" s="8">
        <v>9250.633333333335</v>
      </c>
    </row>
    <row r="68" spans="1:2" x14ac:dyDescent="0.2">
      <c r="A68" s="11" t="s">
        <v>55</v>
      </c>
      <c r="B68" t="s">
        <v>61</v>
      </c>
    </row>
    <row r="69" spans="1:2" x14ac:dyDescent="0.2">
      <c r="A69" s="12" t="s">
        <v>52</v>
      </c>
      <c r="B69">
        <v>18</v>
      </c>
    </row>
    <row r="70" spans="1:2" x14ac:dyDescent="0.2">
      <c r="A70" s="12" t="s">
        <v>49</v>
      </c>
      <c r="B70">
        <v>21</v>
      </c>
    </row>
    <row r="71" spans="1:2" x14ac:dyDescent="0.2">
      <c r="A71" s="12" t="s">
        <v>43</v>
      </c>
      <c r="B71">
        <v>25</v>
      </c>
    </row>
    <row r="72" spans="1:2" x14ac:dyDescent="0.2">
      <c r="A72" s="12" t="s">
        <v>40</v>
      </c>
      <c r="B72">
        <v>22</v>
      </c>
    </row>
    <row r="73" spans="1:2" x14ac:dyDescent="0.2">
      <c r="A73" s="12" t="s">
        <v>46</v>
      </c>
      <c r="B73">
        <v>27</v>
      </c>
    </row>
    <row r="74" spans="1:2" x14ac:dyDescent="0.2">
      <c r="A74" s="12" t="s">
        <v>57</v>
      </c>
      <c r="B74">
        <v>113</v>
      </c>
    </row>
    <row r="82" spans="1:2" x14ac:dyDescent="0.2">
      <c r="A82" s="11" t="s">
        <v>55</v>
      </c>
      <c r="B82" t="s">
        <v>62</v>
      </c>
    </row>
    <row r="83" spans="1:2" x14ac:dyDescent="0.2">
      <c r="A83" s="12" t="s">
        <v>52</v>
      </c>
      <c r="B83" s="8">
        <v>32.216981132075475</v>
      </c>
    </row>
    <row r="84" spans="1:2" x14ac:dyDescent="0.2">
      <c r="A84" s="12" t="s">
        <v>49</v>
      </c>
      <c r="B84" s="8">
        <v>41.065306122448973</v>
      </c>
    </row>
    <row r="85" spans="1:2" x14ac:dyDescent="0.2">
      <c r="A85" s="12" t="s">
        <v>43</v>
      </c>
      <c r="B85" s="8">
        <v>40.458503401360538</v>
      </c>
    </row>
    <row r="86" spans="1:2" x14ac:dyDescent="0.2">
      <c r="A86" s="12" t="s">
        <v>40</v>
      </c>
      <c r="B86" s="8">
        <v>36.227999999999994</v>
      </c>
    </row>
    <row r="87" spans="1:2" x14ac:dyDescent="0.2">
      <c r="A87" s="12" t="s">
        <v>46</v>
      </c>
      <c r="B87" s="8">
        <v>36.18888888888889</v>
      </c>
    </row>
    <row r="88" spans="1:2" x14ac:dyDescent="0.2">
      <c r="A88" s="12" t="s">
        <v>57</v>
      </c>
      <c r="B88" s="8">
        <v>37.151137884872817</v>
      </c>
    </row>
    <row r="98" spans="1:5" x14ac:dyDescent="0.2">
      <c r="A98" s="11" t="s">
        <v>63</v>
      </c>
      <c r="B98" s="11" t="s">
        <v>64</v>
      </c>
    </row>
    <row r="99" spans="1:5" x14ac:dyDescent="0.2">
      <c r="A99" s="11" t="s">
        <v>55</v>
      </c>
      <c r="B99" t="s">
        <v>65</v>
      </c>
      <c r="C99" t="s">
        <v>66</v>
      </c>
      <c r="D99" t="s">
        <v>67</v>
      </c>
      <c r="E99" t="s">
        <v>57</v>
      </c>
    </row>
    <row r="100" spans="1:5" x14ac:dyDescent="0.2">
      <c r="A100" s="12" t="s">
        <v>53</v>
      </c>
      <c r="B100">
        <v>18</v>
      </c>
      <c r="C100">
        <v>15</v>
      </c>
      <c r="D100">
        <v>20</v>
      </c>
      <c r="E100">
        <v>53</v>
      </c>
    </row>
    <row r="101" spans="1:5" x14ac:dyDescent="0.2">
      <c r="A101" s="12" t="s">
        <v>50</v>
      </c>
      <c r="B101">
        <v>17</v>
      </c>
      <c r="C101">
        <v>17</v>
      </c>
      <c r="D101">
        <v>16</v>
      </c>
      <c r="E101">
        <v>50</v>
      </c>
    </row>
    <row r="102" spans="1:5" x14ac:dyDescent="0.2">
      <c r="A102" s="12" t="s">
        <v>44</v>
      </c>
      <c r="B102">
        <v>12</v>
      </c>
      <c r="C102">
        <v>15</v>
      </c>
      <c r="D102">
        <v>22</v>
      </c>
      <c r="E102">
        <v>49</v>
      </c>
    </row>
    <row r="103" spans="1:5" x14ac:dyDescent="0.2">
      <c r="A103" s="12" t="s">
        <v>47</v>
      </c>
      <c r="B103">
        <v>13</v>
      </c>
      <c r="C103">
        <v>23</v>
      </c>
      <c r="D103">
        <v>12</v>
      </c>
      <c r="E103">
        <v>48</v>
      </c>
    </row>
    <row r="104" spans="1:5" x14ac:dyDescent="0.2">
      <c r="A104" s="12" t="s">
        <v>41</v>
      </c>
      <c r="B104">
        <v>14</v>
      </c>
      <c r="C104">
        <v>13</v>
      </c>
      <c r="D104">
        <v>23</v>
      </c>
      <c r="E104">
        <v>50</v>
      </c>
    </row>
    <row r="105" spans="1:5" x14ac:dyDescent="0.2">
      <c r="A105" s="12" t="s">
        <v>57</v>
      </c>
      <c r="B105">
        <v>74</v>
      </c>
      <c r="C105">
        <v>83</v>
      </c>
      <c r="D105">
        <v>93</v>
      </c>
      <c r="E105">
        <v>250</v>
      </c>
    </row>
    <row r="120" spans="1:2" x14ac:dyDescent="0.2">
      <c r="A120" s="11" t="s">
        <v>55</v>
      </c>
      <c r="B120" t="s">
        <v>68</v>
      </c>
    </row>
    <row r="121" spans="1:2" x14ac:dyDescent="0.2">
      <c r="A121" s="12" t="s">
        <v>52</v>
      </c>
      <c r="B121">
        <v>3.9404934687953563</v>
      </c>
    </row>
    <row r="122" spans="1:2" x14ac:dyDescent="0.2">
      <c r="A122" s="12" t="s">
        <v>49</v>
      </c>
      <c r="B122">
        <v>4.2000000000000011</v>
      </c>
    </row>
    <row r="123" spans="1:2" x14ac:dyDescent="0.2">
      <c r="A123" s="12" t="s">
        <v>43</v>
      </c>
      <c r="B123">
        <v>4.0659340659340666</v>
      </c>
    </row>
    <row r="124" spans="1:2" x14ac:dyDescent="0.2">
      <c r="A124" s="12" t="s">
        <v>40</v>
      </c>
      <c r="B124">
        <v>3.2846153846153858</v>
      </c>
    </row>
    <row r="125" spans="1:2" x14ac:dyDescent="0.2">
      <c r="A125" s="12" t="s">
        <v>46</v>
      </c>
      <c r="B125">
        <v>3.9022435897435908</v>
      </c>
    </row>
    <row r="126" spans="1:2" x14ac:dyDescent="0.2">
      <c r="A126" s="12" t="s">
        <v>57</v>
      </c>
      <c r="B126">
        <v>3.8784615384615377</v>
      </c>
    </row>
    <row r="137" spans="1:2" x14ac:dyDescent="0.2">
      <c r="A137" s="11" t="s">
        <v>55</v>
      </c>
      <c r="B137" t="s">
        <v>69</v>
      </c>
    </row>
    <row r="138" spans="1:2" x14ac:dyDescent="0.2">
      <c r="A138" s="12">
        <v>2018</v>
      </c>
      <c r="B138" s="7">
        <v>3158.7619047619046</v>
      </c>
    </row>
    <row r="139" spans="1:2" x14ac:dyDescent="0.2">
      <c r="A139" s="12">
        <v>2019</v>
      </c>
      <c r="B139" s="7">
        <v>2793.1904761904761</v>
      </c>
    </row>
    <row r="140" spans="1:2" x14ac:dyDescent="0.2">
      <c r="A140" s="12">
        <v>2020</v>
      </c>
      <c r="B140" s="7">
        <v>3295.5689655172414</v>
      </c>
    </row>
    <row r="141" spans="1:2" x14ac:dyDescent="0.2">
      <c r="A141" s="12">
        <v>2021</v>
      </c>
      <c r="B141" s="7">
        <v>2723</v>
      </c>
    </row>
    <row r="142" spans="1:2" x14ac:dyDescent="0.2">
      <c r="A142" s="12">
        <v>2022</v>
      </c>
      <c r="B142" s="7">
        <v>2149.2456140350878</v>
      </c>
    </row>
    <row r="143" spans="1:2" x14ac:dyDescent="0.2">
      <c r="A143" s="12">
        <v>2023</v>
      </c>
      <c r="B143" s="7">
        <v>3463.5</v>
      </c>
    </row>
    <row r="144" spans="1:2" x14ac:dyDescent="0.2">
      <c r="A144" s="12" t="s">
        <v>57</v>
      </c>
      <c r="B144" s="7">
        <v>2833.7159999999999</v>
      </c>
    </row>
  </sheetData>
  <pageMargins left="0.7" right="0.7" top="0.75" bottom="0.75" header="0.3" footer="0.3"/>
  <pageSetup paperSize="9" orientation="portrait" horizontalDpi="0" verticalDpi="0"/>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D9B18-4985-954B-89F7-52FE98E3B527}">
  <sheetPr>
    <pageSetUpPr fitToPage="1"/>
  </sheetPr>
  <dimension ref="A1"/>
  <sheetViews>
    <sheetView zoomScale="70" workbookViewId="0">
      <selection activeCell="AA20" sqref="AA20"/>
    </sheetView>
  </sheetViews>
  <sheetFormatPr baseColWidth="10" defaultColWidth="11" defaultRowHeight="16" x14ac:dyDescent="0.2"/>
  <sheetData/>
  <pageMargins left="0.7" right="0.7" top="0.75" bottom="0.75" header="0.3" footer="0.3"/>
  <pageSetup paperSize="9" scale="47" orientation="landscape"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21</vt:i4>
      </vt:variant>
    </vt:vector>
  </HeadingPairs>
  <TitlesOfParts>
    <vt:vector size="25" baseType="lpstr">
      <vt:lpstr>Random Data</vt:lpstr>
      <vt:lpstr>sheet2</vt:lpstr>
      <vt:lpstr>Pivot table</vt:lpstr>
      <vt:lpstr>Dashboard</vt:lpstr>
      <vt:lpstr>AbsenteeDays</vt:lpstr>
      <vt:lpstr>CostofEmployeeTurnover</vt:lpstr>
      <vt:lpstr>EmployeeID</vt:lpstr>
      <vt:lpstr>ExitDate</vt:lpstr>
      <vt:lpstr>Gender</vt:lpstr>
      <vt:lpstr>HireDate</vt:lpstr>
      <vt:lpstr>ID</vt:lpstr>
      <vt:lpstr>JobPostingDate</vt:lpstr>
      <vt:lpstr>JobTitle</vt:lpstr>
      <vt:lpstr>JoinDate</vt:lpstr>
      <vt:lpstr>Onboardingcost</vt:lpstr>
      <vt:lpstr>RecruitmentCost</vt:lpstr>
      <vt:lpstr>RecruitmentCycleTime</vt:lpstr>
      <vt:lpstr>Status</vt:lpstr>
      <vt:lpstr>Timetofill</vt:lpstr>
      <vt:lpstr>Timetoonboard</vt:lpstr>
      <vt:lpstr>TotalTenureinM</vt:lpstr>
      <vt:lpstr>TotalWorkDays</vt:lpstr>
      <vt:lpstr>TrainingCompletionStatus</vt:lpstr>
      <vt:lpstr>TrainingCost</vt:lpstr>
      <vt:lpstr>TrainingProgram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VIJAYAKUMAR P</dc:creator>
  <cp:keywords/>
  <dc:description/>
  <cp:lastModifiedBy>VIJAYAKUMAR P</cp:lastModifiedBy>
  <cp:revision/>
  <dcterms:created xsi:type="dcterms:W3CDTF">2024-12-04T05:40:29Z</dcterms:created>
  <dcterms:modified xsi:type="dcterms:W3CDTF">2025-01-26T05:57:28Z</dcterms:modified>
  <cp:category/>
  <cp:contentStatus/>
</cp:coreProperties>
</file>