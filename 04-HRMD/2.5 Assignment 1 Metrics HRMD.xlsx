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mc:AlternateContent xmlns:mc="http://schemas.openxmlformats.org/markup-compatibility/2006">
    <mc:Choice Requires="x15">
      <x15ac:absPath xmlns:x15ac="http://schemas.microsoft.com/office/spreadsheetml/2010/11/ac" url="https://d.docs.live.net/ff525616fe275280/Documents/1 Professional/5 Classes/SOIM/HRMD/HRMD/Data Files/"/>
    </mc:Choice>
  </mc:AlternateContent>
  <xr:revisionPtr revIDLastSave="141" documentId="8_{6D0774C9-9D39-6A4A-9C30-82782458A8E3}" xr6:coauthVersionLast="47" xr6:coauthVersionMax="47" xr10:uidLastSave="{D401D1EC-8319-4103-B417-4B9657BC2E35}"/>
  <bookViews>
    <workbookView xWindow="560" yWindow="500" windowWidth="20920" windowHeight="19880" firstSheet="1" activeTab="1" xr2:uid="{58FDD918-C894-C646-AAEB-B821FDBAFA6C}"/>
  </bookViews>
  <sheets>
    <sheet name="Random Data" sheetId="1" r:id="rId1"/>
    <sheet name="sheet2" sheetId="2" r:id="rId2"/>
  </sheets>
  <definedNames>
    <definedName name="AbsenteeDays">'Random Data'!$M:$M</definedName>
    <definedName name="CostofEmployeeTurnover">'Random Data'!$AA:$AA</definedName>
    <definedName name="EmployeeID">'Random Data'!$A:$A</definedName>
    <definedName name="ExitDate">'Random Data'!$G:$G</definedName>
    <definedName name="Gender">'Random Data'!$N:$N</definedName>
    <definedName name="HireDate">'Random Data'!$E:$E</definedName>
    <definedName name="ID">'Random Data'!$A:$A</definedName>
    <definedName name="JobPostingDate">'Random Data'!$D:$D</definedName>
    <definedName name="JobTitle">'Random Data'!$C:$C</definedName>
    <definedName name="JoinDate">'Random Data'!$F:$F</definedName>
    <definedName name="Onboardingcost">'Random Data'!$W:$W</definedName>
    <definedName name="Pasted">#REF!</definedName>
    <definedName name="RecruitmentCost">'Random Data'!$I:$I</definedName>
    <definedName name="RecruitmentCycleTime">'Random Data'!$S:$S</definedName>
    <definedName name="Status">'Random Data'!$H:$H</definedName>
    <definedName name="Table2">#REF!</definedName>
    <definedName name="Timetofill">'Random Data'!$P:$P</definedName>
    <definedName name="Timetoonboard">'Random Data'!$Q:$Q</definedName>
    <definedName name="TotalTenure">'Random Data'!#REF!</definedName>
    <definedName name="TotalTenureinM">'Random Data'!$R:$R</definedName>
    <definedName name="TotalWorkDays">'Random Data'!$L:$L</definedName>
    <definedName name="TrainingCompletionStatus">'Random Data'!$K:$K</definedName>
    <definedName name="TrainingCost">'Random Data'!$O:$O</definedName>
    <definedName name="TrainingProgram">'Random Data'!$J:$J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B9" i="1" a="1"/>
  <c r="B9" i="1" s="1"/>
  <c r="C9" i="1" s="1"/>
  <c r="D2" i="1"/>
  <c r="B2" i="1" a="1"/>
  <c r="B2" i="1" s="1"/>
  <c r="C2" i="1" s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M2" i="1"/>
  <c r="X2" i="1" s="1"/>
  <c r="M3" i="1"/>
  <c r="X3" i="1" s="1"/>
  <c r="M4" i="1"/>
  <c r="X4" i="1" s="1"/>
  <c r="M5" i="1"/>
  <c r="X5" i="1" s="1"/>
  <c r="M6" i="1"/>
  <c r="X6" i="1" s="1"/>
  <c r="M7" i="1"/>
  <c r="X7" i="1" s="1"/>
  <c r="M8" i="1"/>
  <c r="X8" i="1" s="1"/>
  <c r="M9" i="1"/>
  <c r="X9" i="1" s="1"/>
  <c r="M10" i="1"/>
  <c r="X10" i="1" s="1"/>
  <c r="M11" i="1"/>
  <c r="X11" i="1" s="1"/>
  <c r="M12" i="1"/>
  <c r="X12" i="1" s="1"/>
  <c r="M13" i="1"/>
  <c r="X13" i="1" s="1"/>
  <c r="M14" i="1"/>
  <c r="X14" i="1" s="1"/>
  <c r="M15" i="1"/>
  <c r="X15" i="1" s="1"/>
  <c r="M16" i="1"/>
  <c r="X16" i="1" s="1"/>
  <c r="M17" i="1"/>
  <c r="X17" i="1" s="1"/>
  <c r="M18" i="1"/>
  <c r="X18" i="1" s="1"/>
  <c r="M19" i="1"/>
  <c r="X19" i="1" s="1"/>
  <c r="M20" i="1"/>
  <c r="X20" i="1" s="1"/>
  <c r="M21" i="1"/>
  <c r="X21" i="1" s="1"/>
  <c r="M22" i="1"/>
  <c r="X22" i="1" s="1"/>
  <c r="M23" i="1"/>
  <c r="X23" i="1" s="1"/>
  <c r="M24" i="1"/>
  <c r="X24" i="1" s="1"/>
  <c r="M25" i="1"/>
  <c r="X25" i="1" s="1"/>
  <c r="M26" i="1"/>
  <c r="X26" i="1" s="1"/>
  <c r="M27" i="1"/>
  <c r="X27" i="1" s="1"/>
  <c r="M28" i="1"/>
  <c r="X28" i="1" s="1"/>
  <c r="M29" i="1"/>
  <c r="X29" i="1" s="1"/>
  <c r="M30" i="1"/>
  <c r="X30" i="1" s="1"/>
  <c r="M31" i="1"/>
  <c r="X31" i="1" s="1"/>
  <c r="M32" i="1"/>
  <c r="X32" i="1" s="1"/>
  <c r="M33" i="1"/>
  <c r="X33" i="1" s="1"/>
  <c r="M34" i="1"/>
  <c r="X34" i="1" s="1"/>
  <c r="M35" i="1"/>
  <c r="X35" i="1" s="1"/>
  <c r="M36" i="1"/>
  <c r="X36" i="1" s="1"/>
  <c r="M37" i="1"/>
  <c r="X37" i="1" s="1"/>
  <c r="M38" i="1"/>
  <c r="X38" i="1" s="1"/>
  <c r="M39" i="1"/>
  <c r="X39" i="1" s="1"/>
  <c r="M40" i="1"/>
  <c r="X40" i="1" s="1"/>
  <c r="M41" i="1"/>
  <c r="X41" i="1" s="1"/>
  <c r="M42" i="1"/>
  <c r="X42" i="1" s="1"/>
  <c r="M43" i="1"/>
  <c r="X43" i="1" s="1"/>
  <c r="M44" i="1"/>
  <c r="X44" i="1" s="1"/>
  <c r="M45" i="1"/>
  <c r="X45" i="1" s="1"/>
  <c r="M46" i="1"/>
  <c r="X46" i="1" s="1"/>
  <c r="M47" i="1"/>
  <c r="X47" i="1" s="1"/>
  <c r="M48" i="1"/>
  <c r="X48" i="1" s="1"/>
  <c r="M49" i="1"/>
  <c r="X49" i="1" s="1"/>
  <c r="M50" i="1"/>
  <c r="X50" i="1" s="1"/>
  <c r="M51" i="1"/>
  <c r="X51" i="1" s="1"/>
  <c r="M52" i="1"/>
  <c r="X52" i="1" s="1"/>
  <c r="M53" i="1"/>
  <c r="X53" i="1" s="1"/>
  <c r="M54" i="1"/>
  <c r="X54" i="1" s="1"/>
  <c r="M55" i="1"/>
  <c r="X55" i="1" s="1"/>
  <c r="M56" i="1"/>
  <c r="X56" i="1" s="1"/>
  <c r="M57" i="1"/>
  <c r="X57" i="1" s="1"/>
  <c r="M58" i="1"/>
  <c r="X58" i="1" s="1"/>
  <c r="M59" i="1"/>
  <c r="X59" i="1" s="1"/>
  <c r="M60" i="1"/>
  <c r="X60" i="1" s="1"/>
  <c r="M61" i="1"/>
  <c r="X61" i="1" s="1"/>
  <c r="M62" i="1"/>
  <c r="X62" i="1" s="1"/>
  <c r="M63" i="1"/>
  <c r="X63" i="1" s="1"/>
  <c r="M64" i="1"/>
  <c r="X64" i="1" s="1"/>
  <c r="M65" i="1"/>
  <c r="X65" i="1" s="1"/>
  <c r="M66" i="1"/>
  <c r="X66" i="1" s="1"/>
  <c r="M67" i="1"/>
  <c r="X67" i="1" s="1"/>
  <c r="M68" i="1"/>
  <c r="X68" i="1" s="1"/>
  <c r="M69" i="1"/>
  <c r="X69" i="1" s="1"/>
  <c r="M70" i="1"/>
  <c r="X70" i="1" s="1"/>
  <c r="M71" i="1"/>
  <c r="X71" i="1" s="1"/>
  <c r="M72" i="1"/>
  <c r="X72" i="1" s="1"/>
  <c r="M73" i="1"/>
  <c r="X73" i="1" s="1"/>
  <c r="M74" i="1"/>
  <c r="X74" i="1" s="1"/>
  <c r="M75" i="1"/>
  <c r="X75" i="1" s="1"/>
  <c r="M76" i="1"/>
  <c r="X76" i="1" s="1"/>
  <c r="M77" i="1"/>
  <c r="X77" i="1" s="1"/>
  <c r="M78" i="1"/>
  <c r="X78" i="1" s="1"/>
  <c r="M79" i="1"/>
  <c r="X79" i="1" s="1"/>
  <c r="M80" i="1"/>
  <c r="X80" i="1" s="1"/>
  <c r="M81" i="1"/>
  <c r="X81" i="1" s="1"/>
  <c r="M82" i="1"/>
  <c r="X82" i="1" s="1"/>
  <c r="M83" i="1"/>
  <c r="X83" i="1" s="1"/>
  <c r="M84" i="1"/>
  <c r="X84" i="1" s="1"/>
  <c r="M85" i="1"/>
  <c r="X85" i="1" s="1"/>
  <c r="M86" i="1"/>
  <c r="X86" i="1" s="1"/>
  <c r="M87" i="1"/>
  <c r="X87" i="1" s="1"/>
  <c r="M88" i="1"/>
  <c r="X88" i="1" s="1"/>
  <c r="M89" i="1"/>
  <c r="X89" i="1" s="1"/>
  <c r="M90" i="1"/>
  <c r="X90" i="1" s="1"/>
  <c r="M91" i="1"/>
  <c r="X91" i="1" s="1"/>
  <c r="M92" i="1"/>
  <c r="X92" i="1" s="1"/>
  <c r="M93" i="1"/>
  <c r="X93" i="1" s="1"/>
  <c r="M94" i="1"/>
  <c r="X94" i="1" s="1"/>
  <c r="M95" i="1"/>
  <c r="X95" i="1" s="1"/>
  <c r="M96" i="1"/>
  <c r="X96" i="1" s="1"/>
  <c r="M97" i="1"/>
  <c r="X97" i="1" s="1"/>
  <c r="M98" i="1"/>
  <c r="X98" i="1" s="1"/>
  <c r="M99" i="1"/>
  <c r="X99" i="1" s="1"/>
  <c r="M100" i="1"/>
  <c r="X100" i="1" s="1"/>
  <c r="M101" i="1"/>
  <c r="X101" i="1" s="1"/>
  <c r="M102" i="1"/>
  <c r="X102" i="1" s="1"/>
  <c r="M103" i="1"/>
  <c r="X103" i="1" s="1"/>
  <c r="M104" i="1"/>
  <c r="X104" i="1" s="1"/>
  <c r="M105" i="1"/>
  <c r="X105" i="1" s="1"/>
  <c r="M106" i="1"/>
  <c r="X106" i="1" s="1"/>
  <c r="M107" i="1"/>
  <c r="X107" i="1" s="1"/>
  <c r="M108" i="1"/>
  <c r="X108" i="1" s="1"/>
  <c r="M109" i="1"/>
  <c r="X109" i="1" s="1"/>
  <c r="M110" i="1"/>
  <c r="X110" i="1" s="1"/>
  <c r="M111" i="1"/>
  <c r="X111" i="1" s="1"/>
  <c r="M112" i="1"/>
  <c r="X112" i="1" s="1"/>
  <c r="M113" i="1"/>
  <c r="X113" i="1" s="1"/>
  <c r="M114" i="1"/>
  <c r="X114" i="1" s="1"/>
  <c r="M115" i="1"/>
  <c r="X115" i="1" s="1"/>
  <c r="M116" i="1"/>
  <c r="X116" i="1" s="1"/>
  <c r="M117" i="1"/>
  <c r="X117" i="1" s="1"/>
  <c r="M118" i="1"/>
  <c r="X118" i="1" s="1"/>
  <c r="M119" i="1"/>
  <c r="X119" i="1" s="1"/>
  <c r="M120" i="1"/>
  <c r="X120" i="1" s="1"/>
  <c r="M121" i="1"/>
  <c r="X121" i="1" s="1"/>
  <c r="M122" i="1"/>
  <c r="X122" i="1" s="1"/>
  <c r="M123" i="1"/>
  <c r="X123" i="1" s="1"/>
  <c r="M124" i="1"/>
  <c r="X124" i="1" s="1"/>
  <c r="M125" i="1"/>
  <c r="X125" i="1" s="1"/>
  <c r="M126" i="1"/>
  <c r="X126" i="1" s="1"/>
  <c r="M127" i="1"/>
  <c r="X127" i="1" s="1"/>
  <c r="M128" i="1"/>
  <c r="X128" i="1" s="1"/>
  <c r="M129" i="1"/>
  <c r="X129" i="1" s="1"/>
  <c r="M130" i="1"/>
  <c r="X130" i="1" s="1"/>
  <c r="M131" i="1"/>
  <c r="X131" i="1" s="1"/>
  <c r="M132" i="1"/>
  <c r="X132" i="1" s="1"/>
  <c r="M133" i="1"/>
  <c r="X133" i="1" s="1"/>
  <c r="M134" i="1"/>
  <c r="X134" i="1" s="1"/>
  <c r="M135" i="1"/>
  <c r="X135" i="1" s="1"/>
  <c r="M136" i="1"/>
  <c r="X136" i="1" s="1"/>
  <c r="M137" i="1"/>
  <c r="X137" i="1" s="1"/>
  <c r="M138" i="1"/>
  <c r="X138" i="1" s="1"/>
  <c r="M139" i="1"/>
  <c r="X139" i="1" s="1"/>
  <c r="M140" i="1"/>
  <c r="X140" i="1" s="1"/>
  <c r="M141" i="1"/>
  <c r="X141" i="1" s="1"/>
  <c r="M142" i="1"/>
  <c r="X142" i="1" s="1"/>
  <c r="M143" i="1"/>
  <c r="X143" i="1" s="1"/>
  <c r="M144" i="1"/>
  <c r="X144" i="1" s="1"/>
  <c r="M145" i="1"/>
  <c r="X145" i="1" s="1"/>
  <c r="M146" i="1"/>
  <c r="X146" i="1" s="1"/>
  <c r="M147" i="1"/>
  <c r="X147" i="1" s="1"/>
  <c r="M148" i="1"/>
  <c r="X148" i="1" s="1"/>
  <c r="M149" i="1"/>
  <c r="X149" i="1" s="1"/>
  <c r="M150" i="1"/>
  <c r="X150" i="1" s="1"/>
  <c r="M151" i="1"/>
  <c r="X151" i="1" s="1"/>
  <c r="M152" i="1"/>
  <c r="X152" i="1" s="1"/>
  <c r="M153" i="1"/>
  <c r="X153" i="1" s="1"/>
  <c r="M154" i="1"/>
  <c r="X154" i="1" s="1"/>
  <c r="M155" i="1"/>
  <c r="X155" i="1" s="1"/>
  <c r="M156" i="1"/>
  <c r="X156" i="1" s="1"/>
  <c r="M157" i="1"/>
  <c r="X157" i="1" s="1"/>
  <c r="M158" i="1"/>
  <c r="X158" i="1" s="1"/>
  <c r="M159" i="1"/>
  <c r="X159" i="1" s="1"/>
  <c r="M160" i="1"/>
  <c r="X160" i="1" s="1"/>
  <c r="M161" i="1"/>
  <c r="X161" i="1" s="1"/>
  <c r="M162" i="1"/>
  <c r="X162" i="1" s="1"/>
  <c r="M163" i="1"/>
  <c r="X163" i="1" s="1"/>
  <c r="M164" i="1"/>
  <c r="X164" i="1" s="1"/>
  <c r="M165" i="1"/>
  <c r="X165" i="1" s="1"/>
  <c r="M166" i="1"/>
  <c r="X166" i="1" s="1"/>
  <c r="M167" i="1"/>
  <c r="X167" i="1" s="1"/>
  <c r="M168" i="1"/>
  <c r="X168" i="1" s="1"/>
  <c r="M169" i="1"/>
  <c r="X169" i="1" s="1"/>
  <c r="M170" i="1"/>
  <c r="X170" i="1" s="1"/>
  <c r="M171" i="1"/>
  <c r="X171" i="1" s="1"/>
  <c r="M172" i="1"/>
  <c r="X172" i="1" s="1"/>
  <c r="M173" i="1"/>
  <c r="X173" i="1" s="1"/>
  <c r="M174" i="1"/>
  <c r="X174" i="1" s="1"/>
  <c r="M175" i="1"/>
  <c r="X175" i="1" s="1"/>
  <c r="M176" i="1"/>
  <c r="X176" i="1" s="1"/>
  <c r="M177" i="1"/>
  <c r="X177" i="1" s="1"/>
  <c r="M178" i="1"/>
  <c r="X178" i="1" s="1"/>
  <c r="M179" i="1"/>
  <c r="X179" i="1" s="1"/>
  <c r="M180" i="1"/>
  <c r="X180" i="1" s="1"/>
  <c r="M181" i="1"/>
  <c r="X181" i="1" s="1"/>
  <c r="M182" i="1"/>
  <c r="X182" i="1" s="1"/>
  <c r="M183" i="1"/>
  <c r="X183" i="1" s="1"/>
  <c r="M184" i="1"/>
  <c r="X184" i="1" s="1"/>
  <c r="M185" i="1"/>
  <c r="X185" i="1" s="1"/>
  <c r="M186" i="1"/>
  <c r="X186" i="1" s="1"/>
  <c r="M187" i="1"/>
  <c r="X187" i="1" s="1"/>
  <c r="M188" i="1"/>
  <c r="X188" i="1" s="1"/>
  <c r="M189" i="1"/>
  <c r="X189" i="1" s="1"/>
  <c r="M190" i="1"/>
  <c r="X190" i="1" s="1"/>
  <c r="M191" i="1"/>
  <c r="X191" i="1" s="1"/>
  <c r="M192" i="1"/>
  <c r="X192" i="1" s="1"/>
  <c r="M193" i="1"/>
  <c r="X193" i="1" s="1"/>
  <c r="M194" i="1"/>
  <c r="X194" i="1" s="1"/>
  <c r="M195" i="1"/>
  <c r="X195" i="1" s="1"/>
  <c r="M196" i="1"/>
  <c r="X196" i="1" s="1"/>
  <c r="M197" i="1"/>
  <c r="X197" i="1" s="1"/>
  <c r="M198" i="1"/>
  <c r="X198" i="1" s="1"/>
  <c r="M199" i="1"/>
  <c r="X199" i="1" s="1"/>
  <c r="M200" i="1"/>
  <c r="X200" i="1" s="1"/>
  <c r="M201" i="1"/>
  <c r="X201" i="1" s="1"/>
  <c r="M202" i="1"/>
  <c r="X202" i="1" s="1"/>
  <c r="M203" i="1"/>
  <c r="X203" i="1" s="1"/>
  <c r="M204" i="1"/>
  <c r="X204" i="1" s="1"/>
  <c r="M205" i="1"/>
  <c r="X205" i="1" s="1"/>
  <c r="M206" i="1"/>
  <c r="X206" i="1" s="1"/>
  <c r="M207" i="1"/>
  <c r="X207" i="1" s="1"/>
  <c r="M208" i="1"/>
  <c r="X208" i="1" s="1"/>
  <c r="M209" i="1"/>
  <c r="X209" i="1" s="1"/>
  <c r="M210" i="1"/>
  <c r="X210" i="1" s="1"/>
  <c r="M211" i="1"/>
  <c r="X211" i="1" s="1"/>
  <c r="M212" i="1"/>
  <c r="X212" i="1" s="1"/>
  <c r="M213" i="1"/>
  <c r="X213" i="1" s="1"/>
  <c r="M214" i="1"/>
  <c r="X214" i="1" s="1"/>
  <c r="M215" i="1"/>
  <c r="X215" i="1" s="1"/>
  <c r="M216" i="1"/>
  <c r="X216" i="1" s="1"/>
  <c r="M217" i="1"/>
  <c r="X217" i="1" s="1"/>
  <c r="M218" i="1"/>
  <c r="X218" i="1" s="1"/>
  <c r="M219" i="1"/>
  <c r="X219" i="1" s="1"/>
  <c r="M220" i="1"/>
  <c r="X220" i="1" s="1"/>
  <c r="M221" i="1"/>
  <c r="X221" i="1" s="1"/>
  <c r="M222" i="1"/>
  <c r="X222" i="1" s="1"/>
  <c r="M223" i="1"/>
  <c r="X223" i="1" s="1"/>
  <c r="M224" i="1"/>
  <c r="X224" i="1" s="1"/>
  <c r="M225" i="1"/>
  <c r="X225" i="1" s="1"/>
  <c r="M226" i="1"/>
  <c r="X226" i="1" s="1"/>
  <c r="M227" i="1"/>
  <c r="X227" i="1" s="1"/>
  <c r="M228" i="1"/>
  <c r="X228" i="1" s="1"/>
  <c r="M229" i="1"/>
  <c r="X229" i="1" s="1"/>
  <c r="M230" i="1"/>
  <c r="X230" i="1" s="1"/>
  <c r="M231" i="1"/>
  <c r="X231" i="1" s="1"/>
  <c r="M232" i="1"/>
  <c r="X232" i="1" s="1"/>
  <c r="M233" i="1"/>
  <c r="X233" i="1" s="1"/>
  <c r="M234" i="1"/>
  <c r="X234" i="1" s="1"/>
  <c r="M235" i="1"/>
  <c r="X235" i="1" s="1"/>
  <c r="M236" i="1"/>
  <c r="X236" i="1" s="1"/>
  <c r="M237" i="1"/>
  <c r="X237" i="1" s="1"/>
  <c r="M238" i="1"/>
  <c r="X238" i="1" s="1"/>
  <c r="M239" i="1"/>
  <c r="X239" i="1" s="1"/>
  <c r="M240" i="1"/>
  <c r="X240" i="1" s="1"/>
  <c r="M241" i="1"/>
  <c r="X241" i="1" s="1"/>
  <c r="M242" i="1"/>
  <c r="X242" i="1" s="1"/>
  <c r="M243" i="1"/>
  <c r="X243" i="1" s="1"/>
  <c r="M244" i="1"/>
  <c r="X244" i="1" s="1"/>
  <c r="M245" i="1"/>
  <c r="X245" i="1" s="1"/>
  <c r="M246" i="1"/>
  <c r="X246" i="1" s="1"/>
  <c r="M247" i="1"/>
  <c r="X247" i="1" s="1"/>
  <c r="M248" i="1"/>
  <c r="X248" i="1" s="1"/>
  <c r="M249" i="1"/>
  <c r="X249" i="1" s="1"/>
  <c r="M250" i="1"/>
  <c r="X250" i="1" s="1"/>
  <c r="M251" i="1"/>
  <c r="X251" i="1" s="1"/>
  <c r="M252" i="1"/>
  <c r="X252" i="1" s="1"/>
  <c r="M253" i="1"/>
  <c r="X253" i="1" s="1"/>
  <c r="M254" i="1"/>
  <c r="X254" i="1" s="1"/>
  <c r="M255" i="1"/>
  <c r="X255" i="1" s="1"/>
  <c r="M256" i="1"/>
  <c r="X256" i="1" s="1"/>
  <c r="M257" i="1"/>
  <c r="X257" i="1" s="1"/>
  <c r="M258" i="1"/>
  <c r="X258" i="1" s="1"/>
  <c r="M259" i="1"/>
  <c r="X259" i="1" s="1"/>
  <c r="M260" i="1"/>
  <c r="X260" i="1" s="1"/>
  <c r="M261" i="1"/>
  <c r="X261" i="1" s="1"/>
  <c r="M262" i="1"/>
  <c r="X262" i="1" s="1"/>
  <c r="M263" i="1"/>
  <c r="X263" i="1" s="1"/>
  <c r="M264" i="1"/>
  <c r="X264" i="1" s="1"/>
  <c r="M265" i="1"/>
  <c r="X265" i="1" s="1"/>
  <c r="M266" i="1"/>
  <c r="X266" i="1" s="1"/>
  <c r="M267" i="1"/>
  <c r="X267" i="1" s="1"/>
  <c r="M268" i="1"/>
  <c r="X268" i="1" s="1"/>
  <c r="M269" i="1"/>
  <c r="X269" i="1" s="1"/>
  <c r="M270" i="1"/>
  <c r="X270" i="1" s="1"/>
  <c r="M271" i="1"/>
  <c r="X271" i="1" s="1"/>
  <c r="M272" i="1"/>
  <c r="X272" i="1" s="1"/>
  <c r="M273" i="1"/>
  <c r="X273" i="1" s="1"/>
  <c r="M274" i="1"/>
  <c r="X274" i="1" s="1"/>
  <c r="M275" i="1"/>
  <c r="X275" i="1" s="1"/>
  <c r="M276" i="1"/>
  <c r="X276" i="1" s="1"/>
  <c r="M277" i="1"/>
  <c r="X277" i="1" s="1"/>
  <c r="M278" i="1"/>
  <c r="X278" i="1" s="1"/>
  <c r="M279" i="1"/>
  <c r="X279" i="1" s="1"/>
  <c r="M280" i="1"/>
  <c r="X280" i="1" s="1"/>
  <c r="M281" i="1"/>
  <c r="X281" i="1" s="1"/>
  <c r="M282" i="1"/>
  <c r="X282" i="1" s="1"/>
  <c r="M283" i="1"/>
  <c r="X283" i="1" s="1"/>
  <c r="M284" i="1"/>
  <c r="X284" i="1" s="1"/>
  <c r="M285" i="1"/>
  <c r="X285" i="1" s="1"/>
  <c r="M286" i="1"/>
  <c r="X286" i="1" s="1"/>
  <c r="M287" i="1"/>
  <c r="X287" i="1" s="1"/>
  <c r="M288" i="1"/>
  <c r="X288" i="1" s="1"/>
  <c r="M289" i="1"/>
  <c r="X289" i="1" s="1"/>
  <c r="M290" i="1"/>
  <c r="X290" i="1" s="1"/>
  <c r="M291" i="1"/>
  <c r="X291" i="1" s="1"/>
  <c r="M292" i="1"/>
  <c r="X292" i="1" s="1"/>
  <c r="M293" i="1"/>
  <c r="X293" i="1" s="1"/>
  <c r="M294" i="1"/>
  <c r="X294" i="1" s="1"/>
  <c r="M295" i="1"/>
  <c r="X295" i="1" s="1"/>
  <c r="M296" i="1"/>
  <c r="X296" i="1" s="1"/>
  <c r="M297" i="1"/>
  <c r="X297" i="1" s="1"/>
  <c r="M298" i="1"/>
  <c r="X298" i="1" s="1"/>
  <c r="M299" i="1"/>
  <c r="X299" i="1" s="1"/>
  <c r="M300" i="1"/>
  <c r="X300" i="1" s="1"/>
  <c r="M301" i="1"/>
  <c r="X301" i="1" s="1"/>
  <c r="M302" i="1"/>
  <c r="X302" i="1" s="1"/>
  <c r="M303" i="1"/>
  <c r="X303" i="1" s="1"/>
  <c r="M304" i="1"/>
  <c r="X304" i="1" s="1"/>
  <c r="M305" i="1"/>
  <c r="X305" i="1" s="1"/>
  <c r="M306" i="1"/>
  <c r="X306" i="1" s="1"/>
  <c r="M307" i="1"/>
  <c r="X307" i="1" s="1"/>
  <c r="M308" i="1"/>
  <c r="X308" i="1" s="1"/>
  <c r="M309" i="1"/>
  <c r="X309" i="1" s="1"/>
  <c r="M310" i="1"/>
  <c r="X310" i="1" s="1"/>
  <c r="M311" i="1"/>
  <c r="X311" i="1" s="1"/>
  <c r="M312" i="1"/>
  <c r="X312" i="1" s="1"/>
  <c r="M313" i="1"/>
  <c r="X313" i="1" s="1"/>
  <c r="M314" i="1"/>
  <c r="X314" i="1" s="1"/>
  <c r="M315" i="1"/>
  <c r="X315" i="1" s="1"/>
  <c r="M316" i="1"/>
  <c r="X316" i="1" s="1"/>
  <c r="M317" i="1"/>
  <c r="X317" i="1" s="1"/>
  <c r="M318" i="1"/>
  <c r="X318" i="1" s="1"/>
  <c r="M319" i="1"/>
  <c r="X319" i="1" s="1"/>
  <c r="M320" i="1"/>
  <c r="X320" i="1" s="1"/>
  <c r="M321" i="1"/>
  <c r="X321" i="1" s="1"/>
  <c r="M322" i="1"/>
  <c r="X322" i="1" s="1"/>
  <c r="M323" i="1"/>
  <c r="X323" i="1" s="1"/>
  <c r="M324" i="1"/>
  <c r="X324" i="1" s="1"/>
  <c r="M325" i="1"/>
  <c r="X325" i="1" s="1"/>
  <c r="M326" i="1"/>
  <c r="X326" i="1" s="1"/>
  <c r="M327" i="1"/>
  <c r="X327" i="1" s="1"/>
  <c r="M328" i="1"/>
  <c r="X328" i="1" s="1"/>
  <c r="M329" i="1"/>
  <c r="X329" i="1" s="1"/>
  <c r="M330" i="1"/>
  <c r="X330" i="1" s="1"/>
  <c r="M331" i="1"/>
  <c r="X331" i="1" s="1"/>
  <c r="M332" i="1"/>
  <c r="X332" i="1" s="1"/>
  <c r="M333" i="1"/>
  <c r="X333" i="1" s="1"/>
  <c r="M334" i="1"/>
  <c r="X334" i="1" s="1"/>
  <c r="M335" i="1"/>
  <c r="X335" i="1" s="1"/>
  <c r="M336" i="1"/>
  <c r="X336" i="1" s="1"/>
  <c r="M337" i="1"/>
  <c r="X337" i="1" s="1"/>
  <c r="M338" i="1"/>
  <c r="X338" i="1" s="1"/>
  <c r="M339" i="1"/>
  <c r="X339" i="1" s="1"/>
  <c r="M340" i="1"/>
  <c r="X340" i="1" s="1"/>
  <c r="M341" i="1"/>
  <c r="X341" i="1" s="1"/>
  <c r="M342" i="1"/>
  <c r="X342" i="1" s="1"/>
  <c r="M343" i="1"/>
  <c r="X343" i="1" s="1"/>
  <c r="M344" i="1"/>
  <c r="X344" i="1" s="1"/>
  <c r="M345" i="1"/>
  <c r="X345" i="1" s="1"/>
  <c r="M346" i="1"/>
  <c r="X346" i="1" s="1"/>
  <c r="M347" i="1"/>
  <c r="X347" i="1" s="1"/>
  <c r="M348" i="1"/>
  <c r="X348" i="1" s="1"/>
  <c r="M349" i="1"/>
  <c r="X349" i="1" s="1"/>
  <c r="M350" i="1"/>
  <c r="X350" i="1" s="1"/>
  <c r="M351" i="1"/>
  <c r="X351" i="1" s="1"/>
  <c r="M352" i="1"/>
  <c r="X352" i="1" s="1"/>
  <c r="M353" i="1"/>
  <c r="X353" i="1" s="1"/>
  <c r="M354" i="1"/>
  <c r="X354" i="1" s="1"/>
  <c r="M355" i="1"/>
  <c r="X355" i="1" s="1"/>
  <c r="M356" i="1"/>
  <c r="X356" i="1" s="1"/>
  <c r="M357" i="1"/>
  <c r="X357" i="1" s="1"/>
  <c r="M358" i="1"/>
  <c r="X358" i="1" s="1"/>
  <c r="M359" i="1"/>
  <c r="X359" i="1" s="1"/>
  <c r="M360" i="1"/>
  <c r="X360" i="1" s="1"/>
  <c r="M361" i="1"/>
  <c r="X361" i="1" s="1"/>
  <c r="M362" i="1"/>
  <c r="X362" i="1" s="1"/>
  <c r="M363" i="1"/>
  <c r="X363" i="1" s="1"/>
  <c r="M364" i="1"/>
  <c r="X364" i="1" s="1"/>
  <c r="M365" i="1"/>
  <c r="X365" i="1" s="1"/>
  <c r="M366" i="1"/>
  <c r="X366" i="1" s="1"/>
  <c r="M367" i="1"/>
  <c r="X367" i="1" s="1"/>
  <c r="M368" i="1"/>
  <c r="X368" i="1" s="1"/>
  <c r="M369" i="1"/>
  <c r="X369" i="1" s="1"/>
  <c r="M370" i="1"/>
  <c r="X370" i="1" s="1"/>
  <c r="M371" i="1"/>
  <c r="X371" i="1" s="1"/>
  <c r="M372" i="1"/>
  <c r="X372" i="1" s="1"/>
  <c r="M373" i="1"/>
  <c r="X373" i="1" s="1"/>
  <c r="M374" i="1"/>
  <c r="X374" i="1" s="1"/>
  <c r="M375" i="1"/>
  <c r="X375" i="1" s="1"/>
  <c r="M376" i="1"/>
  <c r="X376" i="1" s="1"/>
  <c r="M377" i="1"/>
  <c r="X377" i="1" s="1"/>
  <c r="M378" i="1"/>
  <c r="X378" i="1" s="1"/>
  <c r="M379" i="1"/>
  <c r="X379" i="1" s="1"/>
  <c r="M380" i="1"/>
  <c r="X380" i="1" s="1"/>
  <c r="M381" i="1"/>
  <c r="X381" i="1" s="1"/>
  <c r="M382" i="1"/>
  <c r="X382" i="1" s="1"/>
  <c r="M383" i="1"/>
  <c r="X383" i="1" s="1"/>
  <c r="M384" i="1"/>
  <c r="X384" i="1" s="1"/>
  <c r="M385" i="1"/>
  <c r="X385" i="1" s="1"/>
  <c r="M386" i="1"/>
  <c r="X386" i="1" s="1"/>
  <c r="M387" i="1"/>
  <c r="X387" i="1" s="1"/>
  <c r="M388" i="1"/>
  <c r="X388" i="1" s="1"/>
  <c r="M389" i="1"/>
  <c r="X389" i="1" s="1"/>
  <c r="M390" i="1"/>
  <c r="X390" i="1" s="1"/>
  <c r="M391" i="1"/>
  <c r="X391" i="1" s="1"/>
  <c r="M392" i="1"/>
  <c r="X392" i="1" s="1"/>
  <c r="M393" i="1"/>
  <c r="X393" i="1" s="1"/>
  <c r="M394" i="1"/>
  <c r="X394" i="1" s="1"/>
  <c r="M395" i="1"/>
  <c r="X395" i="1" s="1"/>
  <c r="M396" i="1"/>
  <c r="X396" i="1" s="1"/>
  <c r="M397" i="1"/>
  <c r="X397" i="1" s="1"/>
  <c r="M398" i="1"/>
  <c r="X398" i="1" s="1"/>
  <c r="M399" i="1"/>
  <c r="X399" i="1" s="1"/>
  <c r="M400" i="1"/>
  <c r="X400" i="1" s="1"/>
  <c r="M401" i="1"/>
  <c r="X401" i="1" s="1"/>
  <c r="M402" i="1"/>
  <c r="X402" i="1" s="1"/>
  <c r="M403" i="1"/>
  <c r="X403" i="1" s="1"/>
  <c r="M404" i="1"/>
  <c r="X404" i="1" s="1"/>
  <c r="M405" i="1"/>
  <c r="X405" i="1" s="1"/>
  <c r="M406" i="1"/>
  <c r="X406" i="1" s="1"/>
  <c r="M407" i="1"/>
  <c r="X407" i="1" s="1"/>
  <c r="M408" i="1"/>
  <c r="X408" i="1" s="1"/>
  <c r="M409" i="1"/>
  <c r="X409" i="1" s="1"/>
  <c r="M410" i="1"/>
  <c r="X410" i="1" s="1"/>
  <c r="M411" i="1"/>
  <c r="X411" i="1" s="1"/>
  <c r="M412" i="1"/>
  <c r="X412" i="1" s="1"/>
  <c r="M413" i="1"/>
  <c r="X413" i="1" s="1"/>
  <c r="M414" i="1"/>
  <c r="X414" i="1" s="1"/>
  <c r="M415" i="1"/>
  <c r="X415" i="1" s="1"/>
  <c r="M416" i="1"/>
  <c r="X416" i="1" s="1"/>
  <c r="M417" i="1"/>
  <c r="X417" i="1" s="1"/>
  <c r="M418" i="1"/>
  <c r="X418" i="1" s="1"/>
  <c r="M419" i="1"/>
  <c r="X419" i="1" s="1"/>
  <c r="M420" i="1"/>
  <c r="X420" i="1" s="1"/>
  <c r="M421" i="1"/>
  <c r="X421" i="1" s="1"/>
  <c r="M422" i="1"/>
  <c r="X422" i="1" s="1"/>
  <c r="M423" i="1"/>
  <c r="X423" i="1" s="1"/>
  <c r="M424" i="1"/>
  <c r="X424" i="1" s="1"/>
  <c r="M425" i="1"/>
  <c r="X425" i="1" s="1"/>
  <c r="M426" i="1"/>
  <c r="X426" i="1" s="1"/>
  <c r="M427" i="1"/>
  <c r="X427" i="1" s="1"/>
  <c r="M428" i="1"/>
  <c r="X428" i="1" s="1"/>
  <c r="M429" i="1"/>
  <c r="X429" i="1" s="1"/>
  <c r="M430" i="1"/>
  <c r="X430" i="1" s="1"/>
  <c r="M431" i="1"/>
  <c r="X431" i="1" s="1"/>
  <c r="M432" i="1"/>
  <c r="X432" i="1" s="1"/>
  <c r="M433" i="1"/>
  <c r="X433" i="1" s="1"/>
  <c r="M434" i="1"/>
  <c r="X434" i="1" s="1"/>
  <c r="M435" i="1"/>
  <c r="X435" i="1" s="1"/>
  <c r="M436" i="1"/>
  <c r="X436" i="1" s="1"/>
  <c r="M437" i="1"/>
  <c r="X437" i="1" s="1"/>
  <c r="M438" i="1"/>
  <c r="X438" i="1" s="1"/>
  <c r="M439" i="1"/>
  <c r="X439" i="1" s="1"/>
  <c r="M440" i="1"/>
  <c r="X440" i="1" s="1"/>
  <c r="M441" i="1"/>
  <c r="X441" i="1" s="1"/>
  <c r="M442" i="1"/>
  <c r="X442" i="1" s="1"/>
  <c r="M443" i="1"/>
  <c r="X443" i="1" s="1"/>
  <c r="M444" i="1"/>
  <c r="X444" i="1" s="1"/>
  <c r="M445" i="1"/>
  <c r="X445" i="1" s="1"/>
  <c r="M446" i="1"/>
  <c r="X446" i="1" s="1"/>
  <c r="M447" i="1"/>
  <c r="X447" i="1" s="1"/>
  <c r="M448" i="1"/>
  <c r="X448" i="1" s="1"/>
  <c r="M449" i="1"/>
  <c r="X449" i="1" s="1"/>
  <c r="M450" i="1"/>
  <c r="X450" i="1" s="1"/>
  <c r="M451" i="1"/>
  <c r="X451" i="1" s="1"/>
  <c r="M452" i="1"/>
  <c r="X452" i="1" s="1"/>
  <c r="M453" i="1"/>
  <c r="X453" i="1" s="1"/>
  <c r="M454" i="1"/>
  <c r="X454" i="1" s="1"/>
  <c r="M455" i="1"/>
  <c r="X455" i="1" s="1"/>
  <c r="M456" i="1"/>
  <c r="X456" i="1" s="1"/>
  <c r="M457" i="1"/>
  <c r="X457" i="1" s="1"/>
  <c r="M458" i="1"/>
  <c r="X458" i="1" s="1"/>
  <c r="M459" i="1"/>
  <c r="X459" i="1" s="1"/>
  <c r="M460" i="1"/>
  <c r="X460" i="1" s="1"/>
  <c r="M461" i="1"/>
  <c r="X461" i="1" s="1"/>
  <c r="M462" i="1"/>
  <c r="X462" i="1" s="1"/>
  <c r="M463" i="1"/>
  <c r="X463" i="1" s="1"/>
  <c r="M464" i="1"/>
  <c r="X464" i="1" s="1"/>
  <c r="M465" i="1"/>
  <c r="X465" i="1" s="1"/>
  <c r="M466" i="1"/>
  <c r="X466" i="1" s="1"/>
  <c r="M467" i="1"/>
  <c r="X467" i="1" s="1"/>
  <c r="M468" i="1"/>
  <c r="X468" i="1" s="1"/>
  <c r="M469" i="1"/>
  <c r="X469" i="1" s="1"/>
  <c r="M470" i="1"/>
  <c r="X470" i="1" s="1"/>
  <c r="M471" i="1"/>
  <c r="X471" i="1" s="1"/>
  <c r="M472" i="1"/>
  <c r="X472" i="1" s="1"/>
  <c r="M473" i="1"/>
  <c r="X473" i="1" s="1"/>
  <c r="M474" i="1"/>
  <c r="X474" i="1" s="1"/>
  <c r="M475" i="1"/>
  <c r="X475" i="1" s="1"/>
  <c r="M476" i="1"/>
  <c r="X476" i="1" s="1"/>
  <c r="M477" i="1"/>
  <c r="X477" i="1" s="1"/>
  <c r="M478" i="1"/>
  <c r="X478" i="1" s="1"/>
  <c r="M479" i="1"/>
  <c r="X479" i="1" s="1"/>
  <c r="M480" i="1"/>
  <c r="X480" i="1" s="1"/>
  <c r="M481" i="1"/>
  <c r="X481" i="1" s="1"/>
  <c r="M482" i="1"/>
  <c r="X482" i="1" s="1"/>
  <c r="M483" i="1"/>
  <c r="X483" i="1" s="1"/>
  <c r="M484" i="1"/>
  <c r="X484" i="1" s="1"/>
  <c r="M485" i="1"/>
  <c r="X485" i="1" s="1"/>
  <c r="M486" i="1"/>
  <c r="X486" i="1" s="1"/>
  <c r="M487" i="1"/>
  <c r="X487" i="1" s="1"/>
  <c r="M488" i="1"/>
  <c r="X488" i="1" s="1"/>
  <c r="M489" i="1"/>
  <c r="X489" i="1" s="1"/>
  <c r="M490" i="1"/>
  <c r="X490" i="1" s="1"/>
  <c r="M491" i="1"/>
  <c r="X491" i="1" s="1"/>
  <c r="M492" i="1"/>
  <c r="X492" i="1" s="1"/>
  <c r="M493" i="1"/>
  <c r="X493" i="1" s="1"/>
  <c r="M494" i="1"/>
  <c r="X494" i="1" s="1"/>
  <c r="M495" i="1"/>
  <c r="X495" i="1" s="1"/>
  <c r="M496" i="1"/>
  <c r="X496" i="1" s="1"/>
  <c r="M497" i="1"/>
  <c r="X497" i="1" s="1"/>
  <c r="M498" i="1"/>
  <c r="X498" i="1" s="1"/>
  <c r="M499" i="1"/>
  <c r="X499" i="1" s="1"/>
  <c r="M500" i="1"/>
  <c r="X500" i="1" s="1"/>
  <c r="M501" i="1"/>
  <c r="X501" i="1" s="1"/>
  <c r="K9" i="1"/>
  <c r="K5" i="1"/>
  <c r="K7" i="1"/>
  <c r="K8" i="1"/>
  <c r="B102" i="1" a="1"/>
  <c r="B102" i="1" s="1"/>
  <c r="C102" i="1" s="1"/>
  <c r="B103" i="1" a="1"/>
  <c r="B103" i="1" s="1"/>
  <c r="C103" i="1" s="1"/>
  <c r="B104" i="1" a="1"/>
  <c r="B104" i="1" s="1"/>
  <c r="C104" i="1" s="1"/>
  <c r="B105" i="1" a="1"/>
  <c r="B105" i="1" s="1"/>
  <c r="C105" i="1" s="1"/>
  <c r="B106" i="1" a="1"/>
  <c r="B106" i="1" s="1"/>
  <c r="C106" i="1" s="1"/>
  <c r="B107" i="1" a="1"/>
  <c r="B107" i="1" s="1"/>
  <c r="C107" i="1" s="1"/>
  <c r="B108" i="1" a="1"/>
  <c r="B108" i="1" s="1"/>
  <c r="C108" i="1" s="1"/>
  <c r="B109" i="1" a="1"/>
  <c r="B109" i="1" s="1"/>
  <c r="C109" i="1" s="1"/>
  <c r="B110" i="1" a="1"/>
  <c r="B110" i="1" s="1"/>
  <c r="C110" i="1" s="1"/>
  <c r="B111" i="1" a="1"/>
  <c r="B111" i="1" s="1"/>
  <c r="C111" i="1" s="1"/>
  <c r="B112" i="1" a="1"/>
  <c r="B112" i="1" s="1"/>
  <c r="C112" i="1" s="1"/>
  <c r="B113" i="1" a="1"/>
  <c r="B113" i="1" s="1"/>
  <c r="C113" i="1" s="1"/>
  <c r="B114" i="1" a="1"/>
  <c r="B114" i="1" s="1"/>
  <c r="C114" i="1" s="1"/>
  <c r="B115" i="1" a="1"/>
  <c r="B115" i="1" s="1"/>
  <c r="C115" i="1" s="1"/>
  <c r="B116" i="1" a="1"/>
  <c r="B116" i="1" s="1"/>
  <c r="C116" i="1" s="1"/>
  <c r="B117" i="1" a="1"/>
  <c r="B117" i="1" s="1"/>
  <c r="C117" i="1" s="1"/>
  <c r="B118" i="1" a="1"/>
  <c r="B118" i="1" s="1"/>
  <c r="C118" i="1" s="1"/>
  <c r="B119" i="1" a="1"/>
  <c r="B119" i="1" s="1"/>
  <c r="C119" i="1" s="1"/>
  <c r="B120" i="1" a="1"/>
  <c r="B120" i="1" s="1"/>
  <c r="C120" i="1" s="1"/>
  <c r="B121" i="1" a="1"/>
  <c r="B121" i="1" s="1"/>
  <c r="C121" i="1" s="1"/>
  <c r="B122" i="1" a="1"/>
  <c r="B122" i="1" s="1"/>
  <c r="C122" i="1" s="1"/>
  <c r="B123" i="1" a="1"/>
  <c r="B123" i="1" s="1"/>
  <c r="C123" i="1" s="1"/>
  <c r="B124" i="1" a="1"/>
  <c r="B124" i="1" s="1"/>
  <c r="C124" i="1" s="1"/>
  <c r="B125" i="1" a="1"/>
  <c r="B125" i="1" s="1"/>
  <c r="C125" i="1" s="1"/>
  <c r="B126" i="1" a="1"/>
  <c r="B126" i="1" s="1"/>
  <c r="C126" i="1" s="1"/>
  <c r="B127" i="1" a="1"/>
  <c r="B127" i="1" s="1"/>
  <c r="C127" i="1" s="1"/>
  <c r="B128" i="1" a="1"/>
  <c r="B128" i="1" s="1"/>
  <c r="C128" i="1" s="1"/>
  <c r="B129" i="1" a="1"/>
  <c r="B129" i="1" s="1"/>
  <c r="C129" i="1" s="1"/>
  <c r="B130" i="1" a="1"/>
  <c r="B130" i="1" s="1"/>
  <c r="C130" i="1" s="1"/>
  <c r="B131" i="1" a="1"/>
  <c r="B131" i="1" s="1"/>
  <c r="C131" i="1" s="1"/>
  <c r="B132" i="1" a="1"/>
  <c r="B132" i="1" s="1"/>
  <c r="C132" i="1" s="1"/>
  <c r="B133" i="1" a="1"/>
  <c r="B133" i="1" s="1"/>
  <c r="C133" i="1" s="1"/>
  <c r="B134" i="1" a="1"/>
  <c r="B134" i="1" s="1"/>
  <c r="C134" i="1" s="1"/>
  <c r="B135" i="1" a="1"/>
  <c r="B135" i="1" s="1"/>
  <c r="C135" i="1" s="1"/>
  <c r="B136" i="1" a="1"/>
  <c r="B136" i="1" s="1"/>
  <c r="C136" i="1" s="1"/>
  <c r="B137" i="1" a="1"/>
  <c r="B137" i="1" s="1"/>
  <c r="C137" i="1" s="1"/>
  <c r="B138" i="1" a="1"/>
  <c r="B138" i="1" s="1"/>
  <c r="C138" i="1" s="1"/>
  <c r="B139" i="1" a="1"/>
  <c r="B139" i="1" s="1"/>
  <c r="C139" i="1" s="1"/>
  <c r="B140" i="1" a="1"/>
  <c r="B140" i="1" s="1"/>
  <c r="C140" i="1" s="1"/>
  <c r="B141" i="1" a="1"/>
  <c r="B141" i="1" s="1"/>
  <c r="C141" i="1" s="1"/>
  <c r="B142" i="1" a="1"/>
  <c r="B142" i="1" s="1"/>
  <c r="C142" i="1" s="1"/>
  <c r="B143" i="1" a="1"/>
  <c r="B143" i="1" s="1"/>
  <c r="C143" i="1" s="1"/>
  <c r="B144" i="1" a="1"/>
  <c r="B144" i="1" s="1"/>
  <c r="C144" i="1" s="1"/>
  <c r="B145" i="1" a="1"/>
  <c r="B145" i="1" s="1"/>
  <c r="C145" i="1" s="1"/>
  <c r="B146" i="1" a="1"/>
  <c r="B146" i="1" s="1"/>
  <c r="C146" i="1" s="1"/>
  <c r="B147" i="1" a="1"/>
  <c r="B147" i="1" s="1"/>
  <c r="C147" i="1" s="1"/>
  <c r="B148" i="1" a="1"/>
  <c r="B148" i="1" s="1"/>
  <c r="C148" i="1" s="1"/>
  <c r="B149" i="1" a="1"/>
  <c r="B149" i="1" s="1"/>
  <c r="C149" i="1" s="1"/>
  <c r="B150" i="1" a="1"/>
  <c r="B150" i="1" s="1"/>
  <c r="C150" i="1" s="1"/>
  <c r="B151" i="1" a="1"/>
  <c r="B151" i="1" s="1"/>
  <c r="C151" i="1" s="1"/>
  <c r="B152" i="1" a="1"/>
  <c r="B152" i="1" s="1"/>
  <c r="C152" i="1" s="1"/>
  <c r="B153" i="1" a="1"/>
  <c r="B153" i="1" s="1"/>
  <c r="C153" i="1" s="1"/>
  <c r="B154" i="1" a="1"/>
  <c r="B154" i="1" s="1"/>
  <c r="C154" i="1" s="1"/>
  <c r="B155" i="1" a="1"/>
  <c r="B155" i="1" s="1"/>
  <c r="C155" i="1" s="1"/>
  <c r="B156" i="1" a="1"/>
  <c r="B156" i="1" s="1"/>
  <c r="C156" i="1" s="1"/>
  <c r="B157" i="1" a="1"/>
  <c r="B157" i="1" s="1"/>
  <c r="C157" i="1" s="1"/>
  <c r="B158" i="1" a="1"/>
  <c r="B158" i="1" s="1"/>
  <c r="C158" i="1" s="1"/>
  <c r="B159" i="1" a="1"/>
  <c r="B159" i="1" s="1"/>
  <c r="C159" i="1" s="1"/>
  <c r="B160" i="1" a="1"/>
  <c r="B160" i="1" s="1"/>
  <c r="C160" i="1" s="1"/>
  <c r="B161" i="1" a="1"/>
  <c r="B161" i="1" s="1"/>
  <c r="C161" i="1" s="1"/>
  <c r="B162" i="1" a="1"/>
  <c r="B162" i="1" s="1"/>
  <c r="C162" i="1" s="1"/>
  <c r="B163" i="1" a="1"/>
  <c r="B163" i="1" s="1"/>
  <c r="C163" i="1" s="1"/>
  <c r="B164" i="1" a="1"/>
  <c r="B164" i="1" s="1"/>
  <c r="C164" i="1" s="1"/>
  <c r="B165" i="1" a="1"/>
  <c r="B165" i="1" s="1"/>
  <c r="C165" i="1" s="1"/>
  <c r="B166" i="1" a="1"/>
  <c r="B166" i="1" s="1"/>
  <c r="C166" i="1" s="1"/>
  <c r="B167" i="1" a="1"/>
  <c r="B167" i="1" s="1"/>
  <c r="C167" i="1" s="1"/>
  <c r="B168" i="1" a="1"/>
  <c r="B168" i="1" s="1"/>
  <c r="C168" i="1" s="1"/>
  <c r="B169" i="1" a="1"/>
  <c r="B169" i="1" s="1"/>
  <c r="C169" i="1" s="1"/>
  <c r="B170" i="1" a="1"/>
  <c r="B170" i="1" s="1"/>
  <c r="C170" i="1" s="1"/>
  <c r="B171" i="1" a="1"/>
  <c r="B171" i="1" s="1"/>
  <c r="C171" i="1" s="1"/>
  <c r="B172" i="1" a="1"/>
  <c r="B172" i="1" s="1"/>
  <c r="C172" i="1" s="1"/>
  <c r="B173" i="1" a="1"/>
  <c r="B173" i="1" s="1"/>
  <c r="C173" i="1" s="1"/>
  <c r="B174" i="1" a="1"/>
  <c r="B174" i="1" s="1"/>
  <c r="C174" i="1" s="1"/>
  <c r="B175" i="1" a="1"/>
  <c r="B175" i="1" s="1"/>
  <c r="C175" i="1" s="1"/>
  <c r="B176" i="1" a="1"/>
  <c r="B176" i="1" s="1"/>
  <c r="C176" i="1" s="1"/>
  <c r="B177" i="1" a="1"/>
  <c r="B177" i="1" s="1"/>
  <c r="C177" i="1" s="1"/>
  <c r="B178" i="1" a="1"/>
  <c r="B178" i="1" s="1"/>
  <c r="C178" i="1" s="1"/>
  <c r="B179" i="1" a="1"/>
  <c r="B179" i="1" s="1"/>
  <c r="C179" i="1" s="1"/>
  <c r="B180" i="1" a="1"/>
  <c r="B180" i="1" s="1"/>
  <c r="C180" i="1" s="1"/>
  <c r="B181" i="1" a="1"/>
  <c r="B181" i="1" s="1"/>
  <c r="C181" i="1" s="1"/>
  <c r="B182" i="1" a="1"/>
  <c r="B182" i="1" s="1"/>
  <c r="C182" i="1" s="1"/>
  <c r="B183" i="1" a="1"/>
  <c r="B183" i="1" s="1"/>
  <c r="C183" i="1" s="1"/>
  <c r="B184" i="1" a="1"/>
  <c r="B184" i="1" s="1"/>
  <c r="C184" i="1" s="1"/>
  <c r="B185" i="1" a="1"/>
  <c r="B185" i="1" s="1"/>
  <c r="C185" i="1" s="1"/>
  <c r="B186" i="1" a="1"/>
  <c r="B186" i="1" s="1"/>
  <c r="C186" i="1" s="1"/>
  <c r="B187" i="1" a="1"/>
  <c r="B187" i="1" s="1"/>
  <c r="C187" i="1" s="1"/>
  <c r="B188" i="1" a="1"/>
  <c r="B188" i="1" s="1"/>
  <c r="C188" i="1" s="1"/>
  <c r="B189" i="1" a="1"/>
  <c r="B189" i="1" s="1"/>
  <c r="C189" i="1" s="1"/>
  <c r="B190" i="1" a="1"/>
  <c r="B190" i="1" s="1"/>
  <c r="C190" i="1" s="1"/>
  <c r="B191" i="1" a="1"/>
  <c r="B191" i="1" s="1"/>
  <c r="C191" i="1" s="1"/>
  <c r="B192" i="1" a="1"/>
  <c r="B192" i="1" s="1"/>
  <c r="C192" i="1" s="1"/>
  <c r="B193" i="1" a="1"/>
  <c r="B193" i="1" s="1"/>
  <c r="C193" i="1" s="1"/>
  <c r="B194" i="1" a="1"/>
  <c r="B194" i="1" s="1"/>
  <c r="C194" i="1" s="1"/>
  <c r="B195" i="1" a="1"/>
  <c r="B195" i="1" s="1"/>
  <c r="C195" i="1" s="1"/>
  <c r="B196" i="1" a="1"/>
  <c r="B196" i="1" s="1"/>
  <c r="C196" i="1" s="1"/>
  <c r="B197" i="1" a="1"/>
  <c r="B197" i="1" s="1"/>
  <c r="C197" i="1" s="1"/>
  <c r="B198" i="1" a="1"/>
  <c r="B198" i="1" s="1"/>
  <c r="C198" i="1" s="1"/>
  <c r="B199" i="1" a="1"/>
  <c r="B199" i="1" s="1"/>
  <c r="C199" i="1" s="1"/>
  <c r="B200" i="1" a="1"/>
  <c r="B200" i="1" s="1"/>
  <c r="C200" i="1" s="1"/>
  <c r="B201" i="1" a="1"/>
  <c r="B201" i="1" s="1"/>
  <c r="C201" i="1" s="1"/>
  <c r="B202" i="1" a="1"/>
  <c r="B202" i="1" s="1"/>
  <c r="C202" i="1" s="1"/>
  <c r="B203" i="1" a="1"/>
  <c r="B203" i="1" s="1"/>
  <c r="C203" i="1" s="1"/>
  <c r="B204" i="1" a="1"/>
  <c r="B204" i="1" s="1"/>
  <c r="C204" i="1" s="1"/>
  <c r="B205" i="1" a="1"/>
  <c r="B205" i="1" s="1"/>
  <c r="C205" i="1" s="1"/>
  <c r="B206" i="1" a="1"/>
  <c r="B206" i="1" s="1"/>
  <c r="C206" i="1" s="1"/>
  <c r="B207" i="1" a="1"/>
  <c r="B207" i="1" s="1"/>
  <c r="C207" i="1" s="1"/>
  <c r="B208" i="1" a="1"/>
  <c r="B208" i="1" s="1"/>
  <c r="C208" i="1" s="1"/>
  <c r="B209" i="1" a="1"/>
  <c r="B209" i="1" s="1"/>
  <c r="C209" i="1" s="1"/>
  <c r="B210" i="1" a="1"/>
  <c r="B210" i="1" s="1"/>
  <c r="C210" i="1" s="1"/>
  <c r="B211" i="1" a="1"/>
  <c r="B211" i="1" s="1"/>
  <c r="C211" i="1" s="1"/>
  <c r="B212" i="1" a="1"/>
  <c r="B212" i="1" s="1"/>
  <c r="C212" i="1" s="1"/>
  <c r="B213" i="1" a="1"/>
  <c r="B213" i="1" s="1"/>
  <c r="C213" i="1" s="1"/>
  <c r="B214" i="1" a="1"/>
  <c r="B214" i="1" s="1"/>
  <c r="C214" i="1" s="1"/>
  <c r="B215" i="1" a="1"/>
  <c r="B215" i="1" s="1"/>
  <c r="C215" i="1" s="1"/>
  <c r="B216" i="1" a="1"/>
  <c r="B216" i="1" s="1"/>
  <c r="C216" i="1" s="1"/>
  <c r="B217" i="1" a="1"/>
  <c r="B217" i="1" s="1"/>
  <c r="C217" i="1" s="1"/>
  <c r="B218" i="1" a="1"/>
  <c r="B218" i="1" s="1"/>
  <c r="C218" i="1" s="1"/>
  <c r="B219" i="1" a="1"/>
  <c r="B219" i="1" s="1"/>
  <c r="C219" i="1" s="1"/>
  <c r="B220" i="1" a="1"/>
  <c r="B220" i="1" s="1"/>
  <c r="C220" i="1" s="1"/>
  <c r="B221" i="1" a="1"/>
  <c r="B221" i="1" s="1"/>
  <c r="C221" i="1" s="1"/>
  <c r="B222" i="1" a="1"/>
  <c r="B222" i="1" s="1"/>
  <c r="C222" i="1" s="1"/>
  <c r="B223" i="1" a="1"/>
  <c r="B223" i="1" s="1"/>
  <c r="C223" i="1" s="1"/>
  <c r="B224" i="1" a="1"/>
  <c r="B224" i="1" s="1"/>
  <c r="C224" i="1" s="1"/>
  <c r="B225" i="1" a="1"/>
  <c r="B225" i="1" s="1"/>
  <c r="C225" i="1" s="1"/>
  <c r="B226" i="1" a="1"/>
  <c r="B226" i="1" s="1"/>
  <c r="C226" i="1" s="1"/>
  <c r="B227" i="1" a="1"/>
  <c r="B227" i="1" s="1"/>
  <c r="C227" i="1" s="1"/>
  <c r="B228" i="1" a="1"/>
  <c r="B228" i="1" s="1"/>
  <c r="C228" i="1" s="1"/>
  <c r="B229" i="1" a="1"/>
  <c r="B229" i="1" s="1"/>
  <c r="C229" i="1" s="1"/>
  <c r="B230" i="1" a="1"/>
  <c r="B230" i="1" s="1"/>
  <c r="C230" i="1" s="1"/>
  <c r="B231" i="1" a="1"/>
  <c r="B231" i="1" s="1"/>
  <c r="C231" i="1" s="1"/>
  <c r="B232" i="1" a="1"/>
  <c r="B232" i="1" s="1"/>
  <c r="C232" i="1" s="1"/>
  <c r="B233" i="1" a="1"/>
  <c r="B233" i="1" s="1"/>
  <c r="C233" i="1" s="1"/>
  <c r="B234" i="1" a="1"/>
  <c r="B234" i="1" s="1"/>
  <c r="C234" i="1" s="1"/>
  <c r="B235" i="1" a="1"/>
  <c r="B235" i="1" s="1"/>
  <c r="C235" i="1" s="1"/>
  <c r="B236" i="1" a="1"/>
  <c r="B236" i="1" s="1"/>
  <c r="C236" i="1" s="1"/>
  <c r="B237" i="1" a="1"/>
  <c r="B237" i="1" s="1"/>
  <c r="C237" i="1" s="1"/>
  <c r="B238" i="1" a="1"/>
  <c r="B238" i="1" s="1"/>
  <c r="C238" i="1" s="1"/>
  <c r="B239" i="1" a="1"/>
  <c r="B239" i="1" s="1"/>
  <c r="C239" i="1" s="1"/>
  <c r="B240" i="1" a="1"/>
  <c r="B240" i="1" s="1"/>
  <c r="C240" i="1" s="1"/>
  <c r="B241" i="1" a="1"/>
  <c r="B241" i="1" s="1"/>
  <c r="C241" i="1" s="1"/>
  <c r="B242" i="1" a="1"/>
  <c r="B242" i="1" s="1"/>
  <c r="C242" i="1" s="1"/>
  <c r="B243" i="1" a="1"/>
  <c r="B243" i="1" s="1"/>
  <c r="C243" i="1" s="1"/>
  <c r="B244" i="1" a="1"/>
  <c r="B244" i="1" s="1"/>
  <c r="C244" i="1" s="1"/>
  <c r="B245" i="1" a="1"/>
  <c r="B245" i="1" s="1"/>
  <c r="C245" i="1" s="1"/>
  <c r="B246" i="1" a="1"/>
  <c r="B246" i="1" s="1"/>
  <c r="C246" i="1" s="1"/>
  <c r="B247" i="1" a="1"/>
  <c r="B247" i="1" s="1"/>
  <c r="C247" i="1" s="1"/>
  <c r="B248" i="1" a="1"/>
  <c r="B248" i="1" s="1"/>
  <c r="C248" i="1" s="1"/>
  <c r="B249" i="1" a="1"/>
  <c r="B249" i="1" s="1"/>
  <c r="C249" i="1" s="1"/>
  <c r="B250" i="1" a="1"/>
  <c r="B250" i="1" s="1"/>
  <c r="C250" i="1" s="1"/>
  <c r="B251" i="1" a="1"/>
  <c r="B251" i="1" s="1"/>
  <c r="C251" i="1" s="1"/>
  <c r="B252" i="1" a="1"/>
  <c r="B252" i="1" s="1"/>
  <c r="C252" i="1" s="1"/>
  <c r="B253" i="1" a="1"/>
  <c r="B253" i="1" s="1"/>
  <c r="C253" i="1" s="1"/>
  <c r="B254" i="1" a="1"/>
  <c r="B254" i="1" s="1"/>
  <c r="C254" i="1" s="1"/>
  <c r="B255" i="1" a="1"/>
  <c r="B255" i="1" s="1"/>
  <c r="C255" i="1" s="1"/>
  <c r="B256" i="1" a="1"/>
  <c r="B256" i="1" s="1"/>
  <c r="C256" i="1" s="1"/>
  <c r="B257" i="1" a="1"/>
  <c r="B257" i="1" s="1"/>
  <c r="C257" i="1" s="1"/>
  <c r="B258" i="1" a="1"/>
  <c r="B258" i="1" s="1"/>
  <c r="C258" i="1" s="1"/>
  <c r="B259" i="1" a="1"/>
  <c r="B259" i="1" s="1"/>
  <c r="C259" i="1" s="1"/>
  <c r="B260" i="1" a="1"/>
  <c r="B260" i="1" s="1"/>
  <c r="C260" i="1" s="1"/>
  <c r="B261" i="1" a="1"/>
  <c r="B261" i="1" s="1"/>
  <c r="C261" i="1" s="1"/>
  <c r="B262" i="1" a="1"/>
  <c r="B262" i="1" s="1"/>
  <c r="C262" i="1" s="1"/>
  <c r="B263" i="1" a="1"/>
  <c r="B263" i="1" s="1"/>
  <c r="C263" i="1" s="1"/>
  <c r="B264" i="1" a="1"/>
  <c r="B264" i="1" s="1"/>
  <c r="C264" i="1" s="1"/>
  <c r="B265" i="1" a="1"/>
  <c r="B265" i="1" s="1"/>
  <c r="C265" i="1" s="1"/>
  <c r="B266" i="1" a="1"/>
  <c r="B266" i="1" s="1"/>
  <c r="C266" i="1" s="1"/>
  <c r="B267" i="1" a="1"/>
  <c r="B267" i="1" s="1"/>
  <c r="C267" i="1" s="1"/>
  <c r="B268" i="1" a="1"/>
  <c r="B268" i="1" s="1"/>
  <c r="C268" i="1" s="1"/>
  <c r="B269" i="1" a="1"/>
  <c r="B269" i="1" s="1"/>
  <c r="C269" i="1" s="1"/>
  <c r="B270" i="1" a="1"/>
  <c r="B270" i="1" s="1"/>
  <c r="C270" i="1" s="1"/>
  <c r="B271" i="1" a="1"/>
  <c r="B271" i="1" s="1"/>
  <c r="C271" i="1" s="1"/>
  <c r="B272" i="1" a="1"/>
  <c r="B272" i="1" s="1"/>
  <c r="C272" i="1" s="1"/>
  <c r="B273" i="1" a="1"/>
  <c r="B273" i="1" s="1"/>
  <c r="C273" i="1" s="1"/>
  <c r="B274" i="1" a="1"/>
  <c r="B274" i="1" s="1"/>
  <c r="C274" i="1" s="1"/>
  <c r="B275" i="1" a="1"/>
  <c r="B275" i="1" s="1"/>
  <c r="C275" i="1" s="1"/>
  <c r="B276" i="1" a="1"/>
  <c r="B276" i="1" s="1"/>
  <c r="C276" i="1" s="1"/>
  <c r="B277" i="1" a="1"/>
  <c r="B277" i="1" s="1"/>
  <c r="C277" i="1" s="1"/>
  <c r="B278" i="1" a="1"/>
  <c r="B278" i="1" s="1"/>
  <c r="C278" i="1" s="1"/>
  <c r="B279" i="1" a="1"/>
  <c r="B279" i="1" s="1"/>
  <c r="C279" i="1" s="1"/>
  <c r="B280" i="1" a="1"/>
  <c r="B280" i="1" s="1"/>
  <c r="C280" i="1" s="1"/>
  <c r="B281" i="1" a="1"/>
  <c r="B281" i="1" s="1"/>
  <c r="C281" i="1" s="1"/>
  <c r="B282" i="1" a="1"/>
  <c r="B282" i="1" s="1"/>
  <c r="C282" i="1" s="1"/>
  <c r="B283" i="1" a="1"/>
  <c r="B283" i="1" s="1"/>
  <c r="C283" i="1" s="1"/>
  <c r="B284" i="1" a="1"/>
  <c r="B284" i="1" s="1"/>
  <c r="C284" i="1" s="1"/>
  <c r="B285" i="1" a="1"/>
  <c r="B285" i="1" s="1"/>
  <c r="C285" i="1" s="1"/>
  <c r="B286" i="1" a="1"/>
  <c r="B286" i="1" s="1"/>
  <c r="C286" i="1" s="1"/>
  <c r="B287" i="1" a="1"/>
  <c r="B287" i="1" s="1"/>
  <c r="C287" i="1" s="1"/>
  <c r="B288" i="1" a="1"/>
  <c r="B288" i="1" s="1"/>
  <c r="C288" i="1" s="1"/>
  <c r="B289" i="1" a="1"/>
  <c r="B289" i="1" s="1"/>
  <c r="C289" i="1" s="1"/>
  <c r="B290" i="1" a="1"/>
  <c r="B290" i="1" s="1"/>
  <c r="C290" i="1" s="1"/>
  <c r="B291" i="1" a="1"/>
  <c r="B291" i="1" s="1"/>
  <c r="C291" i="1" s="1"/>
  <c r="B292" i="1" a="1"/>
  <c r="B292" i="1" s="1"/>
  <c r="C292" i="1" s="1"/>
  <c r="B293" i="1" a="1"/>
  <c r="B293" i="1" s="1"/>
  <c r="C293" i="1" s="1"/>
  <c r="B294" i="1" a="1"/>
  <c r="B294" i="1" s="1"/>
  <c r="C294" i="1" s="1"/>
  <c r="B295" i="1" a="1"/>
  <c r="B295" i="1" s="1"/>
  <c r="C295" i="1" s="1"/>
  <c r="B296" i="1" a="1"/>
  <c r="B296" i="1" s="1"/>
  <c r="C296" i="1" s="1"/>
  <c r="B297" i="1" a="1"/>
  <c r="B297" i="1" s="1"/>
  <c r="C297" i="1" s="1"/>
  <c r="B298" i="1" a="1"/>
  <c r="B298" i="1" s="1"/>
  <c r="C298" i="1" s="1"/>
  <c r="B299" i="1" a="1"/>
  <c r="B299" i="1" s="1"/>
  <c r="C299" i="1" s="1"/>
  <c r="B300" i="1" a="1"/>
  <c r="B300" i="1" s="1"/>
  <c r="C300" i="1" s="1"/>
  <c r="B301" i="1" a="1"/>
  <c r="B301" i="1" s="1"/>
  <c r="C301" i="1" s="1"/>
  <c r="B302" i="1" a="1"/>
  <c r="B302" i="1" s="1"/>
  <c r="C302" i="1" s="1"/>
  <c r="B303" i="1" a="1"/>
  <c r="B303" i="1" s="1"/>
  <c r="C303" i="1" s="1"/>
  <c r="B304" i="1" a="1"/>
  <c r="B304" i="1" s="1"/>
  <c r="C304" i="1" s="1"/>
  <c r="B305" i="1" a="1"/>
  <c r="B305" i="1" s="1"/>
  <c r="C305" i="1" s="1"/>
  <c r="B306" i="1" a="1"/>
  <c r="B306" i="1" s="1"/>
  <c r="C306" i="1" s="1"/>
  <c r="B307" i="1" a="1"/>
  <c r="B307" i="1" s="1"/>
  <c r="C307" i="1" s="1"/>
  <c r="B308" i="1" a="1"/>
  <c r="B308" i="1" s="1"/>
  <c r="C308" i="1" s="1"/>
  <c r="B309" i="1" a="1"/>
  <c r="B309" i="1" s="1"/>
  <c r="C309" i="1" s="1"/>
  <c r="B310" i="1" a="1"/>
  <c r="B310" i="1" s="1"/>
  <c r="C310" i="1" s="1"/>
  <c r="B311" i="1" a="1"/>
  <c r="B311" i="1" s="1"/>
  <c r="C311" i="1" s="1"/>
  <c r="B312" i="1" a="1"/>
  <c r="B312" i="1" s="1"/>
  <c r="C312" i="1" s="1"/>
  <c r="B313" i="1" a="1"/>
  <c r="B313" i="1" s="1"/>
  <c r="C313" i="1" s="1"/>
  <c r="B314" i="1" a="1"/>
  <c r="B314" i="1" s="1"/>
  <c r="C314" i="1" s="1"/>
  <c r="B315" i="1" a="1"/>
  <c r="B315" i="1" s="1"/>
  <c r="C315" i="1" s="1"/>
  <c r="B316" i="1" a="1"/>
  <c r="B316" i="1" s="1"/>
  <c r="C316" i="1" s="1"/>
  <c r="B317" i="1" a="1"/>
  <c r="B317" i="1" s="1"/>
  <c r="C317" i="1" s="1"/>
  <c r="B318" i="1" a="1"/>
  <c r="B318" i="1" s="1"/>
  <c r="C318" i="1" s="1"/>
  <c r="B319" i="1" a="1"/>
  <c r="B319" i="1" s="1"/>
  <c r="C319" i="1" s="1"/>
  <c r="B320" i="1" a="1"/>
  <c r="B320" i="1" s="1"/>
  <c r="C320" i="1" s="1"/>
  <c r="B321" i="1" a="1"/>
  <c r="B321" i="1" s="1"/>
  <c r="C321" i="1" s="1"/>
  <c r="B322" i="1" a="1"/>
  <c r="B322" i="1" s="1"/>
  <c r="C322" i="1" s="1"/>
  <c r="B323" i="1" a="1"/>
  <c r="B323" i="1" s="1"/>
  <c r="C323" i="1" s="1"/>
  <c r="B324" i="1" a="1"/>
  <c r="B324" i="1" s="1"/>
  <c r="C324" i="1" s="1"/>
  <c r="B325" i="1" a="1"/>
  <c r="B325" i="1" s="1"/>
  <c r="C325" i="1" s="1"/>
  <c r="B326" i="1" a="1"/>
  <c r="B326" i="1" s="1"/>
  <c r="C326" i="1" s="1"/>
  <c r="B327" i="1" a="1"/>
  <c r="B327" i="1" s="1"/>
  <c r="C327" i="1" s="1"/>
  <c r="B328" i="1" a="1"/>
  <c r="B328" i="1" s="1"/>
  <c r="C328" i="1" s="1"/>
  <c r="B329" i="1" a="1"/>
  <c r="B329" i="1" s="1"/>
  <c r="C329" i="1" s="1"/>
  <c r="B330" i="1" a="1"/>
  <c r="B330" i="1" s="1"/>
  <c r="C330" i="1" s="1"/>
  <c r="B331" i="1" a="1"/>
  <c r="B331" i="1" s="1"/>
  <c r="C331" i="1" s="1"/>
  <c r="B332" i="1" a="1"/>
  <c r="B332" i="1" s="1"/>
  <c r="C332" i="1" s="1"/>
  <c r="B333" i="1" a="1"/>
  <c r="B333" i="1" s="1"/>
  <c r="C333" i="1" s="1"/>
  <c r="B334" i="1" a="1"/>
  <c r="B334" i="1" s="1"/>
  <c r="C334" i="1" s="1"/>
  <c r="B335" i="1" a="1"/>
  <c r="B335" i="1" s="1"/>
  <c r="C335" i="1" s="1"/>
  <c r="B336" i="1" a="1"/>
  <c r="B336" i="1" s="1"/>
  <c r="C336" i="1" s="1"/>
  <c r="B337" i="1" a="1"/>
  <c r="B337" i="1" s="1"/>
  <c r="C337" i="1" s="1"/>
  <c r="B338" i="1" a="1"/>
  <c r="B338" i="1" s="1"/>
  <c r="C338" i="1" s="1"/>
  <c r="B339" i="1" a="1"/>
  <c r="B339" i="1" s="1"/>
  <c r="C339" i="1" s="1"/>
  <c r="B340" i="1" a="1"/>
  <c r="B340" i="1" s="1"/>
  <c r="C340" i="1" s="1"/>
  <c r="B341" i="1" a="1"/>
  <c r="B341" i="1" s="1"/>
  <c r="C341" i="1" s="1"/>
  <c r="B342" i="1" a="1"/>
  <c r="B342" i="1" s="1"/>
  <c r="C342" i="1" s="1"/>
  <c r="B343" i="1" a="1"/>
  <c r="B343" i="1" s="1"/>
  <c r="C343" i="1" s="1"/>
  <c r="B344" i="1" a="1"/>
  <c r="B344" i="1" s="1"/>
  <c r="C344" i="1" s="1"/>
  <c r="B345" i="1" a="1"/>
  <c r="B345" i="1" s="1"/>
  <c r="C345" i="1" s="1"/>
  <c r="B346" i="1" a="1"/>
  <c r="B346" i="1" s="1"/>
  <c r="C346" i="1" s="1"/>
  <c r="B347" i="1" a="1"/>
  <c r="B347" i="1" s="1"/>
  <c r="C347" i="1" s="1"/>
  <c r="B348" i="1" a="1"/>
  <c r="B348" i="1" s="1"/>
  <c r="C348" i="1" s="1"/>
  <c r="B349" i="1" a="1"/>
  <c r="B349" i="1" s="1"/>
  <c r="C349" i="1" s="1"/>
  <c r="B350" i="1" a="1"/>
  <c r="B350" i="1" s="1"/>
  <c r="C350" i="1" s="1"/>
  <c r="B351" i="1" a="1"/>
  <c r="B351" i="1" s="1"/>
  <c r="C351" i="1" s="1"/>
  <c r="B352" i="1" a="1"/>
  <c r="B352" i="1" s="1"/>
  <c r="C352" i="1" s="1"/>
  <c r="B353" i="1" a="1"/>
  <c r="B353" i="1" s="1"/>
  <c r="C353" i="1" s="1"/>
  <c r="B354" i="1" a="1"/>
  <c r="B354" i="1" s="1"/>
  <c r="C354" i="1" s="1"/>
  <c r="B355" i="1" a="1"/>
  <c r="B355" i="1" s="1"/>
  <c r="C355" i="1" s="1"/>
  <c r="B356" i="1" a="1"/>
  <c r="B356" i="1" s="1"/>
  <c r="C356" i="1" s="1"/>
  <c r="B357" i="1" a="1"/>
  <c r="B357" i="1" s="1"/>
  <c r="C357" i="1" s="1"/>
  <c r="B358" i="1" a="1"/>
  <c r="B358" i="1" s="1"/>
  <c r="C358" i="1" s="1"/>
  <c r="B359" i="1" a="1"/>
  <c r="B359" i="1" s="1"/>
  <c r="C359" i="1" s="1"/>
  <c r="B360" i="1" a="1"/>
  <c r="B360" i="1" s="1"/>
  <c r="C360" i="1" s="1"/>
  <c r="B361" i="1" a="1"/>
  <c r="B361" i="1" s="1"/>
  <c r="C361" i="1" s="1"/>
  <c r="B362" i="1" a="1"/>
  <c r="B362" i="1" s="1"/>
  <c r="C362" i="1" s="1"/>
  <c r="B363" i="1" a="1"/>
  <c r="B363" i="1" s="1"/>
  <c r="C363" i="1" s="1"/>
  <c r="B364" i="1" a="1"/>
  <c r="B364" i="1" s="1"/>
  <c r="C364" i="1" s="1"/>
  <c r="B365" i="1" a="1"/>
  <c r="B365" i="1" s="1"/>
  <c r="C365" i="1" s="1"/>
  <c r="B366" i="1" a="1"/>
  <c r="B366" i="1" s="1"/>
  <c r="C366" i="1" s="1"/>
  <c r="B367" i="1" a="1"/>
  <c r="B367" i="1" s="1"/>
  <c r="C367" i="1" s="1"/>
  <c r="B368" i="1" a="1"/>
  <c r="B368" i="1" s="1"/>
  <c r="C368" i="1" s="1"/>
  <c r="B369" i="1" a="1"/>
  <c r="B369" i="1" s="1"/>
  <c r="C369" i="1" s="1"/>
  <c r="B370" i="1" a="1"/>
  <c r="B370" i="1" s="1"/>
  <c r="C370" i="1" s="1"/>
  <c r="B371" i="1" a="1"/>
  <c r="B371" i="1" s="1"/>
  <c r="C371" i="1" s="1"/>
  <c r="B372" i="1" a="1"/>
  <c r="B372" i="1" s="1"/>
  <c r="C372" i="1" s="1"/>
  <c r="B373" i="1" a="1"/>
  <c r="B373" i="1" s="1"/>
  <c r="C373" i="1" s="1"/>
  <c r="B374" i="1" a="1"/>
  <c r="B374" i="1" s="1"/>
  <c r="C374" i="1" s="1"/>
  <c r="B375" i="1" a="1"/>
  <c r="B375" i="1" s="1"/>
  <c r="C375" i="1" s="1"/>
  <c r="B376" i="1" a="1"/>
  <c r="B376" i="1" s="1"/>
  <c r="C376" i="1" s="1"/>
  <c r="B377" i="1" a="1"/>
  <c r="B377" i="1" s="1"/>
  <c r="C377" i="1" s="1"/>
  <c r="B378" i="1" a="1"/>
  <c r="B378" i="1" s="1"/>
  <c r="C378" i="1" s="1"/>
  <c r="B379" i="1" a="1"/>
  <c r="B379" i="1" s="1"/>
  <c r="C379" i="1" s="1"/>
  <c r="B380" i="1" a="1"/>
  <c r="B380" i="1" s="1"/>
  <c r="C380" i="1" s="1"/>
  <c r="B381" i="1" a="1"/>
  <c r="B381" i="1" s="1"/>
  <c r="C381" i="1" s="1"/>
  <c r="B382" i="1" a="1"/>
  <c r="B382" i="1" s="1"/>
  <c r="C382" i="1" s="1"/>
  <c r="B383" i="1" a="1"/>
  <c r="B383" i="1" s="1"/>
  <c r="C383" i="1" s="1"/>
  <c r="B384" i="1" a="1"/>
  <c r="B384" i="1" s="1"/>
  <c r="C384" i="1" s="1"/>
  <c r="B385" i="1" a="1"/>
  <c r="B385" i="1" s="1"/>
  <c r="C385" i="1" s="1"/>
  <c r="B386" i="1" a="1"/>
  <c r="B386" i="1" s="1"/>
  <c r="C386" i="1" s="1"/>
  <c r="B387" i="1" a="1"/>
  <c r="B387" i="1" s="1"/>
  <c r="C387" i="1" s="1"/>
  <c r="B388" i="1" a="1"/>
  <c r="B388" i="1" s="1"/>
  <c r="C388" i="1" s="1"/>
  <c r="B389" i="1" a="1"/>
  <c r="B389" i="1" s="1"/>
  <c r="C389" i="1" s="1"/>
  <c r="B390" i="1" a="1"/>
  <c r="B390" i="1" s="1"/>
  <c r="C390" i="1" s="1"/>
  <c r="B391" i="1" a="1"/>
  <c r="B391" i="1" s="1"/>
  <c r="C391" i="1" s="1"/>
  <c r="B392" i="1" a="1"/>
  <c r="B392" i="1" s="1"/>
  <c r="C392" i="1" s="1"/>
  <c r="B393" i="1" a="1"/>
  <c r="B393" i="1" s="1"/>
  <c r="C393" i="1" s="1"/>
  <c r="B394" i="1" a="1"/>
  <c r="B394" i="1" s="1"/>
  <c r="C394" i="1" s="1"/>
  <c r="B395" i="1" a="1"/>
  <c r="B395" i="1" s="1"/>
  <c r="C395" i="1" s="1"/>
  <c r="B396" i="1" a="1"/>
  <c r="B396" i="1" s="1"/>
  <c r="C396" i="1" s="1"/>
  <c r="B397" i="1" a="1"/>
  <c r="B397" i="1" s="1"/>
  <c r="C397" i="1" s="1"/>
  <c r="B398" i="1" a="1"/>
  <c r="B398" i="1" s="1"/>
  <c r="C398" i="1" s="1"/>
  <c r="B399" i="1" a="1"/>
  <c r="B399" i="1" s="1"/>
  <c r="C399" i="1" s="1"/>
  <c r="B400" i="1" a="1"/>
  <c r="B400" i="1" s="1"/>
  <c r="C400" i="1" s="1"/>
  <c r="B401" i="1" a="1"/>
  <c r="B401" i="1" s="1"/>
  <c r="C401" i="1" s="1"/>
  <c r="B402" i="1" a="1"/>
  <c r="B402" i="1" s="1"/>
  <c r="C402" i="1" s="1"/>
  <c r="B403" i="1" a="1"/>
  <c r="B403" i="1" s="1"/>
  <c r="C403" i="1" s="1"/>
  <c r="B404" i="1" a="1"/>
  <c r="B404" i="1" s="1"/>
  <c r="C404" i="1" s="1"/>
  <c r="B405" i="1" a="1"/>
  <c r="B405" i="1" s="1"/>
  <c r="C405" i="1" s="1"/>
  <c r="B406" i="1" a="1"/>
  <c r="B406" i="1" s="1"/>
  <c r="C406" i="1" s="1"/>
  <c r="B407" i="1" a="1"/>
  <c r="B407" i="1" s="1"/>
  <c r="C407" i="1" s="1"/>
  <c r="B408" i="1" a="1"/>
  <c r="B408" i="1" s="1"/>
  <c r="C408" i="1" s="1"/>
  <c r="B409" i="1" a="1"/>
  <c r="B409" i="1" s="1"/>
  <c r="C409" i="1" s="1"/>
  <c r="B410" i="1" a="1"/>
  <c r="B410" i="1" s="1"/>
  <c r="C410" i="1" s="1"/>
  <c r="B411" i="1" a="1"/>
  <c r="B411" i="1" s="1"/>
  <c r="C411" i="1" s="1"/>
  <c r="B412" i="1" a="1"/>
  <c r="B412" i="1" s="1"/>
  <c r="C412" i="1" s="1"/>
  <c r="B413" i="1" a="1"/>
  <c r="B413" i="1" s="1"/>
  <c r="C413" i="1" s="1"/>
  <c r="B414" i="1" a="1"/>
  <c r="B414" i="1" s="1"/>
  <c r="C414" i="1" s="1"/>
  <c r="B415" i="1" a="1"/>
  <c r="B415" i="1" s="1"/>
  <c r="C415" i="1" s="1"/>
  <c r="B416" i="1" a="1"/>
  <c r="B416" i="1" s="1"/>
  <c r="C416" i="1" s="1"/>
  <c r="B417" i="1" a="1"/>
  <c r="B417" i="1" s="1"/>
  <c r="C417" i="1" s="1"/>
  <c r="B418" i="1" a="1"/>
  <c r="B418" i="1" s="1"/>
  <c r="C418" i="1" s="1"/>
  <c r="B419" i="1" a="1"/>
  <c r="B419" i="1" s="1"/>
  <c r="C419" i="1" s="1"/>
  <c r="B420" i="1" a="1"/>
  <c r="B420" i="1" s="1"/>
  <c r="C420" i="1" s="1"/>
  <c r="B421" i="1" a="1"/>
  <c r="B421" i="1" s="1"/>
  <c r="C421" i="1" s="1"/>
  <c r="B422" i="1" a="1"/>
  <c r="B422" i="1" s="1"/>
  <c r="C422" i="1" s="1"/>
  <c r="B423" i="1" a="1"/>
  <c r="B423" i="1" s="1"/>
  <c r="C423" i="1" s="1"/>
  <c r="B424" i="1" a="1"/>
  <c r="B424" i="1" s="1"/>
  <c r="C424" i="1" s="1"/>
  <c r="B425" i="1" a="1"/>
  <c r="B425" i="1" s="1"/>
  <c r="C425" i="1" s="1"/>
  <c r="B426" i="1" a="1"/>
  <c r="B426" i="1" s="1"/>
  <c r="C426" i="1" s="1"/>
  <c r="B427" i="1" a="1"/>
  <c r="B427" i="1" s="1"/>
  <c r="C427" i="1" s="1"/>
  <c r="B428" i="1" a="1"/>
  <c r="B428" i="1" s="1"/>
  <c r="C428" i="1" s="1"/>
  <c r="B429" i="1" a="1"/>
  <c r="B429" i="1" s="1"/>
  <c r="C429" i="1" s="1"/>
  <c r="B430" i="1" a="1"/>
  <c r="B430" i="1" s="1"/>
  <c r="C430" i="1" s="1"/>
  <c r="B431" i="1" a="1"/>
  <c r="B431" i="1" s="1"/>
  <c r="C431" i="1" s="1"/>
  <c r="B432" i="1" a="1"/>
  <c r="B432" i="1" s="1"/>
  <c r="C432" i="1" s="1"/>
  <c r="B433" i="1" a="1"/>
  <c r="B433" i="1" s="1"/>
  <c r="C433" i="1" s="1"/>
  <c r="B434" i="1" a="1"/>
  <c r="B434" i="1" s="1"/>
  <c r="C434" i="1" s="1"/>
  <c r="B435" i="1" a="1"/>
  <c r="B435" i="1" s="1"/>
  <c r="C435" i="1" s="1"/>
  <c r="B436" i="1" a="1"/>
  <c r="B436" i="1" s="1"/>
  <c r="C436" i="1" s="1"/>
  <c r="B437" i="1" a="1"/>
  <c r="B437" i="1" s="1"/>
  <c r="C437" i="1" s="1"/>
  <c r="B438" i="1" a="1"/>
  <c r="B438" i="1" s="1"/>
  <c r="C438" i="1" s="1"/>
  <c r="B439" i="1" a="1"/>
  <c r="B439" i="1" s="1"/>
  <c r="C439" i="1" s="1"/>
  <c r="B440" i="1" a="1"/>
  <c r="B440" i="1" s="1"/>
  <c r="C440" i="1" s="1"/>
  <c r="B441" i="1" a="1"/>
  <c r="B441" i="1" s="1"/>
  <c r="C441" i="1" s="1"/>
  <c r="B442" i="1" a="1"/>
  <c r="B442" i="1" s="1"/>
  <c r="C442" i="1" s="1"/>
  <c r="B443" i="1" a="1"/>
  <c r="B443" i="1" s="1"/>
  <c r="C443" i="1" s="1"/>
  <c r="B444" i="1" a="1"/>
  <c r="B444" i="1" s="1"/>
  <c r="C444" i="1" s="1"/>
  <c r="B445" i="1" a="1"/>
  <c r="B445" i="1" s="1"/>
  <c r="C445" i="1" s="1"/>
  <c r="B446" i="1" a="1"/>
  <c r="B446" i="1" s="1"/>
  <c r="C446" i="1" s="1"/>
  <c r="B447" i="1" a="1"/>
  <c r="B447" i="1" s="1"/>
  <c r="C447" i="1" s="1"/>
  <c r="B448" i="1" a="1"/>
  <c r="B448" i="1" s="1"/>
  <c r="C448" i="1" s="1"/>
  <c r="B449" i="1" a="1"/>
  <c r="B449" i="1" s="1"/>
  <c r="C449" i="1" s="1"/>
  <c r="B450" i="1" a="1"/>
  <c r="B450" i="1" s="1"/>
  <c r="C450" i="1" s="1"/>
  <c r="B451" i="1" a="1"/>
  <c r="B451" i="1" s="1"/>
  <c r="C451" i="1" s="1"/>
  <c r="B452" i="1" a="1"/>
  <c r="B452" i="1" s="1"/>
  <c r="C452" i="1" s="1"/>
  <c r="B453" i="1" a="1"/>
  <c r="B453" i="1" s="1"/>
  <c r="C453" i="1" s="1"/>
  <c r="B454" i="1" a="1"/>
  <c r="B454" i="1" s="1"/>
  <c r="C454" i="1" s="1"/>
  <c r="B455" i="1" a="1"/>
  <c r="B455" i="1" s="1"/>
  <c r="C455" i="1" s="1"/>
  <c r="B456" i="1" a="1"/>
  <c r="B456" i="1" s="1"/>
  <c r="C456" i="1" s="1"/>
  <c r="B457" i="1" a="1"/>
  <c r="B457" i="1" s="1"/>
  <c r="C457" i="1" s="1"/>
  <c r="B458" i="1" a="1"/>
  <c r="B458" i="1" s="1"/>
  <c r="C458" i="1" s="1"/>
  <c r="B459" i="1" a="1"/>
  <c r="B459" i="1" s="1"/>
  <c r="C459" i="1" s="1"/>
  <c r="B460" i="1" a="1"/>
  <c r="B460" i="1" s="1"/>
  <c r="C460" i="1" s="1"/>
  <c r="B461" i="1" a="1"/>
  <c r="B461" i="1" s="1"/>
  <c r="C461" i="1" s="1"/>
  <c r="B462" i="1" a="1"/>
  <c r="B462" i="1" s="1"/>
  <c r="C462" i="1" s="1"/>
  <c r="B463" i="1" a="1"/>
  <c r="B463" i="1" s="1"/>
  <c r="C463" i="1" s="1"/>
  <c r="B464" i="1" a="1"/>
  <c r="B464" i="1" s="1"/>
  <c r="C464" i="1" s="1"/>
  <c r="B465" i="1" a="1"/>
  <c r="B465" i="1" s="1"/>
  <c r="C465" i="1" s="1"/>
  <c r="B466" i="1" a="1"/>
  <c r="B466" i="1" s="1"/>
  <c r="C466" i="1" s="1"/>
  <c r="B467" i="1" a="1"/>
  <c r="B467" i="1" s="1"/>
  <c r="C467" i="1" s="1"/>
  <c r="B468" i="1" a="1"/>
  <c r="B468" i="1" s="1"/>
  <c r="C468" i="1" s="1"/>
  <c r="B469" i="1" a="1"/>
  <c r="B469" i="1" s="1"/>
  <c r="C469" i="1" s="1"/>
  <c r="B470" i="1" a="1"/>
  <c r="B470" i="1" s="1"/>
  <c r="C470" i="1" s="1"/>
  <c r="B471" i="1" a="1"/>
  <c r="B471" i="1" s="1"/>
  <c r="C471" i="1" s="1"/>
  <c r="B472" i="1" a="1"/>
  <c r="B472" i="1" s="1"/>
  <c r="C472" i="1" s="1"/>
  <c r="B473" i="1" a="1"/>
  <c r="B473" i="1" s="1"/>
  <c r="C473" i="1" s="1"/>
  <c r="B474" i="1" a="1"/>
  <c r="B474" i="1" s="1"/>
  <c r="C474" i="1" s="1"/>
  <c r="B475" i="1" a="1"/>
  <c r="B475" i="1" s="1"/>
  <c r="C475" i="1" s="1"/>
  <c r="B476" i="1" a="1"/>
  <c r="B476" i="1" s="1"/>
  <c r="C476" i="1" s="1"/>
  <c r="B477" i="1" a="1"/>
  <c r="B477" i="1" s="1"/>
  <c r="C477" i="1" s="1"/>
  <c r="B478" i="1" a="1"/>
  <c r="B478" i="1" s="1"/>
  <c r="C478" i="1" s="1"/>
  <c r="B479" i="1" a="1"/>
  <c r="B479" i="1" s="1"/>
  <c r="C479" i="1" s="1"/>
  <c r="B480" i="1" a="1"/>
  <c r="B480" i="1" s="1"/>
  <c r="C480" i="1" s="1"/>
  <c r="B481" i="1" a="1"/>
  <c r="B481" i="1" s="1"/>
  <c r="C481" i="1" s="1"/>
  <c r="B482" i="1" a="1"/>
  <c r="B482" i="1" s="1"/>
  <c r="C482" i="1" s="1"/>
  <c r="B483" i="1" a="1"/>
  <c r="B483" i="1" s="1"/>
  <c r="C483" i="1" s="1"/>
  <c r="B484" i="1" a="1"/>
  <c r="B484" i="1" s="1"/>
  <c r="C484" i="1" s="1"/>
  <c r="B485" i="1" a="1"/>
  <c r="B485" i="1" s="1"/>
  <c r="C485" i="1" s="1"/>
  <c r="B486" i="1" a="1"/>
  <c r="B486" i="1" s="1"/>
  <c r="C486" i="1" s="1"/>
  <c r="B487" i="1" a="1"/>
  <c r="B487" i="1" s="1"/>
  <c r="C487" i="1" s="1"/>
  <c r="B488" i="1" a="1"/>
  <c r="B488" i="1" s="1"/>
  <c r="C488" i="1" s="1"/>
  <c r="B489" i="1" a="1"/>
  <c r="B489" i="1" s="1"/>
  <c r="C489" i="1" s="1"/>
  <c r="B490" i="1" a="1"/>
  <c r="B490" i="1" s="1"/>
  <c r="C490" i="1" s="1"/>
  <c r="B491" i="1" a="1"/>
  <c r="B491" i="1" s="1"/>
  <c r="C491" i="1" s="1"/>
  <c r="B492" i="1" a="1"/>
  <c r="B492" i="1" s="1"/>
  <c r="C492" i="1" s="1"/>
  <c r="B493" i="1" a="1"/>
  <c r="B493" i="1" s="1"/>
  <c r="C493" i="1" s="1"/>
  <c r="B494" i="1" a="1"/>
  <c r="B494" i="1" s="1"/>
  <c r="C494" i="1" s="1"/>
  <c r="B495" i="1" a="1"/>
  <c r="B495" i="1" s="1"/>
  <c r="C495" i="1" s="1"/>
  <c r="B496" i="1" a="1"/>
  <c r="B496" i="1" s="1"/>
  <c r="C496" i="1" s="1"/>
  <c r="B497" i="1" a="1"/>
  <c r="B497" i="1" s="1"/>
  <c r="C497" i="1" s="1"/>
  <c r="B498" i="1" a="1"/>
  <c r="B498" i="1" s="1"/>
  <c r="C498" i="1" s="1"/>
  <c r="B499" i="1" a="1"/>
  <c r="B499" i="1" s="1"/>
  <c r="C499" i="1" s="1"/>
  <c r="B500" i="1" a="1"/>
  <c r="B500" i="1" s="1"/>
  <c r="C500" i="1" s="1"/>
  <c r="B501" i="1" a="1"/>
  <c r="B501" i="1" s="1"/>
  <c r="C5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356" i="1"/>
  <c r="E356" i="1" s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E393" i="1" s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E476" i="1" s="1"/>
  <c r="D477" i="1"/>
  <c r="E477" i="1" s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J102" i="1" a="1"/>
  <c r="J102" i="1" s="1"/>
  <c r="J103" i="1" a="1"/>
  <c r="J103" i="1" s="1"/>
  <c r="J104" i="1" a="1"/>
  <c r="J104" i="1" s="1"/>
  <c r="J105" i="1" a="1"/>
  <c r="J105" i="1" s="1"/>
  <c r="J106" i="1" a="1"/>
  <c r="J106" i="1" s="1"/>
  <c r="J107" i="1" a="1"/>
  <c r="J107" i="1" s="1"/>
  <c r="J108" i="1" a="1"/>
  <c r="J108" i="1" s="1"/>
  <c r="J109" i="1" a="1"/>
  <c r="J109" i="1" s="1"/>
  <c r="J110" i="1" a="1"/>
  <c r="J110" i="1" s="1"/>
  <c r="J111" i="1" a="1"/>
  <c r="J111" i="1" s="1"/>
  <c r="J112" i="1" a="1"/>
  <c r="J112" i="1" s="1"/>
  <c r="J113" i="1" a="1"/>
  <c r="J113" i="1" s="1"/>
  <c r="J114" i="1" a="1"/>
  <c r="J114" i="1" s="1"/>
  <c r="J115" i="1" a="1"/>
  <c r="J115" i="1" s="1"/>
  <c r="J116" i="1" a="1"/>
  <c r="J116" i="1" s="1"/>
  <c r="J117" i="1" a="1"/>
  <c r="J117" i="1" s="1"/>
  <c r="J118" i="1" a="1"/>
  <c r="J118" i="1" s="1"/>
  <c r="J119" i="1" a="1"/>
  <c r="J119" i="1" s="1"/>
  <c r="J120" i="1" a="1"/>
  <c r="J120" i="1" s="1"/>
  <c r="J121" i="1" a="1"/>
  <c r="J121" i="1" s="1"/>
  <c r="J122" i="1" a="1"/>
  <c r="J122" i="1" s="1"/>
  <c r="J123" i="1" a="1"/>
  <c r="J123" i="1" s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157" i="1" a="1"/>
  <c r="J157" i="1" s="1"/>
  <c r="J158" i="1" a="1"/>
  <c r="J158" i="1" s="1"/>
  <c r="J159" i="1" a="1"/>
  <c r="J159" i="1" s="1"/>
  <c r="J160" i="1" a="1"/>
  <c r="J160" i="1" s="1"/>
  <c r="J161" i="1" a="1"/>
  <c r="J161" i="1" s="1"/>
  <c r="J162" i="1" a="1"/>
  <c r="J162" i="1" s="1"/>
  <c r="J163" i="1" a="1"/>
  <c r="J163" i="1" s="1"/>
  <c r="J164" i="1" a="1"/>
  <c r="J164" i="1" s="1"/>
  <c r="J165" i="1" a="1"/>
  <c r="J165" i="1" s="1"/>
  <c r="J166" i="1" a="1"/>
  <c r="J166" i="1" s="1"/>
  <c r="J167" i="1" a="1"/>
  <c r="J167" i="1" s="1"/>
  <c r="J168" i="1" a="1"/>
  <c r="J168" i="1" s="1"/>
  <c r="J169" i="1" a="1"/>
  <c r="J169" i="1" s="1"/>
  <c r="J170" i="1" a="1"/>
  <c r="J170" i="1" s="1"/>
  <c r="J171" i="1" a="1"/>
  <c r="J171" i="1" s="1"/>
  <c r="J172" i="1" a="1"/>
  <c r="J172" i="1" s="1"/>
  <c r="J173" i="1" a="1"/>
  <c r="J173" i="1" s="1"/>
  <c r="J174" i="1" a="1"/>
  <c r="J174" i="1" s="1"/>
  <c r="J175" i="1" a="1"/>
  <c r="J175" i="1" s="1"/>
  <c r="J176" i="1" a="1"/>
  <c r="J176" i="1" s="1"/>
  <c r="J177" i="1" a="1"/>
  <c r="J177" i="1" s="1"/>
  <c r="J178" i="1" a="1"/>
  <c r="J178" i="1" s="1"/>
  <c r="J179" i="1" a="1"/>
  <c r="J179" i="1" s="1"/>
  <c r="J180" i="1" a="1"/>
  <c r="J180" i="1" s="1"/>
  <c r="J181" i="1" a="1"/>
  <c r="J181" i="1" s="1"/>
  <c r="J182" i="1" a="1"/>
  <c r="J182" i="1" s="1"/>
  <c r="J183" i="1" a="1"/>
  <c r="J183" i="1" s="1"/>
  <c r="J184" i="1" a="1"/>
  <c r="J184" i="1" s="1"/>
  <c r="J185" i="1" a="1"/>
  <c r="J185" i="1" s="1"/>
  <c r="J186" i="1" a="1"/>
  <c r="J186" i="1" s="1"/>
  <c r="J187" i="1" a="1"/>
  <c r="J187" i="1" s="1"/>
  <c r="J188" i="1" a="1"/>
  <c r="J188" i="1" s="1"/>
  <c r="J189" i="1" a="1"/>
  <c r="J189" i="1" s="1"/>
  <c r="J190" i="1" a="1"/>
  <c r="J190" i="1" s="1"/>
  <c r="J191" i="1" a="1"/>
  <c r="J191" i="1" s="1"/>
  <c r="J192" i="1" a="1"/>
  <c r="J192" i="1" s="1"/>
  <c r="J193" i="1" a="1"/>
  <c r="J193" i="1" s="1"/>
  <c r="J194" i="1" a="1"/>
  <c r="J194" i="1" s="1"/>
  <c r="J195" i="1" a="1"/>
  <c r="J195" i="1" s="1"/>
  <c r="J196" i="1" a="1"/>
  <c r="J196" i="1" s="1"/>
  <c r="J197" i="1" a="1"/>
  <c r="J197" i="1" s="1"/>
  <c r="J198" i="1" a="1"/>
  <c r="J198" i="1" s="1"/>
  <c r="J199" i="1" a="1"/>
  <c r="J199" i="1" s="1"/>
  <c r="J200" i="1" a="1"/>
  <c r="J200" i="1" s="1"/>
  <c r="J201" i="1" a="1"/>
  <c r="J201" i="1" s="1"/>
  <c r="J202" i="1" a="1"/>
  <c r="J202" i="1" s="1"/>
  <c r="J203" i="1" a="1"/>
  <c r="J203" i="1" s="1"/>
  <c r="J204" i="1" a="1"/>
  <c r="J204" i="1" s="1"/>
  <c r="J205" i="1" a="1"/>
  <c r="J205" i="1" s="1"/>
  <c r="J206" i="1" a="1"/>
  <c r="J206" i="1" s="1"/>
  <c r="J207" i="1" a="1"/>
  <c r="J207" i="1" s="1"/>
  <c r="J208" i="1" a="1"/>
  <c r="J208" i="1" s="1"/>
  <c r="J209" i="1" a="1"/>
  <c r="J209" i="1" s="1"/>
  <c r="J210" i="1" a="1"/>
  <c r="J210" i="1" s="1"/>
  <c r="J211" i="1" a="1"/>
  <c r="J211" i="1" s="1"/>
  <c r="J212" i="1" a="1"/>
  <c r="J212" i="1" s="1"/>
  <c r="J213" i="1" a="1"/>
  <c r="J213" i="1" s="1"/>
  <c r="J214" i="1" a="1"/>
  <c r="J214" i="1" s="1"/>
  <c r="J215" i="1" a="1"/>
  <c r="J215" i="1" s="1"/>
  <c r="J216" i="1" a="1"/>
  <c r="J216" i="1" s="1"/>
  <c r="J217" i="1" a="1"/>
  <c r="J217" i="1" s="1"/>
  <c r="J218" i="1" a="1"/>
  <c r="J218" i="1" s="1"/>
  <c r="J219" i="1" a="1"/>
  <c r="J219" i="1" s="1"/>
  <c r="J220" i="1" a="1"/>
  <c r="J220" i="1" s="1"/>
  <c r="J221" i="1" a="1"/>
  <c r="J221" i="1" s="1"/>
  <c r="J222" i="1" a="1"/>
  <c r="J222" i="1" s="1"/>
  <c r="J223" i="1" a="1"/>
  <c r="J223" i="1" s="1"/>
  <c r="J224" i="1" a="1"/>
  <c r="J224" i="1" s="1"/>
  <c r="J225" i="1" a="1"/>
  <c r="J225" i="1" s="1"/>
  <c r="J226" i="1" a="1"/>
  <c r="J226" i="1" s="1"/>
  <c r="J227" i="1" a="1"/>
  <c r="J227" i="1" s="1"/>
  <c r="J228" i="1" a="1"/>
  <c r="J228" i="1" s="1"/>
  <c r="J229" i="1" a="1"/>
  <c r="J229" i="1" s="1"/>
  <c r="J230" i="1" a="1"/>
  <c r="J230" i="1" s="1"/>
  <c r="J231" i="1" a="1"/>
  <c r="J231" i="1" s="1"/>
  <c r="J232" i="1" a="1"/>
  <c r="J232" i="1" s="1"/>
  <c r="J233" i="1" a="1"/>
  <c r="J233" i="1" s="1"/>
  <c r="J234" i="1" a="1"/>
  <c r="J234" i="1" s="1"/>
  <c r="J235" i="1" a="1"/>
  <c r="J235" i="1" s="1"/>
  <c r="J236" i="1" a="1"/>
  <c r="J236" i="1" s="1"/>
  <c r="J237" i="1" a="1"/>
  <c r="J237" i="1" s="1"/>
  <c r="J238" i="1" a="1"/>
  <c r="J238" i="1" s="1"/>
  <c r="J239" i="1" a="1"/>
  <c r="J239" i="1" s="1"/>
  <c r="J240" i="1" a="1"/>
  <c r="J240" i="1" s="1"/>
  <c r="J241" i="1" a="1"/>
  <c r="J241" i="1" s="1"/>
  <c r="J242" i="1" a="1"/>
  <c r="J242" i="1" s="1"/>
  <c r="J243" i="1" a="1"/>
  <c r="J243" i="1" s="1"/>
  <c r="J244" i="1" a="1"/>
  <c r="J244" i="1" s="1"/>
  <c r="J245" i="1" a="1"/>
  <c r="J245" i="1" s="1"/>
  <c r="J246" i="1" a="1"/>
  <c r="J246" i="1" s="1"/>
  <c r="J247" i="1" a="1"/>
  <c r="J247" i="1" s="1"/>
  <c r="J248" i="1" a="1"/>
  <c r="J248" i="1" s="1"/>
  <c r="J249" i="1" a="1"/>
  <c r="J249" i="1" s="1"/>
  <c r="J250" i="1" a="1"/>
  <c r="J250" i="1" s="1"/>
  <c r="J251" i="1" a="1"/>
  <c r="J251" i="1" s="1"/>
  <c r="J252" i="1" a="1"/>
  <c r="J252" i="1" s="1"/>
  <c r="J253" i="1" a="1"/>
  <c r="J253" i="1" s="1"/>
  <c r="J254" i="1" a="1"/>
  <c r="J254" i="1" s="1"/>
  <c r="J255" i="1" a="1"/>
  <c r="J255" i="1" s="1"/>
  <c r="J256" i="1" a="1"/>
  <c r="J256" i="1" s="1"/>
  <c r="J257" i="1" a="1"/>
  <c r="J257" i="1" s="1"/>
  <c r="J258" i="1" a="1"/>
  <c r="J258" i="1" s="1"/>
  <c r="J259" i="1" a="1"/>
  <c r="J259" i="1" s="1"/>
  <c r="J260" i="1" a="1"/>
  <c r="J260" i="1" s="1"/>
  <c r="J261" i="1" a="1"/>
  <c r="J261" i="1" s="1"/>
  <c r="J262" i="1" a="1"/>
  <c r="J262" i="1" s="1"/>
  <c r="J263" i="1" a="1"/>
  <c r="J263" i="1" s="1"/>
  <c r="J264" i="1" a="1"/>
  <c r="J264" i="1" s="1"/>
  <c r="J265" i="1" a="1"/>
  <c r="J265" i="1" s="1"/>
  <c r="J266" i="1" a="1"/>
  <c r="J266" i="1" s="1"/>
  <c r="J267" i="1" a="1"/>
  <c r="J267" i="1" s="1"/>
  <c r="J268" i="1" a="1"/>
  <c r="J268" i="1" s="1"/>
  <c r="J269" i="1" a="1"/>
  <c r="J269" i="1" s="1"/>
  <c r="J270" i="1" a="1"/>
  <c r="J270" i="1" s="1"/>
  <c r="J271" i="1" a="1"/>
  <c r="J271" i="1" s="1"/>
  <c r="J272" i="1" a="1"/>
  <c r="J272" i="1" s="1"/>
  <c r="J273" i="1" a="1"/>
  <c r="J273" i="1" s="1"/>
  <c r="J274" i="1" a="1"/>
  <c r="J274" i="1" s="1"/>
  <c r="J275" i="1" a="1"/>
  <c r="J275" i="1" s="1"/>
  <c r="J276" i="1" a="1"/>
  <c r="J276" i="1" s="1"/>
  <c r="J277" i="1" a="1"/>
  <c r="J277" i="1" s="1"/>
  <c r="J278" i="1" a="1"/>
  <c r="J278" i="1" s="1"/>
  <c r="J279" i="1" a="1"/>
  <c r="J279" i="1" s="1"/>
  <c r="J280" i="1" a="1"/>
  <c r="J280" i="1" s="1"/>
  <c r="J281" i="1" a="1"/>
  <c r="J281" i="1" s="1"/>
  <c r="J282" i="1" a="1"/>
  <c r="J282" i="1" s="1"/>
  <c r="J283" i="1" a="1"/>
  <c r="J283" i="1" s="1"/>
  <c r="J284" i="1" a="1"/>
  <c r="J284" i="1" s="1"/>
  <c r="J285" i="1" a="1"/>
  <c r="J285" i="1" s="1"/>
  <c r="J286" i="1" a="1"/>
  <c r="J286" i="1" s="1"/>
  <c r="J287" i="1" a="1"/>
  <c r="J287" i="1" s="1"/>
  <c r="J288" i="1" a="1"/>
  <c r="J288" i="1" s="1"/>
  <c r="J289" i="1" a="1"/>
  <c r="J289" i="1" s="1"/>
  <c r="J290" i="1" a="1"/>
  <c r="J290" i="1" s="1"/>
  <c r="J291" i="1" a="1"/>
  <c r="J291" i="1" s="1"/>
  <c r="J292" i="1" a="1"/>
  <c r="J292" i="1" s="1"/>
  <c r="J293" i="1" a="1"/>
  <c r="J293" i="1" s="1"/>
  <c r="J294" i="1" a="1"/>
  <c r="J294" i="1" s="1"/>
  <c r="J295" i="1" a="1"/>
  <c r="J295" i="1" s="1"/>
  <c r="J296" i="1" a="1"/>
  <c r="J296" i="1" s="1"/>
  <c r="J297" i="1" a="1"/>
  <c r="J297" i="1" s="1"/>
  <c r="J298" i="1" a="1"/>
  <c r="J298" i="1" s="1"/>
  <c r="J299" i="1" a="1"/>
  <c r="J299" i="1" s="1"/>
  <c r="J300" i="1" a="1"/>
  <c r="J300" i="1" s="1"/>
  <c r="J301" i="1" a="1"/>
  <c r="J301" i="1" s="1"/>
  <c r="J302" i="1" a="1"/>
  <c r="J302" i="1" s="1"/>
  <c r="J303" i="1" a="1"/>
  <c r="J303" i="1" s="1"/>
  <c r="J304" i="1" a="1"/>
  <c r="J304" i="1" s="1"/>
  <c r="J305" i="1" a="1"/>
  <c r="J305" i="1" s="1"/>
  <c r="J306" i="1" a="1"/>
  <c r="J306" i="1" s="1"/>
  <c r="J307" i="1" a="1"/>
  <c r="J307" i="1" s="1"/>
  <c r="J308" i="1" a="1"/>
  <c r="J308" i="1" s="1"/>
  <c r="J309" i="1" a="1"/>
  <c r="J309" i="1" s="1"/>
  <c r="J310" i="1" a="1"/>
  <c r="J310" i="1" s="1"/>
  <c r="J311" i="1" a="1"/>
  <c r="J311" i="1" s="1"/>
  <c r="J312" i="1" a="1"/>
  <c r="J312" i="1" s="1"/>
  <c r="J313" i="1" a="1"/>
  <c r="J313" i="1" s="1"/>
  <c r="J314" i="1" a="1"/>
  <c r="J314" i="1" s="1"/>
  <c r="J315" i="1" a="1"/>
  <c r="J315" i="1" s="1"/>
  <c r="J316" i="1" a="1"/>
  <c r="J316" i="1" s="1"/>
  <c r="J317" i="1" a="1"/>
  <c r="J317" i="1" s="1"/>
  <c r="J318" i="1" a="1"/>
  <c r="J318" i="1" s="1"/>
  <c r="J319" i="1" a="1"/>
  <c r="J319" i="1" s="1"/>
  <c r="J320" i="1" a="1"/>
  <c r="J320" i="1" s="1"/>
  <c r="J321" i="1" a="1"/>
  <c r="J321" i="1" s="1"/>
  <c r="J322" i="1" a="1"/>
  <c r="J322" i="1" s="1"/>
  <c r="J323" i="1" a="1"/>
  <c r="J323" i="1" s="1"/>
  <c r="J324" i="1" a="1"/>
  <c r="J324" i="1" s="1"/>
  <c r="J325" i="1" a="1"/>
  <c r="J325" i="1" s="1"/>
  <c r="J326" i="1" a="1"/>
  <c r="J326" i="1" s="1"/>
  <c r="J327" i="1" a="1"/>
  <c r="J327" i="1" s="1"/>
  <c r="J328" i="1" a="1"/>
  <c r="J328" i="1" s="1"/>
  <c r="J329" i="1" a="1"/>
  <c r="J329" i="1" s="1"/>
  <c r="J330" i="1" a="1"/>
  <c r="J330" i="1" s="1"/>
  <c r="J331" i="1" a="1"/>
  <c r="J331" i="1" s="1"/>
  <c r="J332" i="1" a="1"/>
  <c r="J332" i="1" s="1"/>
  <c r="J333" i="1" a="1"/>
  <c r="J333" i="1" s="1"/>
  <c r="J334" i="1" a="1"/>
  <c r="J334" i="1" s="1"/>
  <c r="J335" i="1" a="1"/>
  <c r="J335" i="1" s="1"/>
  <c r="J336" i="1" a="1"/>
  <c r="J336" i="1" s="1"/>
  <c r="J337" i="1" a="1"/>
  <c r="J337" i="1" s="1"/>
  <c r="J338" i="1" a="1"/>
  <c r="J338" i="1" s="1"/>
  <c r="J339" i="1" a="1"/>
  <c r="J339" i="1" s="1"/>
  <c r="J340" i="1" a="1"/>
  <c r="J340" i="1" s="1"/>
  <c r="J341" i="1" a="1"/>
  <c r="J341" i="1" s="1"/>
  <c r="J342" i="1" a="1"/>
  <c r="J342" i="1" s="1"/>
  <c r="J343" i="1" a="1"/>
  <c r="J343" i="1" s="1"/>
  <c r="J344" i="1" a="1"/>
  <c r="J344" i="1" s="1"/>
  <c r="J345" i="1" a="1"/>
  <c r="J345" i="1" s="1"/>
  <c r="J346" i="1" a="1"/>
  <c r="J346" i="1" s="1"/>
  <c r="J347" i="1" a="1"/>
  <c r="J347" i="1" s="1"/>
  <c r="J348" i="1" a="1"/>
  <c r="J348" i="1" s="1"/>
  <c r="J349" i="1" a="1"/>
  <c r="J349" i="1" s="1"/>
  <c r="J350" i="1" a="1"/>
  <c r="J350" i="1" s="1"/>
  <c r="J351" i="1" a="1"/>
  <c r="J351" i="1" s="1"/>
  <c r="J352" i="1" a="1"/>
  <c r="J352" i="1" s="1"/>
  <c r="J353" i="1" a="1"/>
  <c r="J353" i="1" s="1"/>
  <c r="J354" i="1" a="1"/>
  <c r="J354" i="1" s="1"/>
  <c r="J355" i="1" a="1"/>
  <c r="J355" i="1" s="1"/>
  <c r="J356" i="1" a="1"/>
  <c r="J356" i="1" s="1"/>
  <c r="J357" i="1" a="1"/>
  <c r="J357" i="1" s="1"/>
  <c r="J358" i="1" a="1"/>
  <c r="J358" i="1" s="1"/>
  <c r="J359" i="1" a="1"/>
  <c r="J359" i="1" s="1"/>
  <c r="J360" i="1" a="1"/>
  <c r="J360" i="1" s="1"/>
  <c r="J361" i="1" a="1"/>
  <c r="J361" i="1" s="1"/>
  <c r="J362" i="1" a="1"/>
  <c r="J362" i="1" s="1"/>
  <c r="J363" i="1" a="1"/>
  <c r="J363" i="1" s="1"/>
  <c r="J364" i="1" a="1"/>
  <c r="J364" i="1" s="1"/>
  <c r="J365" i="1" a="1"/>
  <c r="J365" i="1" s="1"/>
  <c r="J366" i="1" a="1"/>
  <c r="J366" i="1" s="1"/>
  <c r="J367" i="1" a="1"/>
  <c r="J367" i="1" s="1"/>
  <c r="J368" i="1" a="1"/>
  <c r="J368" i="1" s="1"/>
  <c r="J369" i="1" a="1"/>
  <c r="J369" i="1" s="1"/>
  <c r="J370" i="1" a="1"/>
  <c r="J370" i="1" s="1"/>
  <c r="J371" i="1" a="1"/>
  <c r="J371" i="1" s="1"/>
  <c r="J372" i="1" a="1"/>
  <c r="J372" i="1" s="1"/>
  <c r="J373" i="1" a="1"/>
  <c r="J373" i="1" s="1"/>
  <c r="J374" i="1" a="1"/>
  <c r="J374" i="1" s="1"/>
  <c r="J375" i="1" a="1"/>
  <c r="J375" i="1" s="1"/>
  <c r="J376" i="1" a="1"/>
  <c r="J376" i="1" s="1"/>
  <c r="J377" i="1" a="1"/>
  <c r="J377" i="1" s="1"/>
  <c r="J378" i="1" a="1"/>
  <c r="J378" i="1" s="1"/>
  <c r="J379" i="1" a="1"/>
  <c r="J379" i="1" s="1"/>
  <c r="J380" i="1" a="1"/>
  <c r="J380" i="1" s="1"/>
  <c r="J381" i="1" a="1"/>
  <c r="J381" i="1" s="1"/>
  <c r="J382" i="1" a="1"/>
  <c r="J382" i="1" s="1"/>
  <c r="J383" i="1" a="1"/>
  <c r="J383" i="1" s="1"/>
  <c r="J384" i="1" a="1"/>
  <c r="J384" i="1" s="1"/>
  <c r="J385" i="1" a="1"/>
  <c r="J385" i="1" s="1"/>
  <c r="J386" i="1" a="1"/>
  <c r="J386" i="1" s="1"/>
  <c r="J387" i="1" a="1"/>
  <c r="J387" i="1" s="1"/>
  <c r="J388" i="1" a="1"/>
  <c r="J388" i="1" s="1"/>
  <c r="J389" i="1" a="1"/>
  <c r="J389" i="1" s="1"/>
  <c r="J390" i="1" a="1"/>
  <c r="J390" i="1" s="1"/>
  <c r="J391" i="1" a="1"/>
  <c r="J391" i="1" s="1"/>
  <c r="J392" i="1" a="1"/>
  <c r="J392" i="1" s="1"/>
  <c r="J393" i="1" a="1"/>
  <c r="J393" i="1" s="1"/>
  <c r="J394" i="1" a="1"/>
  <c r="J394" i="1" s="1"/>
  <c r="J395" i="1" a="1"/>
  <c r="J395" i="1" s="1"/>
  <c r="J396" i="1" a="1"/>
  <c r="J396" i="1" s="1"/>
  <c r="J397" i="1" a="1"/>
  <c r="J397" i="1" s="1"/>
  <c r="J398" i="1" a="1"/>
  <c r="J398" i="1" s="1"/>
  <c r="J399" i="1" a="1"/>
  <c r="J399" i="1" s="1"/>
  <c r="J400" i="1" a="1"/>
  <c r="J400" i="1" s="1"/>
  <c r="J401" i="1" a="1"/>
  <c r="J401" i="1" s="1"/>
  <c r="J402" i="1" a="1"/>
  <c r="J402" i="1" s="1"/>
  <c r="J403" i="1" a="1"/>
  <c r="J403" i="1" s="1"/>
  <c r="J404" i="1" a="1"/>
  <c r="J404" i="1" s="1"/>
  <c r="J405" i="1" a="1"/>
  <c r="J405" i="1" s="1"/>
  <c r="J406" i="1" a="1"/>
  <c r="J406" i="1" s="1"/>
  <c r="J407" i="1" a="1"/>
  <c r="J407" i="1" s="1"/>
  <c r="J408" i="1" a="1"/>
  <c r="J408" i="1" s="1"/>
  <c r="J409" i="1" a="1"/>
  <c r="J409" i="1" s="1"/>
  <c r="J410" i="1" a="1"/>
  <c r="J410" i="1" s="1"/>
  <c r="J411" i="1" a="1"/>
  <c r="J411" i="1" s="1"/>
  <c r="J412" i="1" a="1"/>
  <c r="J412" i="1" s="1"/>
  <c r="J413" i="1" a="1"/>
  <c r="J413" i="1" s="1"/>
  <c r="J414" i="1" a="1"/>
  <c r="J414" i="1" s="1"/>
  <c r="J415" i="1" a="1"/>
  <c r="J415" i="1" s="1"/>
  <c r="J416" i="1" a="1"/>
  <c r="J416" i="1" s="1"/>
  <c r="J417" i="1" a="1"/>
  <c r="J417" i="1" s="1"/>
  <c r="J418" i="1" a="1"/>
  <c r="J418" i="1" s="1"/>
  <c r="J419" i="1" a="1"/>
  <c r="J419" i="1" s="1"/>
  <c r="J420" i="1" a="1"/>
  <c r="J420" i="1" s="1"/>
  <c r="J421" i="1" a="1"/>
  <c r="J421" i="1" s="1"/>
  <c r="J422" i="1" a="1"/>
  <c r="J422" i="1" s="1"/>
  <c r="J423" i="1" a="1"/>
  <c r="J423" i="1" s="1"/>
  <c r="J424" i="1" a="1"/>
  <c r="J424" i="1" s="1"/>
  <c r="J425" i="1" a="1"/>
  <c r="J425" i="1" s="1"/>
  <c r="J426" i="1" a="1"/>
  <c r="J426" i="1" s="1"/>
  <c r="J427" i="1" a="1"/>
  <c r="J427" i="1" s="1"/>
  <c r="J428" i="1" a="1"/>
  <c r="J428" i="1" s="1"/>
  <c r="J429" i="1" a="1"/>
  <c r="J429" i="1" s="1"/>
  <c r="J430" i="1" a="1"/>
  <c r="J430" i="1" s="1"/>
  <c r="J431" i="1" a="1"/>
  <c r="J431" i="1" s="1"/>
  <c r="J432" i="1" a="1"/>
  <c r="J432" i="1" s="1"/>
  <c r="J433" i="1" a="1"/>
  <c r="J433" i="1" s="1"/>
  <c r="J434" i="1" a="1"/>
  <c r="J434" i="1" s="1"/>
  <c r="J435" i="1" a="1"/>
  <c r="J435" i="1" s="1"/>
  <c r="J436" i="1" a="1"/>
  <c r="J436" i="1" s="1"/>
  <c r="J437" i="1" a="1"/>
  <c r="J437" i="1" s="1"/>
  <c r="J438" i="1" a="1"/>
  <c r="J438" i="1" s="1"/>
  <c r="J439" i="1" a="1"/>
  <c r="J439" i="1" s="1"/>
  <c r="J440" i="1" a="1"/>
  <c r="J440" i="1" s="1"/>
  <c r="J441" i="1" a="1"/>
  <c r="J441" i="1" s="1"/>
  <c r="J442" i="1" a="1"/>
  <c r="J442" i="1" s="1"/>
  <c r="J443" i="1" a="1"/>
  <c r="J443" i="1" s="1"/>
  <c r="J444" i="1" a="1"/>
  <c r="J444" i="1" s="1"/>
  <c r="J445" i="1" a="1"/>
  <c r="J445" i="1" s="1"/>
  <c r="J446" i="1" a="1"/>
  <c r="J446" i="1" s="1"/>
  <c r="J447" i="1" a="1"/>
  <c r="J447" i="1" s="1"/>
  <c r="J448" i="1" a="1"/>
  <c r="J448" i="1" s="1"/>
  <c r="J449" i="1" a="1"/>
  <c r="J449" i="1" s="1"/>
  <c r="J450" i="1" a="1"/>
  <c r="J450" i="1" s="1"/>
  <c r="J451" i="1" a="1"/>
  <c r="J451" i="1" s="1"/>
  <c r="J452" i="1" a="1"/>
  <c r="J452" i="1" s="1"/>
  <c r="J453" i="1" a="1"/>
  <c r="J453" i="1" s="1"/>
  <c r="J454" i="1" a="1"/>
  <c r="J454" i="1" s="1"/>
  <c r="J455" i="1" a="1"/>
  <c r="J455" i="1" s="1"/>
  <c r="J456" i="1" a="1"/>
  <c r="J456" i="1" s="1"/>
  <c r="J457" i="1" a="1"/>
  <c r="J457" i="1" s="1"/>
  <c r="J458" i="1" a="1"/>
  <c r="J458" i="1" s="1"/>
  <c r="J459" i="1" a="1"/>
  <c r="J459" i="1" s="1"/>
  <c r="J460" i="1" a="1"/>
  <c r="J460" i="1" s="1"/>
  <c r="J461" i="1" a="1"/>
  <c r="J461" i="1" s="1"/>
  <c r="J462" i="1" a="1"/>
  <c r="J462" i="1" s="1"/>
  <c r="J463" i="1" a="1"/>
  <c r="J463" i="1" s="1"/>
  <c r="J464" i="1" a="1"/>
  <c r="J464" i="1" s="1"/>
  <c r="J465" i="1" a="1"/>
  <c r="J465" i="1" s="1"/>
  <c r="J466" i="1" a="1"/>
  <c r="J466" i="1" s="1"/>
  <c r="J467" i="1" a="1"/>
  <c r="J467" i="1" s="1"/>
  <c r="J468" i="1" a="1"/>
  <c r="J468" i="1" s="1"/>
  <c r="J469" i="1" a="1"/>
  <c r="J469" i="1" s="1"/>
  <c r="J470" i="1" a="1"/>
  <c r="J470" i="1" s="1"/>
  <c r="J471" i="1" a="1"/>
  <c r="J471" i="1" s="1"/>
  <c r="J472" i="1" a="1"/>
  <c r="J472" i="1" s="1"/>
  <c r="J473" i="1" a="1"/>
  <c r="J473" i="1" s="1"/>
  <c r="J474" i="1" a="1"/>
  <c r="J474" i="1" s="1"/>
  <c r="J475" i="1" a="1"/>
  <c r="J475" i="1" s="1"/>
  <c r="J476" i="1" a="1"/>
  <c r="J476" i="1" s="1"/>
  <c r="J477" i="1" a="1"/>
  <c r="J477" i="1" s="1"/>
  <c r="J478" i="1" a="1"/>
  <c r="J478" i="1" s="1"/>
  <c r="J479" i="1" a="1"/>
  <c r="J479" i="1" s="1"/>
  <c r="J480" i="1" a="1"/>
  <c r="J480" i="1" s="1"/>
  <c r="J481" i="1" a="1"/>
  <c r="J481" i="1" s="1"/>
  <c r="J482" i="1" a="1"/>
  <c r="J482" i="1" s="1"/>
  <c r="J483" i="1" a="1"/>
  <c r="J483" i="1" s="1"/>
  <c r="J484" i="1" a="1"/>
  <c r="J484" i="1" s="1"/>
  <c r="J485" i="1" a="1"/>
  <c r="J485" i="1" s="1"/>
  <c r="J486" i="1" a="1"/>
  <c r="J486" i="1" s="1"/>
  <c r="J487" i="1" a="1"/>
  <c r="J487" i="1" s="1"/>
  <c r="J488" i="1" a="1"/>
  <c r="J488" i="1" s="1"/>
  <c r="J489" i="1" a="1"/>
  <c r="J489" i="1" s="1"/>
  <c r="J490" i="1" a="1"/>
  <c r="J490" i="1" s="1"/>
  <c r="J491" i="1" a="1"/>
  <c r="J491" i="1" s="1"/>
  <c r="J492" i="1" a="1"/>
  <c r="J492" i="1" s="1"/>
  <c r="J493" i="1" a="1"/>
  <c r="J493" i="1" s="1"/>
  <c r="J494" i="1" a="1"/>
  <c r="J494" i="1" s="1"/>
  <c r="J495" i="1" a="1"/>
  <c r="J495" i="1" s="1"/>
  <c r="J496" i="1" a="1"/>
  <c r="J496" i="1" s="1"/>
  <c r="J497" i="1" a="1"/>
  <c r="J497" i="1" s="1"/>
  <c r="J498" i="1" a="1"/>
  <c r="J498" i="1" s="1"/>
  <c r="J499" i="1" a="1"/>
  <c r="J499" i="1" s="1"/>
  <c r="J500" i="1" a="1"/>
  <c r="J500" i="1" s="1"/>
  <c r="J501" i="1" a="1"/>
  <c r="J501" i="1" s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2" i="1"/>
  <c r="A44" i="1"/>
  <c r="B44" i="1" a="1"/>
  <c r="B44" i="1" s="1"/>
  <c r="C44" i="1" s="1"/>
  <c r="D44" i="1"/>
  <c r="E44" i="1" s="1"/>
  <c r="I44" i="1"/>
  <c r="J44" i="1" a="1"/>
  <c r="J44" i="1" s="1"/>
  <c r="K44" i="1"/>
  <c r="A83" i="1"/>
  <c r="B83" i="1" a="1"/>
  <c r="B83" i="1" s="1"/>
  <c r="C83" i="1" s="1"/>
  <c r="D83" i="1"/>
  <c r="E83" i="1" s="1"/>
  <c r="I83" i="1"/>
  <c r="J83" i="1" a="1"/>
  <c r="J83" i="1" s="1"/>
  <c r="K83" i="1"/>
  <c r="A68" i="1"/>
  <c r="B68" i="1" a="1"/>
  <c r="B68" i="1" s="1"/>
  <c r="C68" i="1" s="1"/>
  <c r="D68" i="1"/>
  <c r="E68" i="1" s="1"/>
  <c r="I68" i="1"/>
  <c r="J68" i="1" a="1"/>
  <c r="J68" i="1" s="1"/>
  <c r="K68" i="1"/>
  <c r="I2" i="1"/>
  <c r="J2" i="1" a="1"/>
  <c r="J2" i="1" s="1"/>
  <c r="K2" i="1"/>
  <c r="A69" i="1"/>
  <c r="B69" i="1" a="1"/>
  <c r="B69" i="1" s="1"/>
  <c r="C69" i="1" s="1"/>
  <c r="D69" i="1"/>
  <c r="E69" i="1" s="1"/>
  <c r="I69" i="1"/>
  <c r="J69" i="1" a="1"/>
  <c r="J69" i="1" s="1"/>
  <c r="K69" i="1"/>
  <c r="A84" i="1"/>
  <c r="B84" i="1" a="1"/>
  <c r="B84" i="1" s="1"/>
  <c r="C84" i="1" s="1"/>
  <c r="D84" i="1"/>
  <c r="E84" i="1" s="1"/>
  <c r="I84" i="1"/>
  <c r="J84" i="1" a="1"/>
  <c r="J84" i="1" s="1"/>
  <c r="K84" i="1"/>
  <c r="A70" i="1"/>
  <c r="B70" i="1" a="1"/>
  <c r="B70" i="1" s="1"/>
  <c r="C70" i="1" s="1"/>
  <c r="D70" i="1"/>
  <c r="E70" i="1" s="1"/>
  <c r="I70" i="1"/>
  <c r="J70" i="1" a="1"/>
  <c r="J70" i="1" s="1"/>
  <c r="K70" i="1"/>
  <c r="A45" i="1"/>
  <c r="B45" i="1" a="1"/>
  <c r="B45" i="1" s="1"/>
  <c r="C45" i="1" s="1"/>
  <c r="D45" i="1"/>
  <c r="E45" i="1" s="1"/>
  <c r="I45" i="1"/>
  <c r="J45" i="1" a="1"/>
  <c r="J45" i="1" s="1"/>
  <c r="K45" i="1"/>
  <c r="A3" i="1"/>
  <c r="B3" i="1" a="1"/>
  <c r="B3" i="1" s="1"/>
  <c r="C3" i="1" s="1"/>
  <c r="D3" i="1"/>
  <c r="E3" i="1" s="1"/>
  <c r="I3" i="1"/>
  <c r="J3" i="1" a="1"/>
  <c r="J3" i="1" s="1"/>
  <c r="K3" i="1"/>
  <c r="A46" i="1"/>
  <c r="B46" i="1" a="1"/>
  <c r="B46" i="1" s="1"/>
  <c r="C46" i="1" s="1"/>
  <c r="D46" i="1"/>
  <c r="E46" i="1" s="1"/>
  <c r="I46" i="1"/>
  <c r="J46" i="1" a="1"/>
  <c r="J46" i="1" s="1"/>
  <c r="K46" i="1"/>
  <c r="A5" i="1"/>
  <c r="B5" i="1" a="1"/>
  <c r="B5" i="1" s="1"/>
  <c r="C5" i="1" s="1"/>
  <c r="D5" i="1"/>
  <c r="E5" i="1" s="1"/>
  <c r="I5" i="1"/>
  <c r="J5" i="1" a="1"/>
  <c r="J5" i="1" s="1"/>
  <c r="A85" i="1"/>
  <c r="B85" i="1" a="1"/>
  <c r="B85" i="1" s="1"/>
  <c r="C85" i="1" s="1"/>
  <c r="D85" i="1"/>
  <c r="E85" i="1" s="1"/>
  <c r="I85" i="1"/>
  <c r="J85" i="1" a="1"/>
  <c r="J85" i="1" s="1"/>
  <c r="K85" i="1"/>
  <c r="A86" i="1"/>
  <c r="B86" i="1" a="1"/>
  <c r="B86" i="1" s="1"/>
  <c r="C86" i="1" s="1"/>
  <c r="D86" i="1"/>
  <c r="E86" i="1" s="1"/>
  <c r="I86" i="1"/>
  <c r="J86" i="1" a="1"/>
  <c r="J86" i="1" s="1"/>
  <c r="K86" i="1"/>
  <c r="A26" i="1"/>
  <c r="B26" i="1" a="1"/>
  <c r="B26" i="1" s="1"/>
  <c r="C26" i="1" s="1"/>
  <c r="D26" i="1"/>
  <c r="E26" i="1" s="1"/>
  <c r="I26" i="1"/>
  <c r="J26" i="1" a="1"/>
  <c r="J26" i="1" s="1"/>
  <c r="K26" i="1"/>
  <c r="A47" i="1"/>
  <c r="B47" i="1" a="1"/>
  <c r="B47" i="1" s="1"/>
  <c r="C47" i="1" s="1"/>
  <c r="D47" i="1"/>
  <c r="E47" i="1" s="1"/>
  <c r="I47" i="1"/>
  <c r="J47" i="1" a="1"/>
  <c r="J47" i="1" s="1"/>
  <c r="K47" i="1"/>
  <c r="A71" i="1"/>
  <c r="B71" i="1" a="1"/>
  <c r="B71" i="1" s="1"/>
  <c r="C71" i="1" s="1"/>
  <c r="D71" i="1"/>
  <c r="E71" i="1" s="1"/>
  <c r="I71" i="1"/>
  <c r="J71" i="1" a="1"/>
  <c r="J71" i="1" s="1"/>
  <c r="K71" i="1"/>
  <c r="A6" i="1"/>
  <c r="B6" i="1" a="1"/>
  <c r="B6" i="1" s="1"/>
  <c r="C6" i="1" s="1"/>
  <c r="D6" i="1"/>
  <c r="E6" i="1" s="1"/>
  <c r="I6" i="1"/>
  <c r="J6" i="1" a="1"/>
  <c r="J6" i="1" s="1"/>
  <c r="K6" i="1"/>
  <c r="A48" i="1"/>
  <c r="B48" i="1" a="1"/>
  <c r="B48" i="1" s="1"/>
  <c r="C48" i="1" s="1"/>
  <c r="D48" i="1"/>
  <c r="E48" i="1" s="1"/>
  <c r="I48" i="1"/>
  <c r="J48" i="1" a="1"/>
  <c r="J48" i="1" s="1"/>
  <c r="K48" i="1"/>
  <c r="A7" i="1"/>
  <c r="B7" i="1" a="1"/>
  <c r="B7" i="1" s="1"/>
  <c r="C7" i="1" s="1"/>
  <c r="D7" i="1"/>
  <c r="E7" i="1" s="1"/>
  <c r="I7" i="1"/>
  <c r="J7" i="1" a="1"/>
  <c r="J7" i="1" s="1"/>
  <c r="A27" i="1"/>
  <c r="B27" i="1" a="1"/>
  <c r="B27" i="1" s="1"/>
  <c r="C27" i="1" s="1"/>
  <c r="D27" i="1"/>
  <c r="E27" i="1" s="1"/>
  <c r="I27" i="1"/>
  <c r="J27" i="1" a="1"/>
  <c r="J27" i="1" s="1"/>
  <c r="K27" i="1"/>
  <c r="A49" i="1"/>
  <c r="B49" i="1" a="1"/>
  <c r="B49" i="1" s="1"/>
  <c r="C49" i="1" s="1"/>
  <c r="D49" i="1"/>
  <c r="E49" i="1" s="1"/>
  <c r="I49" i="1"/>
  <c r="J49" i="1" a="1"/>
  <c r="J49" i="1" s="1"/>
  <c r="K49" i="1"/>
  <c r="A50" i="1"/>
  <c r="B50" i="1" a="1"/>
  <c r="B50" i="1" s="1"/>
  <c r="C50" i="1" s="1"/>
  <c r="D50" i="1"/>
  <c r="E50" i="1" s="1"/>
  <c r="I50" i="1"/>
  <c r="J50" i="1" a="1"/>
  <c r="J50" i="1" s="1"/>
  <c r="K50" i="1"/>
  <c r="A87" i="1"/>
  <c r="B87" i="1" a="1"/>
  <c r="B87" i="1" s="1"/>
  <c r="C87" i="1" s="1"/>
  <c r="D87" i="1"/>
  <c r="E87" i="1" s="1"/>
  <c r="I87" i="1"/>
  <c r="J87" i="1" a="1"/>
  <c r="J87" i="1" s="1"/>
  <c r="K87" i="1"/>
  <c r="A88" i="1"/>
  <c r="B88" i="1" a="1"/>
  <c r="B88" i="1" s="1"/>
  <c r="C88" i="1" s="1"/>
  <c r="D88" i="1"/>
  <c r="E88" i="1" s="1"/>
  <c r="I88" i="1"/>
  <c r="J88" i="1" a="1"/>
  <c r="J88" i="1" s="1"/>
  <c r="K88" i="1"/>
  <c r="A28" i="1"/>
  <c r="B28" i="1" a="1"/>
  <c r="B28" i="1" s="1"/>
  <c r="C28" i="1" s="1"/>
  <c r="D28" i="1"/>
  <c r="E28" i="1" s="1"/>
  <c r="I28" i="1"/>
  <c r="J28" i="1" a="1"/>
  <c r="J28" i="1" s="1"/>
  <c r="K28" i="1"/>
  <c r="A8" i="1"/>
  <c r="B8" i="1" a="1"/>
  <c r="B8" i="1" s="1"/>
  <c r="C8" i="1" s="1"/>
  <c r="D8" i="1"/>
  <c r="E8" i="1" s="1"/>
  <c r="I8" i="1"/>
  <c r="J8" i="1" a="1"/>
  <c r="J8" i="1" s="1"/>
  <c r="A9" i="1"/>
  <c r="D9" i="1"/>
  <c r="E9" i="1" s="1"/>
  <c r="I9" i="1"/>
  <c r="J9" i="1" a="1"/>
  <c r="J9" i="1" s="1"/>
  <c r="A10" i="1"/>
  <c r="B10" i="1" a="1"/>
  <c r="B10" i="1" s="1"/>
  <c r="C10" i="1" s="1"/>
  <c r="D10" i="1"/>
  <c r="E10" i="1" s="1"/>
  <c r="I10" i="1"/>
  <c r="J10" i="1" a="1"/>
  <c r="J10" i="1" s="1"/>
  <c r="K10" i="1"/>
  <c r="A51" i="1"/>
  <c r="B51" i="1" a="1"/>
  <c r="B51" i="1" s="1"/>
  <c r="C51" i="1" s="1"/>
  <c r="D51" i="1"/>
  <c r="E51" i="1" s="1"/>
  <c r="I51" i="1"/>
  <c r="J51" i="1" a="1"/>
  <c r="J51" i="1" s="1"/>
  <c r="K51" i="1"/>
  <c r="A72" i="1"/>
  <c r="B72" i="1" a="1"/>
  <c r="B72" i="1" s="1"/>
  <c r="C72" i="1" s="1"/>
  <c r="D72" i="1"/>
  <c r="E72" i="1" s="1"/>
  <c r="I72" i="1"/>
  <c r="J72" i="1" a="1"/>
  <c r="J72" i="1" s="1"/>
  <c r="K72" i="1"/>
  <c r="A11" i="1"/>
  <c r="B11" i="1" a="1"/>
  <c r="B11" i="1" s="1"/>
  <c r="C11" i="1" s="1"/>
  <c r="D11" i="1"/>
  <c r="E11" i="1" s="1"/>
  <c r="I11" i="1"/>
  <c r="J11" i="1" a="1"/>
  <c r="J11" i="1" s="1"/>
  <c r="K11" i="1"/>
  <c r="A89" i="1"/>
  <c r="B89" i="1" a="1"/>
  <c r="B89" i="1" s="1"/>
  <c r="C89" i="1" s="1"/>
  <c r="D89" i="1"/>
  <c r="E89" i="1" s="1"/>
  <c r="I89" i="1"/>
  <c r="J89" i="1" a="1"/>
  <c r="J89" i="1" s="1"/>
  <c r="K89" i="1"/>
  <c r="A12" i="1"/>
  <c r="B12" i="1" a="1"/>
  <c r="B12" i="1" s="1"/>
  <c r="C12" i="1" s="1"/>
  <c r="D12" i="1"/>
  <c r="E12" i="1" s="1"/>
  <c r="I12" i="1"/>
  <c r="J12" i="1" a="1"/>
  <c r="J12" i="1" s="1"/>
  <c r="K12" i="1"/>
  <c r="A29" i="1"/>
  <c r="B29" i="1" a="1"/>
  <c r="B29" i="1" s="1"/>
  <c r="C29" i="1" s="1"/>
  <c r="D29" i="1"/>
  <c r="E29" i="1" s="1"/>
  <c r="I29" i="1"/>
  <c r="J29" i="1" a="1"/>
  <c r="J29" i="1" s="1"/>
  <c r="K29" i="1"/>
  <c r="A73" i="1"/>
  <c r="B73" i="1" a="1"/>
  <c r="B73" i="1" s="1"/>
  <c r="C73" i="1" s="1"/>
  <c r="D73" i="1"/>
  <c r="E73" i="1" s="1"/>
  <c r="I73" i="1"/>
  <c r="J73" i="1" a="1"/>
  <c r="J73" i="1" s="1"/>
  <c r="K73" i="1"/>
  <c r="A52" i="1"/>
  <c r="B52" i="1" a="1"/>
  <c r="B52" i="1" s="1"/>
  <c r="C52" i="1" s="1"/>
  <c r="D52" i="1"/>
  <c r="E52" i="1" s="1"/>
  <c r="I52" i="1"/>
  <c r="J52" i="1" a="1"/>
  <c r="J52" i="1" s="1"/>
  <c r="K52" i="1"/>
  <c r="A90" i="1"/>
  <c r="B90" i="1" a="1"/>
  <c r="B90" i="1" s="1"/>
  <c r="C90" i="1" s="1"/>
  <c r="D90" i="1"/>
  <c r="E90" i="1" s="1"/>
  <c r="I90" i="1"/>
  <c r="J90" i="1" a="1"/>
  <c r="J90" i="1" s="1"/>
  <c r="K90" i="1"/>
  <c r="A30" i="1"/>
  <c r="B30" i="1" a="1"/>
  <c r="B30" i="1" s="1"/>
  <c r="C30" i="1" s="1"/>
  <c r="D30" i="1"/>
  <c r="E30" i="1" s="1"/>
  <c r="I30" i="1"/>
  <c r="J30" i="1" a="1"/>
  <c r="J30" i="1" s="1"/>
  <c r="K30" i="1"/>
  <c r="A91" i="1"/>
  <c r="B91" i="1" a="1"/>
  <c r="B91" i="1" s="1"/>
  <c r="C91" i="1" s="1"/>
  <c r="D91" i="1"/>
  <c r="E91" i="1" s="1"/>
  <c r="I91" i="1"/>
  <c r="J91" i="1" a="1"/>
  <c r="J91" i="1" s="1"/>
  <c r="K91" i="1"/>
  <c r="A13" i="1"/>
  <c r="B13" i="1" a="1"/>
  <c r="B13" i="1" s="1"/>
  <c r="C13" i="1" s="1"/>
  <c r="D13" i="1"/>
  <c r="E13" i="1" s="1"/>
  <c r="I13" i="1"/>
  <c r="J13" i="1" a="1"/>
  <c r="J13" i="1" s="1"/>
  <c r="K13" i="1"/>
  <c r="A31" i="1"/>
  <c r="B31" i="1" a="1"/>
  <c r="B31" i="1" s="1"/>
  <c r="C31" i="1" s="1"/>
  <c r="D31" i="1"/>
  <c r="E31" i="1" s="1"/>
  <c r="I31" i="1"/>
  <c r="J31" i="1" a="1"/>
  <c r="J31" i="1" s="1"/>
  <c r="K31" i="1"/>
  <c r="A32" i="1"/>
  <c r="B32" i="1" a="1"/>
  <c r="B32" i="1" s="1"/>
  <c r="C32" i="1" s="1"/>
  <c r="D32" i="1"/>
  <c r="E32" i="1" s="1"/>
  <c r="I32" i="1"/>
  <c r="J32" i="1" a="1"/>
  <c r="J32" i="1" s="1"/>
  <c r="K32" i="1"/>
  <c r="A74" i="1"/>
  <c r="B74" i="1" a="1"/>
  <c r="B74" i="1" s="1"/>
  <c r="C74" i="1" s="1"/>
  <c r="D74" i="1"/>
  <c r="E74" i="1" s="1"/>
  <c r="I74" i="1"/>
  <c r="J74" i="1" a="1"/>
  <c r="J74" i="1" s="1"/>
  <c r="K74" i="1"/>
  <c r="A33" i="1"/>
  <c r="B33" i="1" a="1"/>
  <c r="B33" i="1" s="1"/>
  <c r="C33" i="1" s="1"/>
  <c r="D33" i="1"/>
  <c r="E33" i="1" s="1"/>
  <c r="I33" i="1"/>
  <c r="J33" i="1" a="1"/>
  <c r="J33" i="1" s="1"/>
  <c r="K33" i="1"/>
  <c r="A14" i="1"/>
  <c r="B14" i="1" a="1"/>
  <c r="B14" i="1" s="1"/>
  <c r="C14" i="1" s="1"/>
  <c r="D14" i="1"/>
  <c r="E14" i="1" s="1"/>
  <c r="I14" i="1"/>
  <c r="J14" i="1" a="1"/>
  <c r="J14" i="1" s="1"/>
  <c r="K14" i="1"/>
  <c r="A92" i="1"/>
  <c r="B92" i="1" a="1"/>
  <c r="B92" i="1" s="1"/>
  <c r="C92" i="1" s="1"/>
  <c r="D92" i="1"/>
  <c r="E92" i="1" s="1"/>
  <c r="I92" i="1"/>
  <c r="J92" i="1" a="1"/>
  <c r="J92" i="1" s="1"/>
  <c r="K92" i="1"/>
  <c r="A53" i="1"/>
  <c r="B53" i="1" a="1"/>
  <c r="B53" i="1" s="1"/>
  <c r="C53" i="1" s="1"/>
  <c r="D53" i="1"/>
  <c r="E53" i="1" s="1"/>
  <c r="I53" i="1"/>
  <c r="J53" i="1" a="1"/>
  <c r="J53" i="1" s="1"/>
  <c r="K53" i="1"/>
  <c r="A15" i="1"/>
  <c r="B15" i="1" a="1"/>
  <c r="B15" i="1" s="1"/>
  <c r="C15" i="1" s="1"/>
  <c r="D15" i="1"/>
  <c r="E15" i="1" s="1"/>
  <c r="I15" i="1"/>
  <c r="J15" i="1" a="1"/>
  <c r="J15" i="1" s="1"/>
  <c r="K15" i="1"/>
  <c r="A16" i="1"/>
  <c r="B16" i="1" a="1"/>
  <c r="B16" i="1" s="1"/>
  <c r="C16" i="1" s="1"/>
  <c r="D16" i="1"/>
  <c r="E16" i="1" s="1"/>
  <c r="I16" i="1"/>
  <c r="J16" i="1" a="1"/>
  <c r="J16" i="1" s="1"/>
  <c r="K16" i="1"/>
  <c r="A54" i="1"/>
  <c r="B54" i="1" a="1"/>
  <c r="B54" i="1" s="1"/>
  <c r="C54" i="1" s="1"/>
  <c r="D54" i="1"/>
  <c r="E54" i="1" s="1"/>
  <c r="I54" i="1"/>
  <c r="J54" i="1" a="1"/>
  <c r="J54" i="1" s="1"/>
  <c r="K54" i="1"/>
  <c r="A55" i="1"/>
  <c r="B55" i="1" a="1"/>
  <c r="B55" i="1" s="1"/>
  <c r="C55" i="1" s="1"/>
  <c r="D55" i="1"/>
  <c r="E55" i="1" s="1"/>
  <c r="I55" i="1"/>
  <c r="J55" i="1" a="1"/>
  <c r="J55" i="1" s="1"/>
  <c r="K55" i="1"/>
  <c r="A93" i="1"/>
  <c r="B93" i="1" a="1"/>
  <c r="B93" i="1" s="1"/>
  <c r="C93" i="1" s="1"/>
  <c r="D93" i="1"/>
  <c r="E93" i="1" s="1"/>
  <c r="I93" i="1"/>
  <c r="J93" i="1" a="1"/>
  <c r="J93" i="1" s="1"/>
  <c r="K93" i="1"/>
  <c r="A56" i="1"/>
  <c r="B56" i="1" a="1"/>
  <c r="B56" i="1" s="1"/>
  <c r="C56" i="1" s="1"/>
  <c r="D56" i="1"/>
  <c r="E56" i="1" s="1"/>
  <c r="I56" i="1"/>
  <c r="J56" i="1" a="1"/>
  <c r="J56" i="1" s="1"/>
  <c r="K56" i="1"/>
  <c r="A57" i="1"/>
  <c r="B57" i="1" a="1"/>
  <c r="B57" i="1" s="1"/>
  <c r="C57" i="1" s="1"/>
  <c r="D57" i="1"/>
  <c r="E57" i="1" s="1"/>
  <c r="I57" i="1"/>
  <c r="J57" i="1" a="1"/>
  <c r="J57" i="1" s="1"/>
  <c r="K57" i="1"/>
  <c r="A75" i="1"/>
  <c r="B75" i="1" a="1"/>
  <c r="B75" i="1" s="1"/>
  <c r="C75" i="1" s="1"/>
  <c r="D75" i="1"/>
  <c r="E75" i="1" s="1"/>
  <c r="I75" i="1"/>
  <c r="J75" i="1" a="1"/>
  <c r="J75" i="1" s="1"/>
  <c r="K75" i="1"/>
  <c r="A34" i="1"/>
  <c r="B34" i="1" a="1"/>
  <c r="B34" i="1" s="1"/>
  <c r="C34" i="1" s="1"/>
  <c r="D34" i="1"/>
  <c r="E34" i="1" s="1"/>
  <c r="I34" i="1"/>
  <c r="J34" i="1" a="1"/>
  <c r="J34" i="1" s="1"/>
  <c r="K34" i="1"/>
  <c r="A17" i="1"/>
  <c r="B17" i="1" a="1"/>
  <c r="B17" i="1" s="1"/>
  <c r="C17" i="1" s="1"/>
  <c r="D17" i="1"/>
  <c r="E17" i="1" s="1"/>
  <c r="I17" i="1"/>
  <c r="J17" i="1" a="1"/>
  <c r="J17" i="1" s="1"/>
  <c r="K17" i="1"/>
  <c r="A94" i="1"/>
  <c r="B94" i="1" a="1"/>
  <c r="B94" i="1" s="1"/>
  <c r="C94" i="1" s="1"/>
  <c r="D94" i="1"/>
  <c r="E94" i="1" s="1"/>
  <c r="I94" i="1"/>
  <c r="J94" i="1" a="1"/>
  <c r="J94" i="1" s="1"/>
  <c r="K94" i="1"/>
  <c r="A95" i="1"/>
  <c r="B95" i="1" a="1"/>
  <c r="B95" i="1" s="1"/>
  <c r="C95" i="1" s="1"/>
  <c r="D95" i="1"/>
  <c r="E95" i="1" s="1"/>
  <c r="I95" i="1"/>
  <c r="J95" i="1" a="1"/>
  <c r="J95" i="1" s="1"/>
  <c r="K95" i="1"/>
  <c r="A18" i="1"/>
  <c r="B18" i="1" a="1"/>
  <c r="B18" i="1" s="1"/>
  <c r="C18" i="1" s="1"/>
  <c r="D18" i="1"/>
  <c r="E18" i="1" s="1"/>
  <c r="I18" i="1"/>
  <c r="J18" i="1" a="1"/>
  <c r="J18" i="1" s="1"/>
  <c r="K18" i="1"/>
  <c r="A35" i="1"/>
  <c r="B35" i="1" a="1"/>
  <c r="B35" i="1" s="1"/>
  <c r="C35" i="1" s="1"/>
  <c r="D35" i="1"/>
  <c r="E35" i="1" s="1"/>
  <c r="I35" i="1"/>
  <c r="J35" i="1" a="1"/>
  <c r="J35" i="1" s="1"/>
  <c r="K35" i="1"/>
  <c r="A58" i="1"/>
  <c r="B58" i="1" a="1"/>
  <c r="B58" i="1" s="1"/>
  <c r="C58" i="1" s="1"/>
  <c r="D58" i="1"/>
  <c r="E58" i="1" s="1"/>
  <c r="I58" i="1"/>
  <c r="J58" i="1" a="1"/>
  <c r="J58" i="1" s="1"/>
  <c r="K58" i="1"/>
  <c r="A96" i="1"/>
  <c r="B96" i="1" a="1"/>
  <c r="B96" i="1" s="1"/>
  <c r="C96" i="1" s="1"/>
  <c r="D96" i="1"/>
  <c r="E96" i="1" s="1"/>
  <c r="I96" i="1"/>
  <c r="J96" i="1" a="1"/>
  <c r="J96" i="1" s="1"/>
  <c r="K96" i="1"/>
  <c r="A59" i="1"/>
  <c r="B59" i="1" a="1"/>
  <c r="B59" i="1" s="1"/>
  <c r="C59" i="1" s="1"/>
  <c r="D59" i="1"/>
  <c r="E59" i="1" s="1"/>
  <c r="I59" i="1"/>
  <c r="J59" i="1" a="1"/>
  <c r="J59" i="1" s="1"/>
  <c r="K59" i="1"/>
  <c r="A19" i="1"/>
  <c r="B19" i="1" a="1"/>
  <c r="B19" i="1" s="1"/>
  <c r="C19" i="1" s="1"/>
  <c r="D19" i="1"/>
  <c r="E19" i="1" s="1"/>
  <c r="I19" i="1"/>
  <c r="J19" i="1" a="1"/>
  <c r="J19" i="1" s="1"/>
  <c r="K19" i="1"/>
  <c r="A76" i="1"/>
  <c r="B76" i="1" a="1"/>
  <c r="B76" i="1" s="1"/>
  <c r="C76" i="1" s="1"/>
  <c r="D76" i="1"/>
  <c r="E76" i="1" s="1"/>
  <c r="I76" i="1"/>
  <c r="J76" i="1" a="1"/>
  <c r="J76" i="1" s="1"/>
  <c r="K76" i="1"/>
  <c r="A20" i="1"/>
  <c r="B20" i="1" a="1"/>
  <c r="B20" i="1" s="1"/>
  <c r="C20" i="1" s="1"/>
  <c r="D20" i="1"/>
  <c r="E20" i="1" s="1"/>
  <c r="I20" i="1"/>
  <c r="J20" i="1" a="1"/>
  <c r="J20" i="1" s="1"/>
  <c r="K20" i="1"/>
  <c r="A60" i="1"/>
  <c r="B60" i="1" a="1"/>
  <c r="B60" i="1" s="1"/>
  <c r="C60" i="1" s="1"/>
  <c r="D60" i="1"/>
  <c r="E60" i="1" s="1"/>
  <c r="I60" i="1"/>
  <c r="J60" i="1" a="1"/>
  <c r="J60" i="1" s="1"/>
  <c r="K60" i="1"/>
  <c r="A61" i="1"/>
  <c r="B61" i="1" a="1"/>
  <c r="B61" i="1" s="1"/>
  <c r="C61" i="1" s="1"/>
  <c r="D61" i="1"/>
  <c r="E61" i="1" s="1"/>
  <c r="I61" i="1"/>
  <c r="J61" i="1" a="1"/>
  <c r="J61" i="1" s="1"/>
  <c r="K61" i="1"/>
  <c r="A36" i="1"/>
  <c r="B36" i="1" a="1"/>
  <c r="B36" i="1" s="1"/>
  <c r="C36" i="1" s="1"/>
  <c r="D36" i="1"/>
  <c r="E36" i="1" s="1"/>
  <c r="I36" i="1"/>
  <c r="J36" i="1" a="1"/>
  <c r="J36" i="1" s="1"/>
  <c r="K36" i="1"/>
  <c r="A97" i="1"/>
  <c r="B97" i="1" a="1"/>
  <c r="B97" i="1" s="1"/>
  <c r="C97" i="1" s="1"/>
  <c r="D97" i="1"/>
  <c r="E97" i="1" s="1"/>
  <c r="I97" i="1"/>
  <c r="J97" i="1" a="1"/>
  <c r="J97" i="1" s="1"/>
  <c r="K97" i="1"/>
  <c r="A21" i="1"/>
  <c r="B21" i="1" a="1"/>
  <c r="B21" i="1" s="1"/>
  <c r="C21" i="1" s="1"/>
  <c r="D21" i="1"/>
  <c r="E21" i="1" s="1"/>
  <c r="I21" i="1"/>
  <c r="J21" i="1" a="1"/>
  <c r="J21" i="1" s="1"/>
  <c r="K21" i="1"/>
  <c r="A98" i="1"/>
  <c r="B98" i="1" a="1"/>
  <c r="B98" i="1" s="1"/>
  <c r="C98" i="1" s="1"/>
  <c r="D98" i="1"/>
  <c r="E98" i="1" s="1"/>
  <c r="I98" i="1"/>
  <c r="J98" i="1" a="1"/>
  <c r="J98" i="1" s="1"/>
  <c r="K98" i="1"/>
  <c r="A22" i="1"/>
  <c r="B22" i="1" a="1"/>
  <c r="B22" i="1" s="1"/>
  <c r="C22" i="1" s="1"/>
  <c r="D22" i="1"/>
  <c r="E22" i="1" s="1"/>
  <c r="I22" i="1"/>
  <c r="J22" i="1" a="1"/>
  <c r="J22" i="1" s="1"/>
  <c r="K22" i="1"/>
  <c r="A99" i="1"/>
  <c r="B99" i="1" a="1"/>
  <c r="B99" i="1" s="1"/>
  <c r="C99" i="1" s="1"/>
  <c r="D99" i="1"/>
  <c r="E99" i="1" s="1"/>
  <c r="I99" i="1"/>
  <c r="J99" i="1" a="1"/>
  <c r="J99" i="1" s="1"/>
  <c r="K99" i="1"/>
  <c r="A23" i="1"/>
  <c r="B23" i="1" a="1"/>
  <c r="B23" i="1" s="1"/>
  <c r="C23" i="1" s="1"/>
  <c r="D23" i="1"/>
  <c r="E23" i="1" s="1"/>
  <c r="I23" i="1"/>
  <c r="J23" i="1" a="1"/>
  <c r="J23" i="1" s="1"/>
  <c r="K23" i="1"/>
  <c r="A77" i="1"/>
  <c r="B77" i="1" a="1"/>
  <c r="B77" i="1" s="1"/>
  <c r="C77" i="1" s="1"/>
  <c r="D77" i="1"/>
  <c r="E77" i="1" s="1"/>
  <c r="I77" i="1"/>
  <c r="J77" i="1" a="1"/>
  <c r="J77" i="1" s="1"/>
  <c r="K77" i="1"/>
  <c r="A78" i="1"/>
  <c r="B78" i="1" a="1"/>
  <c r="B78" i="1" s="1"/>
  <c r="C78" i="1" s="1"/>
  <c r="D78" i="1"/>
  <c r="E78" i="1" s="1"/>
  <c r="I78" i="1"/>
  <c r="J78" i="1" a="1"/>
  <c r="J78" i="1" s="1"/>
  <c r="K78" i="1"/>
  <c r="A37" i="1"/>
  <c r="B37" i="1" a="1"/>
  <c r="B37" i="1" s="1"/>
  <c r="C37" i="1" s="1"/>
  <c r="D37" i="1"/>
  <c r="E37" i="1" s="1"/>
  <c r="I37" i="1"/>
  <c r="J37" i="1" a="1"/>
  <c r="J37" i="1" s="1"/>
  <c r="K37" i="1"/>
  <c r="A62" i="1"/>
  <c r="B62" i="1" a="1"/>
  <c r="B62" i="1" s="1"/>
  <c r="C62" i="1" s="1"/>
  <c r="D62" i="1"/>
  <c r="E62" i="1" s="1"/>
  <c r="I62" i="1"/>
  <c r="J62" i="1" a="1"/>
  <c r="J62" i="1" s="1"/>
  <c r="K62" i="1"/>
  <c r="A38" i="1"/>
  <c r="B38" i="1" a="1"/>
  <c r="B38" i="1" s="1"/>
  <c r="C38" i="1" s="1"/>
  <c r="D38" i="1"/>
  <c r="E38" i="1" s="1"/>
  <c r="I38" i="1"/>
  <c r="J38" i="1" a="1"/>
  <c r="J38" i="1" s="1"/>
  <c r="K38" i="1"/>
  <c r="A79" i="1"/>
  <c r="B79" i="1" a="1"/>
  <c r="B79" i="1" s="1"/>
  <c r="C79" i="1" s="1"/>
  <c r="D79" i="1"/>
  <c r="E79" i="1" s="1"/>
  <c r="I79" i="1"/>
  <c r="J79" i="1" a="1"/>
  <c r="J79" i="1" s="1"/>
  <c r="K79" i="1"/>
  <c r="A63" i="1"/>
  <c r="B63" i="1" a="1"/>
  <c r="B63" i="1" s="1"/>
  <c r="C63" i="1" s="1"/>
  <c r="D63" i="1"/>
  <c r="E63" i="1" s="1"/>
  <c r="I63" i="1"/>
  <c r="J63" i="1" a="1"/>
  <c r="J63" i="1" s="1"/>
  <c r="K63" i="1"/>
  <c r="A24" i="1"/>
  <c r="B24" i="1" a="1"/>
  <c r="B24" i="1" s="1"/>
  <c r="C24" i="1" s="1"/>
  <c r="D24" i="1"/>
  <c r="E24" i="1" s="1"/>
  <c r="I24" i="1"/>
  <c r="J24" i="1" a="1"/>
  <c r="J24" i="1" s="1"/>
  <c r="K24" i="1"/>
  <c r="A39" i="1"/>
  <c r="B39" i="1" a="1"/>
  <c r="B39" i="1" s="1"/>
  <c r="C39" i="1" s="1"/>
  <c r="D39" i="1"/>
  <c r="E39" i="1" s="1"/>
  <c r="I39" i="1"/>
  <c r="J39" i="1" a="1"/>
  <c r="J39" i="1" s="1"/>
  <c r="K39" i="1"/>
  <c r="A64" i="1"/>
  <c r="B64" i="1" a="1"/>
  <c r="B64" i="1" s="1"/>
  <c r="C64" i="1" s="1"/>
  <c r="D64" i="1"/>
  <c r="E64" i="1" s="1"/>
  <c r="I64" i="1"/>
  <c r="J64" i="1" a="1"/>
  <c r="J64" i="1" s="1"/>
  <c r="K64" i="1"/>
  <c r="A40" i="1"/>
  <c r="B40" i="1" a="1"/>
  <c r="B40" i="1" s="1"/>
  <c r="C40" i="1" s="1"/>
  <c r="D40" i="1"/>
  <c r="E40" i="1" s="1"/>
  <c r="I40" i="1"/>
  <c r="J40" i="1" a="1"/>
  <c r="J40" i="1" s="1"/>
  <c r="K40" i="1"/>
  <c r="A100" i="1"/>
  <c r="B100" i="1" a="1"/>
  <c r="B100" i="1" s="1"/>
  <c r="C100" i="1" s="1"/>
  <c r="D100" i="1"/>
  <c r="E100" i="1" s="1"/>
  <c r="I100" i="1"/>
  <c r="J100" i="1" a="1"/>
  <c r="J100" i="1" s="1"/>
  <c r="K100" i="1"/>
  <c r="A65" i="1"/>
  <c r="B65" i="1" a="1"/>
  <c r="B65" i="1" s="1"/>
  <c r="C65" i="1" s="1"/>
  <c r="D65" i="1"/>
  <c r="E65" i="1" s="1"/>
  <c r="I65" i="1"/>
  <c r="J65" i="1" a="1"/>
  <c r="J65" i="1" s="1"/>
  <c r="K65" i="1"/>
  <c r="A41" i="1"/>
  <c r="B41" i="1" a="1"/>
  <c r="B41" i="1" s="1"/>
  <c r="C41" i="1" s="1"/>
  <c r="D41" i="1"/>
  <c r="E41" i="1" s="1"/>
  <c r="I41" i="1"/>
  <c r="J41" i="1" a="1"/>
  <c r="J41" i="1" s="1"/>
  <c r="K41" i="1"/>
  <c r="A80" i="1"/>
  <c r="B80" i="1" a="1"/>
  <c r="B80" i="1" s="1"/>
  <c r="C80" i="1" s="1"/>
  <c r="D80" i="1"/>
  <c r="E80" i="1" s="1"/>
  <c r="I80" i="1"/>
  <c r="J80" i="1" a="1"/>
  <c r="J80" i="1" s="1"/>
  <c r="K80" i="1"/>
  <c r="A42" i="1"/>
  <c r="B42" i="1" a="1"/>
  <c r="B42" i="1" s="1"/>
  <c r="C42" i="1" s="1"/>
  <c r="D42" i="1"/>
  <c r="E42" i="1" s="1"/>
  <c r="I42" i="1"/>
  <c r="J42" i="1" a="1"/>
  <c r="J42" i="1" s="1"/>
  <c r="K42" i="1"/>
  <c r="A101" i="1"/>
  <c r="B101" i="1" a="1"/>
  <c r="B101" i="1" s="1"/>
  <c r="C101" i="1" s="1"/>
  <c r="D101" i="1"/>
  <c r="E101" i="1" s="1"/>
  <c r="I101" i="1"/>
  <c r="J101" i="1" a="1"/>
  <c r="J101" i="1" s="1"/>
  <c r="K101" i="1"/>
  <c r="A66" i="1"/>
  <c r="B66" i="1" a="1"/>
  <c r="B66" i="1" s="1"/>
  <c r="C66" i="1" s="1"/>
  <c r="D66" i="1"/>
  <c r="E66" i="1" s="1"/>
  <c r="I66" i="1"/>
  <c r="J66" i="1" a="1"/>
  <c r="J66" i="1" s="1"/>
  <c r="K66" i="1"/>
  <c r="A25" i="1"/>
  <c r="B25" i="1" a="1"/>
  <c r="B25" i="1" s="1"/>
  <c r="C25" i="1" s="1"/>
  <c r="D25" i="1"/>
  <c r="E25" i="1" s="1"/>
  <c r="I25" i="1"/>
  <c r="J25" i="1" a="1"/>
  <c r="J25" i="1" s="1"/>
  <c r="K25" i="1"/>
  <c r="K67" i="1"/>
  <c r="B81" i="1" a="1"/>
  <c r="B81" i="1" s="1"/>
  <c r="C81" i="1" s="1"/>
  <c r="B67" i="1" a="1"/>
  <c r="B67" i="1" s="1"/>
  <c r="C67" i="1" s="1"/>
  <c r="A67" i="1"/>
  <c r="J67" i="1" a="1"/>
  <c r="J67" i="1" s="1"/>
  <c r="I67" i="1"/>
  <c r="D67" i="1"/>
  <c r="E67" i="1" s="1"/>
  <c r="A81" i="1"/>
  <c r="A82" i="1"/>
  <c r="A43" i="1"/>
  <c r="A4" i="1"/>
  <c r="I81" i="1"/>
  <c r="I82" i="1"/>
  <c r="I43" i="1"/>
  <c r="I4" i="1"/>
  <c r="D81" i="1"/>
  <c r="E81" i="1" s="1"/>
  <c r="D82" i="1"/>
  <c r="E82" i="1" s="1"/>
  <c r="D43" i="1"/>
  <c r="E43" i="1" s="1"/>
  <c r="D4" i="1"/>
  <c r="E4" i="1" s="1"/>
  <c r="K81" i="1"/>
  <c r="K82" i="1"/>
  <c r="K43" i="1"/>
  <c r="K4" i="1"/>
  <c r="J81" i="1" a="1"/>
  <c r="J81" i="1" s="1"/>
  <c r="J82" i="1" a="1"/>
  <c r="J82" i="1" s="1"/>
  <c r="J43" i="1" a="1"/>
  <c r="J43" i="1" s="1"/>
  <c r="J4" i="1" a="1"/>
  <c r="J4" i="1" s="1"/>
  <c r="B82" i="1" a="1"/>
  <c r="B82" i="1" s="1"/>
  <c r="C82" i="1" s="1"/>
  <c r="B43" i="1" a="1"/>
  <c r="B43" i="1" s="1"/>
  <c r="C43" i="1" s="1"/>
  <c r="B4" i="1" a="1"/>
  <c r="B4" i="1" s="1"/>
  <c r="C4" i="1" s="1"/>
  <c r="AD13" i="1" l="1"/>
  <c r="F48" i="1"/>
  <c r="Y48" i="1" s="1"/>
  <c r="S48" i="1"/>
  <c r="F26" i="1"/>
  <c r="S26" i="1"/>
  <c r="F483" i="1"/>
  <c r="S483" i="1"/>
  <c r="F467" i="1"/>
  <c r="S467" i="1"/>
  <c r="F443" i="1"/>
  <c r="Y443" i="1" s="1"/>
  <c r="S443" i="1"/>
  <c r="F419" i="1"/>
  <c r="S419" i="1"/>
  <c r="F395" i="1"/>
  <c r="Y395" i="1" s="1"/>
  <c r="S395" i="1"/>
  <c r="F371" i="1"/>
  <c r="S371" i="1"/>
  <c r="F347" i="1"/>
  <c r="S347" i="1"/>
  <c r="F323" i="1"/>
  <c r="S323" i="1"/>
  <c r="F299" i="1"/>
  <c r="S299" i="1"/>
  <c r="F275" i="1"/>
  <c r="S275" i="1"/>
  <c r="F251" i="1"/>
  <c r="S251" i="1"/>
  <c r="F227" i="1"/>
  <c r="S227" i="1"/>
  <c r="F203" i="1"/>
  <c r="S203" i="1"/>
  <c r="F171" i="1"/>
  <c r="S171" i="1"/>
  <c r="F139" i="1"/>
  <c r="Y139" i="1" s="1"/>
  <c r="S139" i="1"/>
  <c r="F43" i="1"/>
  <c r="S43" i="1"/>
  <c r="F499" i="1"/>
  <c r="S499" i="1"/>
  <c r="F491" i="1"/>
  <c r="S491" i="1"/>
  <c r="F475" i="1"/>
  <c r="S475" i="1"/>
  <c r="F459" i="1"/>
  <c r="S459" i="1"/>
  <c r="F451" i="1"/>
  <c r="S451" i="1"/>
  <c r="F435" i="1"/>
  <c r="S435" i="1"/>
  <c r="F427" i="1"/>
  <c r="S427" i="1"/>
  <c r="F411" i="1"/>
  <c r="S411" i="1"/>
  <c r="F403" i="1"/>
  <c r="S403" i="1"/>
  <c r="F387" i="1"/>
  <c r="S387" i="1"/>
  <c r="F379" i="1"/>
  <c r="S379" i="1"/>
  <c r="F363" i="1"/>
  <c r="S363" i="1"/>
  <c r="F355" i="1"/>
  <c r="S355" i="1"/>
  <c r="F339" i="1"/>
  <c r="S339" i="1"/>
  <c r="F331" i="1"/>
  <c r="S331" i="1"/>
  <c r="F315" i="1"/>
  <c r="S315" i="1"/>
  <c r="F307" i="1"/>
  <c r="S307" i="1"/>
  <c r="F291" i="1"/>
  <c r="S291" i="1"/>
  <c r="F283" i="1"/>
  <c r="S283" i="1"/>
  <c r="F267" i="1"/>
  <c r="S267" i="1"/>
  <c r="F259" i="1"/>
  <c r="S259" i="1"/>
  <c r="F243" i="1"/>
  <c r="S243" i="1"/>
  <c r="F235" i="1"/>
  <c r="S235" i="1"/>
  <c r="F219" i="1"/>
  <c r="S219" i="1"/>
  <c r="F211" i="1"/>
  <c r="S211" i="1"/>
  <c r="F195" i="1"/>
  <c r="S195" i="1"/>
  <c r="F187" i="1"/>
  <c r="S187" i="1"/>
  <c r="F179" i="1"/>
  <c r="S179" i="1"/>
  <c r="F163" i="1"/>
  <c r="S163" i="1"/>
  <c r="F155" i="1"/>
  <c r="S155" i="1"/>
  <c r="F147" i="1"/>
  <c r="S147" i="1"/>
  <c r="F131" i="1"/>
  <c r="S131" i="1"/>
  <c r="F123" i="1"/>
  <c r="S123" i="1"/>
  <c r="F115" i="1"/>
  <c r="S115" i="1"/>
  <c r="F107" i="1"/>
  <c r="S107" i="1"/>
  <c r="F82" i="1"/>
  <c r="S82" i="1"/>
  <c r="F101" i="1"/>
  <c r="S101" i="1"/>
  <c r="F65" i="1"/>
  <c r="S65" i="1"/>
  <c r="F39" i="1"/>
  <c r="S39" i="1"/>
  <c r="F38" i="1"/>
  <c r="S38" i="1"/>
  <c r="F77" i="1"/>
  <c r="S77" i="1"/>
  <c r="F98" i="1"/>
  <c r="S98" i="1"/>
  <c r="F61" i="1"/>
  <c r="S61" i="1"/>
  <c r="F19" i="1"/>
  <c r="S19" i="1"/>
  <c r="F35" i="1"/>
  <c r="S35" i="1"/>
  <c r="F17" i="1"/>
  <c r="S17" i="1"/>
  <c r="F56" i="1"/>
  <c r="S56" i="1"/>
  <c r="F16" i="1"/>
  <c r="S16" i="1"/>
  <c r="F14" i="1"/>
  <c r="S14" i="1"/>
  <c r="F31" i="1"/>
  <c r="S31" i="1"/>
  <c r="F90" i="1"/>
  <c r="S90" i="1"/>
  <c r="F12" i="1"/>
  <c r="S12" i="1"/>
  <c r="F51" i="1"/>
  <c r="S51" i="1"/>
  <c r="F8" i="1"/>
  <c r="S8" i="1"/>
  <c r="F50" i="1"/>
  <c r="S50" i="1"/>
  <c r="F5" i="1"/>
  <c r="S5" i="1"/>
  <c r="F70" i="1"/>
  <c r="S70" i="1"/>
  <c r="F498" i="1"/>
  <c r="S498" i="1"/>
  <c r="F490" i="1"/>
  <c r="S490" i="1"/>
  <c r="F482" i="1"/>
  <c r="S482" i="1"/>
  <c r="F474" i="1"/>
  <c r="S474" i="1"/>
  <c r="F466" i="1"/>
  <c r="S466" i="1"/>
  <c r="F458" i="1"/>
  <c r="S458" i="1"/>
  <c r="F450" i="1"/>
  <c r="S450" i="1"/>
  <c r="F442" i="1"/>
  <c r="S442" i="1"/>
  <c r="F434" i="1"/>
  <c r="S434" i="1"/>
  <c r="F426" i="1"/>
  <c r="S426" i="1"/>
  <c r="F418" i="1"/>
  <c r="S418" i="1"/>
  <c r="F410" i="1"/>
  <c r="S410" i="1"/>
  <c r="F402" i="1"/>
  <c r="S402" i="1"/>
  <c r="F394" i="1"/>
  <c r="S394" i="1"/>
  <c r="F386" i="1"/>
  <c r="S386" i="1"/>
  <c r="F378" i="1"/>
  <c r="S378" i="1"/>
  <c r="F370" i="1"/>
  <c r="S370" i="1"/>
  <c r="F362" i="1"/>
  <c r="S362" i="1"/>
  <c r="F354" i="1"/>
  <c r="S354" i="1"/>
  <c r="F346" i="1"/>
  <c r="S346" i="1"/>
  <c r="F338" i="1"/>
  <c r="S338" i="1"/>
  <c r="F330" i="1"/>
  <c r="S330" i="1"/>
  <c r="F322" i="1"/>
  <c r="S322" i="1"/>
  <c r="F314" i="1"/>
  <c r="S314" i="1"/>
  <c r="F306" i="1"/>
  <c r="S306" i="1"/>
  <c r="F298" i="1"/>
  <c r="S298" i="1"/>
  <c r="F290" i="1"/>
  <c r="S290" i="1"/>
  <c r="F282" i="1"/>
  <c r="S282" i="1"/>
  <c r="F274" i="1"/>
  <c r="S274" i="1"/>
  <c r="F266" i="1"/>
  <c r="S266" i="1"/>
  <c r="F258" i="1"/>
  <c r="S258" i="1"/>
  <c r="F250" i="1"/>
  <c r="S250" i="1"/>
  <c r="F242" i="1"/>
  <c r="S242" i="1"/>
  <c r="F234" i="1"/>
  <c r="S234" i="1"/>
  <c r="F226" i="1"/>
  <c r="S226" i="1"/>
  <c r="F218" i="1"/>
  <c r="S218" i="1"/>
  <c r="F210" i="1"/>
  <c r="S210" i="1"/>
  <c r="F202" i="1"/>
  <c r="S202" i="1"/>
  <c r="F194" i="1"/>
  <c r="S194" i="1"/>
  <c r="F186" i="1"/>
  <c r="S186" i="1"/>
  <c r="F178" i="1"/>
  <c r="S178" i="1"/>
  <c r="F170" i="1"/>
  <c r="S170" i="1"/>
  <c r="F162" i="1"/>
  <c r="S162" i="1"/>
  <c r="F154" i="1"/>
  <c r="S154" i="1"/>
  <c r="F146" i="1"/>
  <c r="S146" i="1"/>
  <c r="F138" i="1"/>
  <c r="S138" i="1"/>
  <c r="F130" i="1"/>
  <c r="S130" i="1"/>
  <c r="F122" i="1"/>
  <c r="S122" i="1"/>
  <c r="F114" i="1"/>
  <c r="S114" i="1"/>
  <c r="F106" i="1"/>
  <c r="S106" i="1"/>
  <c r="F497" i="1"/>
  <c r="S497" i="1"/>
  <c r="F489" i="1"/>
  <c r="S489" i="1"/>
  <c r="F481" i="1"/>
  <c r="S481" i="1"/>
  <c r="F473" i="1"/>
  <c r="S473" i="1"/>
  <c r="F465" i="1"/>
  <c r="S465" i="1"/>
  <c r="F457" i="1"/>
  <c r="S457" i="1"/>
  <c r="F449" i="1"/>
  <c r="S449" i="1"/>
  <c r="F441" i="1"/>
  <c r="S441" i="1"/>
  <c r="F433" i="1"/>
  <c r="S433" i="1"/>
  <c r="F425" i="1"/>
  <c r="S425" i="1"/>
  <c r="F417" i="1"/>
  <c r="S417" i="1"/>
  <c r="F409" i="1"/>
  <c r="S409" i="1"/>
  <c r="F401" i="1"/>
  <c r="S401" i="1"/>
  <c r="F393" i="1"/>
  <c r="S393" i="1"/>
  <c r="F385" i="1"/>
  <c r="S385" i="1"/>
  <c r="F377" i="1"/>
  <c r="S377" i="1"/>
  <c r="F369" i="1"/>
  <c r="S369" i="1"/>
  <c r="F361" i="1"/>
  <c r="S361" i="1"/>
  <c r="F353" i="1"/>
  <c r="S353" i="1"/>
  <c r="F345" i="1"/>
  <c r="S345" i="1"/>
  <c r="F337" i="1"/>
  <c r="S337" i="1"/>
  <c r="F329" i="1"/>
  <c r="S329" i="1"/>
  <c r="F321" i="1"/>
  <c r="S321" i="1"/>
  <c r="F313" i="1"/>
  <c r="S313" i="1"/>
  <c r="F305" i="1"/>
  <c r="S305" i="1"/>
  <c r="F297" i="1"/>
  <c r="S297" i="1"/>
  <c r="F289" i="1"/>
  <c r="S289" i="1"/>
  <c r="F281" i="1"/>
  <c r="S281" i="1"/>
  <c r="F273" i="1"/>
  <c r="S273" i="1"/>
  <c r="F265" i="1"/>
  <c r="S265" i="1"/>
  <c r="F257" i="1"/>
  <c r="S257" i="1"/>
  <c r="F249" i="1"/>
  <c r="S249" i="1"/>
  <c r="F241" i="1"/>
  <c r="S241" i="1"/>
  <c r="F233" i="1"/>
  <c r="S233" i="1"/>
  <c r="F225" i="1"/>
  <c r="S225" i="1"/>
  <c r="F217" i="1"/>
  <c r="S217" i="1"/>
  <c r="F209" i="1"/>
  <c r="S209" i="1"/>
  <c r="F201" i="1"/>
  <c r="S201" i="1"/>
  <c r="F193" i="1"/>
  <c r="S193" i="1"/>
  <c r="F185" i="1"/>
  <c r="S185" i="1"/>
  <c r="F177" i="1"/>
  <c r="S177" i="1"/>
  <c r="F169" i="1"/>
  <c r="S169" i="1"/>
  <c r="F161" i="1"/>
  <c r="S161" i="1"/>
  <c r="F153" i="1"/>
  <c r="S153" i="1"/>
  <c r="F145" i="1"/>
  <c r="S145" i="1"/>
  <c r="F137" i="1"/>
  <c r="S137" i="1"/>
  <c r="F129" i="1"/>
  <c r="S129" i="1"/>
  <c r="F121" i="1"/>
  <c r="S121" i="1"/>
  <c r="F113" i="1"/>
  <c r="S113" i="1"/>
  <c r="F105" i="1"/>
  <c r="S105" i="1"/>
  <c r="F29" i="1"/>
  <c r="S29" i="1"/>
  <c r="F464" i="1"/>
  <c r="S464" i="1"/>
  <c r="F432" i="1"/>
  <c r="S432" i="1"/>
  <c r="F424" i="1"/>
  <c r="S424" i="1"/>
  <c r="F416" i="1"/>
  <c r="S416" i="1"/>
  <c r="F408" i="1"/>
  <c r="S408" i="1"/>
  <c r="F400" i="1"/>
  <c r="S400" i="1"/>
  <c r="F392" i="1"/>
  <c r="S392" i="1"/>
  <c r="F384" i="1"/>
  <c r="S384" i="1"/>
  <c r="F376" i="1"/>
  <c r="S376" i="1"/>
  <c r="F368" i="1"/>
  <c r="S368" i="1"/>
  <c r="F360" i="1"/>
  <c r="S360" i="1"/>
  <c r="F352" i="1"/>
  <c r="S352" i="1"/>
  <c r="F336" i="1"/>
  <c r="S336" i="1"/>
  <c r="F312" i="1"/>
  <c r="S312" i="1"/>
  <c r="F304" i="1"/>
  <c r="S304" i="1"/>
  <c r="F296" i="1"/>
  <c r="S296" i="1"/>
  <c r="F288" i="1"/>
  <c r="S288" i="1"/>
  <c r="F280" i="1"/>
  <c r="S280" i="1"/>
  <c r="F272" i="1"/>
  <c r="S272" i="1"/>
  <c r="F264" i="1"/>
  <c r="S264" i="1"/>
  <c r="F256" i="1"/>
  <c r="S256" i="1"/>
  <c r="F248" i="1"/>
  <c r="S248" i="1"/>
  <c r="F240" i="1"/>
  <c r="S240" i="1"/>
  <c r="F232" i="1"/>
  <c r="S232" i="1"/>
  <c r="F224" i="1"/>
  <c r="S224" i="1"/>
  <c r="F216" i="1"/>
  <c r="S216" i="1"/>
  <c r="F208" i="1"/>
  <c r="S208" i="1"/>
  <c r="F200" i="1"/>
  <c r="S200" i="1"/>
  <c r="F192" i="1"/>
  <c r="S192" i="1"/>
  <c r="F184" i="1"/>
  <c r="S184" i="1"/>
  <c r="F176" i="1"/>
  <c r="S176" i="1"/>
  <c r="F168" i="1"/>
  <c r="S168" i="1"/>
  <c r="F160" i="1"/>
  <c r="S160" i="1"/>
  <c r="F152" i="1"/>
  <c r="S152" i="1"/>
  <c r="F144" i="1"/>
  <c r="S144" i="1"/>
  <c r="F136" i="1"/>
  <c r="S136" i="1"/>
  <c r="F128" i="1"/>
  <c r="S128" i="1"/>
  <c r="F120" i="1"/>
  <c r="S120" i="1"/>
  <c r="F112" i="1"/>
  <c r="S112" i="1"/>
  <c r="F104" i="1"/>
  <c r="S104" i="1"/>
  <c r="F399" i="1"/>
  <c r="S399" i="1"/>
  <c r="F223" i="1"/>
  <c r="S223" i="1"/>
  <c r="F143" i="1"/>
  <c r="S143" i="1"/>
  <c r="F81" i="1"/>
  <c r="S81" i="1"/>
  <c r="F66" i="1"/>
  <c r="S66" i="1"/>
  <c r="F78" i="1"/>
  <c r="S78" i="1"/>
  <c r="F22" i="1"/>
  <c r="S22" i="1"/>
  <c r="F54" i="1"/>
  <c r="S54" i="1"/>
  <c r="F92" i="1"/>
  <c r="S92" i="1"/>
  <c r="F496" i="1"/>
  <c r="S496" i="1"/>
  <c r="F472" i="1"/>
  <c r="S472" i="1"/>
  <c r="F440" i="1"/>
  <c r="S440" i="1"/>
  <c r="F344" i="1"/>
  <c r="S344" i="1"/>
  <c r="F71" i="1"/>
  <c r="S71" i="1"/>
  <c r="F85" i="1"/>
  <c r="S85" i="1"/>
  <c r="F83" i="1"/>
  <c r="S83" i="1"/>
  <c r="F487" i="1"/>
  <c r="S487" i="1"/>
  <c r="F463" i="1"/>
  <c r="S463" i="1"/>
  <c r="F439" i="1"/>
  <c r="S439" i="1"/>
  <c r="F415" i="1"/>
  <c r="S415" i="1"/>
  <c r="F383" i="1"/>
  <c r="S383" i="1"/>
  <c r="F359" i="1"/>
  <c r="S359" i="1"/>
  <c r="F335" i="1"/>
  <c r="S335" i="1"/>
  <c r="F319" i="1"/>
  <c r="S319" i="1"/>
  <c r="F295" i="1"/>
  <c r="S295" i="1"/>
  <c r="F271" i="1"/>
  <c r="S271" i="1"/>
  <c r="F263" i="1"/>
  <c r="S263" i="1"/>
  <c r="F239" i="1"/>
  <c r="S239" i="1"/>
  <c r="F231" i="1"/>
  <c r="S231" i="1"/>
  <c r="F215" i="1"/>
  <c r="S215" i="1"/>
  <c r="F207" i="1"/>
  <c r="S207" i="1"/>
  <c r="F199" i="1"/>
  <c r="S199" i="1"/>
  <c r="F191" i="1"/>
  <c r="S191" i="1"/>
  <c r="F183" i="1"/>
  <c r="S183" i="1"/>
  <c r="F175" i="1"/>
  <c r="S175" i="1"/>
  <c r="F167" i="1"/>
  <c r="S167" i="1"/>
  <c r="F159" i="1"/>
  <c r="S159" i="1"/>
  <c r="F151" i="1"/>
  <c r="S151" i="1"/>
  <c r="F135" i="1"/>
  <c r="S135" i="1"/>
  <c r="F127" i="1"/>
  <c r="S127" i="1"/>
  <c r="F119" i="1"/>
  <c r="S119" i="1"/>
  <c r="F111" i="1"/>
  <c r="S111" i="1"/>
  <c r="F103" i="1"/>
  <c r="S103" i="1"/>
  <c r="F25" i="1"/>
  <c r="S25" i="1"/>
  <c r="F80" i="1"/>
  <c r="S80" i="1"/>
  <c r="F40" i="1"/>
  <c r="S40" i="1"/>
  <c r="F63" i="1"/>
  <c r="S63" i="1"/>
  <c r="F37" i="1"/>
  <c r="S37" i="1"/>
  <c r="F99" i="1"/>
  <c r="S99" i="1"/>
  <c r="F97" i="1"/>
  <c r="S97" i="1"/>
  <c r="F20" i="1"/>
  <c r="S20" i="1"/>
  <c r="F96" i="1"/>
  <c r="S96" i="1"/>
  <c r="F95" i="1"/>
  <c r="S95" i="1"/>
  <c r="F75" i="1"/>
  <c r="S75" i="1"/>
  <c r="F55" i="1"/>
  <c r="S55" i="1"/>
  <c r="F53" i="1"/>
  <c r="S53" i="1"/>
  <c r="F74" i="1"/>
  <c r="S74" i="1"/>
  <c r="F91" i="1"/>
  <c r="S91" i="1"/>
  <c r="F73" i="1"/>
  <c r="S73" i="1"/>
  <c r="F11" i="1"/>
  <c r="S11" i="1"/>
  <c r="F88" i="1"/>
  <c r="S88" i="1"/>
  <c r="F27" i="1"/>
  <c r="S27" i="1"/>
  <c r="F3" i="1"/>
  <c r="S3" i="1"/>
  <c r="F69" i="1"/>
  <c r="S69" i="1"/>
  <c r="F494" i="1"/>
  <c r="S494" i="1"/>
  <c r="F486" i="1"/>
  <c r="S486" i="1"/>
  <c r="F478" i="1"/>
  <c r="S478" i="1"/>
  <c r="F470" i="1"/>
  <c r="S470" i="1"/>
  <c r="F462" i="1"/>
  <c r="S462" i="1"/>
  <c r="F454" i="1"/>
  <c r="S454" i="1"/>
  <c r="F446" i="1"/>
  <c r="S446" i="1"/>
  <c r="F438" i="1"/>
  <c r="S438" i="1"/>
  <c r="F430" i="1"/>
  <c r="S430" i="1"/>
  <c r="F422" i="1"/>
  <c r="S422" i="1"/>
  <c r="F414" i="1"/>
  <c r="S414" i="1"/>
  <c r="F406" i="1"/>
  <c r="S406" i="1"/>
  <c r="F398" i="1"/>
  <c r="S398" i="1"/>
  <c r="F390" i="1"/>
  <c r="S390" i="1"/>
  <c r="F382" i="1"/>
  <c r="S382" i="1"/>
  <c r="F374" i="1"/>
  <c r="S374" i="1"/>
  <c r="F366" i="1"/>
  <c r="S366" i="1"/>
  <c r="F358" i="1"/>
  <c r="S358" i="1"/>
  <c r="F350" i="1"/>
  <c r="S350" i="1"/>
  <c r="F342" i="1"/>
  <c r="S342" i="1"/>
  <c r="F334" i="1"/>
  <c r="S334" i="1"/>
  <c r="F326" i="1"/>
  <c r="S326" i="1"/>
  <c r="F318" i="1"/>
  <c r="S318" i="1"/>
  <c r="F310" i="1"/>
  <c r="S310" i="1"/>
  <c r="F302" i="1"/>
  <c r="S302" i="1"/>
  <c r="F294" i="1"/>
  <c r="S294" i="1"/>
  <c r="F286" i="1"/>
  <c r="S286" i="1"/>
  <c r="F278" i="1"/>
  <c r="S278" i="1"/>
  <c r="F270" i="1"/>
  <c r="S270" i="1"/>
  <c r="F262" i="1"/>
  <c r="S262" i="1"/>
  <c r="F254" i="1"/>
  <c r="S254" i="1"/>
  <c r="F246" i="1"/>
  <c r="S246" i="1"/>
  <c r="F238" i="1"/>
  <c r="S238" i="1"/>
  <c r="F230" i="1"/>
  <c r="S230" i="1"/>
  <c r="F222" i="1"/>
  <c r="S222" i="1"/>
  <c r="F214" i="1"/>
  <c r="S214" i="1"/>
  <c r="F206" i="1"/>
  <c r="S206" i="1"/>
  <c r="F198" i="1"/>
  <c r="S198" i="1"/>
  <c r="F190" i="1"/>
  <c r="S190" i="1"/>
  <c r="F182" i="1"/>
  <c r="S182" i="1"/>
  <c r="F174" i="1"/>
  <c r="S174" i="1"/>
  <c r="F166" i="1"/>
  <c r="S166" i="1"/>
  <c r="F158" i="1"/>
  <c r="S158" i="1"/>
  <c r="F150" i="1"/>
  <c r="S150" i="1"/>
  <c r="F142" i="1"/>
  <c r="S142" i="1"/>
  <c r="F134" i="1"/>
  <c r="S134" i="1"/>
  <c r="F126" i="1"/>
  <c r="S126" i="1"/>
  <c r="F118" i="1"/>
  <c r="S118" i="1"/>
  <c r="F110" i="1"/>
  <c r="S110" i="1"/>
  <c r="F102" i="1"/>
  <c r="S102" i="1"/>
  <c r="F44" i="1"/>
  <c r="S44" i="1"/>
  <c r="F67" i="1"/>
  <c r="S67" i="1"/>
  <c r="F64" i="1"/>
  <c r="S64" i="1"/>
  <c r="F79" i="1"/>
  <c r="S79" i="1"/>
  <c r="F36" i="1"/>
  <c r="S36" i="1"/>
  <c r="F94" i="1"/>
  <c r="S94" i="1"/>
  <c r="F30" i="1"/>
  <c r="S30" i="1"/>
  <c r="F72" i="1"/>
  <c r="S72" i="1"/>
  <c r="F87" i="1"/>
  <c r="S87" i="1"/>
  <c r="F488" i="1"/>
  <c r="S488" i="1"/>
  <c r="F456" i="1"/>
  <c r="S456" i="1"/>
  <c r="F320" i="1"/>
  <c r="S320" i="1"/>
  <c r="F495" i="1"/>
  <c r="S495" i="1"/>
  <c r="F471" i="1"/>
  <c r="S471" i="1"/>
  <c r="F447" i="1"/>
  <c r="S447" i="1"/>
  <c r="F423" i="1"/>
  <c r="S423" i="1"/>
  <c r="F391" i="1"/>
  <c r="S391" i="1"/>
  <c r="F367" i="1"/>
  <c r="S367" i="1"/>
  <c r="F343" i="1"/>
  <c r="S343" i="1"/>
  <c r="F311" i="1"/>
  <c r="S311" i="1"/>
  <c r="F287" i="1"/>
  <c r="S287" i="1"/>
  <c r="F247" i="1"/>
  <c r="S247" i="1"/>
  <c r="F6" i="1"/>
  <c r="S6" i="1"/>
  <c r="F86" i="1"/>
  <c r="S86" i="1"/>
  <c r="F68" i="1"/>
  <c r="S68" i="1"/>
  <c r="F501" i="1"/>
  <c r="S501" i="1"/>
  <c r="F493" i="1"/>
  <c r="S493" i="1"/>
  <c r="F485" i="1"/>
  <c r="S485" i="1"/>
  <c r="F477" i="1"/>
  <c r="S477" i="1"/>
  <c r="F469" i="1"/>
  <c r="S469" i="1"/>
  <c r="F461" i="1"/>
  <c r="S461" i="1"/>
  <c r="F453" i="1"/>
  <c r="S453" i="1"/>
  <c r="F445" i="1"/>
  <c r="S445" i="1"/>
  <c r="F437" i="1"/>
  <c r="S437" i="1"/>
  <c r="F429" i="1"/>
  <c r="S429" i="1"/>
  <c r="F421" i="1"/>
  <c r="S421" i="1"/>
  <c r="F413" i="1"/>
  <c r="S413" i="1"/>
  <c r="F405" i="1"/>
  <c r="S405" i="1"/>
  <c r="F397" i="1"/>
  <c r="S397" i="1"/>
  <c r="F389" i="1"/>
  <c r="S389" i="1"/>
  <c r="F381" i="1"/>
  <c r="S381" i="1"/>
  <c r="F373" i="1"/>
  <c r="S373" i="1"/>
  <c r="F365" i="1"/>
  <c r="S365" i="1"/>
  <c r="F357" i="1"/>
  <c r="S357" i="1"/>
  <c r="F349" i="1"/>
  <c r="S349" i="1"/>
  <c r="F341" i="1"/>
  <c r="S341" i="1"/>
  <c r="F333" i="1"/>
  <c r="S333" i="1"/>
  <c r="F325" i="1"/>
  <c r="S325" i="1"/>
  <c r="F317" i="1"/>
  <c r="S317" i="1"/>
  <c r="F309" i="1"/>
  <c r="S309" i="1"/>
  <c r="F301" i="1"/>
  <c r="S301" i="1"/>
  <c r="F293" i="1"/>
  <c r="S293" i="1"/>
  <c r="F285" i="1"/>
  <c r="S285" i="1"/>
  <c r="F277" i="1"/>
  <c r="S277" i="1"/>
  <c r="F269" i="1"/>
  <c r="S269" i="1"/>
  <c r="F261" i="1"/>
  <c r="S261" i="1"/>
  <c r="F253" i="1"/>
  <c r="S253" i="1"/>
  <c r="F245" i="1"/>
  <c r="S245" i="1"/>
  <c r="F237" i="1"/>
  <c r="S237" i="1"/>
  <c r="F229" i="1"/>
  <c r="S229" i="1"/>
  <c r="F221" i="1"/>
  <c r="S221" i="1"/>
  <c r="F213" i="1"/>
  <c r="S213" i="1"/>
  <c r="F205" i="1"/>
  <c r="S205" i="1"/>
  <c r="F197" i="1"/>
  <c r="S197" i="1"/>
  <c r="F189" i="1"/>
  <c r="S189" i="1"/>
  <c r="F181" i="1"/>
  <c r="S181" i="1"/>
  <c r="F173" i="1"/>
  <c r="S173" i="1"/>
  <c r="F165" i="1"/>
  <c r="S165" i="1"/>
  <c r="F157" i="1"/>
  <c r="S157" i="1"/>
  <c r="F149" i="1"/>
  <c r="S149" i="1"/>
  <c r="F141" i="1"/>
  <c r="S141" i="1"/>
  <c r="F133" i="1"/>
  <c r="S133" i="1"/>
  <c r="F125" i="1"/>
  <c r="S125" i="1"/>
  <c r="F117" i="1"/>
  <c r="S117" i="1"/>
  <c r="F109" i="1"/>
  <c r="S109" i="1"/>
  <c r="F7" i="1"/>
  <c r="S7" i="1"/>
  <c r="F47" i="1"/>
  <c r="S47" i="1"/>
  <c r="F41" i="1"/>
  <c r="S41" i="1"/>
  <c r="F76" i="1"/>
  <c r="S76" i="1"/>
  <c r="F58" i="1"/>
  <c r="S58" i="1"/>
  <c r="F57" i="1"/>
  <c r="S57" i="1"/>
  <c r="F32" i="1"/>
  <c r="S32" i="1"/>
  <c r="F45" i="1"/>
  <c r="S45" i="1"/>
  <c r="F480" i="1"/>
  <c r="S480" i="1"/>
  <c r="F448" i="1"/>
  <c r="S448" i="1"/>
  <c r="F328" i="1"/>
  <c r="S328" i="1"/>
  <c r="F9" i="1"/>
  <c r="S9" i="1"/>
  <c r="F479" i="1"/>
  <c r="S479" i="1"/>
  <c r="F455" i="1"/>
  <c r="S455" i="1"/>
  <c r="F431" i="1"/>
  <c r="S431" i="1"/>
  <c r="F407" i="1"/>
  <c r="S407" i="1"/>
  <c r="F375" i="1"/>
  <c r="S375" i="1"/>
  <c r="F351" i="1"/>
  <c r="S351" i="1"/>
  <c r="F327" i="1"/>
  <c r="S327" i="1"/>
  <c r="F303" i="1"/>
  <c r="S303" i="1"/>
  <c r="F279" i="1"/>
  <c r="S279" i="1"/>
  <c r="F255" i="1"/>
  <c r="S255" i="1"/>
  <c r="F4" i="1"/>
  <c r="S4" i="1"/>
  <c r="F42" i="1"/>
  <c r="S42" i="1"/>
  <c r="F100" i="1"/>
  <c r="S100" i="1"/>
  <c r="F24" i="1"/>
  <c r="S24" i="1"/>
  <c r="F62" i="1"/>
  <c r="S62" i="1"/>
  <c r="F23" i="1"/>
  <c r="S23" i="1"/>
  <c r="F21" i="1"/>
  <c r="S21" i="1"/>
  <c r="F60" i="1"/>
  <c r="S60" i="1"/>
  <c r="F59" i="1"/>
  <c r="S59" i="1"/>
  <c r="F18" i="1"/>
  <c r="S18" i="1"/>
  <c r="F34" i="1"/>
  <c r="S34" i="1"/>
  <c r="F93" i="1"/>
  <c r="S93" i="1"/>
  <c r="F15" i="1"/>
  <c r="S15" i="1"/>
  <c r="F33" i="1"/>
  <c r="S33" i="1"/>
  <c r="F13" i="1"/>
  <c r="S13" i="1"/>
  <c r="F52" i="1"/>
  <c r="S52" i="1"/>
  <c r="F89" i="1"/>
  <c r="S89" i="1"/>
  <c r="F10" i="1"/>
  <c r="S10" i="1"/>
  <c r="F28" i="1"/>
  <c r="S28" i="1"/>
  <c r="F49" i="1"/>
  <c r="S49" i="1"/>
  <c r="F46" i="1"/>
  <c r="S46" i="1"/>
  <c r="F84" i="1"/>
  <c r="S84" i="1"/>
  <c r="F500" i="1"/>
  <c r="S500" i="1"/>
  <c r="F492" i="1"/>
  <c r="S492" i="1"/>
  <c r="F484" i="1"/>
  <c r="S484" i="1"/>
  <c r="F476" i="1"/>
  <c r="S476" i="1"/>
  <c r="F468" i="1"/>
  <c r="S468" i="1"/>
  <c r="F460" i="1"/>
  <c r="S460" i="1"/>
  <c r="F452" i="1"/>
  <c r="S452" i="1"/>
  <c r="F444" i="1"/>
  <c r="S444" i="1"/>
  <c r="F436" i="1"/>
  <c r="S436" i="1"/>
  <c r="F428" i="1"/>
  <c r="S428" i="1"/>
  <c r="F420" i="1"/>
  <c r="S420" i="1"/>
  <c r="F412" i="1"/>
  <c r="S412" i="1"/>
  <c r="F404" i="1"/>
  <c r="S404" i="1"/>
  <c r="F396" i="1"/>
  <c r="S396" i="1"/>
  <c r="F388" i="1"/>
  <c r="S388" i="1"/>
  <c r="F380" i="1"/>
  <c r="S380" i="1"/>
  <c r="F372" i="1"/>
  <c r="S372" i="1"/>
  <c r="F364" i="1"/>
  <c r="S364" i="1"/>
  <c r="F356" i="1"/>
  <c r="S356" i="1"/>
  <c r="F348" i="1"/>
  <c r="S348" i="1"/>
  <c r="F340" i="1"/>
  <c r="S340" i="1"/>
  <c r="F332" i="1"/>
  <c r="S332" i="1"/>
  <c r="F324" i="1"/>
  <c r="S324" i="1"/>
  <c r="F316" i="1"/>
  <c r="S316" i="1"/>
  <c r="F308" i="1"/>
  <c r="S308" i="1"/>
  <c r="F300" i="1"/>
  <c r="S300" i="1"/>
  <c r="F292" i="1"/>
  <c r="S292" i="1"/>
  <c r="F284" i="1"/>
  <c r="S284" i="1"/>
  <c r="F276" i="1"/>
  <c r="S276" i="1"/>
  <c r="F268" i="1"/>
  <c r="S268" i="1"/>
  <c r="F260" i="1"/>
  <c r="S260" i="1"/>
  <c r="F252" i="1"/>
  <c r="S252" i="1"/>
  <c r="F244" i="1"/>
  <c r="S244" i="1"/>
  <c r="F236" i="1"/>
  <c r="S236" i="1"/>
  <c r="F228" i="1"/>
  <c r="S228" i="1"/>
  <c r="F220" i="1"/>
  <c r="S220" i="1"/>
  <c r="F212" i="1"/>
  <c r="S212" i="1"/>
  <c r="F204" i="1"/>
  <c r="S204" i="1"/>
  <c r="F196" i="1"/>
  <c r="S196" i="1"/>
  <c r="F188" i="1"/>
  <c r="S188" i="1"/>
  <c r="F180" i="1"/>
  <c r="S180" i="1"/>
  <c r="F172" i="1"/>
  <c r="S172" i="1"/>
  <c r="F164" i="1"/>
  <c r="S164" i="1"/>
  <c r="F156" i="1"/>
  <c r="S156" i="1"/>
  <c r="F148" i="1"/>
  <c r="S148" i="1"/>
  <c r="F140" i="1"/>
  <c r="S140" i="1"/>
  <c r="F132" i="1"/>
  <c r="S132" i="1"/>
  <c r="F124" i="1"/>
  <c r="S124" i="1"/>
  <c r="F116" i="1"/>
  <c r="S116" i="1"/>
  <c r="F108" i="1"/>
  <c r="S108" i="1"/>
  <c r="AF6" i="1"/>
  <c r="P9" i="1"/>
  <c r="P497" i="1"/>
  <c r="P489" i="1"/>
  <c r="P481" i="1"/>
  <c r="P473" i="1"/>
  <c r="P465" i="1"/>
  <c r="P457" i="1"/>
  <c r="P449" i="1"/>
  <c r="P441" i="1"/>
  <c r="P433" i="1"/>
  <c r="P425" i="1"/>
  <c r="P417" i="1"/>
  <c r="P409" i="1"/>
  <c r="P401" i="1"/>
  <c r="P393" i="1"/>
  <c r="P385" i="1"/>
  <c r="P377" i="1"/>
  <c r="P369" i="1"/>
  <c r="P361" i="1"/>
  <c r="P353" i="1"/>
  <c r="P345" i="1"/>
  <c r="P337" i="1"/>
  <c r="P329" i="1"/>
  <c r="P321" i="1"/>
  <c r="P313" i="1"/>
  <c r="P305" i="1"/>
  <c r="P297" i="1"/>
  <c r="P289" i="1"/>
  <c r="P281" i="1"/>
  <c r="P273" i="1"/>
  <c r="P265" i="1"/>
  <c r="P257" i="1"/>
  <c r="P249" i="1"/>
  <c r="P241" i="1"/>
  <c r="P233" i="1"/>
  <c r="P225" i="1"/>
  <c r="P217" i="1"/>
  <c r="P209" i="1"/>
  <c r="P201" i="1"/>
  <c r="P193" i="1"/>
  <c r="P185" i="1"/>
  <c r="P177" i="1"/>
  <c r="P169" i="1"/>
  <c r="P161" i="1"/>
  <c r="P153" i="1"/>
  <c r="P145" i="1"/>
  <c r="P137" i="1"/>
  <c r="P129" i="1"/>
  <c r="P121" i="1"/>
  <c r="P113" i="1"/>
  <c r="P105" i="1"/>
  <c r="P97" i="1"/>
  <c r="P89" i="1"/>
  <c r="P81" i="1"/>
  <c r="P73" i="1"/>
  <c r="P65" i="1"/>
  <c r="P57" i="1"/>
  <c r="P49" i="1"/>
  <c r="P41" i="1"/>
  <c r="P33" i="1"/>
  <c r="P25" i="1"/>
  <c r="P17" i="1"/>
  <c r="P496" i="1"/>
  <c r="P488" i="1"/>
  <c r="P480" i="1"/>
  <c r="P472" i="1"/>
  <c r="P464" i="1"/>
  <c r="P456" i="1"/>
  <c r="P448" i="1"/>
  <c r="P440" i="1"/>
  <c r="P432" i="1"/>
  <c r="P424" i="1"/>
  <c r="P416" i="1"/>
  <c r="P408" i="1"/>
  <c r="P400" i="1"/>
  <c r="P392" i="1"/>
  <c r="P384" i="1"/>
  <c r="P376" i="1"/>
  <c r="P368" i="1"/>
  <c r="P360" i="1"/>
  <c r="P352" i="1"/>
  <c r="P344" i="1"/>
  <c r="P336" i="1"/>
  <c r="P328" i="1"/>
  <c r="P320" i="1"/>
  <c r="P312" i="1"/>
  <c r="P304" i="1"/>
  <c r="P296" i="1"/>
  <c r="P288" i="1"/>
  <c r="P280" i="1"/>
  <c r="P272" i="1"/>
  <c r="P264" i="1"/>
  <c r="P256" i="1"/>
  <c r="P248" i="1"/>
  <c r="P240" i="1"/>
  <c r="P232" i="1"/>
  <c r="P224" i="1"/>
  <c r="P216" i="1"/>
  <c r="P208" i="1"/>
  <c r="P200" i="1"/>
  <c r="P192" i="1"/>
  <c r="P184" i="1"/>
  <c r="P176" i="1"/>
  <c r="P168" i="1"/>
  <c r="P160" i="1"/>
  <c r="P152" i="1"/>
  <c r="P144" i="1"/>
  <c r="P136" i="1"/>
  <c r="P128" i="1"/>
  <c r="P120" i="1"/>
  <c r="P112" i="1"/>
  <c r="P104" i="1"/>
  <c r="P96" i="1"/>
  <c r="P88" i="1"/>
  <c r="P80" i="1"/>
  <c r="P72" i="1"/>
  <c r="P64" i="1"/>
  <c r="P56" i="1"/>
  <c r="P48" i="1"/>
  <c r="P40" i="1"/>
  <c r="P32" i="1"/>
  <c r="P24" i="1"/>
  <c r="P16" i="1"/>
  <c r="P8" i="1"/>
  <c r="P495" i="1"/>
  <c r="P487" i="1"/>
  <c r="P479" i="1"/>
  <c r="P471" i="1"/>
  <c r="P463" i="1"/>
  <c r="P455" i="1"/>
  <c r="P447" i="1"/>
  <c r="P439" i="1"/>
  <c r="P431" i="1"/>
  <c r="P423" i="1"/>
  <c r="P415" i="1"/>
  <c r="P407" i="1"/>
  <c r="P399" i="1"/>
  <c r="P391" i="1"/>
  <c r="P383" i="1"/>
  <c r="P375" i="1"/>
  <c r="P367" i="1"/>
  <c r="P359" i="1"/>
  <c r="P351" i="1"/>
  <c r="P343" i="1"/>
  <c r="P335" i="1"/>
  <c r="P327" i="1"/>
  <c r="P319" i="1"/>
  <c r="P311" i="1"/>
  <c r="P303" i="1"/>
  <c r="P295" i="1"/>
  <c r="P287" i="1"/>
  <c r="P279" i="1"/>
  <c r="P271" i="1"/>
  <c r="P263" i="1"/>
  <c r="P255" i="1"/>
  <c r="P247" i="1"/>
  <c r="P239" i="1"/>
  <c r="P231" i="1"/>
  <c r="P223" i="1"/>
  <c r="P215" i="1"/>
  <c r="P207" i="1"/>
  <c r="P199" i="1"/>
  <c r="P191" i="1"/>
  <c r="P183" i="1"/>
  <c r="P175" i="1"/>
  <c r="P167" i="1"/>
  <c r="P159" i="1"/>
  <c r="P151" i="1"/>
  <c r="P143" i="1"/>
  <c r="P135" i="1"/>
  <c r="P127" i="1"/>
  <c r="P119" i="1"/>
  <c r="P111" i="1"/>
  <c r="P103" i="1"/>
  <c r="P95" i="1"/>
  <c r="P87" i="1"/>
  <c r="P79" i="1"/>
  <c r="P71" i="1"/>
  <c r="P63" i="1"/>
  <c r="P55" i="1"/>
  <c r="P47" i="1"/>
  <c r="P39" i="1"/>
  <c r="P31" i="1"/>
  <c r="P23" i="1"/>
  <c r="P15" i="1"/>
  <c r="P7" i="1"/>
  <c r="P494" i="1"/>
  <c r="P486" i="1"/>
  <c r="P478" i="1"/>
  <c r="P470" i="1"/>
  <c r="P462" i="1"/>
  <c r="P454" i="1"/>
  <c r="P446" i="1"/>
  <c r="P438" i="1"/>
  <c r="P430" i="1"/>
  <c r="P422" i="1"/>
  <c r="P414" i="1"/>
  <c r="P406" i="1"/>
  <c r="P398" i="1"/>
  <c r="P390" i="1"/>
  <c r="P382" i="1"/>
  <c r="P374" i="1"/>
  <c r="P366" i="1"/>
  <c r="P358" i="1"/>
  <c r="P350" i="1"/>
  <c r="P342" i="1"/>
  <c r="P334" i="1"/>
  <c r="P326" i="1"/>
  <c r="P318" i="1"/>
  <c r="P310" i="1"/>
  <c r="P302" i="1"/>
  <c r="P294" i="1"/>
  <c r="P286" i="1"/>
  <c r="P278" i="1"/>
  <c r="P270" i="1"/>
  <c r="P262" i="1"/>
  <c r="P254" i="1"/>
  <c r="P246" i="1"/>
  <c r="P238" i="1"/>
  <c r="P230" i="1"/>
  <c r="P222" i="1"/>
  <c r="P214" i="1"/>
  <c r="P206" i="1"/>
  <c r="P198" i="1"/>
  <c r="P190" i="1"/>
  <c r="P182" i="1"/>
  <c r="P174" i="1"/>
  <c r="P166" i="1"/>
  <c r="P158" i="1"/>
  <c r="P150" i="1"/>
  <c r="P142" i="1"/>
  <c r="P134" i="1"/>
  <c r="P126" i="1"/>
  <c r="P118" i="1"/>
  <c r="P110" i="1"/>
  <c r="P102" i="1"/>
  <c r="P94" i="1"/>
  <c r="P86" i="1"/>
  <c r="P78" i="1"/>
  <c r="P70" i="1"/>
  <c r="P62" i="1"/>
  <c r="P54" i="1"/>
  <c r="P46" i="1"/>
  <c r="P38" i="1"/>
  <c r="P30" i="1"/>
  <c r="P22" i="1"/>
  <c r="P14" i="1"/>
  <c r="P6" i="1"/>
  <c r="P501" i="1"/>
  <c r="P493" i="1"/>
  <c r="P485" i="1"/>
  <c r="P477" i="1"/>
  <c r="P469" i="1"/>
  <c r="P461" i="1"/>
  <c r="P453" i="1"/>
  <c r="P445" i="1"/>
  <c r="P437" i="1"/>
  <c r="P429" i="1"/>
  <c r="P421" i="1"/>
  <c r="P413" i="1"/>
  <c r="P405" i="1"/>
  <c r="P397" i="1"/>
  <c r="P389" i="1"/>
  <c r="P381" i="1"/>
  <c r="P373" i="1"/>
  <c r="P365" i="1"/>
  <c r="P357" i="1"/>
  <c r="P349" i="1"/>
  <c r="P341" i="1"/>
  <c r="P333" i="1"/>
  <c r="P325" i="1"/>
  <c r="P317" i="1"/>
  <c r="P309" i="1"/>
  <c r="P301" i="1"/>
  <c r="P293" i="1"/>
  <c r="P285" i="1"/>
  <c r="P277" i="1"/>
  <c r="P269" i="1"/>
  <c r="P261" i="1"/>
  <c r="P253" i="1"/>
  <c r="P245" i="1"/>
  <c r="P237" i="1"/>
  <c r="P229" i="1"/>
  <c r="P221" i="1"/>
  <c r="P213" i="1"/>
  <c r="P205" i="1"/>
  <c r="P197" i="1"/>
  <c r="P189" i="1"/>
  <c r="P181" i="1"/>
  <c r="P173" i="1"/>
  <c r="P165" i="1"/>
  <c r="P157" i="1"/>
  <c r="P149" i="1"/>
  <c r="P141" i="1"/>
  <c r="P133" i="1"/>
  <c r="P125" i="1"/>
  <c r="P117" i="1"/>
  <c r="P109" i="1"/>
  <c r="P101" i="1"/>
  <c r="P93" i="1"/>
  <c r="P85" i="1"/>
  <c r="P77" i="1"/>
  <c r="P69" i="1"/>
  <c r="P61" i="1"/>
  <c r="P53" i="1"/>
  <c r="P45" i="1"/>
  <c r="P37" i="1"/>
  <c r="P29" i="1"/>
  <c r="P21" i="1"/>
  <c r="P13" i="1"/>
  <c r="P5" i="1"/>
  <c r="P500" i="1"/>
  <c r="P492" i="1"/>
  <c r="P484" i="1"/>
  <c r="P476" i="1"/>
  <c r="P468" i="1"/>
  <c r="P460" i="1"/>
  <c r="P452" i="1"/>
  <c r="P444" i="1"/>
  <c r="P436" i="1"/>
  <c r="P428" i="1"/>
  <c r="P420" i="1"/>
  <c r="P412" i="1"/>
  <c r="P404" i="1"/>
  <c r="P396" i="1"/>
  <c r="P388" i="1"/>
  <c r="P380" i="1"/>
  <c r="P372" i="1"/>
  <c r="P364" i="1"/>
  <c r="P356" i="1"/>
  <c r="P348" i="1"/>
  <c r="P340" i="1"/>
  <c r="P332" i="1"/>
  <c r="P324" i="1"/>
  <c r="P316" i="1"/>
  <c r="P308" i="1"/>
  <c r="P300" i="1"/>
  <c r="P292" i="1"/>
  <c r="P284" i="1"/>
  <c r="P276" i="1"/>
  <c r="P268" i="1"/>
  <c r="P260" i="1"/>
  <c r="P252" i="1"/>
  <c r="P244" i="1"/>
  <c r="P236" i="1"/>
  <c r="P228" i="1"/>
  <c r="P220" i="1"/>
  <c r="P212" i="1"/>
  <c r="P204" i="1"/>
  <c r="P196" i="1"/>
  <c r="P188" i="1"/>
  <c r="P180" i="1"/>
  <c r="P172" i="1"/>
  <c r="P164" i="1"/>
  <c r="P156" i="1"/>
  <c r="P148" i="1"/>
  <c r="P140" i="1"/>
  <c r="P132" i="1"/>
  <c r="P124" i="1"/>
  <c r="P116" i="1"/>
  <c r="P108" i="1"/>
  <c r="P100" i="1"/>
  <c r="P92" i="1"/>
  <c r="P84" i="1"/>
  <c r="P76" i="1"/>
  <c r="P68" i="1"/>
  <c r="P60" i="1"/>
  <c r="P52" i="1"/>
  <c r="P44" i="1"/>
  <c r="P36" i="1"/>
  <c r="P28" i="1"/>
  <c r="P20" i="1"/>
  <c r="P12" i="1"/>
  <c r="P4" i="1"/>
  <c r="P499" i="1"/>
  <c r="P491" i="1"/>
  <c r="P483" i="1"/>
  <c r="P475" i="1"/>
  <c r="P467" i="1"/>
  <c r="P459" i="1"/>
  <c r="P451" i="1"/>
  <c r="P443" i="1"/>
  <c r="P435" i="1"/>
  <c r="P427" i="1"/>
  <c r="P419" i="1"/>
  <c r="P411" i="1"/>
  <c r="P403" i="1"/>
  <c r="P395" i="1"/>
  <c r="P387" i="1"/>
  <c r="P379" i="1"/>
  <c r="P371" i="1"/>
  <c r="P363" i="1"/>
  <c r="P355" i="1"/>
  <c r="P347" i="1"/>
  <c r="P339" i="1"/>
  <c r="P331" i="1"/>
  <c r="P323" i="1"/>
  <c r="P315" i="1"/>
  <c r="P307" i="1"/>
  <c r="P299" i="1"/>
  <c r="P291" i="1"/>
  <c r="P283" i="1"/>
  <c r="P275" i="1"/>
  <c r="P267" i="1"/>
  <c r="P259" i="1"/>
  <c r="P251" i="1"/>
  <c r="P243" i="1"/>
  <c r="P235" i="1"/>
  <c r="P227" i="1"/>
  <c r="P219" i="1"/>
  <c r="P211" i="1"/>
  <c r="P203" i="1"/>
  <c r="P195" i="1"/>
  <c r="P187" i="1"/>
  <c r="P179" i="1"/>
  <c r="P171" i="1"/>
  <c r="P163" i="1"/>
  <c r="P155" i="1"/>
  <c r="P147" i="1"/>
  <c r="P139" i="1"/>
  <c r="P131" i="1"/>
  <c r="P123" i="1"/>
  <c r="P115" i="1"/>
  <c r="P107" i="1"/>
  <c r="P99" i="1"/>
  <c r="P91" i="1"/>
  <c r="P83" i="1"/>
  <c r="P75" i="1"/>
  <c r="P67" i="1"/>
  <c r="P59" i="1"/>
  <c r="P51" i="1"/>
  <c r="P43" i="1"/>
  <c r="P35" i="1"/>
  <c r="P27" i="1"/>
  <c r="P19" i="1"/>
  <c r="P11" i="1"/>
  <c r="P3" i="1"/>
  <c r="P498" i="1"/>
  <c r="P490" i="1"/>
  <c r="P482" i="1"/>
  <c r="P474" i="1"/>
  <c r="P466" i="1"/>
  <c r="P458" i="1"/>
  <c r="P450" i="1"/>
  <c r="P442" i="1"/>
  <c r="P434" i="1"/>
  <c r="P426" i="1"/>
  <c r="P418" i="1"/>
  <c r="P410" i="1"/>
  <c r="P402" i="1"/>
  <c r="P394" i="1"/>
  <c r="P386" i="1"/>
  <c r="P378" i="1"/>
  <c r="P370" i="1"/>
  <c r="P362" i="1"/>
  <c r="P354" i="1"/>
  <c r="P346" i="1"/>
  <c r="P338" i="1"/>
  <c r="P330" i="1"/>
  <c r="P322" i="1"/>
  <c r="P314" i="1"/>
  <c r="P306" i="1"/>
  <c r="P298" i="1"/>
  <c r="P290" i="1"/>
  <c r="P282" i="1"/>
  <c r="P274" i="1"/>
  <c r="P266" i="1"/>
  <c r="P258" i="1"/>
  <c r="P250" i="1"/>
  <c r="P242" i="1"/>
  <c r="P234" i="1"/>
  <c r="P226" i="1"/>
  <c r="P218" i="1"/>
  <c r="P210" i="1"/>
  <c r="P202" i="1"/>
  <c r="P194" i="1"/>
  <c r="P186" i="1"/>
  <c r="P178" i="1"/>
  <c r="P170" i="1"/>
  <c r="P162" i="1"/>
  <c r="P154" i="1"/>
  <c r="P146" i="1"/>
  <c r="P138" i="1"/>
  <c r="P130" i="1"/>
  <c r="P122" i="1"/>
  <c r="P114" i="1"/>
  <c r="P106" i="1"/>
  <c r="P98" i="1"/>
  <c r="P90" i="1"/>
  <c r="P82" i="1"/>
  <c r="P74" i="1"/>
  <c r="P66" i="1"/>
  <c r="P58" i="1"/>
  <c r="P50" i="1"/>
  <c r="P42" i="1"/>
  <c r="P34" i="1"/>
  <c r="P26" i="1"/>
  <c r="P18" i="1"/>
  <c r="P10" i="1"/>
  <c r="E2" i="1"/>
  <c r="P2" i="1" s="1"/>
  <c r="G347" i="1"/>
  <c r="V132" i="1" l="1"/>
  <c r="Y132" i="1"/>
  <c r="V164" i="1"/>
  <c r="Y164" i="1"/>
  <c r="V196" i="1"/>
  <c r="Y196" i="1"/>
  <c r="V228" i="1"/>
  <c r="Y228" i="1"/>
  <c r="V260" i="1"/>
  <c r="Y260" i="1"/>
  <c r="V292" i="1"/>
  <c r="Y292" i="1"/>
  <c r="V324" i="1"/>
  <c r="Y324" i="1"/>
  <c r="V356" i="1"/>
  <c r="Y356" i="1"/>
  <c r="V388" i="1"/>
  <c r="Y388" i="1"/>
  <c r="V420" i="1"/>
  <c r="Y420" i="1"/>
  <c r="V452" i="1"/>
  <c r="Y452" i="1"/>
  <c r="V484" i="1"/>
  <c r="Y484" i="1"/>
  <c r="V46" i="1"/>
  <c r="Y46" i="1"/>
  <c r="V89" i="1"/>
  <c r="Y89" i="1"/>
  <c r="V15" i="1"/>
  <c r="Y15" i="1"/>
  <c r="V59" i="1"/>
  <c r="Y59" i="1"/>
  <c r="V62" i="1"/>
  <c r="Y62" i="1"/>
  <c r="V4" i="1"/>
  <c r="Y4" i="1"/>
  <c r="V327" i="1"/>
  <c r="Y327" i="1"/>
  <c r="V431" i="1"/>
  <c r="Y431" i="1"/>
  <c r="V328" i="1"/>
  <c r="Y328" i="1"/>
  <c r="V32" i="1"/>
  <c r="Y32" i="1"/>
  <c r="V41" i="1"/>
  <c r="Y41" i="1"/>
  <c r="V117" i="1"/>
  <c r="Y117" i="1"/>
  <c r="V149" i="1"/>
  <c r="Y149" i="1"/>
  <c r="V181" i="1"/>
  <c r="Y181" i="1"/>
  <c r="V213" i="1"/>
  <c r="Y213" i="1"/>
  <c r="V245" i="1"/>
  <c r="Y245" i="1"/>
  <c r="V277" i="1"/>
  <c r="Y277" i="1"/>
  <c r="V309" i="1"/>
  <c r="Y309" i="1"/>
  <c r="V341" i="1"/>
  <c r="Y341" i="1"/>
  <c r="V373" i="1"/>
  <c r="Y373" i="1"/>
  <c r="V405" i="1"/>
  <c r="Y405" i="1"/>
  <c r="V437" i="1"/>
  <c r="Y437" i="1"/>
  <c r="V469" i="1"/>
  <c r="Y469" i="1"/>
  <c r="V501" i="1"/>
  <c r="Y501" i="1"/>
  <c r="V247" i="1"/>
  <c r="Y247" i="1"/>
  <c r="V367" i="1"/>
  <c r="Y367" i="1"/>
  <c r="V471" i="1"/>
  <c r="Y471" i="1"/>
  <c r="V488" i="1"/>
  <c r="Y488" i="1"/>
  <c r="V94" i="1"/>
  <c r="Y94" i="1"/>
  <c r="V67" i="1"/>
  <c r="Y67" i="1"/>
  <c r="V118" i="1"/>
  <c r="Y118" i="1"/>
  <c r="V150" i="1"/>
  <c r="Y150" i="1"/>
  <c r="V182" i="1"/>
  <c r="Y182" i="1"/>
  <c r="V214" i="1"/>
  <c r="Y214" i="1"/>
  <c r="V246" i="1"/>
  <c r="Y246" i="1"/>
  <c r="V278" i="1"/>
  <c r="Y278" i="1"/>
  <c r="V310" i="1"/>
  <c r="Y310" i="1"/>
  <c r="V342" i="1"/>
  <c r="Y342" i="1"/>
  <c r="V374" i="1"/>
  <c r="Y374" i="1"/>
  <c r="V406" i="1"/>
  <c r="Y406" i="1"/>
  <c r="V438" i="1"/>
  <c r="Y438" i="1"/>
  <c r="V470" i="1"/>
  <c r="Y470" i="1"/>
  <c r="V69" i="1"/>
  <c r="Y69" i="1"/>
  <c r="V11" i="1"/>
  <c r="Y11" i="1"/>
  <c r="V53" i="1"/>
  <c r="Y53" i="1"/>
  <c r="V96" i="1"/>
  <c r="Y96" i="1"/>
  <c r="V37" i="1"/>
  <c r="Y37" i="1"/>
  <c r="V25" i="1"/>
  <c r="Y25" i="1"/>
  <c r="V127" i="1"/>
  <c r="Y127" i="1"/>
  <c r="V167" i="1"/>
  <c r="Y167" i="1"/>
  <c r="V199" i="1"/>
  <c r="Y199" i="1"/>
  <c r="V239" i="1"/>
  <c r="Y239" i="1"/>
  <c r="V319" i="1"/>
  <c r="Y319" i="1"/>
  <c r="V415" i="1"/>
  <c r="Y415" i="1"/>
  <c r="V83" i="1"/>
  <c r="Y83" i="1"/>
  <c r="V440" i="1"/>
  <c r="Y440" i="1"/>
  <c r="V54" i="1"/>
  <c r="Y54" i="1"/>
  <c r="V81" i="1"/>
  <c r="Y81" i="1"/>
  <c r="V104" i="1"/>
  <c r="Y104" i="1"/>
  <c r="V136" i="1"/>
  <c r="Y136" i="1"/>
  <c r="V168" i="1"/>
  <c r="Y168" i="1"/>
  <c r="V200" i="1"/>
  <c r="Y200" i="1"/>
  <c r="V232" i="1"/>
  <c r="Y232" i="1"/>
  <c r="V264" i="1"/>
  <c r="Y264" i="1"/>
  <c r="V296" i="1"/>
  <c r="Y296" i="1"/>
  <c r="V352" i="1"/>
  <c r="Y352" i="1"/>
  <c r="V384" i="1"/>
  <c r="Y384" i="1"/>
  <c r="V416" i="1"/>
  <c r="Y416" i="1"/>
  <c r="V29" i="1"/>
  <c r="Y29" i="1"/>
  <c r="V129" i="1"/>
  <c r="Y129" i="1"/>
  <c r="V161" i="1"/>
  <c r="Y161" i="1"/>
  <c r="V193" i="1"/>
  <c r="Y193" i="1"/>
  <c r="V225" i="1"/>
  <c r="Y225" i="1"/>
  <c r="V257" i="1"/>
  <c r="Y257" i="1"/>
  <c r="V289" i="1"/>
  <c r="Y289" i="1"/>
  <c r="V321" i="1"/>
  <c r="Y321" i="1"/>
  <c r="V353" i="1"/>
  <c r="Y353" i="1"/>
  <c r="V385" i="1"/>
  <c r="Y385" i="1"/>
  <c r="V417" i="1"/>
  <c r="Y417" i="1"/>
  <c r="V449" i="1"/>
  <c r="Y449" i="1"/>
  <c r="V481" i="1"/>
  <c r="Y481" i="1"/>
  <c r="V114" i="1"/>
  <c r="Y114" i="1"/>
  <c r="V146" i="1"/>
  <c r="Y146" i="1"/>
  <c r="V178" i="1"/>
  <c r="Y178" i="1"/>
  <c r="V210" i="1"/>
  <c r="Y210" i="1"/>
  <c r="V242" i="1"/>
  <c r="Y242" i="1"/>
  <c r="V274" i="1"/>
  <c r="Y274" i="1"/>
  <c r="V306" i="1"/>
  <c r="Y306" i="1"/>
  <c r="V338" i="1"/>
  <c r="Y338" i="1"/>
  <c r="V370" i="1"/>
  <c r="Y370" i="1"/>
  <c r="V402" i="1"/>
  <c r="Y402" i="1"/>
  <c r="V434" i="1"/>
  <c r="Y434" i="1"/>
  <c r="V466" i="1"/>
  <c r="Y466" i="1"/>
  <c r="V498" i="1"/>
  <c r="Y498" i="1"/>
  <c r="V8" i="1"/>
  <c r="Y8" i="1"/>
  <c r="V31" i="1"/>
  <c r="Y31" i="1"/>
  <c r="V17" i="1"/>
  <c r="Y17" i="1"/>
  <c r="V98" i="1"/>
  <c r="Y98" i="1"/>
  <c r="V65" i="1"/>
  <c r="Y65" i="1"/>
  <c r="V115" i="1"/>
  <c r="Y115" i="1"/>
  <c r="V155" i="1"/>
  <c r="Y155" i="1"/>
  <c r="V195" i="1"/>
  <c r="Y195" i="1"/>
  <c r="V243" i="1"/>
  <c r="Y243" i="1"/>
  <c r="V291" i="1"/>
  <c r="Y291" i="1"/>
  <c r="V339" i="1"/>
  <c r="Y339" i="1"/>
  <c r="V387" i="1"/>
  <c r="Y387" i="1"/>
  <c r="V435" i="1"/>
  <c r="Y435" i="1"/>
  <c r="V491" i="1"/>
  <c r="Y491" i="1"/>
  <c r="V171" i="1"/>
  <c r="Y171" i="1"/>
  <c r="V275" i="1"/>
  <c r="Y275" i="1"/>
  <c r="V371" i="1"/>
  <c r="Y371" i="1"/>
  <c r="V467" i="1"/>
  <c r="Y467" i="1"/>
  <c r="V108" i="1"/>
  <c r="Y108" i="1"/>
  <c r="V140" i="1"/>
  <c r="Y140" i="1"/>
  <c r="V172" i="1"/>
  <c r="Y172" i="1"/>
  <c r="V204" i="1"/>
  <c r="Y204" i="1"/>
  <c r="V236" i="1"/>
  <c r="Y236" i="1"/>
  <c r="V268" i="1"/>
  <c r="Y268" i="1"/>
  <c r="V300" i="1"/>
  <c r="Y300" i="1"/>
  <c r="V332" i="1"/>
  <c r="Y332" i="1"/>
  <c r="V364" i="1"/>
  <c r="Y364" i="1"/>
  <c r="V396" i="1"/>
  <c r="Y396" i="1"/>
  <c r="V428" i="1"/>
  <c r="Y428" i="1"/>
  <c r="V460" i="1"/>
  <c r="Y460" i="1"/>
  <c r="V492" i="1"/>
  <c r="Y492" i="1"/>
  <c r="V49" i="1"/>
  <c r="Y49" i="1"/>
  <c r="V52" i="1"/>
  <c r="Y52" i="1"/>
  <c r="V93" i="1"/>
  <c r="Y93" i="1"/>
  <c r="V60" i="1"/>
  <c r="Y60" i="1"/>
  <c r="V24" i="1"/>
  <c r="Y24" i="1"/>
  <c r="V255" i="1"/>
  <c r="Y255" i="1"/>
  <c r="V351" i="1"/>
  <c r="Y351" i="1"/>
  <c r="V455" i="1"/>
  <c r="Y455" i="1"/>
  <c r="V448" i="1"/>
  <c r="Y448" i="1"/>
  <c r="V57" i="1"/>
  <c r="Y57" i="1"/>
  <c r="V47" i="1"/>
  <c r="Y47" i="1"/>
  <c r="V125" i="1"/>
  <c r="Y125" i="1"/>
  <c r="V157" i="1"/>
  <c r="Y157" i="1"/>
  <c r="V189" i="1"/>
  <c r="Y189" i="1"/>
  <c r="V221" i="1"/>
  <c r="Y221" i="1"/>
  <c r="V253" i="1"/>
  <c r="Y253" i="1"/>
  <c r="V285" i="1"/>
  <c r="Y285" i="1"/>
  <c r="V317" i="1"/>
  <c r="Y317" i="1"/>
  <c r="V349" i="1"/>
  <c r="Y349" i="1"/>
  <c r="V381" i="1"/>
  <c r="Y381" i="1"/>
  <c r="V413" i="1"/>
  <c r="Y413" i="1"/>
  <c r="V445" i="1"/>
  <c r="Y445" i="1"/>
  <c r="V477" i="1"/>
  <c r="Y477" i="1"/>
  <c r="V68" i="1"/>
  <c r="Y68" i="1"/>
  <c r="V287" i="1"/>
  <c r="Y287" i="1"/>
  <c r="V391" i="1"/>
  <c r="Y391" i="1"/>
  <c r="V495" i="1"/>
  <c r="Y495" i="1"/>
  <c r="V87" i="1"/>
  <c r="Y87" i="1"/>
  <c r="V36" i="1"/>
  <c r="Y36" i="1"/>
  <c r="V44" i="1"/>
  <c r="Y44" i="1"/>
  <c r="V126" i="1"/>
  <c r="Y126" i="1"/>
  <c r="V158" i="1"/>
  <c r="Y158" i="1"/>
  <c r="V190" i="1"/>
  <c r="Y190" i="1"/>
  <c r="V222" i="1"/>
  <c r="Y222" i="1"/>
  <c r="V254" i="1"/>
  <c r="Y254" i="1"/>
  <c r="V286" i="1"/>
  <c r="Y286" i="1"/>
  <c r="V318" i="1"/>
  <c r="Y318" i="1"/>
  <c r="V350" i="1"/>
  <c r="Y350" i="1"/>
  <c r="V382" i="1"/>
  <c r="Y382" i="1"/>
  <c r="V414" i="1"/>
  <c r="Y414" i="1"/>
  <c r="V446" i="1"/>
  <c r="Y446" i="1"/>
  <c r="V478" i="1"/>
  <c r="Y478" i="1"/>
  <c r="V3" i="1"/>
  <c r="Y3" i="1"/>
  <c r="V73" i="1"/>
  <c r="Y73" i="1"/>
  <c r="V55" i="1"/>
  <c r="Y55" i="1"/>
  <c r="V20" i="1"/>
  <c r="Y20" i="1"/>
  <c r="V63" i="1"/>
  <c r="Y63" i="1"/>
  <c r="V103" i="1"/>
  <c r="Y103" i="1"/>
  <c r="V135" i="1"/>
  <c r="Y135" i="1"/>
  <c r="V175" i="1"/>
  <c r="Y175" i="1"/>
  <c r="V207" i="1"/>
  <c r="Y207" i="1"/>
  <c r="V263" i="1"/>
  <c r="Y263" i="1"/>
  <c r="V335" i="1"/>
  <c r="Y335" i="1"/>
  <c r="V439" i="1"/>
  <c r="Y439" i="1"/>
  <c r="V85" i="1"/>
  <c r="Y85" i="1"/>
  <c r="V472" i="1"/>
  <c r="Y472" i="1"/>
  <c r="V22" i="1"/>
  <c r="Y22" i="1"/>
  <c r="V143" i="1"/>
  <c r="Y143" i="1"/>
  <c r="V112" i="1"/>
  <c r="Y112" i="1"/>
  <c r="V144" i="1"/>
  <c r="Y144" i="1"/>
  <c r="V176" i="1"/>
  <c r="Y176" i="1"/>
  <c r="V208" i="1"/>
  <c r="Y208" i="1"/>
  <c r="V240" i="1"/>
  <c r="Y240" i="1"/>
  <c r="V272" i="1"/>
  <c r="Y272" i="1"/>
  <c r="V304" i="1"/>
  <c r="Y304" i="1"/>
  <c r="V360" i="1"/>
  <c r="Y360" i="1"/>
  <c r="V392" i="1"/>
  <c r="Y392" i="1"/>
  <c r="V424" i="1"/>
  <c r="Y424" i="1"/>
  <c r="V105" i="1"/>
  <c r="Y105" i="1"/>
  <c r="V137" i="1"/>
  <c r="Y137" i="1"/>
  <c r="V169" i="1"/>
  <c r="Y169" i="1"/>
  <c r="V201" i="1"/>
  <c r="Y201" i="1"/>
  <c r="V233" i="1"/>
  <c r="Y233" i="1"/>
  <c r="V265" i="1"/>
  <c r="Y265" i="1"/>
  <c r="V297" i="1"/>
  <c r="Y297" i="1"/>
  <c r="V329" i="1"/>
  <c r="Y329" i="1"/>
  <c r="V361" i="1"/>
  <c r="Y361" i="1"/>
  <c r="V393" i="1"/>
  <c r="Y393" i="1"/>
  <c r="V425" i="1"/>
  <c r="Y425" i="1"/>
  <c r="V457" i="1"/>
  <c r="Y457" i="1"/>
  <c r="V489" i="1"/>
  <c r="Y489" i="1"/>
  <c r="V122" i="1"/>
  <c r="Y122" i="1"/>
  <c r="V154" i="1"/>
  <c r="Y154" i="1"/>
  <c r="V186" i="1"/>
  <c r="Y186" i="1"/>
  <c r="V218" i="1"/>
  <c r="Y218" i="1"/>
  <c r="V250" i="1"/>
  <c r="Y250" i="1"/>
  <c r="V282" i="1"/>
  <c r="Y282" i="1"/>
  <c r="V314" i="1"/>
  <c r="Y314" i="1"/>
  <c r="V346" i="1"/>
  <c r="Y346" i="1"/>
  <c r="V378" i="1"/>
  <c r="Y378" i="1"/>
  <c r="V410" i="1"/>
  <c r="Y410" i="1"/>
  <c r="V442" i="1"/>
  <c r="Y442" i="1"/>
  <c r="V474" i="1"/>
  <c r="Y474" i="1"/>
  <c r="V70" i="1"/>
  <c r="Y70" i="1"/>
  <c r="V51" i="1"/>
  <c r="Y51" i="1"/>
  <c r="V14" i="1"/>
  <c r="Y14" i="1"/>
  <c r="V35" i="1"/>
  <c r="Y35" i="1"/>
  <c r="V77" i="1"/>
  <c r="Y77" i="1"/>
  <c r="V101" i="1"/>
  <c r="Y101" i="1"/>
  <c r="V123" i="1"/>
  <c r="Y123" i="1"/>
  <c r="V163" i="1"/>
  <c r="Y163" i="1"/>
  <c r="V211" i="1"/>
  <c r="Y211" i="1"/>
  <c r="V259" i="1"/>
  <c r="Y259" i="1"/>
  <c r="V307" i="1"/>
  <c r="Y307" i="1"/>
  <c r="V355" i="1"/>
  <c r="Y355" i="1"/>
  <c r="V403" i="1"/>
  <c r="Y403" i="1"/>
  <c r="V451" i="1"/>
  <c r="Y451" i="1"/>
  <c r="V499" i="1"/>
  <c r="Y499" i="1"/>
  <c r="V203" i="1"/>
  <c r="Y203" i="1"/>
  <c r="V299" i="1"/>
  <c r="Y299" i="1"/>
  <c r="V483" i="1"/>
  <c r="Y483" i="1"/>
  <c r="V148" i="1"/>
  <c r="Y148" i="1"/>
  <c r="V212" i="1"/>
  <c r="Y212" i="1"/>
  <c r="V244" i="1"/>
  <c r="Y244" i="1"/>
  <c r="V276" i="1"/>
  <c r="Y276" i="1"/>
  <c r="V308" i="1"/>
  <c r="Y308" i="1"/>
  <c r="V340" i="1"/>
  <c r="Y340" i="1"/>
  <c r="V372" i="1"/>
  <c r="Y372" i="1"/>
  <c r="V404" i="1"/>
  <c r="Y404" i="1"/>
  <c r="V436" i="1"/>
  <c r="Y436" i="1"/>
  <c r="V468" i="1"/>
  <c r="Y468" i="1"/>
  <c r="V500" i="1"/>
  <c r="Y500" i="1"/>
  <c r="V28" i="1"/>
  <c r="Y28" i="1"/>
  <c r="V13" i="1"/>
  <c r="Y13" i="1"/>
  <c r="V34" i="1"/>
  <c r="Y34" i="1"/>
  <c r="V21" i="1"/>
  <c r="Y21" i="1"/>
  <c r="V100" i="1"/>
  <c r="Y100" i="1"/>
  <c r="V279" i="1"/>
  <c r="Y279" i="1"/>
  <c r="V375" i="1"/>
  <c r="Y375" i="1"/>
  <c r="V479" i="1"/>
  <c r="Y479" i="1"/>
  <c r="V480" i="1"/>
  <c r="Y480" i="1"/>
  <c r="V58" i="1"/>
  <c r="Y58" i="1"/>
  <c r="V7" i="1"/>
  <c r="Y7" i="1"/>
  <c r="V133" i="1"/>
  <c r="Y133" i="1"/>
  <c r="V165" i="1"/>
  <c r="Y165" i="1"/>
  <c r="V197" i="1"/>
  <c r="Y197" i="1"/>
  <c r="V229" i="1"/>
  <c r="Y229" i="1"/>
  <c r="V261" i="1"/>
  <c r="Y261" i="1"/>
  <c r="V293" i="1"/>
  <c r="Y293" i="1"/>
  <c r="V325" i="1"/>
  <c r="Y325" i="1"/>
  <c r="V357" i="1"/>
  <c r="Y357" i="1"/>
  <c r="V389" i="1"/>
  <c r="Y389" i="1"/>
  <c r="V421" i="1"/>
  <c r="Y421" i="1"/>
  <c r="V453" i="1"/>
  <c r="Y453" i="1"/>
  <c r="V485" i="1"/>
  <c r="Y485" i="1"/>
  <c r="V86" i="1"/>
  <c r="Y86" i="1"/>
  <c r="V311" i="1"/>
  <c r="Y311" i="1"/>
  <c r="V423" i="1"/>
  <c r="Y423" i="1"/>
  <c r="V320" i="1"/>
  <c r="Y320" i="1"/>
  <c r="V72" i="1"/>
  <c r="Y72" i="1"/>
  <c r="V79" i="1"/>
  <c r="Y79" i="1"/>
  <c r="V102" i="1"/>
  <c r="Y102" i="1"/>
  <c r="V134" i="1"/>
  <c r="Y134" i="1"/>
  <c r="V166" i="1"/>
  <c r="Y166" i="1"/>
  <c r="V198" i="1"/>
  <c r="Y198" i="1"/>
  <c r="V230" i="1"/>
  <c r="Y230" i="1"/>
  <c r="V262" i="1"/>
  <c r="Y262" i="1"/>
  <c r="V294" i="1"/>
  <c r="Y294" i="1"/>
  <c r="V326" i="1"/>
  <c r="Y326" i="1"/>
  <c r="V358" i="1"/>
  <c r="Y358" i="1"/>
  <c r="V390" i="1"/>
  <c r="Y390" i="1"/>
  <c r="V422" i="1"/>
  <c r="Y422" i="1"/>
  <c r="V454" i="1"/>
  <c r="Y454" i="1"/>
  <c r="V486" i="1"/>
  <c r="Y486" i="1"/>
  <c r="V27" i="1"/>
  <c r="Y27" i="1"/>
  <c r="V91" i="1"/>
  <c r="Y91" i="1"/>
  <c r="V75" i="1"/>
  <c r="Y75" i="1"/>
  <c r="V97" i="1"/>
  <c r="Y97" i="1"/>
  <c r="V40" i="1"/>
  <c r="Y40" i="1"/>
  <c r="V111" i="1"/>
  <c r="Y111" i="1"/>
  <c r="V151" i="1"/>
  <c r="Y151" i="1"/>
  <c r="V183" i="1"/>
  <c r="Y183" i="1"/>
  <c r="V215" i="1"/>
  <c r="Y215" i="1"/>
  <c r="V271" i="1"/>
  <c r="Y271" i="1"/>
  <c r="V359" i="1"/>
  <c r="Y359" i="1"/>
  <c r="V463" i="1"/>
  <c r="Y463" i="1"/>
  <c r="V71" i="1"/>
  <c r="Y71" i="1"/>
  <c r="V496" i="1"/>
  <c r="Y496" i="1"/>
  <c r="V78" i="1"/>
  <c r="Y78" i="1"/>
  <c r="V223" i="1"/>
  <c r="Y223" i="1"/>
  <c r="V120" i="1"/>
  <c r="Y120" i="1"/>
  <c r="V152" i="1"/>
  <c r="Y152" i="1"/>
  <c r="V184" i="1"/>
  <c r="Y184" i="1"/>
  <c r="V216" i="1"/>
  <c r="Y216" i="1"/>
  <c r="V248" i="1"/>
  <c r="Y248" i="1"/>
  <c r="V280" i="1"/>
  <c r="Y280" i="1"/>
  <c r="V312" i="1"/>
  <c r="Y312" i="1"/>
  <c r="V368" i="1"/>
  <c r="Y368" i="1"/>
  <c r="V400" i="1"/>
  <c r="Y400" i="1"/>
  <c r="V432" i="1"/>
  <c r="Y432" i="1"/>
  <c r="V113" i="1"/>
  <c r="Y113" i="1"/>
  <c r="V145" i="1"/>
  <c r="Y145" i="1"/>
  <c r="V177" i="1"/>
  <c r="Y177" i="1"/>
  <c r="V209" i="1"/>
  <c r="Y209" i="1"/>
  <c r="V241" i="1"/>
  <c r="Y241" i="1"/>
  <c r="V273" i="1"/>
  <c r="Y273" i="1"/>
  <c r="V305" i="1"/>
  <c r="Y305" i="1"/>
  <c r="V337" i="1"/>
  <c r="Y337" i="1"/>
  <c r="V369" i="1"/>
  <c r="Y369" i="1"/>
  <c r="V401" i="1"/>
  <c r="Y401" i="1"/>
  <c r="V433" i="1"/>
  <c r="Y433" i="1"/>
  <c r="V465" i="1"/>
  <c r="Y465" i="1"/>
  <c r="V497" i="1"/>
  <c r="Y497" i="1"/>
  <c r="V130" i="1"/>
  <c r="Y130" i="1"/>
  <c r="V162" i="1"/>
  <c r="Y162" i="1"/>
  <c r="V194" i="1"/>
  <c r="Y194" i="1"/>
  <c r="V226" i="1"/>
  <c r="Y226" i="1"/>
  <c r="V258" i="1"/>
  <c r="Y258" i="1"/>
  <c r="V290" i="1"/>
  <c r="Y290" i="1"/>
  <c r="V322" i="1"/>
  <c r="Y322" i="1"/>
  <c r="V354" i="1"/>
  <c r="Y354" i="1"/>
  <c r="V386" i="1"/>
  <c r="Y386" i="1"/>
  <c r="V418" i="1"/>
  <c r="Y418" i="1"/>
  <c r="V450" i="1"/>
  <c r="Y450" i="1"/>
  <c r="V482" i="1"/>
  <c r="Y482" i="1"/>
  <c r="V5" i="1"/>
  <c r="Y5" i="1"/>
  <c r="V12" i="1"/>
  <c r="Y12" i="1"/>
  <c r="V16" i="1"/>
  <c r="Y16" i="1"/>
  <c r="V19" i="1"/>
  <c r="Y19" i="1"/>
  <c r="V38" i="1"/>
  <c r="Y38" i="1"/>
  <c r="V82" i="1"/>
  <c r="Y82" i="1"/>
  <c r="V131" i="1"/>
  <c r="Y131" i="1"/>
  <c r="V179" i="1"/>
  <c r="Y179" i="1"/>
  <c r="V219" i="1"/>
  <c r="Y219" i="1"/>
  <c r="V267" i="1"/>
  <c r="Y267" i="1"/>
  <c r="V315" i="1"/>
  <c r="Y315" i="1"/>
  <c r="V363" i="1"/>
  <c r="Y363" i="1"/>
  <c r="V411" i="1"/>
  <c r="Y411" i="1"/>
  <c r="V459" i="1"/>
  <c r="Y459" i="1"/>
  <c r="V43" i="1"/>
  <c r="Y43" i="1"/>
  <c r="V227" i="1"/>
  <c r="Y227" i="1"/>
  <c r="V323" i="1"/>
  <c r="Y323" i="1"/>
  <c r="V419" i="1"/>
  <c r="Y419" i="1"/>
  <c r="V26" i="1"/>
  <c r="Y26" i="1"/>
  <c r="V116" i="1"/>
  <c r="Y116" i="1"/>
  <c r="V180" i="1"/>
  <c r="Y180" i="1"/>
  <c r="V124" i="1"/>
  <c r="Y124" i="1"/>
  <c r="V156" i="1"/>
  <c r="Y156" i="1"/>
  <c r="V188" i="1"/>
  <c r="Y188" i="1"/>
  <c r="V220" i="1"/>
  <c r="Y220" i="1"/>
  <c r="V252" i="1"/>
  <c r="Y252" i="1"/>
  <c r="V284" i="1"/>
  <c r="Y284" i="1"/>
  <c r="V316" i="1"/>
  <c r="Y316" i="1"/>
  <c r="V348" i="1"/>
  <c r="Y348" i="1"/>
  <c r="V380" i="1"/>
  <c r="Y380" i="1"/>
  <c r="V412" i="1"/>
  <c r="Y412" i="1"/>
  <c r="V444" i="1"/>
  <c r="Y444" i="1"/>
  <c r="V476" i="1"/>
  <c r="Y476" i="1"/>
  <c r="V84" i="1"/>
  <c r="Y84" i="1"/>
  <c r="V10" i="1"/>
  <c r="Y10" i="1"/>
  <c r="V33" i="1"/>
  <c r="Y33" i="1"/>
  <c r="V18" i="1"/>
  <c r="Y18" i="1"/>
  <c r="V23" i="1"/>
  <c r="Y23" i="1"/>
  <c r="V42" i="1"/>
  <c r="Y42" i="1"/>
  <c r="V303" i="1"/>
  <c r="Y303" i="1"/>
  <c r="V407" i="1"/>
  <c r="Y407" i="1"/>
  <c r="V9" i="1"/>
  <c r="Y9" i="1"/>
  <c r="V45" i="1"/>
  <c r="Y45" i="1"/>
  <c r="V76" i="1"/>
  <c r="Y76" i="1"/>
  <c r="V109" i="1"/>
  <c r="Y109" i="1"/>
  <c r="V141" i="1"/>
  <c r="Y141" i="1"/>
  <c r="V173" i="1"/>
  <c r="Y173" i="1"/>
  <c r="V205" i="1"/>
  <c r="Y205" i="1"/>
  <c r="V237" i="1"/>
  <c r="Y237" i="1"/>
  <c r="V269" i="1"/>
  <c r="Y269" i="1"/>
  <c r="V301" i="1"/>
  <c r="Y301" i="1"/>
  <c r="V333" i="1"/>
  <c r="Y333" i="1"/>
  <c r="V365" i="1"/>
  <c r="Y365" i="1"/>
  <c r="V397" i="1"/>
  <c r="Y397" i="1"/>
  <c r="V429" i="1"/>
  <c r="Y429" i="1"/>
  <c r="V461" i="1"/>
  <c r="Y461" i="1"/>
  <c r="V493" i="1"/>
  <c r="Y493" i="1"/>
  <c r="V6" i="1"/>
  <c r="Y6" i="1"/>
  <c r="V343" i="1"/>
  <c r="Y343" i="1"/>
  <c r="V447" i="1"/>
  <c r="Y447" i="1"/>
  <c r="V456" i="1"/>
  <c r="Y456" i="1"/>
  <c r="V30" i="1"/>
  <c r="Y30" i="1"/>
  <c r="V64" i="1"/>
  <c r="Y64" i="1"/>
  <c r="V110" i="1"/>
  <c r="Y110" i="1"/>
  <c r="V142" i="1"/>
  <c r="Y142" i="1"/>
  <c r="V174" i="1"/>
  <c r="Y174" i="1"/>
  <c r="V206" i="1"/>
  <c r="Y206" i="1"/>
  <c r="V238" i="1"/>
  <c r="Y238" i="1"/>
  <c r="V270" i="1"/>
  <c r="Y270" i="1"/>
  <c r="V302" i="1"/>
  <c r="Y302" i="1"/>
  <c r="V334" i="1"/>
  <c r="Y334" i="1"/>
  <c r="V366" i="1"/>
  <c r="Y366" i="1"/>
  <c r="V398" i="1"/>
  <c r="Y398" i="1"/>
  <c r="V430" i="1"/>
  <c r="Y430" i="1"/>
  <c r="V462" i="1"/>
  <c r="Y462" i="1"/>
  <c r="V494" i="1"/>
  <c r="Y494" i="1"/>
  <c r="V88" i="1"/>
  <c r="Y88" i="1"/>
  <c r="V74" i="1"/>
  <c r="Y74" i="1"/>
  <c r="V95" i="1"/>
  <c r="Y95" i="1"/>
  <c r="V99" i="1"/>
  <c r="Y99" i="1"/>
  <c r="V80" i="1"/>
  <c r="Y80" i="1"/>
  <c r="V119" i="1"/>
  <c r="Y119" i="1"/>
  <c r="V159" i="1"/>
  <c r="Y159" i="1"/>
  <c r="V191" i="1"/>
  <c r="Y191" i="1"/>
  <c r="V231" i="1"/>
  <c r="Y231" i="1"/>
  <c r="V295" i="1"/>
  <c r="Y295" i="1"/>
  <c r="V383" i="1"/>
  <c r="Y383" i="1"/>
  <c r="V487" i="1"/>
  <c r="Y487" i="1"/>
  <c r="V344" i="1"/>
  <c r="Y344" i="1"/>
  <c r="V92" i="1"/>
  <c r="Y92" i="1"/>
  <c r="V66" i="1"/>
  <c r="Y66" i="1"/>
  <c r="V399" i="1"/>
  <c r="Y399" i="1"/>
  <c r="V128" i="1"/>
  <c r="Y128" i="1"/>
  <c r="V160" i="1"/>
  <c r="Y160" i="1"/>
  <c r="V192" i="1"/>
  <c r="Y192" i="1"/>
  <c r="V224" i="1"/>
  <c r="Y224" i="1"/>
  <c r="V256" i="1"/>
  <c r="Y256" i="1"/>
  <c r="V288" i="1"/>
  <c r="Y288" i="1"/>
  <c r="V336" i="1"/>
  <c r="Y336" i="1"/>
  <c r="V376" i="1"/>
  <c r="Y376" i="1"/>
  <c r="V408" i="1"/>
  <c r="Y408" i="1"/>
  <c r="V464" i="1"/>
  <c r="Y464" i="1"/>
  <c r="V121" i="1"/>
  <c r="Y121" i="1"/>
  <c r="V153" i="1"/>
  <c r="Y153" i="1"/>
  <c r="V185" i="1"/>
  <c r="Y185" i="1"/>
  <c r="V217" i="1"/>
  <c r="Y217" i="1"/>
  <c r="V249" i="1"/>
  <c r="Y249" i="1"/>
  <c r="V281" i="1"/>
  <c r="Y281" i="1"/>
  <c r="V313" i="1"/>
  <c r="Y313" i="1"/>
  <c r="V345" i="1"/>
  <c r="Y345" i="1"/>
  <c r="V377" i="1"/>
  <c r="Y377" i="1"/>
  <c r="V409" i="1"/>
  <c r="Y409" i="1"/>
  <c r="V441" i="1"/>
  <c r="Y441" i="1"/>
  <c r="V473" i="1"/>
  <c r="Y473" i="1"/>
  <c r="V106" i="1"/>
  <c r="Y106" i="1"/>
  <c r="V138" i="1"/>
  <c r="Y138" i="1"/>
  <c r="V170" i="1"/>
  <c r="Y170" i="1"/>
  <c r="V202" i="1"/>
  <c r="Y202" i="1"/>
  <c r="V234" i="1"/>
  <c r="Y234" i="1"/>
  <c r="V266" i="1"/>
  <c r="Y266" i="1"/>
  <c r="V298" i="1"/>
  <c r="Y298" i="1"/>
  <c r="V330" i="1"/>
  <c r="Y330" i="1"/>
  <c r="V362" i="1"/>
  <c r="Y362" i="1"/>
  <c r="V394" i="1"/>
  <c r="Y394" i="1"/>
  <c r="V426" i="1"/>
  <c r="Y426" i="1"/>
  <c r="V458" i="1"/>
  <c r="Y458" i="1"/>
  <c r="V490" i="1"/>
  <c r="Y490" i="1"/>
  <c r="V50" i="1"/>
  <c r="Y50" i="1"/>
  <c r="V90" i="1"/>
  <c r="Y90" i="1"/>
  <c r="V56" i="1"/>
  <c r="Y56" i="1"/>
  <c r="V61" i="1"/>
  <c r="Y61" i="1"/>
  <c r="V39" i="1"/>
  <c r="Y39" i="1"/>
  <c r="V107" i="1"/>
  <c r="Y107" i="1"/>
  <c r="V147" i="1"/>
  <c r="Y147" i="1"/>
  <c r="V187" i="1"/>
  <c r="Y187" i="1"/>
  <c r="V235" i="1"/>
  <c r="Y235" i="1"/>
  <c r="V283" i="1"/>
  <c r="Y283" i="1"/>
  <c r="V331" i="1"/>
  <c r="Y331" i="1"/>
  <c r="V379" i="1"/>
  <c r="Y379" i="1"/>
  <c r="V427" i="1"/>
  <c r="Y427" i="1"/>
  <c r="V475" i="1"/>
  <c r="Y475" i="1"/>
  <c r="V251" i="1"/>
  <c r="Y251" i="1"/>
  <c r="V347" i="1"/>
  <c r="Y347" i="1"/>
  <c r="Q395" i="1"/>
  <c r="U395" i="1" s="1"/>
  <c r="V395" i="1"/>
  <c r="G139" i="1"/>
  <c r="V139" i="1"/>
  <c r="Q443" i="1"/>
  <c r="U443" i="1" s="1"/>
  <c r="V443" i="1"/>
  <c r="Q48" i="1"/>
  <c r="V48" i="1"/>
  <c r="G483" i="1"/>
  <c r="Q483" i="1"/>
  <c r="U483" i="1" s="1"/>
  <c r="Q347" i="1"/>
  <c r="U347" i="1" s="1"/>
  <c r="G132" i="1"/>
  <c r="Q148" i="1"/>
  <c r="T148" i="1" s="1"/>
  <c r="Q180" i="1"/>
  <c r="U180" i="1" s="1"/>
  <c r="G196" i="1"/>
  <c r="G228" i="1"/>
  <c r="Q244" i="1"/>
  <c r="T244" i="1" s="1"/>
  <c r="Q260" i="1"/>
  <c r="T260" i="1" s="1"/>
  <c r="G276" i="1"/>
  <c r="Q292" i="1"/>
  <c r="T292" i="1" s="1"/>
  <c r="G308" i="1"/>
  <c r="G324" i="1"/>
  <c r="G340" i="1"/>
  <c r="G356" i="1"/>
  <c r="Q372" i="1"/>
  <c r="U372" i="1" s="1"/>
  <c r="Q388" i="1"/>
  <c r="U388" i="1" s="1"/>
  <c r="G404" i="1"/>
  <c r="G420" i="1"/>
  <c r="Q436" i="1"/>
  <c r="U436" i="1" s="1"/>
  <c r="Q452" i="1"/>
  <c r="T452" i="1" s="1"/>
  <c r="G468" i="1"/>
  <c r="Q484" i="1"/>
  <c r="T484" i="1" s="1"/>
  <c r="Q500" i="1"/>
  <c r="T500" i="1" s="1"/>
  <c r="G46" i="1"/>
  <c r="G28" i="1"/>
  <c r="G89" i="1"/>
  <c r="G13" i="1"/>
  <c r="Q15" i="1"/>
  <c r="T15" i="1" s="1"/>
  <c r="G34" i="1"/>
  <c r="Q59" i="1"/>
  <c r="T59" i="1" s="1"/>
  <c r="G21" i="1"/>
  <c r="G62" i="1"/>
  <c r="G100" i="1"/>
  <c r="G4" i="1"/>
  <c r="G279" i="1"/>
  <c r="G327" i="1"/>
  <c r="G375" i="1"/>
  <c r="G431" i="1"/>
  <c r="G479" i="1"/>
  <c r="G480" i="1"/>
  <c r="G32" i="1"/>
  <c r="Q58" i="1"/>
  <c r="U58" i="1" s="1"/>
  <c r="G41" i="1"/>
  <c r="Q7" i="1"/>
  <c r="U7" i="1" s="1"/>
  <c r="G117" i="1"/>
  <c r="G133" i="1"/>
  <c r="G165" i="1"/>
  <c r="G181" i="1"/>
  <c r="G197" i="1"/>
  <c r="G213" i="1"/>
  <c r="G229" i="1"/>
  <c r="G245" i="1"/>
  <c r="G261" i="1"/>
  <c r="G277" i="1"/>
  <c r="Q293" i="1"/>
  <c r="U293" i="1" s="1"/>
  <c r="G309" i="1"/>
  <c r="G341" i="1"/>
  <c r="G373" i="1"/>
  <c r="G389" i="1"/>
  <c r="G405" i="1"/>
  <c r="G421" i="1"/>
  <c r="G437" i="1"/>
  <c r="G453" i="1"/>
  <c r="G469" i="1"/>
  <c r="G485" i="1"/>
  <c r="G501" i="1"/>
  <c r="G86" i="1"/>
  <c r="G247" i="1"/>
  <c r="G367" i="1"/>
  <c r="G423" i="1"/>
  <c r="G471" i="1"/>
  <c r="G320" i="1"/>
  <c r="G488" i="1"/>
  <c r="G72" i="1"/>
  <c r="G94" i="1"/>
  <c r="H94" i="1" s="1"/>
  <c r="AA94" i="1" s="1"/>
  <c r="G79" i="1"/>
  <c r="Q67" i="1"/>
  <c r="T67" i="1" s="1"/>
  <c r="Q102" i="1"/>
  <c r="T102" i="1" s="1"/>
  <c r="G118" i="1"/>
  <c r="G134" i="1"/>
  <c r="G150" i="1"/>
  <c r="G166" i="1"/>
  <c r="G182" i="1"/>
  <c r="G198" i="1"/>
  <c r="G214" i="1"/>
  <c r="G230" i="1"/>
  <c r="G246" i="1"/>
  <c r="G262" i="1"/>
  <c r="G294" i="1"/>
  <c r="G310" i="1"/>
  <c r="G326" i="1"/>
  <c r="G342" i="1"/>
  <c r="G358" i="1"/>
  <c r="G374" i="1"/>
  <c r="G390" i="1"/>
  <c r="G406" i="1"/>
  <c r="G422" i="1"/>
  <c r="G438" i="1"/>
  <c r="G454" i="1"/>
  <c r="G486" i="1"/>
  <c r="G69" i="1"/>
  <c r="G27" i="1"/>
  <c r="G11" i="1"/>
  <c r="Q91" i="1"/>
  <c r="U91" i="1" s="1"/>
  <c r="G53" i="1"/>
  <c r="Q75" i="1"/>
  <c r="T75" i="1" s="1"/>
  <c r="G96" i="1"/>
  <c r="G97" i="1"/>
  <c r="G37" i="1"/>
  <c r="G111" i="1"/>
  <c r="G127" i="1"/>
  <c r="G151" i="1"/>
  <c r="G167" i="1"/>
  <c r="G183" i="1"/>
  <c r="G199" i="1"/>
  <c r="G215" i="1"/>
  <c r="G239" i="1"/>
  <c r="G271" i="1"/>
  <c r="G319" i="1"/>
  <c r="G359" i="1"/>
  <c r="G415" i="1"/>
  <c r="G463" i="1"/>
  <c r="G71" i="1"/>
  <c r="G440" i="1"/>
  <c r="G496" i="1"/>
  <c r="Q54" i="1"/>
  <c r="T54" i="1" s="1"/>
  <c r="G81" i="1"/>
  <c r="G223" i="1"/>
  <c r="G104" i="1"/>
  <c r="G120" i="1"/>
  <c r="G136" i="1"/>
  <c r="G152" i="1"/>
  <c r="G168" i="1"/>
  <c r="G184" i="1"/>
  <c r="G200" i="1"/>
  <c r="G216" i="1"/>
  <c r="G248" i="1"/>
  <c r="G264" i="1"/>
  <c r="G280" i="1"/>
  <c r="G296" i="1"/>
  <c r="G312" i="1"/>
  <c r="G352" i="1"/>
  <c r="G368" i="1"/>
  <c r="G384" i="1"/>
  <c r="G400" i="1"/>
  <c r="G416" i="1"/>
  <c r="G432" i="1"/>
  <c r="Q29" i="1"/>
  <c r="T29" i="1" s="1"/>
  <c r="G113" i="1"/>
  <c r="G129" i="1"/>
  <c r="G145" i="1"/>
  <c r="G161" i="1"/>
  <c r="G177" i="1"/>
  <c r="Q193" i="1"/>
  <c r="U193" i="1" s="1"/>
  <c r="G209" i="1"/>
  <c r="G241" i="1"/>
  <c r="G257" i="1"/>
  <c r="G273" i="1"/>
  <c r="Q289" i="1"/>
  <c r="T289" i="1" s="1"/>
  <c r="G305" i="1"/>
  <c r="G321" i="1"/>
  <c r="G337" i="1"/>
  <c r="G353" i="1"/>
  <c r="G369" i="1"/>
  <c r="G385" i="1"/>
  <c r="G401" i="1"/>
  <c r="G417" i="1"/>
  <c r="G433" i="1"/>
  <c r="G449" i="1"/>
  <c r="G465" i="1"/>
  <c r="G481" i="1"/>
  <c r="G497" i="1"/>
  <c r="G114" i="1"/>
  <c r="G130" i="1"/>
  <c r="G146" i="1"/>
  <c r="G162" i="1"/>
  <c r="G178" i="1"/>
  <c r="G194" i="1"/>
  <c r="G210" i="1"/>
  <c r="Q226" i="1"/>
  <c r="U226" i="1" s="1"/>
  <c r="G274" i="1"/>
  <c r="G290" i="1"/>
  <c r="Q306" i="1"/>
  <c r="U306" i="1" s="1"/>
  <c r="Q322" i="1"/>
  <c r="U322" i="1" s="1"/>
  <c r="Q338" i="1"/>
  <c r="T338" i="1" s="1"/>
  <c r="Q354" i="1"/>
  <c r="U354" i="1" s="1"/>
  <c r="G386" i="1"/>
  <c r="G402" i="1"/>
  <c r="Q418" i="1"/>
  <c r="T418" i="1" s="1"/>
  <c r="G434" i="1"/>
  <c r="G450" i="1"/>
  <c r="G466" i="1"/>
  <c r="G482" i="1"/>
  <c r="G498" i="1"/>
  <c r="G5" i="1"/>
  <c r="G8" i="1"/>
  <c r="G12" i="1"/>
  <c r="G31" i="1"/>
  <c r="Q16" i="1"/>
  <c r="U16" i="1" s="1"/>
  <c r="G17" i="1"/>
  <c r="G19" i="1"/>
  <c r="G98" i="1"/>
  <c r="G38" i="1"/>
  <c r="Q65" i="1"/>
  <c r="T65" i="1" s="1"/>
  <c r="G82" i="1"/>
  <c r="Q115" i="1"/>
  <c r="U115" i="1" s="1"/>
  <c r="G131" i="1"/>
  <c r="Q179" i="1"/>
  <c r="T179" i="1" s="1"/>
  <c r="G195" i="1"/>
  <c r="Q219" i="1"/>
  <c r="U219" i="1" s="1"/>
  <c r="G243" i="1"/>
  <c r="Q267" i="1"/>
  <c r="U267" i="1" s="1"/>
  <c r="G291" i="1"/>
  <c r="G315" i="1"/>
  <c r="G339" i="1"/>
  <c r="G363" i="1"/>
  <c r="G387" i="1"/>
  <c r="G411" i="1"/>
  <c r="G435" i="1"/>
  <c r="G459" i="1"/>
  <c r="G491" i="1"/>
  <c r="G43" i="1"/>
  <c r="G171" i="1"/>
  <c r="G227" i="1"/>
  <c r="G275" i="1"/>
  <c r="G323" i="1"/>
  <c r="G371" i="1"/>
  <c r="G419" i="1"/>
  <c r="G467" i="1"/>
  <c r="G26" i="1"/>
  <c r="G108" i="1"/>
  <c r="Q124" i="1"/>
  <c r="U124" i="1" s="1"/>
  <c r="G140" i="1"/>
  <c r="Q156" i="1"/>
  <c r="T156" i="1" s="1"/>
  <c r="G172" i="1"/>
  <c r="G188" i="1"/>
  <c r="G204" i="1"/>
  <c r="G220" i="1"/>
  <c r="G236" i="1"/>
  <c r="G252" i="1"/>
  <c r="G268" i="1"/>
  <c r="G284" i="1"/>
  <c r="G300" i="1"/>
  <c r="G316" i="1"/>
  <c r="G332" i="1"/>
  <c r="G348" i="1"/>
  <c r="G364" i="1"/>
  <c r="G380" i="1"/>
  <c r="G396" i="1"/>
  <c r="G412" i="1"/>
  <c r="G428" i="1"/>
  <c r="G444" i="1"/>
  <c r="G460" i="1"/>
  <c r="G476" i="1"/>
  <c r="G492" i="1"/>
  <c r="G84" i="1"/>
  <c r="G49" i="1"/>
  <c r="G10" i="1"/>
  <c r="Q52" i="1"/>
  <c r="T52" i="1" s="1"/>
  <c r="G33" i="1"/>
  <c r="G93" i="1"/>
  <c r="G18" i="1"/>
  <c r="G60" i="1"/>
  <c r="G23" i="1"/>
  <c r="G24" i="1"/>
  <c r="Q42" i="1"/>
  <c r="U42" i="1" s="1"/>
  <c r="G255" i="1"/>
  <c r="G303" i="1"/>
  <c r="G351" i="1"/>
  <c r="G407" i="1"/>
  <c r="G455" i="1"/>
  <c r="G9" i="1"/>
  <c r="G448" i="1"/>
  <c r="G45" i="1"/>
  <c r="G57" i="1"/>
  <c r="Q76" i="1"/>
  <c r="U76" i="1" s="1"/>
  <c r="G47" i="1"/>
  <c r="G125" i="1"/>
  <c r="G141" i="1"/>
  <c r="G157" i="1"/>
  <c r="G173" i="1"/>
  <c r="G189" i="1"/>
  <c r="G205" i="1"/>
  <c r="G221" i="1"/>
  <c r="Q237" i="1"/>
  <c r="T237" i="1" s="1"/>
  <c r="G253" i="1"/>
  <c r="G269" i="1"/>
  <c r="Q285" i="1"/>
  <c r="U285" i="1" s="1"/>
  <c r="G301" i="1"/>
  <c r="G317" i="1"/>
  <c r="Q333" i="1"/>
  <c r="T333" i="1" s="1"/>
  <c r="G349" i="1"/>
  <c r="G365" i="1"/>
  <c r="Q381" i="1"/>
  <c r="T381" i="1" s="1"/>
  <c r="G397" i="1"/>
  <c r="G413" i="1"/>
  <c r="G429" i="1"/>
  <c r="G445" i="1"/>
  <c r="G461" i="1"/>
  <c r="Q493" i="1"/>
  <c r="U493" i="1" s="1"/>
  <c r="G6" i="1"/>
  <c r="G287" i="1"/>
  <c r="G343" i="1"/>
  <c r="G391" i="1"/>
  <c r="G495" i="1"/>
  <c r="G456" i="1"/>
  <c r="Q87" i="1"/>
  <c r="U87" i="1" s="1"/>
  <c r="G30" i="1"/>
  <c r="G36" i="1"/>
  <c r="G64" i="1"/>
  <c r="G44" i="1"/>
  <c r="G110" i="1"/>
  <c r="G126" i="1"/>
  <c r="G142" i="1"/>
  <c r="G158" i="1"/>
  <c r="G174" i="1"/>
  <c r="G190" i="1"/>
  <c r="G206" i="1"/>
  <c r="G222" i="1"/>
  <c r="G238" i="1"/>
  <c r="G254" i="1"/>
  <c r="G270" i="1"/>
  <c r="G318" i="1"/>
  <c r="G334" i="1"/>
  <c r="G350" i="1"/>
  <c r="G366" i="1"/>
  <c r="G382" i="1"/>
  <c r="G398" i="1"/>
  <c r="G414" i="1"/>
  <c r="G430" i="1"/>
  <c r="G446" i="1"/>
  <c r="G478" i="1"/>
  <c r="G494" i="1"/>
  <c r="Q3" i="1"/>
  <c r="T3" i="1" s="1"/>
  <c r="G88" i="1"/>
  <c r="G73" i="1"/>
  <c r="Q74" i="1"/>
  <c r="U74" i="1" s="1"/>
  <c r="G55" i="1"/>
  <c r="G95" i="1"/>
  <c r="G20" i="1"/>
  <c r="Q99" i="1"/>
  <c r="U99" i="1" s="1"/>
  <c r="G63" i="1"/>
  <c r="G80" i="1"/>
  <c r="G119" i="1"/>
  <c r="G135" i="1"/>
  <c r="G159" i="1"/>
  <c r="G175" i="1"/>
  <c r="G191" i="1"/>
  <c r="G231" i="1"/>
  <c r="G263" i="1"/>
  <c r="G295" i="1"/>
  <c r="G335" i="1"/>
  <c r="G383" i="1"/>
  <c r="G439" i="1"/>
  <c r="G487" i="1"/>
  <c r="G85" i="1"/>
  <c r="G92" i="1"/>
  <c r="Q66" i="1"/>
  <c r="U66" i="1" s="1"/>
  <c r="Q143" i="1"/>
  <c r="U143" i="1" s="1"/>
  <c r="G399" i="1"/>
  <c r="G112" i="1"/>
  <c r="G128" i="1"/>
  <c r="G160" i="1"/>
  <c r="G192" i="1"/>
  <c r="G208" i="1"/>
  <c r="G224" i="1"/>
  <c r="G240" i="1"/>
  <c r="G256" i="1"/>
  <c r="G272" i="1"/>
  <c r="G288" i="1"/>
  <c r="G304" i="1"/>
  <c r="G336" i="1"/>
  <c r="G360" i="1"/>
  <c r="G376" i="1"/>
  <c r="G408" i="1"/>
  <c r="G424" i="1"/>
  <c r="G464" i="1"/>
  <c r="G105" i="1"/>
  <c r="G121" i="1"/>
  <c r="G137" i="1"/>
  <c r="G169" i="1"/>
  <c r="Q185" i="1"/>
  <c r="U185" i="1" s="1"/>
  <c r="G217" i="1"/>
  <c r="Q233" i="1"/>
  <c r="T233" i="1" s="1"/>
  <c r="G249" i="1"/>
  <c r="G265" i="1"/>
  <c r="Q297" i="1"/>
  <c r="U297" i="1" s="1"/>
  <c r="G313" i="1"/>
  <c r="G329" i="1"/>
  <c r="G361" i="1"/>
  <c r="Q377" i="1"/>
  <c r="T377" i="1" s="1"/>
  <c r="G393" i="1"/>
  <c r="G425" i="1"/>
  <c r="G441" i="1"/>
  <c r="G457" i="1"/>
  <c r="G473" i="1"/>
  <c r="G489" i="1"/>
  <c r="Q106" i="1"/>
  <c r="U106" i="1" s="1"/>
  <c r="G122" i="1"/>
  <c r="G138" i="1"/>
  <c r="G170" i="1"/>
  <c r="G186" i="1"/>
  <c r="G202" i="1"/>
  <c r="G218" i="1"/>
  <c r="Q234" i="1"/>
  <c r="U234" i="1" s="1"/>
  <c r="G250" i="1"/>
  <c r="G266" i="1"/>
  <c r="G282" i="1"/>
  <c r="G298" i="1"/>
  <c r="G314" i="1"/>
  <c r="G346" i="1"/>
  <c r="Q362" i="1"/>
  <c r="U362" i="1" s="1"/>
  <c r="G378" i="1"/>
  <c r="G394" i="1"/>
  <c r="G410" i="1"/>
  <c r="G426" i="1"/>
  <c r="G442" i="1"/>
  <c r="G458" i="1"/>
  <c r="G474" i="1"/>
  <c r="G490" i="1"/>
  <c r="G70" i="1"/>
  <c r="G50" i="1"/>
  <c r="G51" i="1"/>
  <c r="G90" i="1"/>
  <c r="G14" i="1"/>
  <c r="Q56" i="1"/>
  <c r="U56" i="1" s="1"/>
  <c r="G35" i="1"/>
  <c r="G61" i="1"/>
  <c r="G77" i="1"/>
  <c r="Q39" i="1"/>
  <c r="T39" i="1" s="1"/>
  <c r="G107" i="1"/>
  <c r="G123" i="1"/>
  <c r="G147" i="1"/>
  <c r="Q163" i="1"/>
  <c r="T163" i="1" s="1"/>
  <c r="G187" i="1"/>
  <c r="G211" i="1"/>
  <c r="G235" i="1"/>
  <c r="Q259" i="1"/>
  <c r="U259" i="1" s="1"/>
  <c r="G283" i="1"/>
  <c r="G307" i="1"/>
  <c r="G331" i="1"/>
  <c r="G355" i="1"/>
  <c r="G379" i="1"/>
  <c r="Q403" i="1"/>
  <c r="T403" i="1" s="1"/>
  <c r="G427" i="1"/>
  <c r="G451" i="1"/>
  <c r="G475" i="1"/>
  <c r="Q499" i="1"/>
  <c r="U499" i="1" s="1"/>
  <c r="Q139" i="1"/>
  <c r="U139" i="1" s="1"/>
  <c r="G203" i="1"/>
  <c r="G251" i="1"/>
  <c r="G299" i="1"/>
  <c r="G395" i="1"/>
  <c r="G443" i="1"/>
  <c r="G48" i="1"/>
  <c r="U48" i="1"/>
  <c r="T180" i="1"/>
  <c r="U292" i="1"/>
  <c r="T388" i="1"/>
  <c r="Q26" i="1"/>
  <c r="Q467" i="1"/>
  <c r="Q323" i="1"/>
  <c r="Q371" i="1"/>
  <c r="T395" i="1"/>
  <c r="T443" i="1"/>
  <c r="G499" i="1"/>
  <c r="T483" i="1"/>
  <c r="T347" i="1"/>
  <c r="T48" i="1"/>
  <c r="Q299" i="1"/>
  <c r="G163" i="1"/>
  <c r="G493" i="1"/>
  <c r="Q275" i="1"/>
  <c r="G39" i="1"/>
  <c r="Q307" i="1"/>
  <c r="Q203" i="1"/>
  <c r="Q451" i="1"/>
  <c r="Q171" i="1"/>
  <c r="Q355" i="1"/>
  <c r="G219" i="1"/>
  <c r="G15" i="1"/>
  <c r="G52" i="1"/>
  <c r="G237" i="1"/>
  <c r="G16" i="1"/>
  <c r="Q398" i="1"/>
  <c r="Q387" i="1"/>
  <c r="Q331" i="1"/>
  <c r="Q235" i="1"/>
  <c r="Q411" i="1"/>
  <c r="Q459" i="1"/>
  <c r="G354" i="1"/>
  <c r="G56" i="1"/>
  <c r="G372" i="1"/>
  <c r="Q131" i="1"/>
  <c r="Q315" i="1"/>
  <c r="G403" i="1"/>
  <c r="Q38" i="1"/>
  <c r="G7" i="1"/>
  <c r="Q61" i="1"/>
  <c r="G179" i="1"/>
  <c r="G289" i="1"/>
  <c r="Q274" i="1"/>
  <c r="Q474" i="1"/>
  <c r="Q128" i="1"/>
  <c r="Q5" i="1"/>
  <c r="G226" i="1"/>
  <c r="Q266" i="1"/>
  <c r="Q363" i="1"/>
  <c r="G233" i="1"/>
  <c r="G452" i="1"/>
  <c r="Q135" i="1"/>
  <c r="Q97" i="1"/>
  <c r="G115" i="1"/>
  <c r="G306" i="1"/>
  <c r="Q489" i="1"/>
  <c r="Q376" i="1"/>
  <c r="G180" i="1"/>
  <c r="G54" i="1"/>
  <c r="G436" i="1"/>
  <c r="Q310" i="1"/>
  <c r="G66" i="1"/>
  <c r="Q147" i="1"/>
  <c r="Q209" i="1"/>
  <c r="Q94" i="1"/>
  <c r="G65" i="1"/>
  <c r="G42" i="1"/>
  <c r="Q90" i="1"/>
  <c r="Q107" i="1"/>
  <c r="Q458" i="1"/>
  <c r="Q111" i="1"/>
  <c r="Q202" i="1"/>
  <c r="Q125" i="1"/>
  <c r="G58" i="1"/>
  <c r="G259" i="1"/>
  <c r="G377" i="1"/>
  <c r="G193" i="1"/>
  <c r="G293" i="1"/>
  <c r="G260" i="1"/>
  <c r="Q77" i="1"/>
  <c r="Q211" i="1"/>
  <c r="Q73" i="1"/>
  <c r="Q301" i="1"/>
  <c r="G234" i="1"/>
  <c r="G267" i="1"/>
  <c r="Q11" i="1"/>
  <c r="Q414" i="1"/>
  <c r="Q337" i="1"/>
  <c r="Q339" i="1"/>
  <c r="Q43" i="1"/>
  <c r="Q204" i="1"/>
  <c r="Q177" i="1"/>
  <c r="G418" i="1"/>
  <c r="G381" i="1"/>
  <c r="G102" i="1"/>
  <c r="G156" i="1"/>
  <c r="Q27" i="1"/>
  <c r="Q220" i="1"/>
  <c r="Q243" i="1"/>
  <c r="Q350" i="1"/>
  <c r="Q138" i="1"/>
  <c r="Q425" i="1"/>
  <c r="Q294" i="1"/>
  <c r="Q314" i="1"/>
  <c r="G106" i="1"/>
  <c r="G285" i="1"/>
  <c r="Q51" i="1"/>
  <c r="Q205" i="1"/>
  <c r="Q195" i="1"/>
  <c r="Q326" i="1"/>
  <c r="Q187" i="1"/>
  <c r="Q82" i="1"/>
  <c r="Q454" i="1"/>
  <c r="Q346" i="1"/>
  <c r="G322" i="1"/>
  <c r="Q170" i="1"/>
  <c r="Q343" i="1"/>
  <c r="Q160" i="1"/>
  <c r="Q270" i="1"/>
  <c r="G362" i="1"/>
  <c r="Q482" i="1"/>
  <c r="Q283" i="1"/>
  <c r="Q298" i="1"/>
  <c r="Q290" i="1"/>
  <c r="Q435" i="1"/>
  <c r="Q288" i="1"/>
  <c r="Q379" i="1"/>
  <c r="Q490" i="1"/>
  <c r="Q478" i="1"/>
  <c r="Q12" i="1"/>
  <c r="Q251" i="1"/>
  <c r="G500" i="1"/>
  <c r="G67" i="1"/>
  <c r="Q71" i="1"/>
  <c r="Q349" i="1"/>
  <c r="Q240" i="1"/>
  <c r="Q162" i="1"/>
  <c r="Q123" i="1"/>
  <c r="Q415" i="1"/>
  <c r="Q31" i="1"/>
  <c r="Q336" i="1"/>
  <c r="Q284" i="1"/>
  <c r="Q434" i="1"/>
  <c r="Q70" i="1"/>
  <c r="G244" i="1"/>
  <c r="G333" i="1"/>
  <c r="G76" i="1"/>
  <c r="Q18" i="1"/>
  <c r="Q476" i="1"/>
  <c r="Q282" i="1"/>
  <c r="Q194" i="1"/>
  <c r="Q81" i="1"/>
  <c r="Q208" i="1"/>
  <c r="Q4" i="1"/>
  <c r="Q441" i="1"/>
  <c r="Q35" i="1"/>
  <c r="Q69" i="1"/>
  <c r="Q45" i="1"/>
  <c r="Q488" i="1"/>
  <c r="G292" i="1"/>
  <c r="Q469" i="1"/>
  <c r="Q230" i="1"/>
  <c r="Q424" i="1"/>
  <c r="Q126" i="1"/>
  <c r="Q481" i="1"/>
  <c r="Q224" i="1"/>
  <c r="Q250" i="1"/>
  <c r="G484" i="1"/>
  <c r="Q8" i="1"/>
  <c r="Q214" i="1"/>
  <c r="Q491" i="1"/>
  <c r="Q365" i="1"/>
  <c r="Q129" i="1"/>
  <c r="Q98" i="1"/>
  <c r="Q199" i="1"/>
  <c r="Q273" i="1"/>
  <c r="Q217" i="1"/>
  <c r="Q238" i="1"/>
  <c r="Q386" i="1"/>
  <c r="Q227" i="1"/>
  <c r="Q105" i="1"/>
  <c r="Q63" i="1"/>
  <c r="G148" i="1"/>
  <c r="Q84" i="1"/>
  <c r="Q300" i="1"/>
  <c r="Q295" i="1"/>
  <c r="Q181" i="1"/>
  <c r="Q257" i="1"/>
  <c r="Q361" i="1"/>
  <c r="Q221" i="1"/>
  <c r="Q64" i="1"/>
  <c r="Q104" i="1"/>
  <c r="Q480" i="1"/>
  <c r="Q429" i="1"/>
  <c r="Q405" i="1"/>
  <c r="Q174" i="1"/>
  <c r="Q184" i="1"/>
  <c r="Q442" i="1"/>
  <c r="Q378" i="1"/>
  <c r="Q157" i="1"/>
  <c r="Q247" i="1"/>
  <c r="Q141" i="1"/>
  <c r="Q249" i="1"/>
  <c r="G338" i="1"/>
  <c r="G3" i="1"/>
  <c r="Q86" i="1"/>
  <c r="Q264" i="1"/>
  <c r="Q269" i="1"/>
  <c r="Q448" i="1"/>
  <c r="Q254" i="1"/>
  <c r="Q167" i="1"/>
  <c r="Q168" i="1"/>
  <c r="Q92" i="1"/>
  <c r="Q449" i="1"/>
  <c r="Q312" i="1"/>
  <c r="Q166" i="1"/>
  <c r="Q222" i="1"/>
  <c r="Q30" i="1"/>
  <c r="G29" i="1"/>
  <c r="G143" i="1"/>
  <c r="Q324" i="1"/>
  <c r="G59" i="1"/>
  <c r="Q44" i="1"/>
  <c r="Q37" i="1"/>
  <c r="Q412" i="1"/>
  <c r="Q178" i="1"/>
  <c r="Q309" i="1"/>
  <c r="Q342" i="1"/>
  <c r="Q239" i="1"/>
  <c r="Q248" i="1"/>
  <c r="Q313" i="1"/>
  <c r="Q14" i="1"/>
  <c r="Q263" i="1"/>
  <c r="Q473" i="1"/>
  <c r="Q276" i="1"/>
  <c r="Q121" i="1"/>
  <c r="Q133" i="1"/>
  <c r="Q50" i="1"/>
  <c r="Q191" i="1"/>
  <c r="Q375" i="1"/>
  <c r="G99" i="1"/>
  <c r="G297" i="1"/>
  <c r="G87" i="1"/>
  <c r="G124" i="1"/>
  <c r="Q10" i="1"/>
  <c r="Q62" i="1"/>
  <c r="Q218" i="1"/>
  <c r="Q335" i="1"/>
  <c r="Q280" i="1"/>
  <c r="Q461" i="1"/>
  <c r="Q210" i="1"/>
  <c r="Q161" i="1"/>
  <c r="Q399" i="1"/>
  <c r="Q352" i="1"/>
  <c r="Q118" i="1"/>
  <c r="Q262" i="1"/>
  <c r="Q358" i="1"/>
  <c r="Q501" i="1"/>
  <c r="Q410" i="1"/>
  <c r="Q117" i="1"/>
  <c r="Q46" i="1"/>
  <c r="Q127" i="1"/>
  <c r="Q471" i="1"/>
  <c r="Q41" i="1"/>
  <c r="Q28" i="1"/>
  <c r="Q13" i="1"/>
  <c r="Q423" i="1"/>
  <c r="Q389" i="1"/>
  <c r="Q479" i="1"/>
  <c r="Q308" i="1"/>
  <c r="Q140" i="1"/>
  <c r="Q320" i="1"/>
  <c r="G109" i="1"/>
  <c r="Q109" i="1"/>
  <c r="G447" i="1"/>
  <c r="Q447" i="1"/>
  <c r="G302" i="1"/>
  <c r="Q302" i="1"/>
  <c r="G462" i="1"/>
  <c r="Q462" i="1"/>
  <c r="G344" i="1"/>
  <c r="Q344" i="1"/>
  <c r="G281" i="1"/>
  <c r="Q281" i="1"/>
  <c r="G345" i="1"/>
  <c r="Q345" i="1"/>
  <c r="G409" i="1"/>
  <c r="Q409" i="1"/>
  <c r="Q93" i="1"/>
  <c r="Q34" i="1"/>
  <c r="Q100" i="1"/>
  <c r="Q188" i="1"/>
  <c r="Q404" i="1"/>
  <c r="Q316" i="1"/>
  <c r="Q252" i="1"/>
  <c r="Q189" i="1"/>
  <c r="Q190" i="1"/>
  <c r="Q485" i="1"/>
  <c r="Q122" i="1"/>
  <c r="Q197" i="1"/>
  <c r="Q334" i="1"/>
  <c r="Q114" i="1"/>
  <c r="Q466" i="1"/>
  <c r="Q89" i="1"/>
  <c r="Q438" i="1"/>
  <c r="Q327" i="1"/>
  <c r="Q24" i="1"/>
  <c r="Q216" i="1"/>
  <c r="Q440" i="1"/>
  <c r="Q20" i="1"/>
  <c r="Q463" i="1"/>
  <c r="Q287" i="1"/>
  <c r="Q353" i="1"/>
  <c r="Q445" i="1"/>
  <c r="Q303" i="1"/>
  <c r="Q402" i="1"/>
  <c r="Q21" i="1"/>
  <c r="Q279" i="1"/>
  <c r="Q96" i="1"/>
  <c r="Q186" i="1"/>
  <c r="Q351" i="1"/>
  <c r="S2" i="1"/>
  <c r="G164" i="1"/>
  <c r="Q164" i="1"/>
  <c r="Q370" i="1"/>
  <c r="G370" i="1"/>
  <c r="G155" i="1"/>
  <c r="Q155" i="1"/>
  <c r="G328" i="1"/>
  <c r="Q328" i="1"/>
  <c r="G149" i="1"/>
  <c r="Q149" i="1"/>
  <c r="G278" i="1"/>
  <c r="Q278" i="1"/>
  <c r="G470" i="1"/>
  <c r="Q470" i="1"/>
  <c r="G25" i="1"/>
  <c r="Q25" i="1"/>
  <c r="G83" i="1"/>
  <c r="Q83" i="1"/>
  <c r="G232" i="1"/>
  <c r="Q232" i="1"/>
  <c r="G225" i="1"/>
  <c r="Q225" i="1"/>
  <c r="G242" i="1"/>
  <c r="Q242" i="1"/>
  <c r="Q32" i="1"/>
  <c r="Q88" i="1"/>
  <c r="Q80" i="1"/>
  <c r="Q132" i="1"/>
  <c r="Q348" i="1"/>
  <c r="Q236" i="1"/>
  <c r="Q271" i="1"/>
  <c r="Q245" i="1"/>
  <c r="Q108" i="1"/>
  <c r="Q145" i="1"/>
  <c r="Q366" i="1"/>
  <c r="Q198" i="1"/>
  <c r="Q406" i="1"/>
  <c r="Q261" i="1"/>
  <c r="Q119" i="1"/>
  <c r="Q359" i="1"/>
  <c r="Q120" i="1"/>
  <c r="Q256" i="1"/>
  <c r="Q9" i="1"/>
  <c r="Q329" i="1"/>
  <c r="Q486" i="1"/>
  <c r="Q367" i="1"/>
  <c r="Q457" i="1"/>
  <c r="Q229" i="1"/>
  <c r="Q446" i="1"/>
  <c r="Q321" i="1"/>
  <c r="Q422" i="1"/>
  <c r="Q213" i="1"/>
  <c r="Q130" i="1"/>
  <c r="Q134" i="1"/>
  <c r="Q110" i="1"/>
  <c r="Q23" i="1"/>
  <c r="Q319" i="1"/>
  <c r="Q159" i="1"/>
  <c r="Q495" i="1"/>
  <c r="G75" i="1"/>
  <c r="G91" i="1"/>
  <c r="G388" i="1"/>
  <c r="G201" i="1"/>
  <c r="Q201" i="1"/>
  <c r="G154" i="1"/>
  <c r="Q154" i="1"/>
  <c r="G101" i="1"/>
  <c r="Q101" i="1"/>
  <c r="G477" i="1"/>
  <c r="Q477" i="1"/>
  <c r="G68" i="1"/>
  <c r="Q68" i="1"/>
  <c r="G286" i="1"/>
  <c r="Q286" i="1"/>
  <c r="G103" i="1"/>
  <c r="Q103" i="1"/>
  <c r="G207" i="1"/>
  <c r="Q207" i="1"/>
  <c r="G472" i="1"/>
  <c r="Q472" i="1"/>
  <c r="G22" i="1"/>
  <c r="Q22" i="1"/>
  <c r="G144" i="1"/>
  <c r="Q144" i="1"/>
  <c r="G176" i="1"/>
  <c r="Q176" i="1"/>
  <c r="G392" i="1"/>
  <c r="Q392" i="1"/>
  <c r="Q53" i="1"/>
  <c r="Q196" i="1"/>
  <c r="Q420" i="1"/>
  <c r="Q428" i="1"/>
  <c r="Q364" i="1"/>
  <c r="Q206" i="1"/>
  <c r="Q317" i="1"/>
  <c r="Q430" i="1"/>
  <c r="Q146" i="1"/>
  <c r="Q246" i="1"/>
  <c r="Q137" i="1"/>
  <c r="Q183" i="1"/>
  <c r="Q407" i="1"/>
  <c r="Q152" i="1"/>
  <c r="Q304" i="1"/>
  <c r="Q55" i="1"/>
  <c r="Q165" i="1"/>
  <c r="Q253" i="1"/>
  <c r="Q393" i="1"/>
  <c r="Q175" i="1"/>
  <c r="Q382" i="1"/>
  <c r="Q172" i="1"/>
  <c r="Q85" i="1"/>
  <c r="Q112" i="1"/>
  <c r="Q60" i="1"/>
  <c r="Q215" i="1"/>
  <c r="Q305" i="1"/>
  <c r="Q113" i="1"/>
  <c r="Q356" i="1"/>
  <c r="G116" i="1"/>
  <c r="Q116" i="1"/>
  <c r="G212" i="1"/>
  <c r="Q212" i="1"/>
  <c r="G258" i="1"/>
  <c r="Q258" i="1"/>
  <c r="G40" i="1"/>
  <c r="Q40" i="1"/>
  <c r="G78" i="1"/>
  <c r="Q78" i="1"/>
  <c r="Q33" i="1"/>
  <c r="Q79" i="1"/>
  <c r="Q47" i="1"/>
  <c r="Q36" i="1"/>
  <c r="Q228" i="1"/>
  <c r="Q182" i="1"/>
  <c r="Q492" i="1"/>
  <c r="Q383" i="1"/>
  <c r="Q444" i="1"/>
  <c r="Q340" i="1"/>
  <c r="Q421" i="1"/>
  <c r="Q397" i="1"/>
  <c r="Q400" i="1"/>
  <c r="Q318" i="1"/>
  <c r="Q169" i="1"/>
  <c r="Q223" i="1"/>
  <c r="Q439" i="1"/>
  <c r="Q192" i="1"/>
  <c r="Q408" i="1"/>
  <c r="Q265" i="1"/>
  <c r="Q142" i="1"/>
  <c r="Q150" i="1"/>
  <c r="Q272" i="1"/>
  <c r="Q413" i="1"/>
  <c r="Q390" i="1"/>
  <c r="Q487" i="1"/>
  <c r="Q373" i="1"/>
  <c r="Q158" i="1"/>
  <c r="Q57" i="1"/>
  <c r="Q6" i="1"/>
  <c r="Q151" i="1"/>
  <c r="Q173" i="1"/>
  <c r="Q241" i="1"/>
  <c r="Q231" i="1"/>
  <c r="Q396" i="1"/>
  <c r="G74" i="1"/>
  <c r="G185" i="1"/>
  <c r="G325" i="1"/>
  <c r="Q325" i="1"/>
  <c r="G357" i="1"/>
  <c r="Q357" i="1"/>
  <c r="G311" i="1"/>
  <c r="Q311" i="1"/>
  <c r="G153" i="1"/>
  <c r="Q153" i="1"/>
  <c r="G330" i="1"/>
  <c r="Q330" i="1"/>
  <c r="Q19" i="1"/>
  <c r="AG6" i="1"/>
  <c r="H453" i="1"/>
  <c r="AA453" i="1" s="1"/>
  <c r="H483" i="1"/>
  <c r="AA483" i="1" s="1"/>
  <c r="H213" i="1"/>
  <c r="AA213" i="1" s="1"/>
  <c r="H139" i="1"/>
  <c r="AA139" i="1" s="1"/>
  <c r="H62" i="1"/>
  <c r="AA62" i="1" s="1"/>
  <c r="H347" i="1"/>
  <c r="AA347" i="1" s="1"/>
  <c r="H196" i="1"/>
  <c r="AA196" i="1" s="1"/>
  <c r="F2" i="1"/>
  <c r="Y2" i="1" s="1"/>
  <c r="Q498" i="1"/>
  <c r="Q497" i="1"/>
  <c r="Q453" i="1"/>
  <c r="Q374" i="1"/>
  <c r="Q296" i="1"/>
  <c r="Q341" i="1"/>
  <c r="Q277" i="1"/>
  <c r="Q468" i="1"/>
  <c r="Q494" i="1"/>
  <c r="Q475" i="1"/>
  <c r="Q465" i="1"/>
  <c r="Q401" i="1"/>
  <c r="Q460" i="1"/>
  <c r="Q332" i="1"/>
  <c r="Q268" i="1"/>
  <c r="Q456" i="1"/>
  <c r="Q464" i="1"/>
  <c r="Q450" i="1"/>
  <c r="Q385" i="1"/>
  <c r="Q426" i="1"/>
  <c r="Q416" i="1"/>
  <c r="Q369" i="1"/>
  <c r="Q384" i="1"/>
  <c r="Q17" i="1"/>
  <c r="Q455" i="1"/>
  <c r="Q391" i="1"/>
  <c r="Q431" i="1"/>
  <c r="Q437" i="1"/>
  <c r="Q360" i="1"/>
  <c r="Q200" i="1"/>
  <c r="Q136" i="1"/>
  <c r="Q72" i="1"/>
  <c r="Q433" i="1"/>
  <c r="Q368" i="1"/>
  <c r="Q255" i="1"/>
  <c r="Q427" i="1"/>
  <c r="Q417" i="1"/>
  <c r="Q419" i="1"/>
  <c r="Q291" i="1"/>
  <c r="Q496" i="1"/>
  <c r="Q432" i="1"/>
  <c r="Q394" i="1"/>
  <c r="Q380" i="1"/>
  <c r="Z213" i="1" l="1"/>
  <c r="Z196" i="1"/>
  <c r="Z483" i="1"/>
  <c r="Z453" i="1"/>
  <c r="Z62" i="1"/>
  <c r="Z94" i="1"/>
  <c r="Z347" i="1"/>
  <c r="Z139" i="1"/>
  <c r="R94" i="1"/>
  <c r="R213" i="1"/>
  <c r="R483" i="1"/>
  <c r="R196" i="1"/>
  <c r="R347" i="1"/>
  <c r="R139" i="1"/>
  <c r="R453" i="1"/>
  <c r="R62" i="1"/>
  <c r="H74" i="1"/>
  <c r="AA74" i="1" s="1"/>
  <c r="H101" i="1"/>
  <c r="AA101" i="1" s="1"/>
  <c r="H67" i="1"/>
  <c r="AA67" i="1" s="1"/>
  <c r="H418" i="1"/>
  <c r="AA418" i="1" s="1"/>
  <c r="H267" i="1"/>
  <c r="AA267" i="1" s="1"/>
  <c r="H391" i="1"/>
  <c r="AA391" i="1" s="1"/>
  <c r="H413" i="1"/>
  <c r="AA413" i="1" s="1"/>
  <c r="H157" i="1"/>
  <c r="AA157" i="1" s="1"/>
  <c r="H9" i="1"/>
  <c r="AA9" i="1" s="1"/>
  <c r="H23" i="1"/>
  <c r="AA23" i="1" s="1"/>
  <c r="H84" i="1"/>
  <c r="AA84" i="1" s="1"/>
  <c r="H380" i="1"/>
  <c r="AA380" i="1" s="1"/>
  <c r="H252" i="1"/>
  <c r="AA252" i="1" s="1"/>
  <c r="H227" i="1"/>
  <c r="AA227" i="1" s="1"/>
  <c r="H363" i="1"/>
  <c r="AA363" i="1" s="1"/>
  <c r="H17" i="1"/>
  <c r="AA17" i="1" s="1"/>
  <c r="H466" i="1"/>
  <c r="AA466" i="1" s="1"/>
  <c r="H162" i="1"/>
  <c r="AA162" i="1" s="1"/>
  <c r="H433" i="1"/>
  <c r="AA433" i="1" s="1"/>
  <c r="H305" i="1"/>
  <c r="AA305" i="1" s="1"/>
  <c r="H161" i="1"/>
  <c r="AA161" i="1" s="1"/>
  <c r="H384" i="1"/>
  <c r="AA384" i="1" s="1"/>
  <c r="H216" i="1"/>
  <c r="AA216" i="1" s="1"/>
  <c r="H223" i="1"/>
  <c r="AA223" i="1" s="1"/>
  <c r="H359" i="1"/>
  <c r="AA359" i="1" s="1"/>
  <c r="H151" i="1"/>
  <c r="AA151" i="1" s="1"/>
  <c r="H406" i="1"/>
  <c r="AA406" i="1" s="1"/>
  <c r="H262" i="1"/>
  <c r="AA262" i="1" s="1"/>
  <c r="H134" i="1"/>
  <c r="AA134" i="1" s="1"/>
  <c r="H320" i="1"/>
  <c r="AA320" i="1" s="1"/>
  <c r="H469" i="1"/>
  <c r="AA469" i="1" s="1"/>
  <c r="H309" i="1"/>
  <c r="AA309" i="1" s="1"/>
  <c r="H181" i="1"/>
  <c r="AA181" i="1" s="1"/>
  <c r="H480" i="1"/>
  <c r="AA480" i="1" s="1"/>
  <c r="H46" i="1"/>
  <c r="AA46" i="1" s="1"/>
  <c r="H73" i="1"/>
  <c r="AA73" i="1" s="1"/>
  <c r="H143" i="1"/>
  <c r="AA143" i="1" s="1"/>
  <c r="H338" i="1"/>
  <c r="AA338" i="1" s="1"/>
  <c r="H500" i="1"/>
  <c r="AA500" i="1" s="1"/>
  <c r="H234" i="1"/>
  <c r="AA234" i="1" s="1"/>
  <c r="H377" i="1"/>
  <c r="AA377" i="1" s="1"/>
  <c r="H436" i="1"/>
  <c r="AA436" i="1" s="1"/>
  <c r="H163" i="1"/>
  <c r="AA163" i="1" s="1"/>
  <c r="H48" i="1"/>
  <c r="AA48" i="1" s="1"/>
  <c r="H475" i="1"/>
  <c r="AA475" i="1" s="1"/>
  <c r="H283" i="1"/>
  <c r="AA283" i="1" s="1"/>
  <c r="H107" i="1"/>
  <c r="AA107" i="1" s="1"/>
  <c r="H51" i="1"/>
  <c r="AA51" i="1" s="1"/>
  <c r="H410" i="1"/>
  <c r="AA410" i="1" s="1"/>
  <c r="H266" i="1"/>
  <c r="AA266" i="1" s="1"/>
  <c r="H122" i="1"/>
  <c r="AA122" i="1" s="1"/>
  <c r="H217" i="1"/>
  <c r="AA217" i="1" s="1"/>
  <c r="H408" i="1"/>
  <c r="AA408" i="1" s="1"/>
  <c r="H240" i="1"/>
  <c r="AA240" i="1" s="1"/>
  <c r="H295" i="1"/>
  <c r="AA295" i="1" s="1"/>
  <c r="H80" i="1"/>
  <c r="AA80" i="1" s="1"/>
  <c r="H88" i="1"/>
  <c r="AA88" i="1" s="1"/>
  <c r="H382" i="1"/>
  <c r="AA382" i="1" s="1"/>
  <c r="H222" i="1"/>
  <c r="AA222" i="1" s="1"/>
  <c r="H44" i="1"/>
  <c r="AA44" i="1" s="1"/>
  <c r="H343" i="1"/>
  <c r="AA343" i="1" s="1"/>
  <c r="H397" i="1"/>
  <c r="AA397" i="1" s="1"/>
  <c r="H269" i="1"/>
  <c r="AA269" i="1" s="1"/>
  <c r="H141" i="1"/>
  <c r="AA141" i="1" s="1"/>
  <c r="H455" i="1"/>
  <c r="AA455" i="1" s="1"/>
  <c r="H60" i="1"/>
  <c r="AA60" i="1" s="1"/>
  <c r="H492" i="1"/>
  <c r="AA492" i="1" s="1"/>
  <c r="H364" i="1"/>
  <c r="AA364" i="1" s="1"/>
  <c r="H236" i="1"/>
  <c r="AA236" i="1" s="1"/>
  <c r="H108" i="1"/>
  <c r="AA108" i="1" s="1"/>
  <c r="H171" i="1"/>
  <c r="AA171" i="1" s="1"/>
  <c r="H339" i="1"/>
  <c r="AA339" i="1" s="1"/>
  <c r="H131" i="1"/>
  <c r="AA131" i="1" s="1"/>
  <c r="H450" i="1"/>
  <c r="AA450" i="1" s="1"/>
  <c r="H146" i="1"/>
  <c r="AA146" i="1" s="1"/>
  <c r="H417" i="1"/>
  <c r="AA417" i="1" s="1"/>
  <c r="H145" i="1"/>
  <c r="AA145" i="1" s="1"/>
  <c r="H368" i="1"/>
  <c r="AA368" i="1" s="1"/>
  <c r="H200" i="1"/>
  <c r="AA200" i="1" s="1"/>
  <c r="H81" i="1"/>
  <c r="AA81" i="1" s="1"/>
  <c r="H319" i="1"/>
  <c r="AA319" i="1" s="1"/>
  <c r="H127" i="1"/>
  <c r="AA127" i="1" s="1"/>
  <c r="H11" i="1"/>
  <c r="AA11" i="1" s="1"/>
  <c r="H390" i="1"/>
  <c r="AA390" i="1" s="1"/>
  <c r="H246" i="1"/>
  <c r="AA246" i="1" s="1"/>
  <c r="H118" i="1"/>
  <c r="AA118" i="1" s="1"/>
  <c r="H471" i="1"/>
  <c r="AA471" i="1" s="1"/>
  <c r="H165" i="1"/>
  <c r="AA165" i="1" s="1"/>
  <c r="H479" i="1"/>
  <c r="AA479" i="1" s="1"/>
  <c r="H21" i="1"/>
  <c r="AA21" i="1" s="1"/>
  <c r="H232" i="1"/>
  <c r="AA232" i="1" s="1"/>
  <c r="H278" i="1"/>
  <c r="AA278" i="1" s="1"/>
  <c r="H302" i="1"/>
  <c r="AA302" i="1" s="1"/>
  <c r="H3" i="1"/>
  <c r="AA3" i="1" s="1"/>
  <c r="H259" i="1"/>
  <c r="AA259" i="1" s="1"/>
  <c r="H42" i="1"/>
  <c r="AA42" i="1" s="1"/>
  <c r="H50" i="1"/>
  <c r="AA50" i="1" s="1"/>
  <c r="H394" i="1"/>
  <c r="AA394" i="1" s="1"/>
  <c r="H250" i="1"/>
  <c r="AA250" i="1" s="1"/>
  <c r="H361" i="1"/>
  <c r="AA361" i="1" s="1"/>
  <c r="H376" i="1"/>
  <c r="AA376" i="1" s="1"/>
  <c r="H224" i="1"/>
  <c r="AA224" i="1" s="1"/>
  <c r="H263" i="1"/>
  <c r="AA263" i="1" s="1"/>
  <c r="H63" i="1"/>
  <c r="AA63" i="1" s="1"/>
  <c r="H366" i="1"/>
  <c r="AA366" i="1" s="1"/>
  <c r="H206" i="1"/>
  <c r="AA206" i="1" s="1"/>
  <c r="H64" i="1"/>
  <c r="AA64" i="1" s="1"/>
  <c r="H287" i="1"/>
  <c r="AA287" i="1" s="1"/>
  <c r="H253" i="1"/>
  <c r="AA253" i="1" s="1"/>
  <c r="H125" i="1"/>
  <c r="AA125" i="1" s="1"/>
  <c r="H407" i="1"/>
  <c r="AA407" i="1" s="1"/>
  <c r="H18" i="1"/>
  <c r="AA18" i="1" s="1"/>
  <c r="H476" i="1"/>
  <c r="AA476" i="1" s="1"/>
  <c r="H348" i="1"/>
  <c r="AA348" i="1" s="1"/>
  <c r="H220" i="1"/>
  <c r="AA220" i="1" s="1"/>
  <c r="H26" i="1"/>
  <c r="AA26" i="1" s="1"/>
  <c r="H43" i="1"/>
  <c r="AA43" i="1" s="1"/>
  <c r="H315" i="1"/>
  <c r="AA315" i="1" s="1"/>
  <c r="H31" i="1"/>
  <c r="AA31" i="1" s="1"/>
  <c r="H434" i="1"/>
  <c r="AA434" i="1" s="1"/>
  <c r="H290" i="1"/>
  <c r="AA290" i="1" s="1"/>
  <c r="H130" i="1"/>
  <c r="AA130" i="1" s="1"/>
  <c r="H401" i="1"/>
  <c r="AA401" i="1" s="1"/>
  <c r="H273" i="1"/>
  <c r="AA273" i="1" s="1"/>
  <c r="H129" i="1"/>
  <c r="AA129" i="1" s="1"/>
  <c r="H352" i="1"/>
  <c r="AA352" i="1" s="1"/>
  <c r="H184" i="1"/>
  <c r="AA184" i="1" s="1"/>
  <c r="H271" i="1"/>
  <c r="AA271" i="1" s="1"/>
  <c r="H111" i="1"/>
  <c r="AA111" i="1" s="1"/>
  <c r="H27" i="1"/>
  <c r="AA27" i="1" s="1"/>
  <c r="H374" i="1"/>
  <c r="AA374" i="1" s="1"/>
  <c r="H230" i="1"/>
  <c r="AA230" i="1" s="1"/>
  <c r="H423" i="1"/>
  <c r="AA423" i="1" s="1"/>
  <c r="H437" i="1"/>
  <c r="AA437" i="1" s="1"/>
  <c r="H277" i="1"/>
  <c r="AA277" i="1" s="1"/>
  <c r="H133" i="1"/>
  <c r="AA133" i="1" s="1"/>
  <c r="H431" i="1"/>
  <c r="AA431" i="1" s="1"/>
  <c r="H356" i="1"/>
  <c r="AA356" i="1" s="1"/>
  <c r="H228" i="1"/>
  <c r="AA228" i="1" s="1"/>
  <c r="H219" i="1"/>
  <c r="AA219" i="1" s="1"/>
  <c r="H307" i="1"/>
  <c r="AA307" i="1" s="1"/>
  <c r="H123" i="1"/>
  <c r="AA123" i="1" s="1"/>
  <c r="H90" i="1"/>
  <c r="AA90" i="1" s="1"/>
  <c r="H426" i="1"/>
  <c r="AA426" i="1" s="1"/>
  <c r="H282" i="1"/>
  <c r="AA282" i="1" s="1"/>
  <c r="H138" i="1"/>
  <c r="AA138" i="1" s="1"/>
  <c r="H393" i="1"/>
  <c r="AA393" i="1" s="1"/>
  <c r="H424" i="1"/>
  <c r="AA424" i="1" s="1"/>
  <c r="H154" i="1"/>
  <c r="AA154" i="1" s="1"/>
  <c r="H83" i="1"/>
  <c r="AA83" i="1" s="1"/>
  <c r="H164" i="1"/>
  <c r="AA164" i="1" s="1"/>
  <c r="H281" i="1"/>
  <c r="AA281" i="1" s="1"/>
  <c r="H447" i="1"/>
  <c r="AA447" i="1" s="1"/>
  <c r="H87" i="1"/>
  <c r="AA87" i="1" s="1"/>
  <c r="H76" i="1"/>
  <c r="AA76" i="1" s="1"/>
  <c r="H452" i="1"/>
  <c r="AA452" i="1" s="1"/>
  <c r="H443" i="1"/>
  <c r="AA443" i="1" s="1"/>
  <c r="H233" i="1"/>
  <c r="AA233" i="1" s="1"/>
  <c r="H70" i="1"/>
  <c r="AA70" i="1" s="1"/>
  <c r="H378" i="1"/>
  <c r="AA378" i="1" s="1"/>
  <c r="H489" i="1"/>
  <c r="AA489" i="1" s="1"/>
  <c r="H329" i="1"/>
  <c r="AA329" i="1" s="1"/>
  <c r="H169" i="1"/>
  <c r="AA169" i="1" s="1"/>
  <c r="H360" i="1"/>
  <c r="AA360" i="1" s="1"/>
  <c r="H208" i="1"/>
  <c r="AA208" i="1" s="1"/>
  <c r="H92" i="1"/>
  <c r="AA92" i="1" s="1"/>
  <c r="H231" i="1"/>
  <c r="AA231" i="1" s="1"/>
  <c r="H494" i="1"/>
  <c r="AA494" i="1" s="1"/>
  <c r="H350" i="1"/>
  <c r="AA350" i="1" s="1"/>
  <c r="H190" i="1"/>
  <c r="AA190" i="1" s="1"/>
  <c r="H36" i="1"/>
  <c r="AA36" i="1" s="1"/>
  <c r="H6" i="1"/>
  <c r="AA6" i="1" s="1"/>
  <c r="H365" i="1"/>
  <c r="AA365" i="1" s="1"/>
  <c r="H47" i="1"/>
  <c r="AA47" i="1" s="1"/>
  <c r="H351" i="1"/>
  <c r="AA351" i="1" s="1"/>
  <c r="H93" i="1"/>
  <c r="AA93" i="1" s="1"/>
  <c r="H460" i="1"/>
  <c r="AA460" i="1" s="1"/>
  <c r="H332" i="1"/>
  <c r="AA332" i="1" s="1"/>
  <c r="H204" i="1"/>
  <c r="AA204" i="1" s="1"/>
  <c r="H467" i="1"/>
  <c r="AA467" i="1" s="1"/>
  <c r="H491" i="1"/>
  <c r="AA491" i="1" s="1"/>
  <c r="H291" i="1"/>
  <c r="AA291" i="1" s="1"/>
  <c r="H82" i="1"/>
  <c r="AA82" i="1" s="1"/>
  <c r="H12" i="1"/>
  <c r="AA12" i="1" s="1"/>
  <c r="H274" i="1"/>
  <c r="AA274" i="1" s="1"/>
  <c r="H114" i="1"/>
  <c r="AA114" i="1" s="1"/>
  <c r="H385" i="1"/>
  <c r="AA385" i="1" s="1"/>
  <c r="H257" i="1"/>
  <c r="AA257" i="1" s="1"/>
  <c r="H113" i="1"/>
  <c r="AA113" i="1" s="1"/>
  <c r="H312" i="1"/>
  <c r="AA312" i="1" s="1"/>
  <c r="H168" i="1"/>
  <c r="AA168" i="1" s="1"/>
  <c r="H496" i="1"/>
  <c r="AA496" i="1" s="1"/>
  <c r="H239" i="1"/>
  <c r="AA239" i="1" s="1"/>
  <c r="H37" i="1"/>
  <c r="AA37" i="1" s="1"/>
  <c r="H69" i="1"/>
  <c r="AA69" i="1" s="1"/>
  <c r="H358" i="1"/>
  <c r="AA358" i="1" s="1"/>
  <c r="H214" i="1"/>
  <c r="AA214" i="1" s="1"/>
  <c r="H367" i="1"/>
  <c r="AA367" i="1" s="1"/>
  <c r="H421" i="1"/>
  <c r="AA421" i="1" s="1"/>
  <c r="H261" i="1"/>
  <c r="AA261" i="1" s="1"/>
  <c r="H117" i="1"/>
  <c r="AA117" i="1" s="1"/>
  <c r="H375" i="1"/>
  <c r="AA375" i="1" s="1"/>
  <c r="H34" i="1"/>
  <c r="AA34" i="1" s="1"/>
  <c r="H468" i="1"/>
  <c r="AA468" i="1" s="1"/>
  <c r="H340" i="1"/>
  <c r="AA340" i="1" s="1"/>
  <c r="H335" i="1"/>
  <c r="AA335" i="1" s="1"/>
  <c r="H398" i="1"/>
  <c r="AA398" i="1" s="1"/>
  <c r="H322" i="1"/>
  <c r="AA322" i="1" s="1"/>
  <c r="H54" i="1"/>
  <c r="AA54" i="1" s="1"/>
  <c r="H289" i="1"/>
  <c r="AA289" i="1" s="1"/>
  <c r="H77" i="1"/>
  <c r="AA77" i="1" s="1"/>
  <c r="H201" i="1"/>
  <c r="AA201" i="1" s="1"/>
  <c r="H242" i="1"/>
  <c r="AA242" i="1" s="1"/>
  <c r="H25" i="1"/>
  <c r="AA25" i="1" s="1"/>
  <c r="H328" i="1"/>
  <c r="AA328" i="1" s="1"/>
  <c r="H344" i="1"/>
  <c r="AA344" i="1" s="1"/>
  <c r="H109" i="1"/>
  <c r="AA109" i="1" s="1"/>
  <c r="H99" i="1"/>
  <c r="AA99" i="1" s="1"/>
  <c r="H244" i="1"/>
  <c r="AA244" i="1" s="1"/>
  <c r="H106" i="1"/>
  <c r="AA106" i="1" s="1"/>
  <c r="H179" i="1"/>
  <c r="AA179" i="1" s="1"/>
  <c r="H56" i="1"/>
  <c r="AA56" i="1" s="1"/>
  <c r="H16" i="1"/>
  <c r="AA16" i="1" s="1"/>
  <c r="H299" i="1"/>
  <c r="AA299" i="1" s="1"/>
  <c r="H211" i="1"/>
  <c r="AA211" i="1" s="1"/>
  <c r="H61" i="1"/>
  <c r="AA61" i="1" s="1"/>
  <c r="H490" i="1"/>
  <c r="AA490" i="1" s="1"/>
  <c r="H218" i="1"/>
  <c r="AA218" i="1" s="1"/>
  <c r="H473" i="1"/>
  <c r="AA473" i="1" s="1"/>
  <c r="H313" i="1"/>
  <c r="AA313" i="1" s="1"/>
  <c r="H137" i="1"/>
  <c r="AA137" i="1" s="1"/>
  <c r="H336" i="1"/>
  <c r="AA336" i="1" s="1"/>
  <c r="H192" i="1"/>
  <c r="AA192" i="1" s="1"/>
  <c r="H85" i="1"/>
  <c r="AA85" i="1" s="1"/>
  <c r="H191" i="1"/>
  <c r="AA191" i="1" s="1"/>
  <c r="H20" i="1"/>
  <c r="AA20" i="1" s="1"/>
  <c r="H478" i="1"/>
  <c r="AA478" i="1" s="1"/>
  <c r="H334" i="1"/>
  <c r="AA334" i="1" s="1"/>
  <c r="H174" i="1"/>
  <c r="AA174" i="1" s="1"/>
  <c r="H30" i="1"/>
  <c r="AA30" i="1" s="1"/>
  <c r="H349" i="1"/>
  <c r="AA349" i="1" s="1"/>
  <c r="H221" i="1"/>
  <c r="AA221" i="1" s="1"/>
  <c r="H303" i="1"/>
  <c r="AA303" i="1" s="1"/>
  <c r="H33" i="1"/>
  <c r="AA33" i="1" s="1"/>
  <c r="H444" i="1"/>
  <c r="AA444" i="1" s="1"/>
  <c r="H316" i="1"/>
  <c r="AA316" i="1" s="1"/>
  <c r="H188" i="1"/>
  <c r="AA188" i="1" s="1"/>
  <c r="H419" i="1"/>
  <c r="AA419" i="1" s="1"/>
  <c r="H459" i="1"/>
  <c r="AA459" i="1" s="1"/>
  <c r="H8" i="1"/>
  <c r="AA8" i="1" s="1"/>
  <c r="H402" i="1"/>
  <c r="AA402" i="1" s="1"/>
  <c r="H497" i="1"/>
  <c r="AA497" i="1" s="1"/>
  <c r="H369" i="1"/>
  <c r="AA369" i="1" s="1"/>
  <c r="H241" i="1"/>
  <c r="AA241" i="1" s="1"/>
  <c r="H296" i="1"/>
  <c r="AA296" i="1" s="1"/>
  <c r="H152" i="1"/>
  <c r="AA152" i="1" s="1"/>
  <c r="H440" i="1"/>
  <c r="AA440" i="1" s="1"/>
  <c r="H215" i="1"/>
  <c r="AA215" i="1" s="1"/>
  <c r="H97" i="1"/>
  <c r="AA97" i="1" s="1"/>
  <c r="H486" i="1"/>
  <c r="AA486" i="1" s="1"/>
  <c r="H342" i="1"/>
  <c r="AA342" i="1" s="1"/>
  <c r="H198" i="1"/>
  <c r="AA198" i="1" s="1"/>
  <c r="H79" i="1"/>
  <c r="AA79" i="1" s="1"/>
  <c r="H247" i="1"/>
  <c r="AA247" i="1" s="1"/>
  <c r="H405" i="1"/>
  <c r="AA405" i="1" s="1"/>
  <c r="H245" i="1"/>
  <c r="AA245" i="1" s="1"/>
  <c r="H327" i="1"/>
  <c r="AA327" i="1" s="1"/>
  <c r="H324" i="1"/>
  <c r="AA324" i="1" s="1"/>
  <c r="H119" i="1"/>
  <c r="AA119" i="1" s="1"/>
  <c r="H110" i="1"/>
  <c r="AA110" i="1" s="1"/>
  <c r="H258" i="1"/>
  <c r="AA258" i="1" s="1"/>
  <c r="H149" i="1"/>
  <c r="AA149" i="1" s="1"/>
  <c r="H29" i="1"/>
  <c r="AA29" i="1" s="1"/>
  <c r="H451" i="1"/>
  <c r="AA451" i="1" s="1"/>
  <c r="H212" i="1"/>
  <c r="AA212" i="1" s="1"/>
  <c r="H297" i="1"/>
  <c r="AA297" i="1" s="1"/>
  <c r="H333" i="1"/>
  <c r="AA333" i="1" s="1"/>
  <c r="H285" i="1"/>
  <c r="AA285" i="1" s="1"/>
  <c r="H58" i="1"/>
  <c r="AA58" i="1" s="1"/>
  <c r="H65" i="1"/>
  <c r="AA65" i="1" s="1"/>
  <c r="H180" i="1"/>
  <c r="AA180" i="1" s="1"/>
  <c r="H372" i="1"/>
  <c r="AA372" i="1" s="1"/>
  <c r="H395" i="1"/>
  <c r="AA395" i="1" s="1"/>
  <c r="H427" i="1"/>
  <c r="AA427" i="1" s="1"/>
  <c r="H235" i="1"/>
  <c r="AA235" i="1" s="1"/>
  <c r="H357" i="1"/>
  <c r="AA357" i="1" s="1"/>
  <c r="H392" i="1"/>
  <c r="AA392" i="1" s="1"/>
  <c r="H472" i="1"/>
  <c r="AA472" i="1" s="1"/>
  <c r="H68" i="1"/>
  <c r="AA68" i="1" s="1"/>
  <c r="H78" i="1"/>
  <c r="AA78" i="1" s="1"/>
  <c r="H116" i="1"/>
  <c r="AA116" i="1" s="1"/>
  <c r="H388" i="1"/>
  <c r="AA388" i="1" s="1"/>
  <c r="H484" i="1"/>
  <c r="AA484" i="1" s="1"/>
  <c r="H292" i="1"/>
  <c r="AA292" i="1" s="1"/>
  <c r="H362" i="1"/>
  <c r="AA362" i="1" s="1"/>
  <c r="H156" i="1"/>
  <c r="AA156" i="1" s="1"/>
  <c r="H354" i="1"/>
  <c r="AA354" i="1" s="1"/>
  <c r="H237" i="1"/>
  <c r="AA237" i="1" s="1"/>
  <c r="H251" i="1"/>
  <c r="AA251" i="1" s="1"/>
  <c r="H379" i="1"/>
  <c r="AA379" i="1" s="1"/>
  <c r="H187" i="1"/>
  <c r="AA187" i="1" s="1"/>
  <c r="H35" i="1"/>
  <c r="AA35" i="1" s="1"/>
  <c r="H474" i="1"/>
  <c r="AA474" i="1" s="1"/>
  <c r="H346" i="1"/>
  <c r="AA346" i="1" s="1"/>
  <c r="H202" i="1"/>
  <c r="AA202" i="1" s="1"/>
  <c r="H457" i="1"/>
  <c r="AA457" i="1" s="1"/>
  <c r="H121" i="1"/>
  <c r="AA121" i="1" s="1"/>
  <c r="H304" i="1"/>
  <c r="AA304" i="1" s="1"/>
  <c r="H160" i="1"/>
  <c r="AA160" i="1" s="1"/>
  <c r="H487" i="1"/>
  <c r="AA487" i="1" s="1"/>
  <c r="H175" i="1"/>
  <c r="AA175" i="1" s="1"/>
  <c r="H95" i="1"/>
  <c r="AA95" i="1" s="1"/>
  <c r="H446" i="1"/>
  <c r="AA446" i="1" s="1"/>
  <c r="H318" i="1"/>
  <c r="AA318" i="1" s="1"/>
  <c r="H158" i="1"/>
  <c r="AA158" i="1" s="1"/>
  <c r="H461" i="1"/>
  <c r="AA461" i="1" s="1"/>
  <c r="H205" i="1"/>
  <c r="AA205" i="1" s="1"/>
  <c r="H57" i="1"/>
  <c r="AA57" i="1" s="1"/>
  <c r="H255" i="1"/>
  <c r="AA255" i="1" s="1"/>
  <c r="H428" i="1"/>
  <c r="AA428" i="1" s="1"/>
  <c r="H300" i="1"/>
  <c r="AA300" i="1" s="1"/>
  <c r="H172" i="1"/>
  <c r="AA172" i="1" s="1"/>
  <c r="H371" i="1"/>
  <c r="AA371" i="1" s="1"/>
  <c r="H435" i="1"/>
  <c r="AA435" i="1" s="1"/>
  <c r="H243" i="1"/>
  <c r="AA243" i="1" s="1"/>
  <c r="H38" i="1"/>
  <c r="AA38" i="1" s="1"/>
  <c r="H5" i="1"/>
  <c r="AA5" i="1" s="1"/>
  <c r="H386" i="1"/>
  <c r="AA386" i="1" s="1"/>
  <c r="H210" i="1"/>
  <c r="AA210" i="1" s="1"/>
  <c r="H481" i="1"/>
  <c r="AA481" i="1" s="1"/>
  <c r="H353" i="1"/>
  <c r="AA353" i="1" s="1"/>
  <c r="H209" i="1"/>
  <c r="AA209" i="1" s="1"/>
  <c r="H432" i="1"/>
  <c r="AA432" i="1" s="1"/>
  <c r="H280" i="1"/>
  <c r="AA280" i="1" s="1"/>
  <c r="H136" i="1"/>
  <c r="AA136" i="1" s="1"/>
  <c r="H71" i="1"/>
  <c r="AA71" i="1" s="1"/>
  <c r="H199" i="1"/>
  <c r="AA199" i="1" s="1"/>
  <c r="H96" i="1"/>
  <c r="AA96" i="1" s="1"/>
  <c r="H454" i="1"/>
  <c r="AA454" i="1" s="1"/>
  <c r="H326" i="1"/>
  <c r="AA326" i="1" s="1"/>
  <c r="H182" i="1"/>
  <c r="AA182" i="1" s="1"/>
  <c r="H86" i="1"/>
  <c r="AA86" i="1" s="1"/>
  <c r="H389" i="1"/>
  <c r="AA389" i="1" s="1"/>
  <c r="H229" i="1"/>
  <c r="AA229" i="1" s="1"/>
  <c r="H41" i="1"/>
  <c r="AA41" i="1" s="1"/>
  <c r="H279" i="1"/>
  <c r="AA279" i="1" s="1"/>
  <c r="H13" i="1"/>
  <c r="AA13" i="1" s="1"/>
  <c r="H308" i="1"/>
  <c r="AA308" i="1" s="1"/>
  <c r="H153" i="1"/>
  <c r="AA153" i="1" s="1"/>
  <c r="H144" i="1"/>
  <c r="AA144" i="1" s="1"/>
  <c r="H103" i="1"/>
  <c r="AA103" i="1" s="1"/>
  <c r="H345" i="1"/>
  <c r="AA345" i="1" s="1"/>
  <c r="H193" i="1"/>
  <c r="AA193" i="1" s="1"/>
  <c r="H403" i="1"/>
  <c r="AA403" i="1" s="1"/>
  <c r="H493" i="1"/>
  <c r="AA493" i="1" s="1"/>
  <c r="H311" i="1"/>
  <c r="AA311" i="1" s="1"/>
  <c r="H330" i="1"/>
  <c r="AA330" i="1" s="1"/>
  <c r="H91" i="1"/>
  <c r="AA91" i="1" s="1"/>
  <c r="H225" i="1"/>
  <c r="AA225" i="1" s="1"/>
  <c r="H499" i="1"/>
  <c r="AA499" i="1" s="1"/>
  <c r="H203" i="1"/>
  <c r="AA203" i="1" s="1"/>
  <c r="H55" i="1"/>
  <c r="AA55" i="1" s="1"/>
  <c r="H430" i="1"/>
  <c r="AA430" i="1" s="1"/>
  <c r="H445" i="1"/>
  <c r="AA445" i="1" s="1"/>
  <c r="H317" i="1"/>
  <c r="AA317" i="1" s="1"/>
  <c r="H189" i="1"/>
  <c r="AA189" i="1" s="1"/>
  <c r="H45" i="1"/>
  <c r="AA45" i="1" s="1"/>
  <c r="H10" i="1"/>
  <c r="AA10" i="1" s="1"/>
  <c r="H412" i="1"/>
  <c r="AA412" i="1" s="1"/>
  <c r="H284" i="1"/>
  <c r="AA284" i="1" s="1"/>
  <c r="H323" i="1"/>
  <c r="AA323" i="1" s="1"/>
  <c r="H411" i="1"/>
  <c r="AA411" i="1" s="1"/>
  <c r="H98" i="1"/>
  <c r="AA98" i="1" s="1"/>
  <c r="H498" i="1"/>
  <c r="AA498" i="1" s="1"/>
  <c r="H194" i="1"/>
  <c r="AA194" i="1" s="1"/>
  <c r="H465" i="1"/>
  <c r="AA465" i="1" s="1"/>
  <c r="H337" i="1"/>
  <c r="AA337" i="1" s="1"/>
  <c r="H416" i="1"/>
  <c r="AA416" i="1" s="1"/>
  <c r="H264" i="1"/>
  <c r="AA264" i="1" s="1"/>
  <c r="H120" i="1"/>
  <c r="AA120" i="1" s="1"/>
  <c r="H463" i="1"/>
  <c r="AA463" i="1" s="1"/>
  <c r="H183" i="1"/>
  <c r="AA183" i="1" s="1"/>
  <c r="H438" i="1"/>
  <c r="AA438" i="1" s="1"/>
  <c r="H310" i="1"/>
  <c r="AA310" i="1" s="1"/>
  <c r="H166" i="1"/>
  <c r="AA166" i="1" s="1"/>
  <c r="H72" i="1"/>
  <c r="AA72" i="1" s="1"/>
  <c r="H501" i="1"/>
  <c r="AA501" i="1" s="1"/>
  <c r="H373" i="1"/>
  <c r="AA373" i="1" s="1"/>
  <c r="H4" i="1"/>
  <c r="AA4" i="1" s="1"/>
  <c r="H89" i="1"/>
  <c r="AA89" i="1" s="1"/>
  <c r="H420" i="1"/>
  <c r="AA420" i="1" s="1"/>
  <c r="H132" i="1"/>
  <c r="AA132" i="1" s="1"/>
  <c r="H256" i="1"/>
  <c r="AA256" i="1" s="1"/>
  <c r="H399" i="1"/>
  <c r="AA399" i="1" s="1"/>
  <c r="H238" i="1"/>
  <c r="AA238" i="1" s="1"/>
  <c r="H124" i="1"/>
  <c r="AA124" i="1" s="1"/>
  <c r="H22" i="1"/>
  <c r="AA22" i="1" s="1"/>
  <c r="H286" i="1"/>
  <c r="AA286" i="1" s="1"/>
  <c r="H325" i="1"/>
  <c r="AA325" i="1" s="1"/>
  <c r="H176" i="1"/>
  <c r="AA176" i="1" s="1"/>
  <c r="H207" i="1"/>
  <c r="AA207" i="1" s="1"/>
  <c r="H477" i="1"/>
  <c r="AA477" i="1" s="1"/>
  <c r="H470" i="1"/>
  <c r="AA470" i="1" s="1"/>
  <c r="H155" i="1"/>
  <c r="AA155" i="1" s="1"/>
  <c r="H409" i="1"/>
  <c r="AA409" i="1" s="1"/>
  <c r="H462" i="1"/>
  <c r="AA462" i="1" s="1"/>
  <c r="H148" i="1"/>
  <c r="AA148" i="1" s="1"/>
  <c r="H102" i="1"/>
  <c r="AA102" i="1" s="1"/>
  <c r="H260" i="1"/>
  <c r="AA260" i="1" s="1"/>
  <c r="H306" i="1"/>
  <c r="AA306" i="1" s="1"/>
  <c r="H226" i="1"/>
  <c r="AA226" i="1" s="1"/>
  <c r="H7" i="1"/>
  <c r="AA7" i="1" s="1"/>
  <c r="H52" i="1"/>
  <c r="AA52" i="1" s="1"/>
  <c r="H39" i="1"/>
  <c r="AA39" i="1" s="1"/>
  <c r="H355" i="1"/>
  <c r="AA355" i="1" s="1"/>
  <c r="H458" i="1"/>
  <c r="AA458" i="1" s="1"/>
  <c r="H314" i="1"/>
  <c r="AA314" i="1" s="1"/>
  <c r="H186" i="1"/>
  <c r="AA186" i="1" s="1"/>
  <c r="H441" i="1"/>
  <c r="AA441" i="1" s="1"/>
  <c r="H265" i="1"/>
  <c r="AA265" i="1" s="1"/>
  <c r="H105" i="1"/>
  <c r="AA105" i="1" s="1"/>
  <c r="H288" i="1"/>
  <c r="AA288" i="1" s="1"/>
  <c r="H128" i="1"/>
  <c r="AA128" i="1" s="1"/>
  <c r="H439" i="1"/>
  <c r="AA439" i="1" s="1"/>
  <c r="H159" i="1"/>
  <c r="AA159" i="1" s="1"/>
  <c r="H270" i="1"/>
  <c r="AA270" i="1" s="1"/>
  <c r="H142" i="1"/>
  <c r="AA142" i="1" s="1"/>
  <c r="H456" i="1"/>
  <c r="AA456" i="1" s="1"/>
  <c r="H185" i="1"/>
  <c r="AA185" i="1" s="1"/>
  <c r="H40" i="1"/>
  <c r="AA40" i="1" s="1"/>
  <c r="H75" i="1"/>
  <c r="AA75" i="1" s="1"/>
  <c r="H370" i="1"/>
  <c r="AA370" i="1" s="1"/>
  <c r="H59" i="1"/>
  <c r="AA59" i="1" s="1"/>
  <c r="H381" i="1"/>
  <c r="AA381" i="1" s="1"/>
  <c r="H293" i="1"/>
  <c r="AA293" i="1" s="1"/>
  <c r="H66" i="1"/>
  <c r="AA66" i="1" s="1"/>
  <c r="H115" i="1"/>
  <c r="AA115" i="1" s="1"/>
  <c r="H15" i="1"/>
  <c r="AA15" i="1" s="1"/>
  <c r="H331" i="1"/>
  <c r="AA331" i="1" s="1"/>
  <c r="H147" i="1"/>
  <c r="AA147" i="1" s="1"/>
  <c r="H14" i="1"/>
  <c r="AA14" i="1" s="1"/>
  <c r="H442" i="1"/>
  <c r="AA442" i="1" s="1"/>
  <c r="H298" i="1"/>
  <c r="AA298" i="1" s="1"/>
  <c r="H170" i="1"/>
  <c r="AA170" i="1" s="1"/>
  <c r="H425" i="1"/>
  <c r="AA425" i="1" s="1"/>
  <c r="H249" i="1"/>
  <c r="AA249" i="1" s="1"/>
  <c r="H464" i="1"/>
  <c r="AA464" i="1" s="1"/>
  <c r="H272" i="1"/>
  <c r="AA272" i="1" s="1"/>
  <c r="H112" i="1"/>
  <c r="AA112" i="1" s="1"/>
  <c r="H383" i="1"/>
  <c r="AA383" i="1" s="1"/>
  <c r="H135" i="1"/>
  <c r="AA135" i="1" s="1"/>
  <c r="H414" i="1"/>
  <c r="AA414" i="1" s="1"/>
  <c r="H254" i="1"/>
  <c r="AA254" i="1" s="1"/>
  <c r="H126" i="1"/>
  <c r="AA126" i="1" s="1"/>
  <c r="H495" i="1"/>
  <c r="AA495" i="1" s="1"/>
  <c r="H429" i="1"/>
  <c r="AA429" i="1" s="1"/>
  <c r="H301" i="1"/>
  <c r="AA301" i="1" s="1"/>
  <c r="H173" i="1"/>
  <c r="AA173" i="1" s="1"/>
  <c r="H448" i="1"/>
  <c r="AA448" i="1" s="1"/>
  <c r="H24" i="1"/>
  <c r="AA24" i="1" s="1"/>
  <c r="H49" i="1"/>
  <c r="AA49" i="1" s="1"/>
  <c r="H396" i="1"/>
  <c r="AA396" i="1" s="1"/>
  <c r="H268" i="1"/>
  <c r="AA268" i="1" s="1"/>
  <c r="H140" i="1"/>
  <c r="AA140" i="1" s="1"/>
  <c r="H275" i="1"/>
  <c r="AA275" i="1" s="1"/>
  <c r="H387" i="1"/>
  <c r="AA387" i="1" s="1"/>
  <c r="H195" i="1"/>
  <c r="AA195" i="1" s="1"/>
  <c r="H19" i="1"/>
  <c r="AA19" i="1" s="1"/>
  <c r="H482" i="1"/>
  <c r="AA482" i="1" s="1"/>
  <c r="H178" i="1"/>
  <c r="AA178" i="1" s="1"/>
  <c r="H449" i="1"/>
  <c r="AA449" i="1" s="1"/>
  <c r="H321" i="1"/>
  <c r="AA321" i="1" s="1"/>
  <c r="H177" i="1"/>
  <c r="AA177" i="1" s="1"/>
  <c r="H400" i="1"/>
  <c r="AA400" i="1" s="1"/>
  <c r="H248" i="1"/>
  <c r="AA248" i="1" s="1"/>
  <c r="H104" i="1"/>
  <c r="AA104" i="1" s="1"/>
  <c r="H415" i="1"/>
  <c r="AA415" i="1" s="1"/>
  <c r="H167" i="1"/>
  <c r="AA167" i="1" s="1"/>
  <c r="H53" i="1"/>
  <c r="AA53" i="1" s="1"/>
  <c r="H422" i="1"/>
  <c r="AA422" i="1" s="1"/>
  <c r="H294" i="1"/>
  <c r="AA294" i="1" s="1"/>
  <c r="H150" i="1"/>
  <c r="AA150" i="1" s="1"/>
  <c r="H488" i="1"/>
  <c r="AA488" i="1" s="1"/>
  <c r="H485" i="1"/>
  <c r="AA485" i="1" s="1"/>
  <c r="H341" i="1"/>
  <c r="AA341" i="1" s="1"/>
  <c r="H197" i="1"/>
  <c r="AA197" i="1" s="1"/>
  <c r="H32" i="1"/>
  <c r="AA32" i="1" s="1"/>
  <c r="H100" i="1"/>
  <c r="AA100" i="1" s="1"/>
  <c r="H28" i="1"/>
  <c r="AA28" i="1" s="1"/>
  <c r="H404" i="1"/>
  <c r="AA404" i="1" s="1"/>
  <c r="H276" i="1"/>
  <c r="AA276" i="1" s="1"/>
  <c r="V2" i="1"/>
  <c r="U484" i="1"/>
  <c r="U59" i="1"/>
  <c r="T372" i="1"/>
  <c r="U148" i="1"/>
  <c r="U452" i="1"/>
  <c r="U15" i="1"/>
  <c r="T58" i="1"/>
  <c r="T7" i="1"/>
  <c r="U260" i="1"/>
  <c r="U500" i="1"/>
  <c r="T436" i="1"/>
  <c r="U244" i="1"/>
  <c r="U233" i="1"/>
  <c r="T297" i="1"/>
  <c r="T76" i="1"/>
  <c r="U237" i="1"/>
  <c r="T322" i="1"/>
  <c r="T285" i="1"/>
  <c r="T306" i="1"/>
  <c r="U54" i="1"/>
  <c r="T16" i="1"/>
  <c r="T143" i="1"/>
  <c r="U381" i="1"/>
  <c r="U289" i="1"/>
  <c r="U179" i="1"/>
  <c r="U65" i="1"/>
  <c r="T99" i="1"/>
  <c r="T56" i="1"/>
  <c r="U403" i="1"/>
  <c r="U52" i="1"/>
  <c r="U102" i="1"/>
  <c r="T193" i="1"/>
  <c r="U3" i="1"/>
  <c r="T124" i="1"/>
  <c r="T499" i="1"/>
  <c r="T115" i="1"/>
  <c r="T139" i="1"/>
  <c r="T267" i="1"/>
  <c r="T87" i="1"/>
  <c r="U163" i="1"/>
  <c r="U333" i="1"/>
  <c r="U29" i="1"/>
  <c r="U67" i="1"/>
  <c r="T91" i="1"/>
  <c r="U39" i="1"/>
  <c r="T185" i="1"/>
  <c r="T259" i="1"/>
  <c r="T234" i="1"/>
  <c r="U418" i="1"/>
  <c r="U75" i="1"/>
  <c r="T226" i="1"/>
  <c r="T493" i="1"/>
  <c r="U338" i="1"/>
  <c r="T74" i="1"/>
  <c r="T362" i="1"/>
  <c r="T42" i="1"/>
  <c r="T354" i="1"/>
  <c r="U377" i="1"/>
  <c r="U156" i="1"/>
  <c r="Q2" i="1"/>
  <c r="T293" i="1"/>
  <c r="T106" i="1"/>
  <c r="T219" i="1"/>
  <c r="T66" i="1"/>
  <c r="T460" i="1"/>
  <c r="U460" i="1"/>
  <c r="T6" i="1"/>
  <c r="U6" i="1"/>
  <c r="T150" i="1"/>
  <c r="U150" i="1"/>
  <c r="T340" i="1"/>
  <c r="U340" i="1"/>
  <c r="T40" i="1"/>
  <c r="U40" i="1"/>
  <c r="T356" i="1"/>
  <c r="U356" i="1"/>
  <c r="T165" i="1"/>
  <c r="U165" i="1"/>
  <c r="T146" i="1"/>
  <c r="U146" i="1"/>
  <c r="T53" i="1"/>
  <c r="U53" i="1"/>
  <c r="T96" i="1"/>
  <c r="U96" i="1"/>
  <c r="T303" i="1"/>
  <c r="U303" i="1"/>
  <c r="T463" i="1"/>
  <c r="U463" i="1"/>
  <c r="T24" i="1"/>
  <c r="U24" i="1"/>
  <c r="T466" i="1"/>
  <c r="U466" i="1"/>
  <c r="T122" i="1"/>
  <c r="U122" i="1"/>
  <c r="T252" i="1"/>
  <c r="U252" i="1"/>
  <c r="T100" i="1"/>
  <c r="U100" i="1"/>
  <c r="T140" i="1"/>
  <c r="U140" i="1"/>
  <c r="T423" i="1"/>
  <c r="U423" i="1"/>
  <c r="T471" i="1"/>
  <c r="U471" i="1"/>
  <c r="T410" i="1"/>
  <c r="U410" i="1"/>
  <c r="T118" i="1"/>
  <c r="U118" i="1"/>
  <c r="T210" i="1"/>
  <c r="U210" i="1"/>
  <c r="T218" i="1"/>
  <c r="U218" i="1"/>
  <c r="T191" i="1"/>
  <c r="U191" i="1"/>
  <c r="T276" i="1"/>
  <c r="U276" i="1"/>
  <c r="T313" i="1"/>
  <c r="U313" i="1"/>
  <c r="T309" i="1"/>
  <c r="U309" i="1"/>
  <c r="T44" i="1"/>
  <c r="U44" i="1"/>
  <c r="T312" i="1"/>
  <c r="U312" i="1"/>
  <c r="T167" i="1"/>
  <c r="U167" i="1"/>
  <c r="T264" i="1"/>
  <c r="U264" i="1"/>
  <c r="T249" i="1"/>
  <c r="U249" i="1"/>
  <c r="T378" i="1"/>
  <c r="U378" i="1"/>
  <c r="T405" i="1"/>
  <c r="U405" i="1"/>
  <c r="T64" i="1"/>
  <c r="U64" i="1"/>
  <c r="T181" i="1"/>
  <c r="U181" i="1"/>
  <c r="T386" i="1"/>
  <c r="U386" i="1"/>
  <c r="T199" i="1"/>
  <c r="U199" i="1"/>
  <c r="T491" i="1"/>
  <c r="U491" i="1"/>
  <c r="T250" i="1"/>
  <c r="U250" i="1"/>
  <c r="T424" i="1"/>
  <c r="U424" i="1"/>
  <c r="T488" i="1"/>
  <c r="U488" i="1"/>
  <c r="T441" i="1"/>
  <c r="U441" i="1"/>
  <c r="T194" i="1"/>
  <c r="U194" i="1"/>
  <c r="T434" i="1"/>
  <c r="U434" i="1"/>
  <c r="T415" i="1"/>
  <c r="U415" i="1"/>
  <c r="T349" i="1"/>
  <c r="U349" i="1"/>
  <c r="T251" i="1"/>
  <c r="U251" i="1"/>
  <c r="T379" i="1"/>
  <c r="U379" i="1"/>
  <c r="T298" i="1"/>
  <c r="U298" i="1"/>
  <c r="T270" i="1"/>
  <c r="U270" i="1"/>
  <c r="T187" i="1"/>
  <c r="U187" i="1"/>
  <c r="T51" i="1"/>
  <c r="U51" i="1"/>
  <c r="T294" i="1"/>
  <c r="U294" i="1"/>
  <c r="T243" i="1"/>
  <c r="U243" i="1"/>
  <c r="T204" i="1"/>
  <c r="U204" i="1"/>
  <c r="T414" i="1"/>
  <c r="U414" i="1"/>
  <c r="T301" i="1"/>
  <c r="U301" i="1"/>
  <c r="T111" i="1"/>
  <c r="U111" i="1"/>
  <c r="T147" i="1"/>
  <c r="U147" i="1"/>
  <c r="T274" i="1"/>
  <c r="U274" i="1"/>
  <c r="T131" i="1"/>
  <c r="U131" i="1"/>
  <c r="T459" i="1"/>
  <c r="U459" i="1"/>
  <c r="T387" i="1"/>
  <c r="U387" i="1"/>
  <c r="T171" i="1"/>
  <c r="U171" i="1"/>
  <c r="T299" i="1"/>
  <c r="U299" i="1"/>
  <c r="T323" i="1"/>
  <c r="U323" i="1"/>
  <c r="T433" i="1"/>
  <c r="U433" i="1"/>
  <c r="T455" i="1"/>
  <c r="U455" i="1"/>
  <c r="T319" i="1"/>
  <c r="U319" i="1"/>
  <c r="T130" i="1"/>
  <c r="U130" i="1"/>
  <c r="T446" i="1"/>
  <c r="U446" i="1"/>
  <c r="T486" i="1"/>
  <c r="U486" i="1"/>
  <c r="T120" i="1"/>
  <c r="U120" i="1"/>
  <c r="T406" i="1"/>
  <c r="U406" i="1"/>
  <c r="T108" i="1"/>
  <c r="U108" i="1"/>
  <c r="T348" i="1"/>
  <c r="U348" i="1"/>
  <c r="T32" i="1"/>
  <c r="U32" i="1"/>
  <c r="T496" i="1"/>
  <c r="U496" i="1"/>
  <c r="T427" i="1"/>
  <c r="U427" i="1"/>
  <c r="T72" i="1"/>
  <c r="U72" i="1"/>
  <c r="T437" i="1"/>
  <c r="U437" i="1"/>
  <c r="T17" i="1"/>
  <c r="U17" i="1"/>
  <c r="T426" i="1"/>
  <c r="U426" i="1"/>
  <c r="T456" i="1"/>
  <c r="U456" i="1"/>
  <c r="T401" i="1"/>
  <c r="U401" i="1"/>
  <c r="T468" i="1"/>
  <c r="U468" i="1"/>
  <c r="T374" i="1"/>
  <c r="U374" i="1"/>
  <c r="T153" i="1"/>
  <c r="U153" i="1"/>
  <c r="T357" i="1"/>
  <c r="U357" i="1"/>
  <c r="T241" i="1"/>
  <c r="U241" i="1"/>
  <c r="T57" i="1"/>
  <c r="U57" i="1"/>
  <c r="T390" i="1"/>
  <c r="U390" i="1"/>
  <c r="T142" i="1"/>
  <c r="U142" i="1"/>
  <c r="T439" i="1"/>
  <c r="U439" i="1"/>
  <c r="T400" i="1"/>
  <c r="U400" i="1"/>
  <c r="T444" i="1"/>
  <c r="U444" i="1"/>
  <c r="T228" i="1"/>
  <c r="U228" i="1"/>
  <c r="T33" i="1"/>
  <c r="U33" i="1"/>
  <c r="T113" i="1"/>
  <c r="U113" i="1"/>
  <c r="T112" i="1"/>
  <c r="U112" i="1"/>
  <c r="T175" i="1"/>
  <c r="U175" i="1"/>
  <c r="T55" i="1"/>
  <c r="U55" i="1"/>
  <c r="T183" i="1"/>
  <c r="U183" i="1"/>
  <c r="T430" i="1"/>
  <c r="U430" i="1"/>
  <c r="T428" i="1"/>
  <c r="U428" i="1"/>
  <c r="T392" i="1"/>
  <c r="U392" i="1"/>
  <c r="T144" i="1"/>
  <c r="U144" i="1"/>
  <c r="T472" i="1"/>
  <c r="U472" i="1"/>
  <c r="T103" i="1"/>
  <c r="U103" i="1"/>
  <c r="T68" i="1"/>
  <c r="U68" i="1"/>
  <c r="T101" i="1"/>
  <c r="U101" i="1"/>
  <c r="T201" i="1"/>
  <c r="U201" i="1"/>
  <c r="T23" i="1"/>
  <c r="U23" i="1"/>
  <c r="T213" i="1"/>
  <c r="U213" i="1"/>
  <c r="T229" i="1"/>
  <c r="U229" i="1"/>
  <c r="T329" i="1"/>
  <c r="U329" i="1"/>
  <c r="T359" i="1"/>
  <c r="U359" i="1"/>
  <c r="T198" i="1"/>
  <c r="U198" i="1"/>
  <c r="T245" i="1"/>
  <c r="U245" i="1"/>
  <c r="T132" i="1"/>
  <c r="U132" i="1"/>
  <c r="T242" i="1"/>
  <c r="U242" i="1"/>
  <c r="T232" i="1"/>
  <c r="U232" i="1"/>
  <c r="T25" i="1"/>
  <c r="U25" i="1"/>
  <c r="T278" i="1"/>
  <c r="U278" i="1"/>
  <c r="T328" i="1"/>
  <c r="U328" i="1"/>
  <c r="T279" i="1"/>
  <c r="U279" i="1"/>
  <c r="T445" i="1"/>
  <c r="U445" i="1"/>
  <c r="T20" i="1"/>
  <c r="U20" i="1"/>
  <c r="T327" i="1"/>
  <c r="U327" i="1"/>
  <c r="T114" i="1"/>
  <c r="U114" i="1"/>
  <c r="T485" i="1"/>
  <c r="U485" i="1"/>
  <c r="T316" i="1"/>
  <c r="U316" i="1"/>
  <c r="T34" i="1"/>
  <c r="U34" i="1"/>
  <c r="T345" i="1"/>
  <c r="U345" i="1"/>
  <c r="T344" i="1"/>
  <c r="U344" i="1"/>
  <c r="T302" i="1"/>
  <c r="U302" i="1"/>
  <c r="T109" i="1"/>
  <c r="U109" i="1"/>
  <c r="T308" i="1"/>
  <c r="U308" i="1"/>
  <c r="T13" i="1"/>
  <c r="U13" i="1"/>
  <c r="T127" i="1"/>
  <c r="U127" i="1"/>
  <c r="T501" i="1"/>
  <c r="U501" i="1"/>
  <c r="T352" i="1"/>
  <c r="U352" i="1"/>
  <c r="T461" i="1"/>
  <c r="U461" i="1"/>
  <c r="T62" i="1"/>
  <c r="U62" i="1"/>
  <c r="T50" i="1"/>
  <c r="U50" i="1"/>
  <c r="T473" i="1"/>
  <c r="U473" i="1"/>
  <c r="T248" i="1"/>
  <c r="U248" i="1"/>
  <c r="T178" i="1"/>
  <c r="U178" i="1"/>
  <c r="T30" i="1"/>
  <c r="U30" i="1"/>
  <c r="T449" i="1"/>
  <c r="U449" i="1"/>
  <c r="T254" i="1"/>
  <c r="U254" i="1"/>
  <c r="T86" i="1"/>
  <c r="U86" i="1"/>
  <c r="T141" i="1"/>
  <c r="U141" i="1"/>
  <c r="T442" i="1"/>
  <c r="U442" i="1"/>
  <c r="T429" i="1"/>
  <c r="U429" i="1"/>
  <c r="T221" i="1"/>
  <c r="U221" i="1"/>
  <c r="T295" i="1"/>
  <c r="U295" i="1"/>
  <c r="T63" i="1"/>
  <c r="U63" i="1"/>
  <c r="T238" i="1"/>
  <c r="U238" i="1"/>
  <c r="T98" i="1"/>
  <c r="U98" i="1"/>
  <c r="T214" i="1"/>
  <c r="U214" i="1"/>
  <c r="T224" i="1"/>
  <c r="U224" i="1"/>
  <c r="T230" i="1"/>
  <c r="U230" i="1"/>
  <c r="T45" i="1"/>
  <c r="U45" i="1"/>
  <c r="T4" i="1"/>
  <c r="U4" i="1"/>
  <c r="T282" i="1"/>
  <c r="U282" i="1"/>
  <c r="T284" i="1"/>
  <c r="U284" i="1"/>
  <c r="T123" i="1"/>
  <c r="U123" i="1"/>
  <c r="T71" i="1"/>
  <c r="U71" i="1"/>
  <c r="T12" i="1"/>
  <c r="U12" i="1"/>
  <c r="T288" i="1"/>
  <c r="U288" i="1"/>
  <c r="T283" i="1"/>
  <c r="U283" i="1"/>
  <c r="T160" i="1"/>
  <c r="U160" i="1"/>
  <c r="T346" i="1"/>
  <c r="U346" i="1"/>
  <c r="T326" i="1"/>
  <c r="U326" i="1"/>
  <c r="T425" i="1"/>
  <c r="U425" i="1"/>
  <c r="T220" i="1"/>
  <c r="U220" i="1"/>
  <c r="T43" i="1"/>
  <c r="U43" i="1"/>
  <c r="T11" i="1"/>
  <c r="U11" i="1"/>
  <c r="T73" i="1"/>
  <c r="U73" i="1"/>
  <c r="T458" i="1"/>
  <c r="U458" i="1"/>
  <c r="T5" i="1"/>
  <c r="U5" i="1"/>
  <c r="T38" i="1"/>
  <c r="U38" i="1"/>
  <c r="T411" i="1"/>
  <c r="U411" i="1"/>
  <c r="T398" i="1"/>
  <c r="U398" i="1"/>
  <c r="T451" i="1"/>
  <c r="U451" i="1"/>
  <c r="T275" i="1"/>
  <c r="U275" i="1"/>
  <c r="T231" i="1"/>
  <c r="U231" i="1"/>
  <c r="T487" i="1"/>
  <c r="U487" i="1"/>
  <c r="T318" i="1"/>
  <c r="U318" i="1"/>
  <c r="T79" i="1"/>
  <c r="U79" i="1"/>
  <c r="T212" i="1"/>
  <c r="U212" i="1"/>
  <c r="T382" i="1"/>
  <c r="U382" i="1"/>
  <c r="T407" i="1"/>
  <c r="U407" i="1"/>
  <c r="T364" i="1"/>
  <c r="U364" i="1"/>
  <c r="T291" i="1"/>
  <c r="U291" i="1"/>
  <c r="T495" i="1"/>
  <c r="U495" i="1"/>
  <c r="T110" i="1"/>
  <c r="U110" i="1"/>
  <c r="T422" i="1"/>
  <c r="U422" i="1"/>
  <c r="T457" i="1"/>
  <c r="U457" i="1"/>
  <c r="T9" i="1"/>
  <c r="U9" i="1"/>
  <c r="T119" i="1"/>
  <c r="U119" i="1"/>
  <c r="T366" i="1"/>
  <c r="U366" i="1"/>
  <c r="T271" i="1"/>
  <c r="U271" i="1"/>
  <c r="T80" i="1"/>
  <c r="U80" i="1"/>
  <c r="T370" i="1"/>
  <c r="U370" i="1"/>
  <c r="T351" i="1"/>
  <c r="U351" i="1"/>
  <c r="T21" i="1"/>
  <c r="U21" i="1"/>
  <c r="T353" i="1"/>
  <c r="U353" i="1"/>
  <c r="T440" i="1"/>
  <c r="U440" i="1"/>
  <c r="T438" i="1"/>
  <c r="U438" i="1"/>
  <c r="T334" i="1"/>
  <c r="U334" i="1"/>
  <c r="T190" i="1"/>
  <c r="U190" i="1"/>
  <c r="T404" i="1"/>
  <c r="U404" i="1"/>
  <c r="T93" i="1"/>
  <c r="U93" i="1"/>
  <c r="T479" i="1"/>
  <c r="U479" i="1"/>
  <c r="T28" i="1"/>
  <c r="U28" i="1"/>
  <c r="T46" i="1"/>
  <c r="U46" i="1"/>
  <c r="T358" i="1"/>
  <c r="U358" i="1"/>
  <c r="T399" i="1"/>
  <c r="U399" i="1"/>
  <c r="T280" i="1"/>
  <c r="U280" i="1"/>
  <c r="T10" i="1"/>
  <c r="U10" i="1"/>
  <c r="T133" i="1"/>
  <c r="U133" i="1"/>
  <c r="T263" i="1"/>
  <c r="U263" i="1"/>
  <c r="T239" i="1"/>
  <c r="U239" i="1"/>
  <c r="T412" i="1"/>
  <c r="U412" i="1"/>
  <c r="T324" i="1"/>
  <c r="U324" i="1"/>
  <c r="T222" i="1"/>
  <c r="U222" i="1"/>
  <c r="T92" i="1"/>
  <c r="U92" i="1"/>
  <c r="T448" i="1"/>
  <c r="U448" i="1"/>
  <c r="T247" i="1"/>
  <c r="U247" i="1"/>
  <c r="T184" i="1"/>
  <c r="U184" i="1"/>
  <c r="T480" i="1"/>
  <c r="U480" i="1"/>
  <c r="T361" i="1"/>
  <c r="U361" i="1"/>
  <c r="T300" i="1"/>
  <c r="U300" i="1"/>
  <c r="T105" i="1"/>
  <c r="U105" i="1"/>
  <c r="T217" i="1"/>
  <c r="U217" i="1"/>
  <c r="T129" i="1"/>
  <c r="U129" i="1"/>
  <c r="T8" i="1"/>
  <c r="U8" i="1"/>
  <c r="T481" i="1"/>
  <c r="U481" i="1"/>
  <c r="T469" i="1"/>
  <c r="U469" i="1"/>
  <c r="T69" i="1"/>
  <c r="U69" i="1"/>
  <c r="T208" i="1"/>
  <c r="U208" i="1"/>
  <c r="T476" i="1"/>
  <c r="U476" i="1"/>
  <c r="T336" i="1"/>
  <c r="U336" i="1"/>
  <c r="T162" i="1"/>
  <c r="U162" i="1"/>
  <c r="T478" i="1"/>
  <c r="U478" i="1"/>
  <c r="T435" i="1"/>
  <c r="U435" i="1"/>
  <c r="T482" i="1"/>
  <c r="U482" i="1"/>
  <c r="T343" i="1"/>
  <c r="U343" i="1"/>
  <c r="T454" i="1"/>
  <c r="U454" i="1"/>
  <c r="T195" i="1"/>
  <c r="U195" i="1"/>
  <c r="T138" i="1"/>
  <c r="U138" i="1"/>
  <c r="T27" i="1"/>
  <c r="U27" i="1"/>
  <c r="T339" i="1"/>
  <c r="U339" i="1"/>
  <c r="T211" i="1"/>
  <c r="U211" i="1"/>
  <c r="T125" i="1"/>
  <c r="U125" i="1"/>
  <c r="T107" i="1"/>
  <c r="U107" i="1"/>
  <c r="T94" i="1"/>
  <c r="U94" i="1"/>
  <c r="T310" i="1"/>
  <c r="U310" i="1"/>
  <c r="T376" i="1"/>
  <c r="U376" i="1"/>
  <c r="T97" i="1"/>
  <c r="U97" i="1"/>
  <c r="T363" i="1"/>
  <c r="U363" i="1"/>
  <c r="T128" i="1"/>
  <c r="U128" i="1"/>
  <c r="T235" i="1"/>
  <c r="U235" i="1"/>
  <c r="T203" i="1"/>
  <c r="U203" i="1"/>
  <c r="T467" i="1"/>
  <c r="U467" i="1"/>
  <c r="T432" i="1"/>
  <c r="U432" i="1"/>
  <c r="T417" i="1"/>
  <c r="U417" i="1"/>
  <c r="T360" i="1"/>
  <c r="U360" i="1"/>
  <c r="T416" i="1"/>
  <c r="U416" i="1"/>
  <c r="T464" i="1"/>
  <c r="U464" i="1"/>
  <c r="T494" i="1"/>
  <c r="U494" i="1"/>
  <c r="T296" i="1"/>
  <c r="U296" i="1"/>
  <c r="T498" i="1"/>
  <c r="U498" i="1"/>
  <c r="T192" i="1"/>
  <c r="U192" i="1"/>
  <c r="T182" i="1"/>
  <c r="U182" i="1"/>
  <c r="T60" i="1"/>
  <c r="U60" i="1"/>
  <c r="T380" i="1"/>
  <c r="U380" i="1"/>
  <c r="T255" i="1"/>
  <c r="U255" i="1"/>
  <c r="T136" i="1"/>
  <c r="U136" i="1"/>
  <c r="T431" i="1"/>
  <c r="U431" i="1"/>
  <c r="T384" i="1"/>
  <c r="U384" i="1"/>
  <c r="T385" i="1"/>
  <c r="U385" i="1"/>
  <c r="T268" i="1"/>
  <c r="U268" i="1"/>
  <c r="T465" i="1"/>
  <c r="U465" i="1"/>
  <c r="T277" i="1"/>
  <c r="U277" i="1"/>
  <c r="T453" i="1"/>
  <c r="U453" i="1"/>
  <c r="T19" i="1"/>
  <c r="U19" i="1"/>
  <c r="T173" i="1"/>
  <c r="U173" i="1"/>
  <c r="T158" i="1"/>
  <c r="U158" i="1"/>
  <c r="T413" i="1"/>
  <c r="U413" i="1"/>
  <c r="T265" i="1"/>
  <c r="U265" i="1"/>
  <c r="T223" i="1"/>
  <c r="U223" i="1"/>
  <c r="T397" i="1"/>
  <c r="U397" i="1"/>
  <c r="T383" i="1"/>
  <c r="U383" i="1"/>
  <c r="T36" i="1"/>
  <c r="U36" i="1"/>
  <c r="T78" i="1"/>
  <c r="U78" i="1"/>
  <c r="T258" i="1"/>
  <c r="U258" i="1"/>
  <c r="T116" i="1"/>
  <c r="U116" i="1"/>
  <c r="T305" i="1"/>
  <c r="U305" i="1"/>
  <c r="T85" i="1"/>
  <c r="U85" i="1"/>
  <c r="T393" i="1"/>
  <c r="U393" i="1"/>
  <c r="T304" i="1"/>
  <c r="U304" i="1"/>
  <c r="T137" i="1"/>
  <c r="U137" i="1"/>
  <c r="T317" i="1"/>
  <c r="U317" i="1"/>
  <c r="T420" i="1"/>
  <c r="U420" i="1"/>
  <c r="T394" i="1"/>
  <c r="U394" i="1"/>
  <c r="T419" i="1"/>
  <c r="U419" i="1"/>
  <c r="T368" i="1"/>
  <c r="U368" i="1"/>
  <c r="T200" i="1"/>
  <c r="U200" i="1"/>
  <c r="T391" i="1"/>
  <c r="U391" i="1"/>
  <c r="T369" i="1"/>
  <c r="U369" i="1"/>
  <c r="T450" i="1"/>
  <c r="U450" i="1"/>
  <c r="T332" i="1"/>
  <c r="U332" i="1"/>
  <c r="T475" i="1"/>
  <c r="U475" i="1"/>
  <c r="T341" i="1"/>
  <c r="U341" i="1"/>
  <c r="T497" i="1"/>
  <c r="U497" i="1"/>
  <c r="T330" i="1"/>
  <c r="U330" i="1"/>
  <c r="T311" i="1"/>
  <c r="U311" i="1"/>
  <c r="T325" i="1"/>
  <c r="U325" i="1"/>
  <c r="T396" i="1"/>
  <c r="U396" i="1"/>
  <c r="T151" i="1"/>
  <c r="U151" i="1"/>
  <c r="T373" i="1"/>
  <c r="U373" i="1"/>
  <c r="T272" i="1"/>
  <c r="U272" i="1"/>
  <c r="T408" i="1"/>
  <c r="U408" i="1"/>
  <c r="T169" i="1"/>
  <c r="U169" i="1"/>
  <c r="T421" i="1"/>
  <c r="U421" i="1"/>
  <c r="T492" i="1"/>
  <c r="U492" i="1"/>
  <c r="T47" i="1"/>
  <c r="U47" i="1"/>
  <c r="T215" i="1"/>
  <c r="U215" i="1"/>
  <c r="T172" i="1"/>
  <c r="U172" i="1"/>
  <c r="T253" i="1"/>
  <c r="U253" i="1"/>
  <c r="T152" i="1"/>
  <c r="U152" i="1"/>
  <c r="T246" i="1"/>
  <c r="U246" i="1"/>
  <c r="T206" i="1"/>
  <c r="U206" i="1"/>
  <c r="T196" i="1"/>
  <c r="U196" i="1"/>
  <c r="T176" i="1"/>
  <c r="U176" i="1"/>
  <c r="T22" i="1"/>
  <c r="U22" i="1"/>
  <c r="T207" i="1"/>
  <c r="U207" i="1"/>
  <c r="T286" i="1"/>
  <c r="U286" i="1"/>
  <c r="T477" i="1"/>
  <c r="U477" i="1"/>
  <c r="T154" i="1"/>
  <c r="U154" i="1"/>
  <c r="T159" i="1"/>
  <c r="U159" i="1"/>
  <c r="T134" i="1"/>
  <c r="U134" i="1"/>
  <c r="T321" i="1"/>
  <c r="U321" i="1"/>
  <c r="T367" i="1"/>
  <c r="U367" i="1"/>
  <c r="T256" i="1"/>
  <c r="U256" i="1"/>
  <c r="T261" i="1"/>
  <c r="U261" i="1"/>
  <c r="T145" i="1"/>
  <c r="U145" i="1"/>
  <c r="T236" i="1"/>
  <c r="U236" i="1"/>
  <c r="T88" i="1"/>
  <c r="U88" i="1"/>
  <c r="T225" i="1"/>
  <c r="U225" i="1"/>
  <c r="T83" i="1"/>
  <c r="U83" i="1"/>
  <c r="T470" i="1"/>
  <c r="U470" i="1"/>
  <c r="T149" i="1"/>
  <c r="U149" i="1"/>
  <c r="T155" i="1"/>
  <c r="U155" i="1"/>
  <c r="T164" i="1"/>
  <c r="U164" i="1"/>
  <c r="T186" i="1"/>
  <c r="U186" i="1"/>
  <c r="T402" i="1"/>
  <c r="U402" i="1"/>
  <c r="T287" i="1"/>
  <c r="U287" i="1"/>
  <c r="T216" i="1"/>
  <c r="U216" i="1"/>
  <c r="T89" i="1"/>
  <c r="U89" i="1"/>
  <c r="T197" i="1"/>
  <c r="U197" i="1"/>
  <c r="T189" i="1"/>
  <c r="U189" i="1"/>
  <c r="T188" i="1"/>
  <c r="U188" i="1"/>
  <c r="T409" i="1"/>
  <c r="U409" i="1"/>
  <c r="T281" i="1"/>
  <c r="U281" i="1"/>
  <c r="T462" i="1"/>
  <c r="U462" i="1"/>
  <c r="T447" i="1"/>
  <c r="U447" i="1"/>
  <c r="T320" i="1"/>
  <c r="U320" i="1"/>
  <c r="T389" i="1"/>
  <c r="U389" i="1"/>
  <c r="T41" i="1"/>
  <c r="U41" i="1"/>
  <c r="T117" i="1"/>
  <c r="U117" i="1"/>
  <c r="T262" i="1"/>
  <c r="U262" i="1"/>
  <c r="T161" i="1"/>
  <c r="U161" i="1"/>
  <c r="T335" i="1"/>
  <c r="U335" i="1"/>
  <c r="T375" i="1"/>
  <c r="U375" i="1"/>
  <c r="T121" i="1"/>
  <c r="U121" i="1"/>
  <c r="T14" i="1"/>
  <c r="U14" i="1"/>
  <c r="T342" i="1"/>
  <c r="U342" i="1"/>
  <c r="T37" i="1"/>
  <c r="U37" i="1"/>
  <c r="T166" i="1"/>
  <c r="U166" i="1"/>
  <c r="T168" i="1"/>
  <c r="U168" i="1"/>
  <c r="T269" i="1"/>
  <c r="U269" i="1"/>
  <c r="T157" i="1"/>
  <c r="U157" i="1"/>
  <c r="T174" i="1"/>
  <c r="U174" i="1"/>
  <c r="T104" i="1"/>
  <c r="U104" i="1"/>
  <c r="T257" i="1"/>
  <c r="U257" i="1"/>
  <c r="T84" i="1"/>
  <c r="U84" i="1"/>
  <c r="T227" i="1"/>
  <c r="U227" i="1"/>
  <c r="T273" i="1"/>
  <c r="U273" i="1"/>
  <c r="T365" i="1"/>
  <c r="U365" i="1"/>
  <c r="T126" i="1"/>
  <c r="U126" i="1"/>
  <c r="T35" i="1"/>
  <c r="U35" i="1"/>
  <c r="T81" i="1"/>
  <c r="U81" i="1"/>
  <c r="T18" i="1"/>
  <c r="U18" i="1"/>
  <c r="T70" i="1"/>
  <c r="U70" i="1"/>
  <c r="T31" i="1"/>
  <c r="U31" i="1"/>
  <c r="T240" i="1"/>
  <c r="U240" i="1"/>
  <c r="T490" i="1"/>
  <c r="U490" i="1"/>
  <c r="T290" i="1"/>
  <c r="U290" i="1"/>
  <c r="T170" i="1"/>
  <c r="U170" i="1"/>
  <c r="T82" i="1"/>
  <c r="U82" i="1"/>
  <c r="T205" i="1"/>
  <c r="U205" i="1"/>
  <c r="T314" i="1"/>
  <c r="U314" i="1"/>
  <c r="T350" i="1"/>
  <c r="U350" i="1"/>
  <c r="T177" i="1"/>
  <c r="U177" i="1"/>
  <c r="T337" i="1"/>
  <c r="U337" i="1"/>
  <c r="T77" i="1"/>
  <c r="U77" i="1"/>
  <c r="T202" i="1"/>
  <c r="U202" i="1"/>
  <c r="T90" i="1"/>
  <c r="U90" i="1"/>
  <c r="T209" i="1"/>
  <c r="U209" i="1"/>
  <c r="T489" i="1"/>
  <c r="U489" i="1"/>
  <c r="T135" i="1"/>
  <c r="U135" i="1"/>
  <c r="T266" i="1"/>
  <c r="U266" i="1"/>
  <c r="T474" i="1"/>
  <c r="U474" i="1"/>
  <c r="T61" i="1"/>
  <c r="U61" i="1"/>
  <c r="T315" i="1"/>
  <c r="U315" i="1"/>
  <c r="T331" i="1"/>
  <c r="U331" i="1"/>
  <c r="T355" i="1"/>
  <c r="U355" i="1"/>
  <c r="T307" i="1"/>
  <c r="U307" i="1"/>
  <c r="T371" i="1"/>
  <c r="U371" i="1"/>
  <c r="T26" i="1"/>
  <c r="U26" i="1"/>
  <c r="G2" i="1"/>
  <c r="Q95" i="1"/>
  <c r="Q49" i="1"/>
  <c r="Z100" i="1" l="1"/>
  <c r="Z422" i="1"/>
  <c r="Z321" i="1"/>
  <c r="Z140" i="1"/>
  <c r="Z429" i="1"/>
  <c r="Z272" i="1"/>
  <c r="Z147" i="1"/>
  <c r="Z370" i="1"/>
  <c r="Z439" i="1"/>
  <c r="Z458" i="1"/>
  <c r="Z102" i="1"/>
  <c r="Z176" i="1"/>
  <c r="Z132" i="1"/>
  <c r="Z310" i="1"/>
  <c r="Z465" i="1"/>
  <c r="Z10" i="1"/>
  <c r="Z499" i="1"/>
  <c r="Z345" i="1"/>
  <c r="Z229" i="1"/>
  <c r="Z71" i="1"/>
  <c r="Z386" i="1"/>
  <c r="Z428" i="1"/>
  <c r="Z95" i="1"/>
  <c r="Z346" i="1"/>
  <c r="Z156" i="1"/>
  <c r="Z472" i="1"/>
  <c r="Z65" i="1"/>
  <c r="Z149" i="1"/>
  <c r="Z247" i="1"/>
  <c r="Z152" i="1"/>
  <c r="Z419" i="1"/>
  <c r="Z30" i="1"/>
  <c r="Z336" i="1"/>
  <c r="Z299" i="1"/>
  <c r="Z344" i="1"/>
  <c r="Z322" i="1"/>
  <c r="Z261" i="1"/>
  <c r="Z496" i="1"/>
  <c r="Z12" i="1"/>
  <c r="Z93" i="1"/>
  <c r="Z494" i="1"/>
  <c r="Z378" i="1"/>
  <c r="Z281" i="1"/>
  <c r="Z426" i="1"/>
  <c r="Z133" i="1"/>
  <c r="Z271" i="1"/>
  <c r="Z434" i="1"/>
  <c r="Z18" i="1"/>
  <c r="Z63" i="1"/>
  <c r="Z42" i="1"/>
  <c r="Z165" i="1"/>
  <c r="Z81" i="1"/>
  <c r="Z339" i="1"/>
  <c r="Z141" i="1"/>
  <c r="Z80" i="1"/>
  <c r="Z51" i="1"/>
  <c r="Z234" i="1"/>
  <c r="Z309" i="1"/>
  <c r="Z223" i="1"/>
  <c r="Z17" i="1"/>
  <c r="Z157" i="1"/>
  <c r="Z32" i="1"/>
  <c r="Z53" i="1"/>
  <c r="Z449" i="1"/>
  <c r="Z268" i="1"/>
  <c r="Z495" i="1"/>
  <c r="Z464" i="1"/>
  <c r="Z331" i="1"/>
  <c r="Z75" i="1"/>
  <c r="Z128" i="1"/>
  <c r="Z355" i="1"/>
  <c r="Z148" i="1"/>
  <c r="Z325" i="1"/>
  <c r="Z420" i="1"/>
  <c r="Z438" i="1"/>
  <c r="Z194" i="1"/>
  <c r="Z45" i="1"/>
  <c r="Z225" i="1"/>
  <c r="Z103" i="1"/>
  <c r="Z389" i="1"/>
  <c r="Z136" i="1"/>
  <c r="Z5" i="1"/>
  <c r="Z255" i="1"/>
  <c r="Z175" i="1"/>
  <c r="Z474" i="1"/>
  <c r="Z362" i="1"/>
  <c r="Z392" i="1"/>
  <c r="Z58" i="1"/>
  <c r="Z258" i="1"/>
  <c r="Z79" i="1"/>
  <c r="Z296" i="1"/>
  <c r="Z188" i="1"/>
  <c r="Z174" i="1"/>
  <c r="Z137" i="1"/>
  <c r="Z16" i="1"/>
  <c r="Z328" i="1"/>
  <c r="Z398" i="1"/>
  <c r="Z421" i="1"/>
  <c r="Z168" i="1"/>
  <c r="Z82" i="1"/>
  <c r="Z351" i="1"/>
  <c r="Z231" i="1"/>
  <c r="Z70" i="1"/>
  <c r="Z164" i="1"/>
  <c r="Z90" i="1"/>
  <c r="Z277" i="1"/>
  <c r="Z184" i="1"/>
  <c r="Z31" i="1"/>
  <c r="Z407" i="1"/>
  <c r="Z263" i="1"/>
  <c r="Z259" i="1"/>
  <c r="Z471" i="1"/>
  <c r="Z200" i="1"/>
  <c r="Z171" i="1"/>
  <c r="Z269" i="1"/>
  <c r="Z295" i="1"/>
  <c r="Z107" i="1"/>
  <c r="Z500" i="1"/>
  <c r="Z469" i="1"/>
  <c r="Z216" i="1"/>
  <c r="Z363" i="1"/>
  <c r="Z413" i="1"/>
  <c r="Z167" i="1"/>
  <c r="Z178" i="1"/>
  <c r="Z396" i="1"/>
  <c r="Z126" i="1"/>
  <c r="Z249" i="1"/>
  <c r="Z15" i="1"/>
  <c r="Z40" i="1"/>
  <c r="Z288" i="1"/>
  <c r="Z462" i="1"/>
  <c r="Z286" i="1"/>
  <c r="Z89" i="1"/>
  <c r="Z183" i="1"/>
  <c r="Z498" i="1"/>
  <c r="Z189" i="1"/>
  <c r="Z91" i="1"/>
  <c r="Z144" i="1"/>
  <c r="Z86" i="1"/>
  <c r="Z280" i="1"/>
  <c r="Z38" i="1"/>
  <c r="Z57" i="1"/>
  <c r="Z487" i="1"/>
  <c r="Z35" i="1"/>
  <c r="Z292" i="1"/>
  <c r="Z357" i="1"/>
  <c r="Z285" i="1"/>
  <c r="Z110" i="1"/>
  <c r="Z198" i="1"/>
  <c r="Z241" i="1"/>
  <c r="Z316" i="1"/>
  <c r="Z334" i="1"/>
  <c r="Z313" i="1"/>
  <c r="Z56" i="1"/>
  <c r="Z25" i="1"/>
  <c r="Z335" i="1"/>
  <c r="Z367" i="1"/>
  <c r="Z312" i="1"/>
  <c r="Z291" i="1"/>
  <c r="Z47" i="1"/>
  <c r="Z92" i="1"/>
  <c r="Z233" i="1"/>
  <c r="Z83" i="1"/>
  <c r="Z123" i="1"/>
  <c r="Z437" i="1"/>
  <c r="Z352" i="1"/>
  <c r="Z315" i="1"/>
  <c r="Z125" i="1"/>
  <c r="Z224" i="1"/>
  <c r="Z3" i="1"/>
  <c r="Z118" i="1"/>
  <c r="Z368" i="1"/>
  <c r="Z108" i="1"/>
  <c r="Z397" i="1"/>
  <c r="Z240" i="1"/>
  <c r="Z283" i="1"/>
  <c r="Z338" i="1"/>
  <c r="Z320" i="1"/>
  <c r="Z384" i="1"/>
  <c r="Z227" i="1"/>
  <c r="Z391" i="1"/>
  <c r="Z197" i="1"/>
  <c r="Z39" i="1"/>
  <c r="Z341" i="1"/>
  <c r="Z415" i="1"/>
  <c r="Z482" i="1"/>
  <c r="Z49" i="1"/>
  <c r="Z254" i="1"/>
  <c r="Z425" i="1"/>
  <c r="Z115" i="1"/>
  <c r="Z185" i="1"/>
  <c r="Z105" i="1"/>
  <c r="Z52" i="1"/>
  <c r="Z409" i="1"/>
  <c r="Z22" i="1"/>
  <c r="Z4" i="1"/>
  <c r="Z463" i="1"/>
  <c r="Z98" i="1"/>
  <c r="Z317" i="1"/>
  <c r="Z330" i="1"/>
  <c r="Z153" i="1"/>
  <c r="Z182" i="1"/>
  <c r="Z432" i="1"/>
  <c r="Z243" i="1"/>
  <c r="Z205" i="1"/>
  <c r="Z160" i="1"/>
  <c r="Z187" i="1"/>
  <c r="Z484" i="1"/>
  <c r="Z235" i="1"/>
  <c r="Z333" i="1"/>
  <c r="Z119" i="1"/>
  <c r="Z342" i="1"/>
  <c r="Z369" i="1"/>
  <c r="Z444" i="1"/>
  <c r="Z478" i="1"/>
  <c r="Z473" i="1"/>
  <c r="Z179" i="1"/>
  <c r="Z242" i="1"/>
  <c r="Z340" i="1"/>
  <c r="Z214" i="1"/>
  <c r="Z113" i="1"/>
  <c r="Z491" i="1"/>
  <c r="Z365" i="1"/>
  <c r="Z208" i="1"/>
  <c r="Z443" i="1"/>
  <c r="Z154" i="1"/>
  <c r="Z307" i="1"/>
  <c r="Z423" i="1"/>
  <c r="Z129" i="1"/>
  <c r="Z43" i="1"/>
  <c r="Z253" i="1"/>
  <c r="Z376" i="1"/>
  <c r="Z302" i="1"/>
  <c r="Z246" i="1"/>
  <c r="Z145" i="1"/>
  <c r="Z236" i="1"/>
  <c r="Z343" i="1"/>
  <c r="Z408" i="1"/>
  <c r="Z475" i="1"/>
  <c r="Z143" i="1"/>
  <c r="Z134" i="1"/>
  <c r="Z161" i="1"/>
  <c r="Z252" i="1"/>
  <c r="Z267" i="1"/>
  <c r="Z104" i="1"/>
  <c r="Z265" i="1"/>
  <c r="Z120" i="1"/>
  <c r="Z326" i="1"/>
  <c r="Z435" i="1"/>
  <c r="Z304" i="1"/>
  <c r="Z379" i="1"/>
  <c r="Z388" i="1"/>
  <c r="Z427" i="1"/>
  <c r="Z297" i="1"/>
  <c r="Z324" i="1"/>
  <c r="Z486" i="1"/>
  <c r="Z497" i="1"/>
  <c r="Z20" i="1"/>
  <c r="Z218" i="1"/>
  <c r="Z106" i="1"/>
  <c r="Z468" i="1"/>
  <c r="Z257" i="1"/>
  <c r="Z467" i="1"/>
  <c r="Z6" i="1"/>
  <c r="Z360" i="1"/>
  <c r="Z452" i="1"/>
  <c r="Z424" i="1"/>
  <c r="Z219" i="1"/>
  <c r="Z230" i="1"/>
  <c r="Z273" i="1"/>
  <c r="Z26" i="1"/>
  <c r="Z287" i="1"/>
  <c r="Z361" i="1"/>
  <c r="Z278" i="1"/>
  <c r="Z390" i="1"/>
  <c r="Z417" i="1"/>
  <c r="Z364" i="1"/>
  <c r="Z44" i="1"/>
  <c r="Z217" i="1"/>
  <c r="Z48" i="1"/>
  <c r="Z73" i="1"/>
  <c r="Z262" i="1"/>
  <c r="Z305" i="1"/>
  <c r="Z380" i="1"/>
  <c r="Z418" i="1"/>
  <c r="Z19" i="1"/>
  <c r="Z66" i="1"/>
  <c r="Z124" i="1"/>
  <c r="Z308" i="1"/>
  <c r="Z201" i="1"/>
  <c r="Z276" i="1"/>
  <c r="Z488" i="1"/>
  <c r="Z248" i="1"/>
  <c r="Z195" i="1"/>
  <c r="Z448" i="1"/>
  <c r="Z135" i="1"/>
  <c r="Z298" i="1"/>
  <c r="Z293" i="1"/>
  <c r="Z142" i="1"/>
  <c r="Z441" i="1"/>
  <c r="Z226" i="1"/>
  <c r="Z470" i="1"/>
  <c r="Z238" i="1"/>
  <c r="Z501" i="1"/>
  <c r="Z264" i="1"/>
  <c r="Z323" i="1"/>
  <c r="Z430" i="1"/>
  <c r="Z493" i="1"/>
  <c r="Z13" i="1"/>
  <c r="Z454" i="1"/>
  <c r="Z353" i="1"/>
  <c r="Z371" i="1"/>
  <c r="Z158" i="1"/>
  <c r="Z121" i="1"/>
  <c r="Z251" i="1"/>
  <c r="Z116" i="1"/>
  <c r="Z395" i="1"/>
  <c r="Z212" i="1"/>
  <c r="Z327" i="1"/>
  <c r="Z97" i="1"/>
  <c r="Z402" i="1"/>
  <c r="Z303" i="1"/>
  <c r="Z191" i="1"/>
  <c r="Z490" i="1"/>
  <c r="Z244" i="1"/>
  <c r="Z77" i="1"/>
  <c r="Z34" i="1"/>
  <c r="Z69" i="1"/>
  <c r="Z385" i="1"/>
  <c r="Z204" i="1"/>
  <c r="Z36" i="1"/>
  <c r="Z169" i="1"/>
  <c r="Z76" i="1"/>
  <c r="Z393" i="1"/>
  <c r="Z228" i="1"/>
  <c r="Z374" i="1"/>
  <c r="Z401" i="1"/>
  <c r="Z220" i="1"/>
  <c r="Z64" i="1"/>
  <c r="Z250" i="1"/>
  <c r="Z232" i="1"/>
  <c r="Z11" i="1"/>
  <c r="Z146" i="1"/>
  <c r="Z492" i="1"/>
  <c r="Z222" i="1"/>
  <c r="Z122" i="1"/>
  <c r="Z163" i="1"/>
  <c r="Z46" i="1"/>
  <c r="Z406" i="1"/>
  <c r="Z433" i="1"/>
  <c r="Z84" i="1"/>
  <c r="Z67" i="1"/>
  <c r="Z24" i="1"/>
  <c r="Z170" i="1"/>
  <c r="Z155" i="1"/>
  <c r="Z445" i="1"/>
  <c r="Z358" i="1"/>
  <c r="Z404" i="1"/>
  <c r="Z150" i="1"/>
  <c r="Z400" i="1"/>
  <c r="Z387" i="1"/>
  <c r="Z173" i="1"/>
  <c r="Z383" i="1"/>
  <c r="Z442" i="1"/>
  <c r="Z381" i="1"/>
  <c r="Z270" i="1"/>
  <c r="Z186" i="1"/>
  <c r="Z306" i="1"/>
  <c r="Z477" i="1"/>
  <c r="Z399" i="1"/>
  <c r="Z72" i="1"/>
  <c r="Z416" i="1"/>
  <c r="Z284" i="1"/>
  <c r="Z55" i="1"/>
  <c r="Z403" i="1"/>
  <c r="Z279" i="1"/>
  <c r="Z96" i="1"/>
  <c r="Z481" i="1"/>
  <c r="Z172" i="1"/>
  <c r="Z318" i="1"/>
  <c r="Z457" i="1"/>
  <c r="Z237" i="1"/>
  <c r="Z78" i="1"/>
  <c r="Z372" i="1"/>
  <c r="Z451" i="1"/>
  <c r="Z245" i="1"/>
  <c r="Z215" i="1"/>
  <c r="Z8" i="1"/>
  <c r="Z221" i="1"/>
  <c r="Z85" i="1"/>
  <c r="Z61" i="1"/>
  <c r="Z99" i="1"/>
  <c r="Z289" i="1"/>
  <c r="Z375" i="1"/>
  <c r="Z37" i="1"/>
  <c r="Z114" i="1"/>
  <c r="Z332" i="1"/>
  <c r="Z190" i="1"/>
  <c r="Z329" i="1"/>
  <c r="Z87" i="1"/>
  <c r="Z138" i="1"/>
  <c r="Z356" i="1"/>
  <c r="Z27" i="1"/>
  <c r="Z130" i="1"/>
  <c r="Z348" i="1"/>
  <c r="Z206" i="1"/>
  <c r="Z394" i="1"/>
  <c r="Z21" i="1"/>
  <c r="Z127" i="1"/>
  <c r="Z450" i="1"/>
  <c r="Z60" i="1"/>
  <c r="Z382" i="1"/>
  <c r="Z266" i="1"/>
  <c r="Z436" i="1"/>
  <c r="Z480" i="1"/>
  <c r="Z151" i="1"/>
  <c r="Z162" i="1"/>
  <c r="Z23" i="1"/>
  <c r="Z101" i="1"/>
  <c r="Z485" i="1"/>
  <c r="Z414" i="1"/>
  <c r="Z456" i="1"/>
  <c r="Z7" i="1"/>
  <c r="Z373" i="1"/>
  <c r="Z411" i="1"/>
  <c r="Z311" i="1"/>
  <c r="Z209" i="1"/>
  <c r="Z461" i="1"/>
  <c r="Z33" i="1"/>
  <c r="Z28" i="1"/>
  <c r="Z294" i="1"/>
  <c r="Z177" i="1"/>
  <c r="Z275" i="1"/>
  <c r="Z301" i="1"/>
  <c r="Z112" i="1"/>
  <c r="Z14" i="1"/>
  <c r="Z59" i="1"/>
  <c r="Z159" i="1"/>
  <c r="Z314" i="1"/>
  <c r="Z260" i="1"/>
  <c r="Z207" i="1"/>
  <c r="Z256" i="1"/>
  <c r="Z166" i="1"/>
  <c r="Z337" i="1"/>
  <c r="Z412" i="1"/>
  <c r="Z203" i="1"/>
  <c r="Z193" i="1"/>
  <c r="Z41" i="1"/>
  <c r="Z199" i="1"/>
  <c r="Z210" i="1"/>
  <c r="Z300" i="1"/>
  <c r="Z446" i="1"/>
  <c r="Z202" i="1"/>
  <c r="Z354" i="1"/>
  <c r="Z68" i="1"/>
  <c r="Z180" i="1"/>
  <c r="Z29" i="1"/>
  <c r="Z405" i="1"/>
  <c r="Z440" i="1"/>
  <c r="Z459" i="1"/>
  <c r="Z349" i="1"/>
  <c r="Z192" i="1"/>
  <c r="Z211" i="1"/>
  <c r="Z109" i="1"/>
  <c r="Z54" i="1"/>
  <c r="Z117" i="1"/>
  <c r="Z239" i="1"/>
  <c r="Z274" i="1"/>
  <c r="Z460" i="1"/>
  <c r="Z350" i="1"/>
  <c r="Z489" i="1"/>
  <c r="Z447" i="1"/>
  <c r="Z282" i="1"/>
  <c r="Z431" i="1"/>
  <c r="Z111" i="1"/>
  <c r="Z290" i="1"/>
  <c r="Z476" i="1"/>
  <c r="Z366" i="1"/>
  <c r="Z50" i="1"/>
  <c r="Z479" i="1"/>
  <c r="Z319" i="1"/>
  <c r="Z131" i="1"/>
  <c r="Z455" i="1"/>
  <c r="Z88" i="1"/>
  <c r="Z410" i="1"/>
  <c r="Z377" i="1"/>
  <c r="Z181" i="1"/>
  <c r="Z359" i="1"/>
  <c r="Z466" i="1"/>
  <c r="Z9" i="1"/>
  <c r="Z74" i="1"/>
  <c r="R100" i="1"/>
  <c r="R422" i="1"/>
  <c r="R321" i="1"/>
  <c r="R140" i="1"/>
  <c r="R429" i="1"/>
  <c r="R272" i="1"/>
  <c r="R147" i="1"/>
  <c r="R370" i="1"/>
  <c r="R439" i="1"/>
  <c r="R458" i="1"/>
  <c r="R102" i="1"/>
  <c r="R176" i="1"/>
  <c r="R132" i="1"/>
  <c r="R310" i="1"/>
  <c r="R465" i="1"/>
  <c r="R10" i="1"/>
  <c r="R499" i="1"/>
  <c r="R345" i="1"/>
  <c r="R229" i="1"/>
  <c r="R71" i="1"/>
  <c r="R386" i="1"/>
  <c r="R428" i="1"/>
  <c r="R95" i="1"/>
  <c r="R346" i="1"/>
  <c r="R156" i="1"/>
  <c r="R472" i="1"/>
  <c r="R65" i="1"/>
  <c r="R149" i="1"/>
  <c r="R247" i="1"/>
  <c r="R152" i="1"/>
  <c r="R419" i="1"/>
  <c r="R30" i="1"/>
  <c r="R336" i="1"/>
  <c r="R299" i="1"/>
  <c r="R344" i="1"/>
  <c r="R322" i="1"/>
  <c r="R261" i="1"/>
  <c r="R496" i="1"/>
  <c r="R12" i="1"/>
  <c r="R93" i="1"/>
  <c r="R494" i="1"/>
  <c r="R378" i="1"/>
  <c r="R281" i="1"/>
  <c r="R426" i="1"/>
  <c r="R133" i="1"/>
  <c r="R271" i="1"/>
  <c r="R434" i="1"/>
  <c r="R18" i="1"/>
  <c r="R63" i="1"/>
  <c r="R42" i="1"/>
  <c r="R165" i="1"/>
  <c r="R81" i="1"/>
  <c r="R339" i="1"/>
  <c r="R141" i="1"/>
  <c r="R80" i="1"/>
  <c r="R51" i="1"/>
  <c r="R234" i="1"/>
  <c r="R309" i="1"/>
  <c r="R223" i="1"/>
  <c r="R17" i="1"/>
  <c r="R157" i="1"/>
  <c r="R32" i="1"/>
  <c r="R53" i="1"/>
  <c r="R449" i="1"/>
  <c r="R268" i="1"/>
  <c r="R495" i="1"/>
  <c r="R464" i="1"/>
  <c r="R331" i="1"/>
  <c r="R75" i="1"/>
  <c r="R128" i="1"/>
  <c r="R355" i="1"/>
  <c r="R148" i="1"/>
  <c r="R325" i="1"/>
  <c r="R420" i="1"/>
  <c r="R438" i="1"/>
  <c r="R194" i="1"/>
  <c r="R45" i="1"/>
  <c r="R225" i="1"/>
  <c r="R103" i="1"/>
  <c r="R389" i="1"/>
  <c r="R136" i="1"/>
  <c r="R5" i="1"/>
  <c r="R255" i="1"/>
  <c r="R175" i="1"/>
  <c r="R474" i="1"/>
  <c r="R362" i="1"/>
  <c r="R392" i="1"/>
  <c r="R58" i="1"/>
  <c r="R258" i="1"/>
  <c r="R79" i="1"/>
  <c r="R296" i="1"/>
  <c r="R188" i="1"/>
  <c r="R174" i="1"/>
  <c r="R137" i="1"/>
  <c r="R16" i="1"/>
  <c r="R328" i="1"/>
  <c r="R398" i="1"/>
  <c r="R421" i="1"/>
  <c r="R168" i="1"/>
  <c r="R82" i="1"/>
  <c r="R351" i="1"/>
  <c r="R231" i="1"/>
  <c r="R70" i="1"/>
  <c r="R164" i="1"/>
  <c r="R90" i="1"/>
  <c r="R277" i="1"/>
  <c r="R184" i="1"/>
  <c r="R31" i="1"/>
  <c r="R407" i="1"/>
  <c r="R263" i="1"/>
  <c r="R259" i="1"/>
  <c r="R471" i="1"/>
  <c r="R200" i="1"/>
  <c r="R171" i="1"/>
  <c r="R269" i="1"/>
  <c r="R295" i="1"/>
  <c r="R107" i="1"/>
  <c r="R500" i="1"/>
  <c r="R469" i="1"/>
  <c r="R216" i="1"/>
  <c r="R363" i="1"/>
  <c r="R413" i="1"/>
  <c r="R197" i="1"/>
  <c r="R167" i="1"/>
  <c r="R178" i="1"/>
  <c r="R396" i="1"/>
  <c r="R126" i="1"/>
  <c r="R249" i="1"/>
  <c r="R15" i="1"/>
  <c r="R40" i="1"/>
  <c r="R288" i="1"/>
  <c r="R39" i="1"/>
  <c r="R462" i="1"/>
  <c r="R286" i="1"/>
  <c r="R89" i="1"/>
  <c r="R183" i="1"/>
  <c r="R498" i="1"/>
  <c r="R189" i="1"/>
  <c r="R91" i="1"/>
  <c r="R144" i="1"/>
  <c r="R86" i="1"/>
  <c r="R280" i="1"/>
  <c r="R38" i="1"/>
  <c r="R57" i="1"/>
  <c r="R487" i="1"/>
  <c r="R35" i="1"/>
  <c r="R292" i="1"/>
  <c r="R357" i="1"/>
  <c r="R285" i="1"/>
  <c r="R110" i="1"/>
  <c r="R198" i="1"/>
  <c r="R241" i="1"/>
  <c r="R316" i="1"/>
  <c r="R334" i="1"/>
  <c r="R313" i="1"/>
  <c r="R56" i="1"/>
  <c r="R25" i="1"/>
  <c r="R335" i="1"/>
  <c r="R367" i="1"/>
  <c r="R312" i="1"/>
  <c r="R291" i="1"/>
  <c r="R47" i="1"/>
  <c r="R92" i="1"/>
  <c r="R233" i="1"/>
  <c r="R83" i="1"/>
  <c r="R123" i="1"/>
  <c r="R437" i="1"/>
  <c r="R352" i="1"/>
  <c r="R315" i="1"/>
  <c r="R125" i="1"/>
  <c r="R224" i="1"/>
  <c r="R3" i="1"/>
  <c r="R118" i="1"/>
  <c r="R368" i="1"/>
  <c r="R108" i="1"/>
  <c r="R397" i="1"/>
  <c r="R240" i="1"/>
  <c r="R283" i="1"/>
  <c r="R338" i="1"/>
  <c r="R320" i="1"/>
  <c r="R384" i="1"/>
  <c r="R227" i="1"/>
  <c r="R391" i="1"/>
  <c r="R341" i="1"/>
  <c r="R415" i="1"/>
  <c r="R482" i="1"/>
  <c r="R49" i="1"/>
  <c r="R254" i="1"/>
  <c r="R425" i="1"/>
  <c r="R115" i="1"/>
  <c r="R185" i="1"/>
  <c r="R105" i="1"/>
  <c r="R52" i="1"/>
  <c r="R409" i="1"/>
  <c r="R22" i="1"/>
  <c r="R4" i="1"/>
  <c r="R463" i="1"/>
  <c r="R98" i="1"/>
  <c r="R317" i="1"/>
  <c r="R330" i="1"/>
  <c r="R153" i="1"/>
  <c r="R182" i="1"/>
  <c r="R432" i="1"/>
  <c r="R243" i="1"/>
  <c r="R205" i="1"/>
  <c r="R160" i="1"/>
  <c r="R187" i="1"/>
  <c r="R484" i="1"/>
  <c r="R235" i="1"/>
  <c r="R333" i="1"/>
  <c r="R119" i="1"/>
  <c r="R342" i="1"/>
  <c r="R369" i="1"/>
  <c r="R444" i="1"/>
  <c r="R478" i="1"/>
  <c r="R473" i="1"/>
  <c r="R179" i="1"/>
  <c r="R242" i="1"/>
  <c r="R340" i="1"/>
  <c r="R214" i="1"/>
  <c r="R113" i="1"/>
  <c r="R491" i="1"/>
  <c r="R365" i="1"/>
  <c r="R208" i="1"/>
  <c r="R443" i="1"/>
  <c r="R154" i="1"/>
  <c r="R307" i="1"/>
  <c r="R423" i="1"/>
  <c r="R129" i="1"/>
  <c r="R43" i="1"/>
  <c r="R253" i="1"/>
  <c r="R376" i="1"/>
  <c r="R302" i="1"/>
  <c r="R246" i="1"/>
  <c r="R145" i="1"/>
  <c r="R236" i="1"/>
  <c r="R343" i="1"/>
  <c r="R408" i="1"/>
  <c r="R475" i="1"/>
  <c r="R143" i="1"/>
  <c r="R134" i="1"/>
  <c r="R161" i="1"/>
  <c r="R252" i="1"/>
  <c r="R267" i="1"/>
  <c r="R485" i="1"/>
  <c r="R104" i="1"/>
  <c r="R19" i="1"/>
  <c r="R24" i="1"/>
  <c r="R414" i="1"/>
  <c r="R170" i="1"/>
  <c r="R66" i="1"/>
  <c r="R456" i="1"/>
  <c r="R265" i="1"/>
  <c r="R7" i="1"/>
  <c r="R155" i="1"/>
  <c r="R124" i="1"/>
  <c r="R373" i="1"/>
  <c r="R120" i="1"/>
  <c r="R411" i="1"/>
  <c r="R445" i="1"/>
  <c r="R311" i="1"/>
  <c r="R308" i="1"/>
  <c r="R326" i="1"/>
  <c r="R209" i="1"/>
  <c r="R435" i="1"/>
  <c r="R461" i="1"/>
  <c r="R304" i="1"/>
  <c r="R379" i="1"/>
  <c r="R388" i="1"/>
  <c r="R427" i="1"/>
  <c r="R297" i="1"/>
  <c r="R324" i="1"/>
  <c r="R486" i="1"/>
  <c r="R497" i="1"/>
  <c r="R33" i="1"/>
  <c r="R20" i="1"/>
  <c r="R218" i="1"/>
  <c r="R106" i="1"/>
  <c r="R201" i="1"/>
  <c r="R468" i="1"/>
  <c r="R358" i="1"/>
  <c r="R257" i="1"/>
  <c r="R467" i="1"/>
  <c r="R6" i="1"/>
  <c r="R360" i="1"/>
  <c r="R452" i="1"/>
  <c r="R424" i="1"/>
  <c r="R219" i="1"/>
  <c r="R230" i="1"/>
  <c r="R273" i="1"/>
  <c r="R26" i="1"/>
  <c r="R287" i="1"/>
  <c r="R361" i="1"/>
  <c r="R278" i="1"/>
  <c r="R390" i="1"/>
  <c r="R417" i="1"/>
  <c r="R364" i="1"/>
  <c r="R44" i="1"/>
  <c r="R217" i="1"/>
  <c r="R48" i="1"/>
  <c r="R73" i="1"/>
  <c r="R262" i="1"/>
  <c r="R305" i="1"/>
  <c r="R380" i="1"/>
  <c r="R418" i="1"/>
  <c r="R276" i="1"/>
  <c r="R488" i="1"/>
  <c r="R248" i="1"/>
  <c r="R195" i="1"/>
  <c r="R448" i="1"/>
  <c r="R135" i="1"/>
  <c r="R298" i="1"/>
  <c r="R293" i="1"/>
  <c r="R142" i="1"/>
  <c r="R441" i="1"/>
  <c r="R226" i="1"/>
  <c r="R470" i="1"/>
  <c r="R238" i="1"/>
  <c r="R501" i="1"/>
  <c r="R264" i="1"/>
  <c r="R323" i="1"/>
  <c r="R430" i="1"/>
  <c r="R493" i="1"/>
  <c r="R13" i="1"/>
  <c r="R454" i="1"/>
  <c r="R353" i="1"/>
  <c r="R371" i="1"/>
  <c r="R158" i="1"/>
  <c r="R121" i="1"/>
  <c r="R251" i="1"/>
  <c r="R116" i="1"/>
  <c r="R395" i="1"/>
  <c r="R212" i="1"/>
  <c r="R327" i="1"/>
  <c r="R97" i="1"/>
  <c r="R402" i="1"/>
  <c r="R303" i="1"/>
  <c r="R191" i="1"/>
  <c r="R490" i="1"/>
  <c r="R244" i="1"/>
  <c r="R77" i="1"/>
  <c r="R34" i="1"/>
  <c r="R69" i="1"/>
  <c r="R385" i="1"/>
  <c r="R204" i="1"/>
  <c r="R36" i="1"/>
  <c r="R169" i="1"/>
  <c r="R76" i="1"/>
  <c r="R393" i="1"/>
  <c r="R228" i="1"/>
  <c r="R374" i="1"/>
  <c r="R401" i="1"/>
  <c r="R220" i="1"/>
  <c r="R64" i="1"/>
  <c r="R250" i="1"/>
  <c r="R232" i="1"/>
  <c r="R11" i="1"/>
  <c r="R146" i="1"/>
  <c r="R492" i="1"/>
  <c r="R222" i="1"/>
  <c r="R122" i="1"/>
  <c r="R163" i="1"/>
  <c r="R46" i="1"/>
  <c r="R406" i="1"/>
  <c r="R433" i="1"/>
  <c r="R84" i="1"/>
  <c r="R67" i="1"/>
  <c r="R404" i="1"/>
  <c r="R150" i="1"/>
  <c r="R400" i="1"/>
  <c r="R387" i="1"/>
  <c r="R173" i="1"/>
  <c r="R383" i="1"/>
  <c r="R442" i="1"/>
  <c r="R381" i="1"/>
  <c r="R270" i="1"/>
  <c r="R186" i="1"/>
  <c r="R306" i="1"/>
  <c r="R477" i="1"/>
  <c r="R399" i="1"/>
  <c r="R72" i="1"/>
  <c r="R416" i="1"/>
  <c r="R284" i="1"/>
  <c r="R55" i="1"/>
  <c r="R403" i="1"/>
  <c r="R279" i="1"/>
  <c r="R96" i="1"/>
  <c r="R481" i="1"/>
  <c r="R172" i="1"/>
  <c r="R318" i="1"/>
  <c r="R457" i="1"/>
  <c r="R237" i="1"/>
  <c r="R78" i="1"/>
  <c r="R372" i="1"/>
  <c r="R451" i="1"/>
  <c r="R245" i="1"/>
  <c r="R215" i="1"/>
  <c r="R8" i="1"/>
  <c r="R221" i="1"/>
  <c r="R85" i="1"/>
  <c r="R61" i="1"/>
  <c r="R99" i="1"/>
  <c r="R289" i="1"/>
  <c r="R375" i="1"/>
  <c r="R37" i="1"/>
  <c r="R114" i="1"/>
  <c r="R332" i="1"/>
  <c r="R190" i="1"/>
  <c r="R329" i="1"/>
  <c r="R87" i="1"/>
  <c r="R138" i="1"/>
  <c r="R356" i="1"/>
  <c r="R27" i="1"/>
  <c r="R130" i="1"/>
  <c r="R348" i="1"/>
  <c r="R206" i="1"/>
  <c r="R394" i="1"/>
  <c r="R21" i="1"/>
  <c r="R127" i="1"/>
  <c r="R450" i="1"/>
  <c r="R60" i="1"/>
  <c r="R382" i="1"/>
  <c r="R266" i="1"/>
  <c r="R436" i="1"/>
  <c r="R480" i="1"/>
  <c r="R151" i="1"/>
  <c r="R162" i="1"/>
  <c r="R23" i="1"/>
  <c r="R101" i="1"/>
  <c r="R28" i="1"/>
  <c r="R294" i="1"/>
  <c r="R177" i="1"/>
  <c r="R275" i="1"/>
  <c r="R301" i="1"/>
  <c r="R112" i="1"/>
  <c r="R14" i="1"/>
  <c r="R59" i="1"/>
  <c r="R159" i="1"/>
  <c r="R314" i="1"/>
  <c r="R260" i="1"/>
  <c r="R207" i="1"/>
  <c r="R256" i="1"/>
  <c r="R166" i="1"/>
  <c r="R337" i="1"/>
  <c r="R412" i="1"/>
  <c r="R203" i="1"/>
  <c r="R193" i="1"/>
  <c r="R41" i="1"/>
  <c r="R199" i="1"/>
  <c r="R210" i="1"/>
  <c r="R300" i="1"/>
  <c r="R446" i="1"/>
  <c r="R202" i="1"/>
  <c r="R354" i="1"/>
  <c r="R68" i="1"/>
  <c r="R180" i="1"/>
  <c r="R29" i="1"/>
  <c r="R405" i="1"/>
  <c r="R440" i="1"/>
  <c r="R459" i="1"/>
  <c r="R349" i="1"/>
  <c r="R192" i="1"/>
  <c r="R211" i="1"/>
  <c r="R109" i="1"/>
  <c r="R54" i="1"/>
  <c r="R117" i="1"/>
  <c r="R239" i="1"/>
  <c r="R274" i="1"/>
  <c r="R460" i="1"/>
  <c r="R350" i="1"/>
  <c r="R489" i="1"/>
  <c r="R447" i="1"/>
  <c r="R282" i="1"/>
  <c r="R431" i="1"/>
  <c r="R111" i="1"/>
  <c r="R290" i="1"/>
  <c r="R476" i="1"/>
  <c r="R366" i="1"/>
  <c r="R50" i="1"/>
  <c r="R479" i="1"/>
  <c r="R319" i="1"/>
  <c r="R131" i="1"/>
  <c r="R455" i="1"/>
  <c r="R88" i="1"/>
  <c r="R410" i="1"/>
  <c r="R377" i="1"/>
  <c r="R181" i="1"/>
  <c r="R359" i="1"/>
  <c r="R466" i="1"/>
  <c r="R9" i="1"/>
  <c r="R74" i="1"/>
  <c r="H2" i="1"/>
  <c r="AA2" i="1" s="1"/>
  <c r="U2" i="1"/>
  <c r="AD10" i="1"/>
  <c r="T2" i="1"/>
  <c r="T49" i="1"/>
  <c r="U49" i="1"/>
  <c r="T95" i="1"/>
  <c r="U95" i="1"/>
  <c r="AF13" i="1" l="1"/>
  <c r="AH10" i="1"/>
  <c r="Z2" i="1"/>
  <c r="AE6" i="1"/>
  <c r="R2" i="1"/>
  <c r="AH6" i="1" s="1"/>
  <c r="AF10" i="1"/>
  <c r="AD6" i="1"/>
  <c r="AG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<sst xmlns="http://schemas.openxmlformats.org/spreadsheetml/2006/main" count="57" uniqueCount="55">
  <si>
    <t>Employee ID</t>
  </si>
  <si>
    <t>Department</t>
  </si>
  <si>
    <t>Job Title</t>
  </si>
  <si>
    <t>Job Posting Date</t>
  </si>
  <si>
    <t>Hire Date</t>
  </si>
  <si>
    <t>Join Date</t>
  </si>
  <si>
    <t>Exit Date</t>
  </si>
  <si>
    <t>Status</t>
  </si>
  <si>
    <t>Recruitment Cost</t>
  </si>
  <si>
    <t>Training Program</t>
  </si>
  <si>
    <t>Training Completion Status</t>
  </si>
  <si>
    <t>Total Work Days</t>
  </si>
  <si>
    <t>Absentee Days</t>
  </si>
  <si>
    <t>Gender</t>
  </si>
  <si>
    <t>Training Cost</t>
  </si>
  <si>
    <t>Time to Fill</t>
  </si>
  <si>
    <t>Time to onboard</t>
  </si>
  <si>
    <t>Total Tenure in M</t>
  </si>
  <si>
    <t>Recruitment Cycle Time</t>
  </si>
  <si>
    <t>Onboarding Efficiency Rate</t>
  </si>
  <si>
    <t>indiv onboard efficiency rate</t>
  </si>
  <si>
    <t>Recruitment lag</t>
  </si>
  <si>
    <t>Onboarding cost</t>
  </si>
  <si>
    <t>Absenteeism Rate</t>
  </si>
  <si>
    <t>year of joining</t>
  </si>
  <si>
    <t>Retention Status</t>
  </si>
  <si>
    <t>Cost of Employee Turnover</t>
  </si>
  <si>
    <t>Column1</t>
  </si>
  <si>
    <t>Turnover Rate</t>
  </si>
  <si>
    <t>Retention Rate</t>
  </si>
  <si>
    <t>Training completion rate</t>
  </si>
  <si>
    <t>Average time to fill</t>
  </si>
  <si>
    <t>Average employee tenure</t>
  </si>
  <si>
    <t>Overall Onboarding Efficiency Rate</t>
  </si>
  <si>
    <t>exit to onboard</t>
  </si>
  <si>
    <t>worforce stability index</t>
  </si>
  <si>
    <t>Turnover cost estimate</t>
  </si>
  <si>
    <t>Gender diversity Rate</t>
  </si>
  <si>
    <t>Cost of employee turnover</t>
  </si>
  <si>
    <t>Traning program</t>
  </si>
  <si>
    <t>IT</t>
  </si>
  <si>
    <t>Software Engineer</t>
  </si>
  <si>
    <t>Leadership Development</t>
  </si>
  <si>
    <t>HR</t>
  </si>
  <si>
    <t>HR Manager</t>
  </si>
  <si>
    <t>Advanced Excel Skills </t>
  </si>
  <si>
    <t>Sales</t>
  </si>
  <si>
    <t>Marketing Manager</t>
  </si>
  <si>
    <t>Conflict Resolution</t>
  </si>
  <si>
    <t>Finance</t>
  </si>
  <si>
    <t>Finance Manager</t>
  </si>
  <si>
    <t>Communication Skills</t>
  </si>
  <si>
    <t>Analytics</t>
  </si>
  <si>
    <t>Data Analyst</t>
  </si>
  <si>
    <t>Ethics and Responsibilities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</si>
</sst>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_);_([$$-409]* \(#,##0\);_([$$-409]* &quot;-&quot;_);_(@_)"/>
    <numFmt numFmtId="165" formatCode="_(&quot;₹&quot;* #,##0_);_(&quot;₹&quot;* \(#,##0\);_(&quot;₹&quot;* &quot;-&quot;??_);_(@_)"/>
  </numFmts>
  <fonts count="5">
    <font>
      <sz val="12"/>
      <color theme="1"/>
      <name val="Aptos Narrow"/>
      <family val="2"/>
      <scheme val="minor"/>
    </font>
    <font>
      <sz val="12"/>
      <color rgb="FF000000"/>
      <name val="Helvetica Neue"/>
      <family val="2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2" fontId="0" fillId="0" borderId="0" xfId="0" applyNumberFormat="1"/>
    <xf numFmtId="2" fontId="0" fillId="2" borderId="0" xfId="0" applyNumberFormat="1" applyFill="1"/>
    <xf numFmtId="0" fontId="3" fillId="2" borderId="0" xfId="0" applyFont="1" applyFill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1" formatCode="0"/>
    </dxf>
    <dxf>
      <numFmt numFmtId="0" formatCode="General"/>
    </dxf>
    <dxf>
      <numFmt numFmtId="2" formatCode="0.00"/>
    </dxf>
    <dxf>
      <numFmt numFmtId="1" formatCode="0"/>
    </dxf>
    <dxf>
      <numFmt numFmtId="0" formatCode="General"/>
    </dxf>
    <dxf>
      <numFmt numFmtId="165" formatCode="_(&quot;₹&quot;* #,##0_);_(&quot;₹&quot;* \(#,##0\);_(&quot;₹&quot;* &quot;-&quot;??_);_(@_)"/>
    </dxf>
    <dxf>
      <numFmt numFmtId="0" formatCode="General"/>
    </dxf>
    <dxf>
      <numFmt numFmtId="0" formatCode="General"/>
    </dxf>
    <dxf>
      <numFmt numFmtId="164" formatCode="_([$$-409]* #,##0_);_([$$-409]* \(#,##0\);_([$$-409]* &quot;-&quot;_);_(@_)"/>
    </dxf>
    <dxf>
      <numFmt numFmtId="0" formatCode="General"/>
    </dxf>
    <dxf>
      <numFmt numFmtId="166" formatCode="dd/mm/yy"/>
    </dxf>
    <dxf>
      <numFmt numFmtId="166" formatCode="dd/mm/yy"/>
    </dxf>
    <dxf>
      <numFmt numFmtId="166" formatCode="dd/mm/yy"/>
    </dxf>
    <dxf>
      <numFmt numFmtId="166" formatCode="dd/mm/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'Random Data'!$C$2:$C$501</c:f>
              <c:strCache>
                <c:ptCount val="500"/>
                <c:pt idx="0">
                  <c:v>Finance Manager</c:v>
                </c:pt>
                <c:pt idx="1">
                  <c:v>Software Engineer</c:v>
                </c:pt>
                <c:pt idx="2">
                  <c:v>Software Engineer</c:v>
                </c:pt>
                <c:pt idx="3">
                  <c:v>Finance Manager</c:v>
                </c:pt>
                <c:pt idx="4">
                  <c:v>Marketing Manager</c:v>
                </c:pt>
                <c:pt idx="5">
                  <c:v>Marketing Manager</c:v>
                </c:pt>
                <c:pt idx="6">
                  <c:v>Software Engineer</c:v>
                </c:pt>
                <c:pt idx="7">
                  <c:v>Finance Manager</c:v>
                </c:pt>
                <c:pt idx="8">
                  <c:v>Marketing Manager</c:v>
                </c:pt>
                <c:pt idx="9">
                  <c:v>HR Manager</c:v>
                </c:pt>
                <c:pt idx="10">
                  <c:v>Marketing Manager</c:v>
                </c:pt>
                <c:pt idx="11">
                  <c:v>Data Analyst</c:v>
                </c:pt>
                <c:pt idx="12">
                  <c:v>HR Manager</c:v>
                </c:pt>
                <c:pt idx="13">
                  <c:v>Finance Manager</c:v>
                </c:pt>
                <c:pt idx="14">
                  <c:v>HR Manager</c:v>
                </c:pt>
                <c:pt idx="15">
                  <c:v>Data Analyst</c:v>
                </c:pt>
                <c:pt idx="16">
                  <c:v>Finance Manager</c:v>
                </c:pt>
                <c:pt idx="17">
                  <c:v>Finance Manager</c:v>
                </c:pt>
                <c:pt idx="18">
                  <c:v>HR Manager</c:v>
                </c:pt>
                <c:pt idx="19">
                  <c:v>HR Manager</c:v>
                </c:pt>
                <c:pt idx="20">
                  <c:v>Data Analyst</c:v>
                </c:pt>
                <c:pt idx="21">
                  <c:v>Software Engineer</c:v>
                </c:pt>
                <c:pt idx="22">
                  <c:v>Finance Manager</c:v>
                </c:pt>
                <c:pt idx="23">
                  <c:v>Finance Manager</c:v>
                </c:pt>
                <c:pt idx="24">
                  <c:v>Software Engineer</c:v>
                </c:pt>
                <c:pt idx="25">
                  <c:v>Marketing Manager</c:v>
                </c:pt>
                <c:pt idx="26">
                  <c:v>HR Manager</c:v>
                </c:pt>
                <c:pt idx="27">
                  <c:v>HR Manager</c:v>
                </c:pt>
                <c:pt idx="28">
                  <c:v>Marketing Manager</c:v>
                </c:pt>
                <c:pt idx="29">
                  <c:v>Marketing Manager</c:v>
                </c:pt>
                <c:pt idx="30">
                  <c:v>Software Engineer</c:v>
                </c:pt>
                <c:pt idx="31">
                  <c:v>Software Engineer</c:v>
                </c:pt>
                <c:pt idx="32">
                  <c:v>Data Analyst</c:v>
                </c:pt>
                <c:pt idx="33">
                  <c:v>Software Engineer</c:v>
                </c:pt>
                <c:pt idx="34">
                  <c:v>Software Engineer</c:v>
                </c:pt>
                <c:pt idx="35">
                  <c:v>Software Engineer</c:v>
                </c:pt>
                <c:pt idx="36">
                  <c:v>Finance Manager</c:v>
                </c:pt>
                <c:pt idx="37">
                  <c:v>Software Engineer</c:v>
                </c:pt>
                <c:pt idx="38">
                  <c:v>Software Engineer</c:v>
                </c:pt>
                <c:pt idx="39">
                  <c:v>Marketing Manager</c:v>
                </c:pt>
                <c:pt idx="40">
                  <c:v>Software Engineer</c:v>
                </c:pt>
                <c:pt idx="41">
                  <c:v>Finance Manager</c:v>
                </c:pt>
                <c:pt idx="42">
                  <c:v>Software Engineer</c:v>
                </c:pt>
                <c:pt idx="43">
                  <c:v>Software Engineer</c:v>
                </c:pt>
                <c:pt idx="44">
                  <c:v>Software Engineer</c:v>
                </c:pt>
                <c:pt idx="45">
                  <c:v>Software Engineer</c:v>
                </c:pt>
                <c:pt idx="46">
                  <c:v>Software Engineer</c:v>
                </c:pt>
                <c:pt idx="47">
                  <c:v>Software Engineer</c:v>
                </c:pt>
                <c:pt idx="48">
                  <c:v>Marketing Manager</c:v>
                </c:pt>
                <c:pt idx="49">
                  <c:v>Data Analyst</c:v>
                </c:pt>
                <c:pt idx="50">
                  <c:v>Data Analyst</c:v>
                </c:pt>
                <c:pt idx="51">
                  <c:v>Finance Manager</c:v>
                </c:pt>
                <c:pt idx="52">
                  <c:v>Data Analyst</c:v>
                </c:pt>
                <c:pt idx="53">
                  <c:v>Marketing Manager</c:v>
                </c:pt>
                <c:pt idx="54">
                  <c:v>Data Analyst</c:v>
                </c:pt>
                <c:pt idx="55">
                  <c:v>Finance Manager</c:v>
                </c:pt>
                <c:pt idx="56">
                  <c:v>Data Analyst</c:v>
                </c:pt>
                <c:pt idx="57">
                  <c:v>Marketing Manager</c:v>
                </c:pt>
                <c:pt idx="58">
                  <c:v>Software Engineer</c:v>
                </c:pt>
                <c:pt idx="59">
                  <c:v>Data Analyst</c:v>
                </c:pt>
                <c:pt idx="60">
                  <c:v>Software Engineer</c:v>
                </c:pt>
                <c:pt idx="61">
                  <c:v>Finance Manager</c:v>
                </c:pt>
                <c:pt idx="62">
                  <c:v>HR Manager</c:v>
                </c:pt>
                <c:pt idx="63">
                  <c:v>Finance Manager</c:v>
                </c:pt>
                <c:pt idx="64">
                  <c:v>Software Engineer</c:v>
                </c:pt>
                <c:pt idx="65">
                  <c:v>Software Engineer</c:v>
                </c:pt>
                <c:pt idx="66">
                  <c:v>Data Analyst</c:v>
                </c:pt>
                <c:pt idx="67">
                  <c:v>Marketing Manager</c:v>
                </c:pt>
                <c:pt idx="68">
                  <c:v>Marketing Manager</c:v>
                </c:pt>
                <c:pt idx="69">
                  <c:v>Data Analyst</c:v>
                </c:pt>
                <c:pt idx="70">
                  <c:v>Finance Manager</c:v>
                </c:pt>
                <c:pt idx="71">
                  <c:v>Data Analyst</c:v>
                </c:pt>
                <c:pt idx="72">
                  <c:v>HR Manager</c:v>
                </c:pt>
                <c:pt idx="73">
                  <c:v>HR Manager</c:v>
                </c:pt>
                <c:pt idx="74">
                  <c:v>HR Manager</c:v>
                </c:pt>
                <c:pt idx="75">
                  <c:v>Data Analyst</c:v>
                </c:pt>
                <c:pt idx="76">
                  <c:v>HR Manager</c:v>
                </c:pt>
                <c:pt idx="77">
                  <c:v>HR Manager</c:v>
                </c:pt>
                <c:pt idx="78">
                  <c:v>HR Manager</c:v>
                </c:pt>
                <c:pt idx="79">
                  <c:v>Data Analyst</c:v>
                </c:pt>
                <c:pt idx="80">
                  <c:v>HR Manager</c:v>
                </c:pt>
                <c:pt idx="81">
                  <c:v>Software Engineer</c:v>
                </c:pt>
                <c:pt idx="82">
                  <c:v>HR Manager</c:v>
                </c:pt>
                <c:pt idx="83">
                  <c:v>HR Manager</c:v>
                </c:pt>
                <c:pt idx="84">
                  <c:v>Data Analyst</c:v>
                </c:pt>
                <c:pt idx="85">
                  <c:v>Marketing Manager</c:v>
                </c:pt>
                <c:pt idx="86">
                  <c:v>Software Engineer</c:v>
                </c:pt>
                <c:pt idx="87">
                  <c:v>Data Analyst</c:v>
                </c:pt>
                <c:pt idx="88">
                  <c:v>Data Analyst</c:v>
                </c:pt>
                <c:pt idx="89">
                  <c:v>HR Manager</c:v>
                </c:pt>
                <c:pt idx="90">
                  <c:v>Software Engineer</c:v>
                </c:pt>
                <c:pt idx="91">
                  <c:v>Software Engineer</c:v>
                </c:pt>
                <c:pt idx="92">
                  <c:v>Software Engineer</c:v>
                </c:pt>
                <c:pt idx="93">
                  <c:v>Data Analyst</c:v>
                </c:pt>
                <c:pt idx="94">
                  <c:v>HR Manager</c:v>
                </c:pt>
                <c:pt idx="95">
                  <c:v>HR Manager</c:v>
                </c:pt>
                <c:pt idx="96">
                  <c:v>Data Analyst</c:v>
                </c:pt>
                <c:pt idx="97">
                  <c:v>Software Engineer</c:v>
                </c:pt>
                <c:pt idx="98">
                  <c:v>Marketing Manager</c:v>
                </c:pt>
                <c:pt idx="99">
                  <c:v>Data Analyst</c:v>
                </c:pt>
                <c:pt idx="100">
                  <c:v>Marketing Manager</c:v>
                </c:pt>
                <c:pt idx="101">
                  <c:v>HR Manager</c:v>
                </c:pt>
                <c:pt idx="102">
                  <c:v>HR Manager</c:v>
                </c:pt>
                <c:pt idx="103">
                  <c:v>Marketing Manager</c:v>
                </c:pt>
                <c:pt idx="104">
                  <c:v>HR Manager</c:v>
                </c:pt>
                <c:pt idx="105">
                  <c:v>Finance Manager</c:v>
                </c:pt>
                <c:pt idx="106">
                  <c:v>Finance Manager</c:v>
                </c:pt>
                <c:pt idx="107">
                  <c:v>Marketing Manager</c:v>
                </c:pt>
                <c:pt idx="108">
                  <c:v>Data Analyst</c:v>
                </c:pt>
                <c:pt idx="109">
                  <c:v>Marketing Manager</c:v>
                </c:pt>
                <c:pt idx="110">
                  <c:v>HR Manager</c:v>
                </c:pt>
                <c:pt idx="111">
                  <c:v>HR Manager</c:v>
                </c:pt>
                <c:pt idx="112">
                  <c:v>HR Manager</c:v>
                </c:pt>
                <c:pt idx="113">
                  <c:v>Finance Manager</c:v>
                </c:pt>
                <c:pt idx="114">
                  <c:v>HR Manager</c:v>
                </c:pt>
                <c:pt idx="115">
                  <c:v>HR Manager</c:v>
                </c:pt>
                <c:pt idx="116">
                  <c:v>Data Analyst</c:v>
                </c:pt>
                <c:pt idx="117">
                  <c:v>Marketing Manager</c:v>
                </c:pt>
                <c:pt idx="118">
                  <c:v>HR Manager</c:v>
                </c:pt>
                <c:pt idx="119">
                  <c:v>Data Analyst</c:v>
                </c:pt>
                <c:pt idx="120">
                  <c:v>Marketing Manager</c:v>
                </c:pt>
                <c:pt idx="121">
                  <c:v>Software Engineer</c:v>
                </c:pt>
                <c:pt idx="122">
                  <c:v>Marketing Manager</c:v>
                </c:pt>
                <c:pt idx="123">
                  <c:v>Software Engineer</c:v>
                </c:pt>
                <c:pt idx="124">
                  <c:v>Software Engineer</c:v>
                </c:pt>
                <c:pt idx="125">
                  <c:v>Data Analyst</c:v>
                </c:pt>
                <c:pt idx="126">
                  <c:v>Software Engineer</c:v>
                </c:pt>
                <c:pt idx="127">
                  <c:v>HR Manager</c:v>
                </c:pt>
                <c:pt idx="128">
                  <c:v>HR Manager</c:v>
                </c:pt>
                <c:pt idx="129">
                  <c:v>Data Analyst</c:v>
                </c:pt>
                <c:pt idx="130">
                  <c:v>HR Manager</c:v>
                </c:pt>
                <c:pt idx="131">
                  <c:v>Software Engineer</c:v>
                </c:pt>
                <c:pt idx="132">
                  <c:v>Marketing Manager</c:v>
                </c:pt>
                <c:pt idx="133">
                  <c:v>Software Engineer</c:v>
                </c:pt>
                <c:pt idx="134">
                  <c:v>Marketing Manager</c:v>
                </c:pt>
                <c:pt idx="135">
                  <c:v>Finance Manager</c:v>
                </c:pt>
                <c:pt idx="136">
                  <c:v>Data Analyst</c:v>
                </c:pt>
                <c:pt idx="137">
                  <c:v>Finance Manager</c:v>
                </c:pt>
                <c:pt idx="138">
                  <c:v>Data Analyst</c:v>
                </c:pt>
                <c:pt idx="139">
                  <c:v>HR Manager</c:v>
                </c:pt>
                <c:pt idx="140">
                  <c:v>HR Manager</c:v>
                </c:pt>
                <c:pt idx="141">
                  <c:v>Marketing Manager</c:v>
                </c:pt>
                <c:pt idx="142">
                  <c:v>HR Manager</c:v>
                </c:pt>
                <c:pt idx="143">
                  <c:v>HR Manager</c:v>
                </c:pt>
                <c:pt idx="144">
                  <c:v>Software Engineer</c:v>
                </c:pt>
                <c:pt idx="145">
                  <c:v>Finance Manager</c:v>
                </c:pt>
                <c:pt idx="146">
                  <c:v>Marketing Manager</c:v>
                </c:pt>
                <c:pt idx="147">
                  <c:v>Marketing Manager</c:v>
                </c:pt>
                <c:pt idx="148">
                  <c:v>Finance Manager</c:v>
                </c:pt>
                <c:pt idx="149">
                  <c:v>Software Engineer</c:v>
                </c:pt>
                <c:pt idx="150">
                  <c:v>HR Manager</c:v>
                </c:pt>
                <c:pt idx="151">
                  <c:v>Data Analyst</c:v>
                </c:pt>
                <c:pt idx="152">
                  <c:v>Marketing Manager</c:v>
                </c:pt>
                <c:pt idx="153">
                  <c:v>Software Engineer</c:v>
                </c:pt>
                <c:pt idx="154">
                  <c:v>Software Engineer</c:v>
                </c:pt>
                <c:pt idx="155">
                  <c:v>Data Analyst</c:v>
                </c:pt>
                <c:pt idx="156">
                  <c:v>Software Engineer</c:v>
                </c:pt>
                <c:pt idx="157">
                  <c:v>Finance Manager</c:v>
                </c:pt>
                <c:pt idx="158">
                  <c:v>Marketing Manager</c:v>
                </c:pt>
                <c:pt idx="159">
                  <c:v>Marketing Manager</c:v>
                </c:pt>
                <c:pt idx="160">
                  <c:v>Finance Manager</c:v>
                </c:pt>
                <c:pt idx="161">
                  <c:v>Finance Manager</c:v>
                </c:pt>
                <c:pt idx="162">
                  <c:v>HR Manager</c:v>
                </c:pt>
                <c:pt idx="163">
                  <c:v>Marketing Manager</c:v>
                </c:pt>
                <c:pt idx="164">
                  <c:v>Software Engineer</c:v>
                </c:pt>
                <c:pt idx="165">
                  <c:v>Data Analyst</c:v>
                </c:pt>
                <c:pt idx="166">
                  <c:v>Finance Manager</c:v>
                </c:pt>
                <c:pt idx="167">
                  <c:v>HR Manager</c:v>
                </c:pt>
                <c:pt idx="168">
                  <c:v>HR Manager</c:v>
                </c:pt>
                <c:pt idx="169">
                  <c:v>Finance Manager</c:v>
                </c:pt>
                <c:pt idx="170">
                  <c:v>Marketing Manager</c:v>
                </c:pt>
                <c:pt idx="171">
                  <c:v>HR Manager</c:v>
                </c:pt>
                <c:pt idx="172">
                  <c:v>Finance Manager</c:v>
                </c:pt>
                <c:pt idx="173">
                  <c:v>Marketing Manager</c:v>
                </c:pt>
                <c:pt idx="174">
                  <c:v>Software Engineer</c:v>
                </c:pt>
                <c:pt idx="175">
                  <c:v>HR Manager</c:v>
                </c:pt>
                <c:pt idx="176">
                  <c:v>Finance Manager</c:v>
                </c:pt>
                <c:pt idx="177">
                  <c:v>Software Engineer</c:v>
                </c:pt>
                <c:pt idx="178">
                  <c:v>Finance Manager</c:v>
                </c:pt>
                <c:pt idx="179">
                  <c:v>Data Analyst</c:v>
                </c:pt>
                <c:pt idx="180">
                  <c:v>HR Manager</c:v>
                </c:pt>
                <c:pt idx="181">
                  <c:v>Software Engineer</c:v>
                </c:pt>
                <c:pt idx="182">
                  <c:v>Software Engineer</c:v>
                </c:pt>
                <c:pt idx="183">
                  <c:v>HR Manager</c:v>
                </c:pt>
                <c:pt idx="184">
                  <c:v>Software Engineer</c:v>
                </c:pt>
                <c:pt idx="185">
                  <c:v>HR Manager</c:v>
                </c:pt>
                <c:pt idx="186">
                  <c:v>Finance Manager</c:v>
                </c:pt>
                <c:pt idx="187">
                  <c:v>Finance Manager</c:v>
                </c:pt>
                <c:pt idx="188">
                  <c:v>Software Engineer</c:v>
                </c:pt>
                <c:pt idx="189">
                  <c:v>Marketing Manager</c:v>
                </c:pt>
                <c:pt idx="190">
                  <c:v>Software Engineer</c:v>
                </c:pt>
                <c:pt idx="191">
                  <c:v>Software Engineer</c:v>
                </c:pt>
                <c:pt idx="192">
                  <c:v>Data Analyst</c:v>
                </c:pt>
                <c:pt idx="193">
                  <c:v>Finance Manager</c:v>
                </c:pt>
                <c:pt idx="194">
                  <c:v>Software Engineer</c:v>
                </c:pt>
                <c:pt idx="195">
                  <c:v>Finance Manager</c:v>
                </c:pt>
                <c:pt idx="196">
                  <c:v>Data Analyst</c:v>
                </c:pt>
                <c:pt idx="197">
                  <c:v>Software Engineer</c:v>
                </c:pt>
                <c:pt idx="198">
                  <c:v>Data Analyst</c:v>
                </c:pt>
                <c:pt idx="199">
                  <c:v>Marketing Manager</c:v>
                </c:pt>
                <c:pt idx="200">
                  <c:v>Software Engineer</c:v>
                </c:pt>
                <c:pt idx="201">
                  <c:v>Data Analyst</c:v>
                </c:pt>
                <c:pt idx="202">
                  <c:v>Finance Manager</c:v>
                </c:pt>
                <c:pt idx="203">
                  <c:v>Software Engineer</c:v>
                </c:pt>
                <c:pt idx="204">
                  <c:v>Marketing Manager</c:v>
                </c:pt>
                <c:pt idx="205">
                  <c:v>Finance Manager</c:v>
                </c:pt>
                <c:pt idx="206">
                  <c:v>Data Analyst</c:v>
                </c:pt>
                <c:pt idx="207">
                  <c:v>Software Engineer</c:v>
                </c:pt>
                <c:pt idx="208">
                  <c:v>Software Engineer</c:v>
                </c:pt>
                <c:pt idx="209">
                  <c:v>Finance Manager</c:v>
                </c:pt>
                <c:pt idx="210">
                  <c:v>Data Analyst</c:v>
                </c:pt>
                <c:pt idx="211">
                  <c:v>HR Manager</c:v>
                </c:pt>
                <c:pt idx="212">
                  <c:v>Software Engineer</c:v>
                </c:pt>
                <c:pt idx="213">
                  <c:v>Software Engineer</c:v>
                </c:pt>
                <c:pt idx="214">
                  <c:v>Data Analyst</c:v>
                </c:pt>
                <c:pt idx="215">
                  <c:v>Data Analyst</c:v>
                </c:pt>
                <c:pt idx="216">
                  <c:v>Finance Manager</c:v>
                </c:pt>
                <c:pt idx="217">
                  <c:v>Software Engineer</c:v>
                </c:pt>
                <c:pt idx="218">
                  <c:v>Marketing Manager</c:v>
                </c:pt>
                <c:pt idx="219">
                  <c:v>Finance Manager</c:v>
                </c:pt>
                <c:pt idx="220">
                  <c:v>Finance Manager</c:v>
                </c:pt>
                <c:pt idx="221">
                  <c:v>Data Analyst</c:v>
                </c:pt>
                <c:pt idx="222">
                  <c:v>HR Manager</c:v>
                </c:pt>
                <c:pt idx="223">
                  <c:v>Software Engineer</c:v>
                </c:pt>
                <c:pt idx="224">
                  <c:v>Software Engineer</c:v>
                </c:pt>
                <c:pt idx="225">
                  <c:v>Finance Manager</c:v>
                </c:pt>
                <c:pt idx="226">
                  <c:v>Finance Manager</c:v>
                </c:pt>
                <c:pt idx="227">
                  <c:v>Software Engineer</c:v>
                </c:pt>
                <c:pt idx="228">
                  <c:v>Software Engineer</c:v>
                </c:pt>
                <c:pt idx="229">
                  <c:v>Software Engineer</c:v>
                </c:pt>
                <c:pt idx="230">
                  <c:v>Software Engineer</c:v>
                </c:pt>
                <c:pt idx="231">
                  <c:v>Software Engineer</c:v>
                </c:pt>
                <c:pt idx="232">
                  <c:v>Marketing Manager</c:v>
                </c:pt>
                <c:pt idx="233">
                  <c:v>Marketing Manager</c:v>
                </c:pt>
                <c:pt idx="234">
                  <c:v>HR Manager</c:v>
                </c:pt>
                <c:pt idx="235">
                  <c:v>HR Manager</c:v>
                </c:pt>
                <c:pt idx="236">
                  <c:v>Software Engineer</c:v>
                </c:pt>
                <c:pt idx="237">
                  <c:v>Data Analyst</c:v>
                </c:pt>
                <c:pt idx="238">
                  <c:v>HR Manager</c:v>
                </c:pt>
                <c:pt idx="239">
                  <c:v>Data Analyst</c:v>
                </c:pt>
                <c:pt idx="240">
                  <c:v>HR Manager</c:v>
                </c:pt>
                <c:pt idx="241">
                  <c:v>Marketing Manager</c:v>
                </c:pt>
                <c:pt idx="242">
                  <c:v>HR Manager</c:v>
                </c:pt>
                <c:pt idx="243">
                  <c:v>Marketing Manager</c:v>
                </c:pt>
                <c:pt idx="244">
                  <c:v>Software Engineer</c:v>
                </c:pt>
                <c:pt idx="245">
                  <c:v>Software Engineer</c:v>
                </c:pt>
                <c:pt idx="246">
                  <c:v>Data Analyst</c:v>
                </c:pt>
                <c:pt idx="247">
                  <c:v>Data Analyst</c:v>
                </c:pt>
                <c:pt idx="248">
                  <c:v>Software Engineer</c:v>
                </c:pt>
                <c:pt idx="249">
                  <c:v>Finance Manager</c:v>
                </c:pt>
                <c:pt idx="250">
                  <c:v>Data Analyst</c:v>
                </c:pt>
                <c:pt idx="251">
                  <c:v>Marketing Manager</c:v>
                </c:pt>
                <c:pt idx="252">
                  <c:v>Marketing Manager</c:v>
                </c:pt>
                <c:pt idx="253">
                  <c:v>Data Analyst</c:v>
                </c:pt>
                <c:pt idx="254">
                  <c:v>Software Engineer</c:v>
                </c:pt>
                <c:pt idx="255">
                  <c:v>Data Analyst</c:v>
                </c:pt>
                <c:pt idx="256">
                  <c:v>Marketing Manager</c:v>
                </c:pt>
                <c:pt idx="257">
                  <c:v>Finance Manager</c:v>
                </c:pt>
                <c:pt idx="258">
                  <c:v>Marketing Manager</c:v>
                </c:pt>
                <c:pt idx="259">
                  <c:v>Software Engineer</c:v>
                </c:pt>
                <c:pt idx="260">
                  <c:v>HR Manager</c:v>
                </c:pt>
                <c:pt idx="261">
                  <c:v>Software Engineer</c:v>
                </c:pt>
                <c:pt idx="262">
                  <c:v>Data Analyst</c:v>
                </c:pt>
                <c:pt idx="263">
                  <c:v>Finance Manager</c:v>
                </c:pt>
                <c:pt idx="264">
                  <c:v>Finance Manager</c:v>
                </c:pt>
                <c:pt idx="265">
                  <c:v>Marketing Manager</c:v>
                </c:pt>
                <c:pt idx="266">
                  <c:v>Data Analyst</c:v>
                </c:pt>
                <c:pt idx="267">
                  <c:v>Data Analyst</c:v>
                </c:pt>
                <c:pt idx="268">
                  <c:v>Marketing Manager</c:v>
                </c:pt>
                <c:pt idx="269">
                  <c:v>HR Manager</c:v>
                </c:pt>
                <c:pt idx="270">
                  <c:v>HR Manager</c:v>
                </c:pt>
                <c:pt idx="271">
                  <c:v>Marketing Manager</c:v>
                </c:pt>
                <c:pt idx="272">
                  <c:v>Finance Manager</c:v>
                </c:pt>
                <c:pt idx="273">
                  <c:v>Data Analyst</c:v>
                </c:pt>
                <c:pt idx="274">
                  <c:v>Software Engineer</c:v>
                </c:pt>
                <c:pt idx="275">
                  <c:v>Data Analyst</c:v>
                </c:pt>
                <c:pt idx="276">
                  <c:v>HR Manager</c:v>
                </c:pt>
                <c:pt idx="277">
                  <c:v>Marketing Manager</c:v>
                </c:pt>
                <c:pt idx="278">
                  <c:v>Data Analyst</c:v>
                </c:pt>
                <c:pt idx="279">
                  <c:v>Marketing Manager</c:v>
                </c:pt>
                <c:pt idx="280">
                  <c:v>Finance Manager</c:v>
                </c:pt>
                <c:pt idx="281">
                  <c:v>Marketing Manager</c:v>
                </c:pt>
                <c:pt idx="282">
                  <c:v>Finance Manager</c:v>
                </c:pt>
                <c:pt idx="283">
                  <c:v>HR Manager</c:v>
                </c:pt>
                <c:pt idx="284">
                  <c:v>Finance Manager</c:v>
                </c:pt>
                <c:pt idx="285">
                  <c:v>HR Manager</c:v>
                </c:pt>
                <c:pt idx="286">
                  <c:v>Software Engineer</c:v>
                </c:pt>
                <c:pt idx="287">
                  <c:v>Finance Manager</c:v>
                </c:pt>
                <c:pt idx="288">
                  <c:v>Software Engineer</c:v>
                </c:pt>
                <c:pt idx="289">
                  <c:v>HR Manager</c:v>
                </c:pt>
                <c:pt idx="290">
                  <c:v>Software Engineer</c:v>
                </c:pt>
                <c:pt idx="291">
                  <c:v>Data Analyst</c:v>
                </c:pt>
                <c:pt idx="292">
                  <c:v>Marketing Manager</c:v>
                </c:pt>
                <c:pt idx="293">
                  <c:v>Marketing Manager</c:v>
                </c:pt>
                <c:pt idx="294">
                  <c:v>HR Manager</c:v>
                </c:pt>
                <c:pt idx="295">
                  <c:v>HR Manager</c:v>
                </c:pt>
                <c:pt idx="296">
                  <c:v>HR Manager</c:v>
                </c:pt>
                <c:pt idx="297">
                  <c:v>Marketing Manager</c:v>
                </c:pt>
                <c:pt idx="298">
                  <c:v>HR Manager</c:v>
                </c:pt>
                <c:pt idx="299">
                  <c:v>Marketing Manager</c:v>
                </c:pt>
                <c:pt idx="300">
                  <c:v>Software Engineer</c:v>
                </c:pt>
                <c:pt idx="301">
                  <c:v>Data Analyst</c:v>
                </c:pt>
                <c:pt idx="302">
                  <c:v>Finance Manager</c:v>
                </c:pt>
                <c:pt idx="303">
                  <c:v>HR Manager</c:v>
                </c:pt>
                <c:pt idx="304">
                  <c:v>Marketing Manager</c:v>
                </c:pt>
                <c:pt idx="305">
                  <c:v>Finance Manager</c:v>
                </c:pt>
                <c:pt idx="306">
                  <c:v>Marketing Manager</c:v>
                </c:pt>
                <c:pt idx="307">
                  <c:v>Finance Manager</c:v>
                </c:pt>
                <c:pt idx="308">
                  <c:v>HR Manager</c:v>
                </c:pt>
                <c:pt idx="309">
                  <c:v>Data Analyst</c:v>
                </c:pt>
                <c:pt idx="310">
                  <c:v>Software Engineer</c:v>
                </c:pt>
                <c:pt idx="311">
                  <c:v>Software Engineer</c:v>
                </c:pt>
                <c:pt idx="312">
                  <c:v>Finance Manager</c:v>
                </c:pt>
                <c:pt idx="313">
                  <c:v>Marketing Manager</c:v>
                </c:pt>
                <c:pt idx="314">
                  <c:v>Finance Manager</c:v>
                </c:pt>
                <c:pt idx="315">
                  <c:v>HR Manager</c:v>
                </c:pt>
                <c:pt idx="316">
                  <c:v>Software Engineer</c:v>
                </c:pt>
                <c:pt idx="317">
                  <c:v>Finance Manager</c:v>
                </c:pt>
                <c:pt idx="318">
                  <c:v>Software Engineer</c:v>
                </c:pt>
                <c:pt idx="319">
                  <c:v>Finance Manager</c:v>
                </c:pt>
                <c:pt idx="320">
                  <c:v>Software Engineer</c:v>
                </c:pt>
                <c:pt idx="321">
                  <c:v>Marketing Manager</c:v>
                </c:pt>
                <c:pt idx="322">
                  <c:v>HR Manager</c:v>
                </c:pt>
                <c:pt idx="323">
                  <c:v>Software Engineer</c:v>
                </c:pt>
                <c:pt idx="324">
                  <c:v>Data Analyst</c:v>
                </c:pt>
                <c:pt idx="325">
                  <c:v>Data Analyst</c:v>
                </c:pt>
                <c:pt idx="326">
                  <c:v>Data Analyst</c:v>
                </c:pt>
                <c:pt idx="327">
                  <c:v>Finance Manager</c:v>
                </c:pt>
                <c:pt idx="328">
                  <c:v>Marketing Manager</c:v>
                </c:pt>
                <c:pt idx="329">
                  <c:v>Software Engineer</c:v>
                </c:pt>
                <c:pt idx="330">
                  <c:v>HR Manager</c:v>
                </c:pt>
                <c:pt idx="331">
                  <c:v>Data Analyst</c:v>
                </c:pt>
                <c:pt idx="332">
                  <c:v>Finance Manager</c:v>
                </c:pt>
                <c:pt idx="333">
                  <c:v>Marketing Manager</c:v>
                </c:pt>
                <c:pt idx="334">
                  <c:v>Data Analyst</c:v>
                </c:pt>
                <c:pt idx="335">
                  <c:v>HR Manager</c:v>
                </c:pt>
                <c:pt idx="336">
                  <c:v>Data Analyst</c:v>
                </c:pt>
                <c:pt idx="337">
                  <c:v>HR Manager</c:v>
                </c:pt>
                <c:pt idx="338">
                  <c:v>Data Analyst</c:v>
                </c:pt>
                <c:pt idx="339">
                  <c:v>Finance Manager</c:v>
                </c:pt>
                <c:pt idx="340">
                  <c:v>Marketing Manager</c:v>
                </c:pt>
                <c:pt idx="341">
                  <c:v>Finance Manager</c:v>
                </c:pt>
                <c:pt idx="342">
                  <c:v>Finance Manager</c:v>
                </c:pt>
                <c:pt idx="343">
                  <c:v>Finance Manager</c:v>
                </c:pt>
                <c:pt idx="344">
                  <c:v>Data Analyst</c:v>
                </c:pt>
                <c:pt idx="345">
                  <c:v>Marketing Manager</c:v>
                </c:pt>
                <c:pt idx="346">
                  <c:v>Software Engineer</c:v>
                </c:pt>
                <c:pt idx="347">
                  <c:v>Software Engineer</c:v>
                </c:pt>
                <c:pt idx="348">
                  <c:v>Marketing Manager</c:v>
                </c:pt>
                <c:pt idx="349">
                  <c:v>Marketing Manager</c:v>
                </c:pt>
                <c:pt idx="350">
                  <c:v>Marketing Manager</c:v>
                </c:pt>
                <c:pt idx="351">
                  <c:v>Marketing Manager</c:v>
                </c:pt>
                <c:pt idx="352">
                  <c:v>Marketing Manager</c:v>
                </c:pt>
                <c:pt idx="353">
                  <c:v>Finance Manager</c:v>
                </c:pt>
                <c:pt idx="354">
                  <c:v>Finance Manager</c:v>
                </c:pt>
                <c:pt idx="355">
                  <c:v>Software Engineer</c:v>
                </c:pt>
                <c:pt idx="356">
                  <c:v>Marketing Manager</c:v>
                </c:pt>
                <c:pt idx="357">
                  <c:v>Software Engineer</c:v>
                </c:pt>
                <c:pt idx="358">
                  <c:v>Software Engineer</c:v>
                </c:pt>
                <c:pt idx="359">
                  <c:v>Finance Manager</c:v>
                </c:pt>
                <c:pt idx="360">
                  <c:v>Finance Manager</c:v>
                </c:pt>
                <c:pt idx="361">
                  <c:v>Marketing Manager</c:v>
                </c:pt>
                <c:pt idx="362">
                  <c:v>Finance Manager</c:v>
                </c:pt>
                <c:pt idx="363">
                  <c:v>Finance Manager</c:v>
                </c:pt>
                <c:pt idx="364">
                  <c:v>Data Analyst</c:v>
                </c:pt>
                <c:pt idx="365">
                  <c:v>Data Analyst</c:v>
                </c:pt>
                <c:pt idx="366">
                  <c:v>HR Manager</c:v>
                </c:pt>
                <c:pt idx="367">
                  <c:v>Marketing Manager</c:v>
                </c:pt>
                <c:pt idx="368">
                  <c:v>Finance Manager</c:v>
                </c:pt>
                <c:pt idx="369">
                  <c:v>Marketing Manager</c:v>
                </c:pt>
                <c:pt idx="370">
                  <c:v>Finance Manager</c:v>
                </c:pt>
                <c:pt idx="371">
                  <c:v>Data Analyst</c:v>
                </c:pt>
                <c:pt idx="372">
                  <c:v>Software Engineer</c:v>
                </c:pt>
                <c:pt idx="373">
                  <c:v>Software Engineer</c:v>
                </c:pt>
                <c:pt idx="374">
                  <c:v>Data Analyst</c:v>
                </c:pt>
                <c:pt idx="375">
                  <c:v>Data Analyst</c:v>
                </c:pt>
                <c:pt idx="376">
                  <c:v>Data Analyst</c:v>
                </c:pt>
                <c:pt idx="377">
                  <c:v>Data Analyst</c:v>
                </c:pt>
                <c:pt idx="378">
                  <c:v>Data Analyst</c:v>
                </c:pt>
                <c:pt idx="379">
                  <c:v>Marketing Manager</c:v>
                </c:pt>
                <c:pt idx="380">
                  <c:v>Software Engineer</c:v>
                </c:pt>
                <c:pt idx="381">
                  <c:v>HR Manager</c:v>
                </c:pt>
                <c:pt idx="382">
                  <c:v>Software Engineer</c:v>
                </c:pt>
                <c:pt idx="383">
                  <c:v>HR Manager</c:v>
                </c:pt>
                <c:pt idx="384">
                  <c:v>Data Analyst</c:v>
                </c:pt>
                <c:pt idx="385">
                  <c:v>Software Engineer</c:v>
                </c:pt>
                <c:pt idx="386">
                  <c:v>Finance Manager</c:v>
                </c:pt>
                <c:pt idx="387">
                  <c:v>HR Manager</c:v>
                </c:pt>
                <c:pt idx="388">
                  <c:v>Finance Manager</c:v>
                </c:pt>
                <c:pt idx="389">
                  <c:v>HR Manager</c:v>
                </c:pt>
                <c:pt idx="390">
                  <c:v>Software Engineer</c:v>
                </c:pt>
                <c:pt idx="391">
                  <c:v>Finance Manager</c:v>
                </c:pt>
                <c:pt idx="392">
                  <c:v>Software Engineer</c:v>
                </c:pt>
                <c:pt idx="393">
                  <c:v>Data Analyst</c:v>
                </c:pt>
                <c:pt idx="394">
                  <c:v>Data Analyst</c:v>
                </c:pt>
                <c:pt idx="395">
                  <c:v>Marketing Manager</c:v>
                </c:pt>
                <c:pt idx="396">
                  <c:v>Software Engineer</c:v>
                </c:pt>
                <c:pt idx="397">
                  <c:v>Finance Manager</c:v>
                </c:pt>
                <c:pt idx="398">
                  <c:v>Software Engineer</c:v>
                </c:pt>
                <c:pt idx="399">
                  <c:v>HR Manager</c:v>
                </c:pt>
                <c:pt idx="400">
                  <c:v>Marketing Manager</c:v>
                </c:pt>
                <c:pt idx="401">
                  <c:v>Data Analyst</c:v>
                </c:pt>
                <c:pt idx="402">
                  <c:v>Data Analyst</c:v>
                </c:pt>
                <c:pt idx="403">
                  <c:v>Marketing Manager</c:v>
                </c:pt>
                <c:pt idx="404">
                  <c:v>Marketing Manager</c:v>
                </c:pt>
                <c:pt idx="405">
                  <c:v>Software Engineer</c:v>
                </c:pt>
                <c:pt idx="406">
                  <c:v>Marketing Manager</c:v>
                </c:pt>
                <c:pt idx="407">
                  <c:v>Software Engineer</c:v>
                </c:pt>
                <c:pt idx="408">
                  <c:v>Data Analyst</c:v>
                </c:pt>
                <c:pt idx="409">
                  <c:v>HR Manager</c:v>
                </c:pt>
                <c:pt idx="410">
                  <c:v>Finance Manager</c:v>
                </c:pt>
                <c:pt idx="411">
                  <c:v>Finance Manager</c:v>
                </c:pt>
                <c:pt idx="412">
                  <c:v>Software Engineer</c:v>
                </c:pt>
                <c:pt idx="413">
                  <c:v>Marketing Manager</c:v>
                </c:pt>
                <c:pt idx="414">
                  <c:v>Finance Manager</c:v>
                </c:pt>
                <c:pt idx="415">
                  <c:v>Finance Manager</c:v>
                </c:pt>
                <c:pt idx="416">
                  <c:v>Data Analyst</c:v>
                </c:pt>
                <c:pt idx="417">
                  <c:v>Software Engineer</c:v>
                </c:pt>
                <c:pt idx="418">
                  <c:v>Data Analyst</c:v>
                </c:pt>
                <c:pt idx="419">
                  <c:v>Marketing Manager</c:v>
                </c:pt>
                <c:pt idx="420">
                  <c:v>Finance Manager</c:v>
                </c:pt>
                <c:pt idx="421">
                  <c:v>Data Analyst</c:v>
                </c:pt>
                <c:pt idx="422">
                  <c:v>Data Analyst</c:v>
                </c:pt>
                <c:pt idx="423">
                  <c:v>Finance Manager</c:v>
                </c:pt>
                <c:pt idx="424">
                  <c:v>Data Analyst</c:v>
                </c:pt>
                <c:pt idx="425">
                  <c:v>HR Manager</c:v>
                </c:pt>
                <c:pt idx="426">
                  <c:v>Finance Manager</c:v>
                </c:pt>
                <c:pt idx="427">
                  <c:v>HR Manager</c:v>
                </c:pt>
                <c:pt idx="428">
                  <c:v>HR Manager</c:v>
                </c:pt>
                <c:pt idx="429">
                  <c:v>Marketing Manager</c:v>
                </c:pt>
                <c:pt idx="430">
                  <c:v>HR Manager</c:v>
                </c:pt>
                <c:pt idx="431">
                  <c:v>Software Engineer</c:v>
                </c:pt>
                <c:pt idx="432">
                  <c:v>Marketing Manager</c:v>
                </c:pt>
                <c:pt idx="433">
                  <c:v>HR Manager</c:v>
                </c:pt>
                <c:pt idx="434">
                  <c:v>Finance Manager</c:v>
                </c:pt>
                <c:pt idx="435">
                  <c:v>Data Analyst</c:v>
                </c:pt>
                <c:pt idx="436">
                  <c:v>Software Engineer</c:v>
                </c:pt>
                <c:pt idx="437">
                  <c:v>Finance Manager</c:v>
                </c:pt>
                <c:pt idx="438">
                  <c:v>HR Manager</c:v>
                </c:pt>
                <c:pt idx="439">
                  <c:v>Marketing Manager</c:v>
                </c:pt>
                <c:pt idx="440">
                  <c:v>Software Engineer</c:v>
                </c:pt>
                <c:pt idx="441">
                  <c:v>Data Analyst</c:v>
                </c:pt>
                <c:pt idx="442">
                  <c:v>Software Engineer</c:v>
                </c:pt>
                <c:pt idx="443">
                  <c:v>Data Analyst</c:v>
                </c:pt>
                <c:pt idx="444">
                  <c:v>HR Manager</c:v>
                </c:pt>
                <c:pt idx="445">
                  <c:v>HR Manager</c:v>
                </c:pt>
                <c:pt idx="446">
                  <c:v>Data Analyst</c:v>
                </c:pt>
                <c:pt idx="447">
                  <c:v>HR Manager</c:v>
                </c:pt>
                <c:pt idx="448">
                  <c:v>Marketing Manager</c:v>
                </c:pt>
                <c:pt idx="449">
                  <c:v>Data Analyst</c:v>
                </c:pt>
                <c:pt idx="450">
                  <c:v>Data Analyst</c:v>
                </c:pt>
                <c:pt idx="451">
                  <c:v>Software Engineer</c:v>
                </c:pt>
                <c:pt idx="452">
                  <c:v>HR Manager</c:v>
                </c:pt>
                <c:pt idx="453">
                  <c:v>Marketing Manager</c:v>
                </c:pt>
                <c:pt idx="454">
                  <c:v>HR Manager</c:v>
                </c:pt>
                <c:pt idx="455">
                  <c:v>HR Manager</c:v>
                </c:pt>
                <c:pt idx="456">
                  <c:v>Data Analyst</c:v>
                </c:pt>
                <c:pt idx="457">
                  <c:v>Software Engineer</c:v>
                </c:pt>
                <c:pt idx="458">
                  <c:v>Finance Manager</c:v>
                </c:pt>
                <c:pt idx="459">
                  <c:v>Software Engineer</c:v>
                </c:pt>
                <c:pt idx="460">
                  <c:v>HR Manager</c:v>
                </c:pt>
                <c:pt idx="461">
                  <c:v>Data Analyst</c:v>
                </c:pt>
                <c:pt idx="462">
                  <c:v>HR Manager</c:v>
                </c:pt>
                <c:pt idx="463">
                  <c:v>Software Engineer</c:v>
                </c:pt>
                <c:pt idx="464">
                  <c:v>HR Manager</c:v>
                </c:pt>
                <c:pt idx="465">
                  <c:v>Data Analyst</c:v>
                </c:pt>
                <c:pt idx="466">
                  <c:v>Marketing Manager</c:v>
                </c:pt>
                <c:pt idx="467">
                  <c:v>Data Analyst</c:v>
                </c:pt>
                <c:pt idx="468">
                  <c:v>Software Engineer</c:v>
                </c:pt>
                <c:pt idx="469">
                  <c:v>Software Engineer</c:v>
                </c:pt>
                <c:pt idx="470">
                  <c:v>Software Engineer</c:v>
                </c:pt>
                <c:pt idx="471">
                  <c:v>HR Manager</c:v>
                </c:pt>
                <c:pt idx="472">
                  <c:v>Finance Manager</c:v>
                </c:pt>
                <c:pt idx="473">
                  <c:v>Software Engineer</c:v>
                </c:pt>
                <c:pt idx="474">
                  <c:v>Marketing Manager</c:v>
                </c:pt>
                <c:pt idx="475">
                  <c:v>Software Engineer</c:v>
                </c:pt>
                <c:pt idx="476">
                  <c:v>Marketing Manager</c:v>
                </c:pt>
                <c:pt idx="477">
                  <c:v>Marketing Manager</c:v>
                </c:pt>
                <c:pt idx="478">
                  <c:v>HR Manager</c:v>
                </c:pt>
                <c:pt idx="479">
                  <c:v>Finance Manager</c:v>
                </c:pt>
                <c:pt idx="480">
                  <c:v>Marketing Manager</c:v>
                </c:pt>
                <c:pt idx="481">
                  <c:v>HR Manager</c:v>
                </c:pt>
                <c:pt idx="482">
                  <c:v>Data Analyst</c:v>
                </c:pt>
                <c:pt idx="483">
                  <c:v>Marketing Manager</c:v>
                </c:pt>
                <c:pt idx="484">
                  <c:v>Data Analyst</c:v>
                </c:pt>
                <c:pt idx="485">
                  <c:v>Finance Manager</c:v>
                </c:pt>
                <c:pt idx="486">
                  <c:v>Software Engineer</c:v>
                </c:pt>
                <c:pt idx="487">
                  <c:v>Software Engineer</c:v>
                </c:pt>
                <c:pt idx="488">
                  <c:v>Finance Manager</c:v>
                </c:pt>
                <c:pt idx="489">
                  <c:v>Software Engineer</c:v>
                </c:pt>
                <c:pt idx="490">
                  <c:v>Software Engineer</c:v>
                </c:pt>
                <c:pt idx="491">
                  <c:v>Software Engineer</c:v>
                </c:pt>
                <c:pt idx="492">
                  <c:v>Marketing Manager</c:v>
                </c:pt>
                <c:pt idx="493">
                  <c:v>Marketing Manager</c:v>
                </c:pt>
                <c:pt idx="494">
                  <c:v>Finance Manager</c:v>
                </c:pt>
                <c:pt idx="495">
                  <c:v>Data Analyst</c:v>
                </c:pt>
                <c:pt idx="496">
                  <c:v>Marketing Manager</c:v>
                </c:pt>
                <c:pt idx="497">
                  <c:v>Software Engineer</c:v>
                </c:pt>
                <c:pt idx="498">
                  <c:v>Data Analyst</c:v>
                </c:pt>
                <c:pt idx="499">
                  <c:v>Marketing Manager</c:v>
                </c:pt>
              </c:strCache>
            </c:strRef>
          </c:xVal>
          <c:yVal>
            <c:numRef>
              <c:f>'Random Data'!$V$2:$V$501</c:f>
              <c:numCache>
                <c:formatCode>General</c:formatCode>
                <c:ptCount val="500"/>
                <c:pt idx="0">
                  <c:v>37</c:v>
                </c:pt>
                <c:pt idx="1">
                  <c:v>49</c:v>
                </c:pt>
                <c:pt idx="2">
                  <c:v>55</c:v>
                </c:pt>
                <c:pt idx="3">
                  <c:v>81</c:v>
                </c:pt>
                <c:pt idx="4">
                  <c:v>57</c:v>
                </c:pt>
                <c:pt idx="5">
                  <c:v>56</c:v>
                </c:pt>
                <c:pt idx="6">
                  <c:v>37</c:v>
                </c:pt>
                <c:pt idx="7">
                  <c:v>46</c:v>
                </c:pt>
                <c:pt idx="8">
                  <c:v>51</c:v>
                </c:pt>
                <c:pt idx="9">
                  <c:v>85</c:v>
                </c:pt>
                <c:pt idx="10">
                  <c:v>78</c:v>
                </c:pt>
                <c:pt idx="11">
                  <c:v>91</c:v>
                </c:pt>
                <c:pt idx="12">
                  <c:v>46</c:v>
                </c:pt>
                <c:pt idx="13">
                  <c:v>36</c:v>
                </c:pt>
                <c:pt idx="14">
                  <c:v>26</c:v>
                </c:pt>
                <c:pt idx="15">
                  <c:v>55</c:v>
                </c:pt>
                <c:pt idx="16">
                  <c:v>50</c:v>
                </c:pt>
                <c:pt idx="17">
                  <c:v>64</c:v>
                </c:pt>
                <c:pt idx="18">
                  <c:v>53</c:v>
                </c:pt>
                <c:pt idx="19">
                  <c:v>89</c:v>
                </c:pt>
                <c:pt idx="20">
                  <c:v>58</c:v>
                </c:pt>
                <c:pt idx="21">
                  <c:v>84</c:v>
                </c:pt>
                <c:pt idx="22">
                  <c:v>88</c:v>
                </c:pt>
                <c:pt idx="23">
                  <c:v>55</c:v>
                </c:pt>
                <c:pt idx="24">
                  <c:v>67</c:v>
                </c:pt>
                <c:pt idx="25">
                  <c:v>41</c:v>
                </c:pt>
                <c:pt idx="26">
                  <c:v>42</c:v>
                </c:pt>
                <c:pt idx="27">
                  <c:v>58</c:v>
                </c:pt>
                <c:pt idx="28">
                  <c:v>84</c:v>
                </c:pt>
                <c:pt idx="29">
                  <c:v>33</c:v>
                </c:pt>
                <c:pt idx="30">
                  <c:v>27</c:v>
                </c:pt>
                <c:pt idx="31">
                  <c:v>48</c:v>
                </c:pt>
                <c:pt idx="32">
                  <c:v>33</c:v>
                </c:pt>
                <c:pt idx="33">
                  <c:v>42</c:v>
                </c:pt>
                <c:pt idx="34">
                  <c:v>27</c:v>
                </c:pt>
                <c:pt idx="35">
                  <c:v>51</c:v>
                </c:pt>
                <c:pt idx="36">
                  <c:v>94</c:v>
                </c:pt>
                <c:pt idx="37">
                  <c:v>82</c:v>
                </c:pt>
                <c:pt idx="38">
                  <c:v>32</c:v>
                </c:pt>
                <c:pt idx="39">
                  <c:v>66</c:v>
                </c:pt>
                <c:pt idx="40">
                  <c:v>57</c:v>
                </c:pt>
                <c:pt idx="41">
                  <c:v>97</c:v>
                </c:pt>
                <c:pt idx="42">
                  <c:v>28</c:v>
                </c:pt>
                <c:pt idx="43">
                  <c:v>66</c:v>
                </c:pt>
                <c:pt idx="44">
                  <c:v>64</c:v>
                </c:pt>
                <c:pt idx="45">
                  <c:v>77</c:v>
                </c:pt>
                <c:pt idx="46">
                  <c:v>87</c:v>
                </c:pt>
                <c:pt idx="47">
                  <c:v>101</c:v>
                </c:pt>
                <c:pt idx="48">
                  <c:v>66</c:v>
                </c:pt>
                <c:pt idx="49">
                  <c:v>65</c:v>
                </c:pt>
                <c:pt idx="50">
                  <c:v>54</c:v>
                </c:pt>
                <c:pt idx="51">
                  <c:v>21</c:v>
                </c:pt>
                <c:pt idx="52">
                  <c:v>56</c:v>
                </c:pt>
                <c:pt idx="53">
                  <c:v>35</c:v>
                </c:pt>
                <c:pt idx="54">
                  <c:v>102</c:v>
                </c:pt>
                <c:pt idx="55">
                  <c:v>58</c:v>
                </c:pt>
                <c:pt idx="56">
                  <c:v>65</c:v>
                </c:pt>
                <c:pt idx="57">
                  <c:v>95</c:v>
                </c:pt>
                <c:pt idx="58">
                  <c:v>95</c:v>
                </c:pt>
                <c:pt idx="59">
                  <c:v>29</c:v>
                </c:pt>
                <c:pt idx="60">
                  <c:v>44</c:v>
                </c:pt>
                <c:pt idx="61">
                  <c:v>88</c:v>
                </c:pt>
                <c:pt idx="62">
                  <c:v>88</c:v>
                </c:pt>
                <c:pt idx="63">
                  <c:v>50</c:v>
                </c:pt>
                <c:pt idx="64">
                  <c:v>70</c:v>
                </c:pt>
                <c:pt idx="65">
                  <c:v>77</c:v>
                </c:pt>
                <c:pt idx="66">
                  <c:v>50</c:v>
                </c:pt>
                <c:pt idx="67">
                  <c:v>77</c:v>
                </c:pt>
                <c:pt idx="68">
                  <c:v>49</c:v>
                </c:pt>
                <c:pt idx="69">
                  <c:v>38</c:v>
                </c:pt>
                <c:pt idx="70">
                  <c:v>38</c:v>
                </c:pt>
                <c:pt idx="71">
                  <c:v>25</c:v>
                </c:pt>
                <c:pt idx="72">
                  <c:v>33</c:v>
                </c:pt>
                <c:pt idx="73">
                  <c:v>94</c:v>
                </c:pt>
                <c:pt idx="74">
                  <c:v>56</c:v>
                </c:pt>
                <c:pt idx="75">
                  <c:v>103</c:v>
                </c:pt>
                <c:pt idx="76">
                  <c:v>100</c:v>
                </c:pt>
                <c:pt idx="77">
                  <c:v>28</c:v>
                </c:pt>
                <c:pt idx="78">
                  <c:v>58</c:v>
                </c:pt>
                <c:pt idx="79">
                  <c:v>42</c:v>
                </c:pt>
                <c:pt idx="80">
                  <c:v>49</c:v>
                </c:pt>
                <c:pt idx="81">
                  <c:v>69</c:v>
                </c:pt>
                <c:pt idx="82">
                  <c:v>28</c:v>
                </c:pt>
                <c:pt idx="83">
                  <c:v>61</c:v>
                </c:pt>
                <c:pt idx="84">
                  <c:v>59</c:v>
                </c:pt>
                <c:pt idx="85">
                  <c:v>59</c:v>
                </c:pt>
                <c:pt idx="86">
                  <c:v>72</c:v>
                </c:pt>
                <c:pt idx="87">
                  <c:v>87</c:v>
                </c:pt>
                <c:pt idx="88">
                  <c:v>45</c:v>
                </c:pt>
                <c:pt idx="89">
                  <c:v>80</c:v>
                </c:pt>
                <c:pt idx="90">
                  <c:v>25</c:v>
                </c:pt>
                <c:pt idx="91">
                  <c:v>73</c:v>
                </c:pt>
                <c:pt idx="92">
                  <c:v>53</c:v>
                </c:pt>
                <c:pt idx="93">
                  <c:v>33</c:v>
                </c:pt>
                <c:pt idx="94">
                  <c:v>47</c:v>
                </c:pt>
                <c:pt idx="95">
                  <c:v>32</c:v>
                </c:pt>
                <c:pt idx="96">
                  <c:v>33</c:v>
                </c:pt>
                <c:pt idx="97">
                  <c:v>22</c:v>
                </c:pt>
                <c:pt idx="98">
                  <c:v>97</c:v>
                </c:pt>
                <c:pt idx="99">
                  <c:v>49</c:v>
                </c:pt>
                <c:pt idx="100">
                  <c:v>76</c:v>
                </c:pt>
                <c:pt idx="101">
                  <c:v>56</c:v>
                </c:pt>
                <c:pt idx="102">
                  <c:v>75</c:v>
                </c:pt>
                <c:pt idx="103">
                  <c:v>47</c:v>
                </c:pt>
                <c:pt idx="104">
                  <c:v>76</c:v>
                </c:pt>
                <c:pt idx="105">
                  <c:v>84</c:v>
                </c:pt>
                <c:pt idx="106">
                  <c:v>40</c:v>
                </c:pt>
                <c:pt idx="107">
                  <c:v>79</c:v>
                </c:pt>
                <c:pt idx="108">
                  <c:v>55</c:v>
                </c:pt>
                <c:pt idx="109">
                  <c:v>88</c:v>
                </c:pt>
                <c:pt idx="110">
                  <c:v>30</c:v>
                </c:pt>
                <c:pt idx="111">
                  <c:v>59</c:v>
                </c:pt>
                <c:pt idx="112">
                  <c:v>90</c:v>
                </c:pt>
                <c:pt idx="113">
                  <c:v>53</c:v>
                </c:pt>
                <c:pt idx="114">
                  <c:v>78</c:v>
                </c:pt>
                <c:pt idx="115">
                  <c:v>66</c:v>
                </c:pt>
                <c:pt idx="116">
                  <c:v>93</c:v>
                </c:pt>
                <c:pt idx="117">
                  <c:v>78</c:v>
                </c:pt>
                <c:pt idx="118">
                  <c:v>83</c:v>
                </c:pt>
                <c:pt idx="119">
                  <c:v>33</c:v>
                </c:pt>
                <c:pt idx="120">
                  <c:v>50</c:v>
                </c:pt>
                <c:pt idx="121">
                  <c:v>45</c:v>
                </c:pt>
                <c:pt idx="122">
                  <c:v>44</c:v>
                </c:pt>
                <c:pt idx="123">
                  <c:v>43</c:v>
                </c:pt>
                <c:pt idx="124">
                  <c:v>58</c:v>
                </c:pt>
                <c:pt idx="125">
                  <c:v>26</c:v>
                </c:pt>
                <c:pt idx="126">
                  <c:v>71</c:v>
                </c:pt>
                <c:pt idx="127">
                  <c:v>54</c:v>
                </c:pt>
                <c:pt idx="128">
                  <c:v>82</c:v>
                </c:pt>
                <c:pt idx="129">
                  <c:v>34</c:v>
                </c:pt>
                <c:pt idx="130">
                  <c:v>87</c:v>
                </c:pt>
                <c:pt idx="131">
                  <c:v>99</c:v>
                </c:pt>
                <c:pt idx="132">
                  <c:v>77</c:v>
                </c:pt>
                <c:pt idx="133">
                  <c:v>81</c:v>
                </c:pt>
                <c:pt idx="134">
                  <c:v>49</c:v>
                </c:pt>
                <c:pt idx="135">
                  <c:v>57</c:v>
                </c:pt>
                <c:pt idx="136">
                  <c:v>59</c:v>
                </c:pt>
                <c:pt idx="137">
                  <c:v>70</c:v>
                </c:pt>
                <c:pt idx="138">
                  <c:v>96</c:v>
                </c:pt>
                <c:pt idx="139">
                  <c:v>28</c:v>
                </c:pt>
                <c:pt idx="140">
                  <c:v>95</c:v>
                </c:pt>
                <c:pt idx="141">
                  <c:v>94</c:v>
                </c:pt>
                <c:pt idx="142">
                  <c:v>54</c:v>
                </c:pt>
                <c:pt idx="143">
                  <c:v>63</c:v>
                </c:pt>
                <c:pt idx="144">
                  <c:v>38</c:v>
                </c:pt>
                <c:pt idx="145">
                  <c:v>76</c:v>
                </c:pt>
                <c:pt idx="146">
                  <c:v>49</c:v>
                </c:pt>
                <c:pt idx="147">
                  <c:v>62</c:v>
                </c:pt>
                <c:pt idx="148">
                  <c:v>44</c:v>
                </c:pt>
                <c:pt idx="149">
                  <c:v>68</c:v>
                </c:pt>
                <c:pt idx="150">
                  <c:v>59</c:v>
                </c:pt>
                <c:pt idx="151">
                  <c:v>46</c:v>
                </c:pt>
                <c:pt idx="152">
                  <c:v>57</c:v>
                </c:pt>
                <c:pt idx="153">
                  <c:v>41</c:v>
                </c:pt>
                <c:pt idx="154">
                  <c:v>59</c:v>
                </c:pt>
                <c:pt idx="155">
                  <c:v>31</c:v>
                </c:pt>
                <c:pt idx="156">
                  <c:v>39</c:v>
                </c:pt>
                <c:pt idx="157">
                  <c:v>34</c:v>
                </c:pt>
                <c:pt idx="158">
                  <c:v>96</c:v>
                </c:pt>
                <c:pt idx="159">
                  <c:v>84</c:v>
                </c:pt>
                <c:pt idx="160">
                  <c:v>44</c:v>
                </c:pt>
                <c:pt idx="161">
                  <c:v>19</c:v>
                </c:pt>
                <c:pt idx="162">
                  <c:v>59</c:v>
                </c:pt>
                <c:pt idx="163">
                  <c:v>30</c:v>
                </c:pt>
                <c:pt idx="164">
                  <c:v>82</c:v>
                </c:pt>
                <c:pt idx="165">
                  <c:v>55</c:v>
                </c:pt>
                <c:pt idx="166">
                  <c:v>85</c:v>
                </c:pt>
                <c:pt idx="167">
                  <c:v>40</c:v>
                </c:pt>
                <c:pt idx="168">
                  <c:v>49</c:v>
                </c:pt>
                <c:pt idx="169">
                  <c:v>40</c:v>
                </c:pt>
                <c:pt idx="170">
                  <c:v>49</c:v>
                </c:pt>
                <c:pt idx="171">
                  <c:v>61</c:v>
                </c:pt>
                <c:pt idx="172">
                  <c:v>57</c:v>
                </c:pt>
                <c:pt idx="173">
                  <c:v>41</c:v>
                </c:pt>
                <c:pt idx="174">
                  <c:v>87</c:v>
                </c:pt>
                <c:pt idx="175">
                  <c:v>50</c:v>
                </c:pt>
                <c:pt idx="176">
                  <c:v>59</c:v>
                </c:pt>
                <c:pt idx="177">
                  <c:v>51</c:v>
                </c:pt>
                <c:pt idx="178">
                  <c:v>70</c:v>
                </c:pt>
                <c:pt idx="179">
                  <c:v>37</c:v>
                </c:pt>
                <c:pt idx="180">
                  <c:v>51</c:v>
                </c:pt>
                <c:pt idx="181">
                  <c:v>91</c:v>
                </c:pt>
                <c:pt idx="182">
                  <c:v>92</c:v>
                </c:pt>
                <c:pt idx="183">
                  <c:v>33</c:v>
                </c:pt>
                <c:pt idx="184">
                  <c:v>83</c:v>
                </c:pt>
                <c:pt idx="185">
                  <c:v>102</c:v>
                </c:pt>
                <c:pt idx="186">
                  <c:v>68</c:v>
                </c:pt>
                <c:pt idx="187">
                  <c:v>41</c:v>
                </c:pt>
                <c:pt idx="188">
                  <c:v>50</c:v>
                </c:pt>
                <c:pt idx="189">
                  <c:v>30</c:v>
                </c:pt>
                <c:pt idx="190">
                  <c:v>83</c:v>
                </c:pt>
                <c:pt idx="191">
                  <c:v>94</c:v>
                </c:pt>
                <c:pt idx="192">
                  <c:v>54</c:v>
                </c:pt>
                <c:pt idx="193">
                  <c:v>23</c:v>
                </c:pt>
                <c:pt idx="194">
                  <c:v>69</c:v>
                </c:pt>
                <c:pt idx="195">
                  <c:v>52</c:v>
                </c:pt>
                <c:pt idx="196">
                  <c:v>65</c:v>
                </c:pt>
                <c:pt idx="197">
                  <c:v>53</c:v>
                </c:pt>
                <c:pt idx="198">
                  <c:v>96</c:v>
                </c:pt>
                <c:pt idx="199">
                  <c:v>76</c:v>
                </c:pt>
                <c:pt idx="200">
                  <c:v>54</c:v>
                </c:pt>
                <c:pt idx="201">
                  <c:v>67</c:v>
                </c:pt>
                <c:pt idx="202">
                  <c:v>41</c:v>
                </c:pt>
                <c:pt idx="203">
                  <c:v>81</c:v>
                </c:pt>
                <c:pt idx="204">
                  <c:v>89</c:v>
                </c:pt>
                <c:pt idx="205">
                  <c:v>27</c:v>
                </c:pt>
                <c:pt idx="206">
                  <c:v>56</c:v>
                </c:pt>
                <c:pt idx="207">
                  <c:v>45</c:v>
                </c:pt>
                <c:pt idx="208">
                  <c:v>74</c:v>
                </c:pt>
                <c:pt idx="209">
                  <c:v>33</c:v>
                </c:pt>
                <c:pt idx="210">
                  <c:v>64</c:v>
                </c:pt>
                <c:pt idx="211">
                  <c:v>53</c:v>
                </c:pt>
                <c:pt idx="212">
                  <c:v>91</c:v>
                </c:pt>
                <c:pt idx="213">
                  <c:v>96</c:v>
                </c:pt>
                <c:pt idx="214">
                  <c:v>100</c:v>
                </c:pt>
                <c:pt idx="215">
                  <c:v>22</c:v>
                </c:pt>
                <c:pt idx="216">
                  <c:v>81</c:v>
                </c:pt>
                <c:pt idx="217">
                  <c:v>44</c:v>
                </c:pt>
                <c:pt idx="218">
                  <c:v>52</c:v>
                </c:pt>
                <c:pt idx="219">
                  <c:v>62</c:v>
                </c:pt>
                <c:pt idx="220">
                  <c:v>78</c:v>
                </c:pt>
                <c:pt idx="221">
                  <c:v>85</c:v>
                </c:pt>
                <c:pt idx="222">
                  <c:v>96</c:v>
                </c:pt>
                <c:pt idx="223">
                  <c:v>59</c:v>
                </c:pt>
                <c:pt idx="224">
                  <c:v>50</c:v>
                </c:pt>
                <c:pt idx="225">
                  <c:v>71</c:v>
                </c:pt>
                <c:pt idx="226">
                  <c:v>84</c:v>
                </c:pt>
                <c:pt idx="227">
                  <c:v>35</c:v>
                </c:pt>
                <c:pt idx="228">
                  <c:v>52</c:v>
                </c:pt>
                <c:pt idx="229">
                  <c:v>63</c:v>
                </c:pt>
                <c:pt idx="230">
                  <c:v>73</c:v>
                </c:pt>
                <c:pt idx="231">
                  <c:v>85</c:v>
                </c:pt>
                <c:pt idx="232">
                  <c:v>23</c:v>
                </c:pt>
                <c:pt idx="233">
                  <c:v>24</c:v>
                </c:pt>
                <c:pt idx="234">
                  <c:v>75</c:v>
                </c:pt>
                <c:pt idx="235">
                  <c:v>69</c:v>
                </c:pt>
                <c:pt idx="236">
                  <c:v>76</c:v>
                </c:pt>
                <c:pt idx="237">
                  <c:v>33</c:v>
                </c:pt>
                <c:pt idx="238">
                  <c:v>86</c:v>
                </c:pt>
                <c:pt idx="239">
                  <c:v>58</c:v>
                </c:pt>
                <c:pt idx="240">
                  <c:v>72</c:v>
                </c:pt>
                <c:pt idx="241">
                  <c:v>29</c:v>
                </c:pt>
                <c:pt idx="242">
                  <c:v>36</c:v>
                </c:pt>
                <c:pt idx="243">
                  <c:v>59</c:v>
                </c:pt>
                <c:pt idx="244">
                  <c:v>95</c:v>
                </c:pt>
                <c:pt idx="245">
                  <c:v>79</c:v>
                </c:pt>
                <c:pt idx="246">
                  <c:v>56</c:v>
                </c:pt>
                <c:pt idx="247">
                  <c:v>29</c:v>
                </c:pt>
                <c:pt idx="248">
                  <c:v>93</c:v>
                </c:pt>
                <c:pt idx="249">
                  <c:v>93</c:v>
                </c:pt>
                <c:pt idx="250">
                  <c:v>72</c:v>
                </c:pt>
                <c:pt idx="251">
                  <c:v>101</c:v>
                </c:pt>
                <c:pt idx="252">
                  <c:v>64</c:v>
                </c:pt>
                <c:pt idx="253">
                  <c:v>68</c:v>
                </c:pt>
                <c:pt idx="254">
                  <c:v>38</c:v>
                </c:pt>
                <c:pt idx="255">
                  <c:v>86</c:v>
                </c:pt>
                <c:pt idx="256">
                  <c:v>56</c:v>
                </c:pt>
                <c:pt idx="257">
                  <c:v>37</c:v>
                </c:pt>
                <c:pt idx="258">
                  <c:v>73</c:v>
                </c:pt>
                <c:pt idx="259">
                  <c:v>23</c:v>
                </c:pt>
                <c:pt idx="260">
                  <c:v>49</c:v>
                </c:pt>
                <c:pt idx="261">
                  <c:v>96</c:v>
                </c:pt>
                <c:pt idx="262">
                  <c:v>92</c:v>
                </c:pt>
                <c:pt idx="263">
                  <c:v>49</c:v>
                </c:pt>
                <c:pt idx="264">
                  <c:v>36</c:v>
                </c:pt>
                <c:pt idx="265">
                  <c:v>39</c:v>
                </c:pt>
                <c:pt idx="266">
                  <c:v>49</c:v>
                </c:pt>
                <c:pt idx="267">
                  <c:v>90</c:v>
                </c:pt>
                <c:pt idx="268">
                  <c:v>87</c:v>
                </c:pt>
                <c:pt idx="269">
                  <c:v>88</c:v>
                </c:pt>
                <c:pt idx="270">
                  <c:v>67</c:v>
                </c:pt>
                <c:pt idx="271">
                  <c:v>73</c:v>
                </c:pt>
                <c:pt idx="272">
                  <c:v>37</c:v>
                </c:pt>
                <c:pt idx="273">
                  <c:v>51</c:v>
                </c:pt>
                <c:pt idx="274">
                  <c:v>59</c:v>
                </c:pt>
                <c:pt idx="275">
                  <c:v>86</c:v>
                </c:pt>
                <c:pt idx="276">
                  <c:v>78</c:v>
                </c:pt>
                <c:pt idx="277">
                  <c:v>88</c:v>
                </c:pt>
                <c:pt idx="278">
                  <c:v>91</c:v>
                </c:pt>
                <c:pt idx="279">
                  <c:v>76</c:v>
                </c:pt>
                <c:pt idx="280">
                  <c:v>37</c:v>
                </c:pt>
                <c:pt idx="281">
                  <c:v>89</c:v>
                </c:pt>
                <c:pt idx="282">
                  <c:v>33</c:v>
                </c:pt>
                <c:pt idx="283">
                  <c:v>28</c:v>
                </c:pt>
                <c:pt idx="284">
                  <c:v>94</c:v>
                </c:pt>
                <c:pt idx="285">
                  <c:v>76</c:v>
                </c:pt>
                <c:pt idx="286">
                  <c:v>20</c:v>
                </c:pt>
                <c:pt idx="287">
                  <c:v>91</c:v>
                </c:pt>
                <c:pt idx="288">
                  <c:v>86</c:v>
                </c:pt>
                <c:pt idx="289">
                  <c:v>23</c:v>
                </c:pt>
                <c:pt idx="290">
                  <c:v>29</c:v>
                </c:pt>
                <c:pt idx="291">
                  <c:v>32</c:v>
                </c:pt>
                <c:pt idx="292">
                  <c:v>89</c:v>
                </c:pt>
                <c:pt idx="293">
                  <c:v>34</c:v>
                </c:pt>
                <c:pt idx="294">
                  <c:v>86</c:v>
                </c:pt>
                <c:pt idx="295">
                  <c:v>60</c:v>
                </c:pt>
                <c:pt idx="296">
                  <c:v>25</c:v>
                </c:pt>
                <c:pt idx="297">
                  <c:v>91</c:v>
                </c:pt>
                <c:pt idx="298">
                  <c:v>33</c:v>
                </c:pt>
                <c:pt idx="299">
                  <c:v>35</c:v>
                </c:pt>
                <c:pt idx="300">
                  <c:v>93</c:v>
                </c:pt>
                <c:pt idx="301">
                  <c:v>76</c:v>
                </c:pt>
                <c:pt idx="302">
                  <c:v>70</c:v>
                </c:pt>
                <c:pt idx="303">
                  <c:v>89</c:v>
                </c:pt>
                <c:pt idx="304">
                  <c:v>21</c:v>
                </c:pt>
                <c:pt idx="305">
                  <c:v>53</c:v>
                </c:pt>
                <c:pt idx="306">
                  <c:v>58</c:v>
                </c:pt>
                <c:pt idx="307">
                  <c:v>48</c:v>
                </c:pt>
                <c:pt idx="308">
                  <c:v>78</c:v>
                </c:pt>
                <c:pt idx="309">
                  <c:v>75</c:v>
                </c:pt>
                <c:pt idx="310">
                  <c:v>84</c:v>
                </c:pt>
                <c:pt idx="311">
                  <c:v>30</c:v>
                </c:pt>
                <c:pt idx="312">
                  <c:v>71</c:v>
                </c:pt>
                <c:pt idx="313">
                  <c:v>67</c:v>
                </c:pt>
                <c:pt idx="314">
                  <c:v>64</c:v>
                </c:pt>
                <c:pt idx="315">
                  <c:v>47</c:v>
                </c:pt>
                <c:pt idx="316">
                  <c:v>43</c:v>
                </c:pt>
                <c:pt idx="317">
                  <c:v>26</c:v>
                </c:pt>
                <c:pt idx="318">
                  <c:v>91</c:v>
                </c:pt>
                <c:pt idx="319">
                  <c:v>81</c:v>
                </c:pt>
                <c:pt idx="320">
                  <c:v>65</c:v>
                </c:pt>
                <c:pt idx="321">
                  <c:v>85</c:v>
                </c:pt>
                <c:pt idx="322">
                  <c:v>83</c:v>
                </c:pt>
                <c:pt idx="323">
                  <c:v>32</c:v>
                </c:pt>
                <c:pt idx="324">
                  <c:v>24</c:v>
                </c:pt>
                <c:pt idx="325">
                  <c:v>59</c:v>
                </c:pt>
                <c:pt idx="326">
                  <c:v>53</c:v>
                </c:pt>
                <c:pt idx="327">
                  <c:v>43</c:v>
                </c:pt>
                <c:pt idx="328">
                  <c:v>37</c:v>
                </c:pt>
                <c:pt idx="329">
                  <c:v>59</c:v>
                </c:pt>
                <c:pt idx="330">
                  <c:v>61</c:v>
                </c:pt>
                <c:pt idx="331">
                  <c:v>83</c:v>
                </c:pt>
                <c:pt idx="332">
                  <c:v>78</c:v>
                </c:pt>
                <c:pt idx="333">
                  <c:v>78</c:v>
                </c:pt>
                <c:pt idx="334">
                  <c:v>95</c:v>
                </c:pt>
                <c:pt idx="335">
                  <c:v>45</c:v>
                </c:pt>
                <c:pt idx="336">
                  <c:v>40</c:v>
                </c:pt>
                <c:pt idx="337">
                  <c:v>46</c:v>
                </c:pt>
                <c:pt idx="338">
                  <c:v>37</c:v>
                </c:pt>
                <c:pt idx="339">
                  <c:v>74</c:v>
                </c:pt>
                <c:pt idx="340">
                  <c:v>39</c:v>
                </c:pt>
                <c:pt idx="341">
                  <c:v>76</c:v>
                </c:pt>
                <c:pt idx="342">
                  <c:v>97</c:v>
                </c:pt>
                <c:pt idx="343">
                  <c:v>70</c:v>
                </c:pt>
                <c:pt idx="344">
                  <c:v>30</c:v>
                </c:pt>
                <c:pt idx="345">
                  <c:v>55</c:v>
                </c:pt>
                <c:pt idx="346">
                  <c:v>56</c:v>
                </c:pt>
                <c:pt idx="347">
                  <c:v>81</c:v>
                </c:pt>
                <c:pt idx="348">
                  <c:v>36</c:v>
                </c:pt>
                <c:pt idx="349">
                  <c:v>53</c:v>
                </c:pt>
                <c:pt idx="350">
                  <c:v>71</c:v>
                </c:pt>
                <c:pt idx="351">
                  <c:v>40</c:v>
                </c:pt>
                <c:pt idx="352">
                  <c:v>66</c:v>
                </c:pt>
                <c:pt idx="353">
                  <c:v>39</c:v>
                </c:pt>
                <c:pt idx="354">
                  <c:v>18</c:v>
                </c:pt>
                <c:pt idx="355">
                  <c:v>92</c:v>
                </c:pt>
                <c:pt idx="356">
                  <c:v>89</c:v>
                </c:pt>
                <c:pt idx="357">
                  <c:v>57</c:v>
                </c:pt>
                <c:pt idx="358">
                  <c:v>90</c:v>
                </c:pt>
                <c:pt idx="359">
                  <c:v>72</c:v>
                </c:pt>
                <c:pt idx="360">
                  <c:v>23</c:v>
                </c:pt>
                <c:pt idx="361">
                  <c:v>71</c:v>
                </c:pt>
                <c:pt idx="362">
                  <c:v>50</c:v>
                </c:pt>
                <c:pt idx="363">
                  <c:v>67</c:v>
                </c:pt>
                <c:pt idx="364">
                  <c:v>34</c:v>
                </c:pt>
                <c:pt idx="365">
                  <c:v>38</c:v>
                </c:pt>
                <c:pt idx="366">
                  <c:v>67</c:v>
                </c:pt>
                <c:pt idx="367">
                  <c:v>65</c:v>
                </c:pt>
                <c:pt idx="368">
                  <c:v>91</c:v>
                </c:pt>
                <c:pt idx="369">
                  <c:v>87</c:v>
                </c:pt>
                <c:pt idx="370">
                  <c:v>72</c:v>
                </c:pt>
                <c:pt idx="371">
                  <c:v>61</c:v>
                </c:pt>
                <c:pt idx="372">
                  <c:v>39</c:v>
                </c:pt>
                <c:pt idx="373">
                  <c:v>103</c:v>
                </c:pt>
                <c:pt idx="374">
                  <c:v>27</c:v>
                </c:pt>
                <c:pt idx="375">
                  <c:v>57</c:v>
                </c:pt>
                <c:pt idx="376">
                  <c:v>96</c:v>
                </c:pt>
                <c:pt idx="377">
                  <c:v>86</c:v>
                </c:pt>
                <c:pt idx="378">
                  <c:v>43</c:v>
                </c:pt>
                <c:pt idx="379">
                  <c:v>56</c:v>
                </c:pt>
                <c:pt idx="380">
                  <c:v>56</c:v>
                </c:pt>
                <c:pt idx="381">
                  <c:v>84</c:v>
                </c:pt>
                <c:pt idx="382">
                  <c:v>88</c:v>
                </c:pt>
                <c:pt idx="383">
                  <c:v>36</c:v>
                </c:pt>
                <c:pt idx="384">
                  <c:v>52</c:v>
                </c:pt>
                <c:pt idx="385">
                  <c:v>78</c:v>
                </c:pt>
                <c:pt idx="386">
                  <c:v>98</c:v>
                </c:pt>
                <c:pt idx="387">
                  <c:v>84</c:v>
                </c:pt>
                <c:pt idx="388">
                  <c:v>34</c:v>
                </c:pt>
                <c:pt idx="389">
                  <c:v>82</c:v>
                </c:pt>
                <c:pt idx="390">
                  <c:v>67</c:v>
                </c:pt>
                <c:pt idx="391">
                  <c:v>33</c:v>
                </c:pt>
                <c:pt idx="392">
                  <c:v>63</c:v>
                </c:pt>
                <c:pt idx="393">
                  <c:v>38</c:v>
                </c:pt>
                <c:pt idx="394">
                  <c:v>30</c:v>
                </c:pt>
                <c:pt idx="395">
                  <c:v>32</c:v>
                </c:pt>
                <c:pt idx="396">
                  <c:v>54</c:v>
                </c:pt>
                <c:pt idx="397">
                  <c:v>85</c:v>
                </c:pt>
                <c:pt idx="398">
                  <c:v>39</c:v>
                </c:pt>
                <c:pt idx="399">
                  <c:v>64</c:v>
                </c:pt>
                <c:pt idx="400">
                  <c:v>95</c:v>
                </c:pt>
                <c:pt idx="401">
                  <c:v>19</c:v>
                </c:pt>
                <c:pt idx="402">
                  <c:v>58</c:v>
                </c:pt>
                <c:pt idx="403">
                  <c:v>27</c:v>
                </c:pt>
                <c:pt idx="404">
                  <c:v>49</c:v>
                </c:pt>
                <c:pt idx="405">
                  <c:v>93</c:v>
                </c:pt>
                <c:pt idx="406">
                  <c:v>66</c:v>
                </c:pt>
                <c:pt idx="407">
                  <c:v>25</c:v>
                </c:pt>
                <c:pt idx="408">
                  <c:v>22</c:v>
                </c:pt>
                <c:pt idx="409">
                  <c:v>22</c:v>
                </c:pt>
                <c:pt idx="410">
                  <c:v>96</c:v>
                </c:pt>
                <c:pt idx="411">
                  <c:v>61</c:v>
                </c:pt>
                <c:pt idx="412">
                  <c:v>70</c:v>
                </c:pt>
                <c:pt idx="413">
                  <c:v>21</c:v>
                </c:pt>
                <c:pt idx="414">
                  <c:v>93</c:v>
                </c:pt>
                <c:pt idx="415">
                  <c:v>50</c:v>
                </c:pt>
                <c:pt idx="416">
                  <c:v>87</c:v>
                </c:pt>
                <c:pt idx="417">
                  <c:v>94</c:v>
                </c:pt>
                <c:pt idx="418">
                  <c:v>86</c:v>
                </c:pt>
                <c:pt idx="419">
                  <c:v>60</c:v>
                </c:pt>
                <c:pt idx="420">
                  <c:v>81</c:v>
                </c:pt>
                <c:pt idx="421">
                  <c:v>67</c:v>
                </c:pt>
                <c:pt idx="422">
                  <c:v>57</c:v>
                </c:pt>
                <c:pt idx="423">
                  <c:v>19</c:v>
                </c:pt>
                <c:pt idx="424">
                  <c:v>57</c:v>
                </c:pt>
                <c:pt idx="425">
                  <c:v>94</c:v>
                </c:pt>
                <c:pt idx="426">
                  <c:v>91</c:v>
                </c:pt>
                <c:pt idx="427">
                  <c:v>70</c:v>
                </c:pt>
                <c:pt idx="428">
                  <c:v>54</c:v>
                </c:pt>
                <c:pt idx="429">
                  <c:v>86</c:v>
                </c:pt>
                <c:pt idx="430">
                  <c:v>89</c:v>
                </c:pt>
                <c:pt idx="431">
                  <c:v>86</c:v>
                </c:pt>
                <c:pt idx="432">
                  <c:v>57</c:v>
                </c:pt>
                <c:pt idx="433">
                  <c:v>52</c:v>
                </c:pt>
                <c:pt idx="434">
                  <c:v>94</c:v>
                </c:pt>
                <c:pt idx="435">
                  <c:v>81</c:v>
                </c:pt>
                <c:pt idx="436">
                  <c:v>93</c:v>
                </c:pt>
                <c:pt idx="437">
                  <c:v>49</c:v>
                </c:pt>
                <c:pt idx="438">
                  <c:v>89</c:v>
                </c:pt>
                <c:pt idx="439">
                  <c:v>36</c:v>
                </c:pt>
                <c:pt idx="440">
                  <c:v>71</c:v>
                </c:pt>
                <c:pt idx="441">
                  <c:v>67</c:v>
                </c:pt>
                <c:pt idx="442">
                  <c:v>45</c:v>
                </c:pt>
                <c:pt idx="443">
                  <c:v>62</c:v>
                </c:pt>
                <c:pt idx="444">
                  <c:v>33</c:v>
                </c:pt>
                <c:pt idx="445">
                  <c:v>97</c:v>
                </c:pt>
                <c:pt idx="446">
                  <c:v>32</c:v>
                </c:pt>
                <c:pt idx="447">
                  <c:v>25</c:v>
                </c:pt>
                <c:pt idx="448">
                  <c:v>38</c:v>
                </c:pt>
                <c:pt idx="449">
                  <c:v>73</c:v>
                </c:pt>
                <c:pt idx="450">
                  <c:v>96</c:v>
                </c:pt>
                <c:pt idx="451">
                  <c:v>42</c:v>
                </c:pt>
                <c:pt idx="452">
                  <c:v>32</c:v>
                </c:pt>
                <c:pt idx="453">
                  <c:v>43</c:v>
                </c:pt>
                <c:pt idx="454">
                  <c:v>34</c:v>
                </c:pt>
                <c:pt idx="455">
                  <c:v>64</c:v>
                </c:pt>
                <c:pt idx="456">
                  <c:v>87</c:v>
                </c:pt>
                <c:pt idx="457">
                  <c:v>88</c:v>
                </c:pt>
                <c:pt idx="458">
                  <c:v>54</c:v>
                </c:pt>
                <c:pt idx="459">
                  <c:v>84</c:v>
                </c:pt>
                <c:pt idx="460">
                  <c:v>70</c:v>
                </c:pt>
                <c:pt idx="461">
                  <c:v>64</c:v>
                </c:pt>
                <c:pt idx="462">
                  <c:v>57</c:v>
                </c:pt>
                <c:pt idx="463">
                  <c:v>77</c:v>
                </c:pt>
                <c:pt idx="464">
                  <c:v>88</c:v>
                </c:pt>
                <c:pt idx="465">
                  <c:v>41</c:v>
                </c:pt>
                <c:pt idx="466">
                  <c:v>87</c:v>
                </c:pt>
                <c:pt idx="467">
                  <c:v>98</c:v>
                </c:pt>
                <c:pt idx="468">
                  <c:v>53</c:v>
                </c:pt>
                <c:pt idx="469">
                  <c:v>99</c:v>
                </c:pt>
                <c:pt idx="470">
                  <c:v>65</c:v>
                </c:pt>
                <c:pt idx="471">
                  <c:v>55</c:v>
                </c:pt>
                <c:pt idx="472">
                  <c:v>65</c:v>
                </c:pt>
                <c:pt idx="473">
                  <c:v>39</c:v>
                </c:pt>
                <c:pt idx="474">
                  <c:v>97</c:v>
                </c:pt>
                <c:pt idx="475">
                  <c:v>46</c:v>
                </c:pt>
                <c:pt idx="476">
                  <c:v>37</c:v>
                </c:pt>
                <c:pt idx="477">
                  <c:v>81</c:v>
                </c:pt>
                <c:pt idx="478">
                  <c:v>67</c:v>
                </c:pt>
                <c:pt idx="479">
                  <c:v>31</c:v>
                </c:pt>
                <c:pt idx="480">
                  <c:v>79</c:v>
                </c:pt>
                <c:pt idx="481">
                  <c:v>74</c:v>
                </c:pt>
                <c:pt idx="482">
                  <c:v>74</c:v>
                </c:pt>
                <c:pt idx="483">
                  <c:v>70</c:v>
                </c:pt>
                <c:pt idx="484">
                  <c:v>56</c:v>
                </c:pt>
                <c:pt idx="485">
                  <c:v>75</c:v>
                </c:pt>
                <c:pt idx="486">
                  <c:v>30</c:v>
                </c:pt>
                <c:pt idx="487">
                  <c:v>74</c:v>
                </c:pt>
                <c:pt idx="488">
                  <c:v>37</c:v>
                </c:pt>
                <c:pt idx="489">
                  <c:v>103</c:v>
                </c:pt>
                <c:pt idx="490">
                  <c:v>70</c:v>
                </c:pt>
                <c:pt idx="491">
                  <c:v>92</c:v>
                </c:pt>
                <c:pt idx="492">
                  <c:v>78</c:v>
                </c:pt>
                <c:pt idx="493">
                  <c:v>86</c:v>
                </c:pt>
                <c:pt idx="494">
                  <c:v>73</c:v>
                </c:pt>
                <c:pt idx="495">
                  <c:v>56</c:v>
                </c:pt>
                <c:pt idx="496">
                  <c:v>59</c:v>
                </c:pt>
                <c:pt idx="497">
                  <c:v>73</c:v>
                </c:pt>
                <c:pt idx="498">
                  <c:v>76</c:v>
                </c:pt>
                <c:pt idx="499">
                  <c:v>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F7-5F42-AE6C-C96875574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30047"/>
        <c:axId val="227227279"/>
      </c:scatterChart>
      <c:valAx>
        <c:axId val="15233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227279"/>
        <c:crosses val="autoZero"/>
        <c:crossBetween val="midCat"/>
      </c:valAx>
      <c:valAx>
        <c:axId val="22722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30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1174458</xdr:colOff>
      <xdr:row>482</xdr:row>
      <xdr:rowOff>175120</xdr:rowOff>
    </xdr:from>
    <xdr:to>
      <xdr:col>23</xdr:col>
      <xdr:colOff>730541</xdr:colOff>
      <xdr:row>496</xdr:row>
      <xdr:rowOff>63733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5DC036-BC33-4CB5-9429-A0FCA8B93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997AAA-AEB2-EB41-99FC-7F2A7048EB4B}" name="Table1" displayName="Table1" ref="A1:AB501" totalsRowShown="0">
  <autoFilter ref="A1:AB501" xr:uid="{3C997AAA-AEB2-EB41-99FC-7F2A7048EB4B}"/>
  <tableColumns count="28">
    <tableColumn id="1" xr3:uid="{28944547-ACB1-0A46-986E-4CE3614331C6}" name="Employee ID">
      <calculatedColumnFormula>"E" &amp; TEXT(ROW(A1), "000")</calculatedColumnFormula>
    </tableColumn>
    <tableColumn id="2" xr3:uid="{6B0937D0-DF93-BC41-8FD3-CE7AFE248391}" name="Department">
      <calculatedColumnFormula array="1">INDEX(sheet2!$A$2:$A$6, RANDBETWEEN(1, 5))</calculatedColumnFormula>
    </tableColumn>
    <tableColumn id="3" xr3:uid="{4A66CF3B-234C-854B-9C05-04E292CBA290}" name="Job Title" dataDxfId="22">
      <calculatedColumnFormula>_xlfn.XLOOKUP(Table1[[#This Row],[Department]],sheet2!$A$2:$A$6,sheet2!$B$2:$B$6,_xleta.NA,0)</calculatedColumnFormula>
    </tableColumn>
    <tableColumn id="4" xr3:uid="{59950CD3-8362-F649-BAD8-B3B384B45BF7}" name="Job Posting Date" dataDxfId="21">
      <calculatedColumnFormula>DATE(RANDBETWEEN(2018, 2022), RANDBETWEEN(1, 12), RANDBETWEEN(1, 28))</calculatedColumnFormula>
    </tableColumn>
    <tableColumn id="5" xr3:uid="{4768BF98-4D3C-D848-A178-DB24831ACCB9}" name="Hire Date" dataDxfId="20">
      <calculatedColumnFormula>Table1[[#This Row],[Job Posting Date]]+ RANDBETWEEN(15, 90)</calculatedColumnFormula>
    </tableColumn>
    <tableColumn id="6" xr3:uid="{631FFA08-58C1-E04C-BAC3-FE9B0E3B6A7F}" name="Join Date" dataDxfId="19">
      <calculatedColumnFormula>Table1[[#This Row],[Hire Date]]+ RANDBETWEEN(1, 15)</calculatedColumnFormula>
    </tableColumn>
    <tableColumn id="7" xr3:uid="{9E45AC36-3D2B-EC44-92E1-DAC9348E9EAA}" name="Exit Date" dataDxfId="18">
      <calculatedColumnFormula>IF(RAND() &lt; 0.5,  Table1[[#This Row],[Join Date]]+ RANDBETWEEN(30, TODAY()- Table1[[#This Row],[Join Date]]), "-")</calculatedColumnFormula>
    </tableColumn>
    <tableColumn id="8" xr3:uid="{776E110A-3823-3249-B91D-06D5B8EF656C}" name="Status" dataDxfId="17">
      <calculatedColumnFormula>IF(Table1[[#This Row],[Exit Date]]= "-", "Active", "Exited")</calculatedColumnFormula>
    </tableColumn>
    <tableColumn id="9" xr3:uid="{0BDCBE97-78F7-6D40-A85D-B58473C5C464}" name="Recruitment Cost" dataDxfId="16">
      <calculatedColumnFormula>RANDBETWEEN(1500, 5000)</calculatedColumnFormula>
    </tableColumn>
    <tableColumn id="10" xr3:uid="{CE3FECBA-A295-5D43-BCD5-7478B524D5C6}" name="Training Program">
      <calculatedColumnFormula array="1">INDEX(sheet2!$C$2:$C$6, RANDBETWEEN(1, 5))</calculatedColumnFormula>
    </tableColumn>
    <tableColumn id="11" xr3:uid="{944D628D-C74A-7143-BDE2-1A84DA4188F9}" name="Training Completion Status">
      <calculatedColumnFormula>IF(RAND() &lt; 0.7, "Completed", "Not Completed")</calculatedColumnFormula>
    </tableColumn>
    <tableColumn id="13" xr3:uid="{2B35E8D7-528B-BC4E-B5C5-90A17CE6F952}" name="Total Work Days"/>
    <tableColumn id="14" xr3:uid="{D416B69A-9591-2147-9B4D-BB674F4342BB}" name="Absentee Days" dataDxfId="15">
      <calculatedColumnFormula>RANDBETWEEN(0, 20)</calculatedColumnFormula>
    </tableColumn>
    <tableColumn id="15" xr3:uid="{75D90FAE-8CED-FC41-8716-1DEC7E02D574}" name="Gender" dataDxfId="14">
      <calculatedColumnFormula>CHOOSE(RANDBETWEEN(1, 3), "Male", "Female", "Other")</calculatedColumnFormula>
    </tableColumn>
    <tableColumn id="17" xr3:uid="{A97D4D68-965B-B445-96C0-B08BEFB10A8E}" name="Training Cost" dataDxfId="13">
      <calculatedColumnFormula>RANDBETWEEN(1200, 2500)</calculatedColumnFormula>
    </tableColumn>
    <tableColumn id="18" xr3:uid="{DED8EF7F-E58D-2447-82EF-FF1008B2271F}" name="Time to Fill" dataDxfId="12">
      <calculatedColumnFormula>Table1[[#This Row],[Hire Date]]-Table1[[#This Row],[Job Posting Date]]</calculatedColumnFormula>
    </tableColumn>
    <tableColumn id="19" xr3:uid="{57D7B9E4-5A5A-4941-8AAD-57C1D7046ECC}" name="Time to onboard" dataDxfId="11">
      <calculatedColumnFormula>Table1[[#This Row],[Join Date]]-Table1[[#This Row],[Hire Date]]</calculatedColumnFormula>
    </tableColumn>
    <tableColumn id="20" xr3:uid="{0B951FA3-1772-E043-942F-25CB9B309962}" name="Total Tenure in M" dataDxfId="10">
      <calculatedColumnFormula>(IF(Table1[[#This Row],[Status]]="Exited",Table1[[#This Row],[Exit Date]]-Table1[[#This Row],[Join Date]],TODAY()-Table1[[#This Row],[Join Date]]))/30</calculatedColumnFormula>
    </tableColumn>
    <tableColumn id="21" xr3:uid="{8B26287B-1A7B-F84E-AA08-51B89FD5343A}" name="Recruitment Cycle Time" dataDxfId="9">
      <calculatedColumnFormula>Table1[[#This Row],[Hire Date]]-Table1[[#This Row],[Job Posting Date]]</calculatedColumnFormula>
    </tableColumn>
    <tableColumn id="22" xr3:uid="{84788DCB-426F-5640-9A62-49B12A0770D3}" name="Onboarding Efficiency Rate" dataDxfId="8">
      <calculatedColumnFormula>Table1[[#This Row],[Time to onboard]]/Table1[[#This Row],[Time to Fill]]*100</calculatedColumnFormula>
    </tableColumn>
    <tableColumn id="12" xr3:uid="{67388AE8-3174-874C-ACC3-AF7129A53D51}" name="indiv onboard efficiency rate" dataDxfId="7">
      <calculatedColumnFormula>Table1[[#This Row],[Time to onboard]]/Table1[[#This Row],[Time to Fill]]*100</calculatedColumnFormula>
    </tableColumn>
    <tableColumn id="16" xr3:uid="{418C4495-DEDA-9346-8389-9CC084C92BCD}" name="Recruitment lag" dataDxfId="6">
      <calculatedColumnFormula>Table1[[#This Row],[Join Date]]-Table1[[#This Row],[Job Posting Date]]</calculatedColumnFormula>
    </tableColumn>
    <tableColumn id="23" xr3:uid="{4E83D78B-0079-A643-A037-39F083CEB3D8}" name="Onboarding cost" dataDxfId="5">
      <calculatedColumnFormula>RANDBETWEEN(100,200)</calculatedColumnFormula>
    </tableColumn>
    <tableColumn id="24" xr3:uid="{86910AE5-7EDB-1745-B458-71C6973390A9}" name="Absenteeism Rate" dataDxfId="4">
      <calculatedColumnFormula>Table1[[#This Row],[Absentee Days]]/Table1[[#This Row],[Total Work Days]]*100</calculatedColumnFormula>
    </tableColumn>
    <tableColumn id="25" xr3:uid="{A3AF2EBE-F203-E040-8635-9186E9C06FA0}" name="year of joining" dataDxfId="3">
      <calculatedColumnFormula>YEAR(Table1[[#This Row],[Join Date]])</calculatedColumnFormula>
    </tableColumn>
    <tableColumn id="26" xr3:uid="{B05000BB-12E6-8E40-A9C0-162B60BF0A86}" name="Retention Status" dataDxfId="2">
      <calculatedColumnFormula>IF(Table1[[#This Row],[Status]]="Active",1,0)</calculatedColumnFormula>
    </tableColumn>
    <tableColumn id="27" xr3:uid="{4987E269-F768-0144-9A99-D0A94BF4215E}" name="Cost of Employee Turnover" dataDxfId="1">
      <calculatedColumnFormula>IF(Table1[[#This Row],[Status]]="Exited",Table1[[#This Row],[Recruitment Cost]]+Table1[[#This Row],[Onboarding cost]]+Table1[[#This Row],[Training Cost]],0)</calculatedColumnFormula>
    </tableColumn>
    <tableColumn id="28" xr3:uid="{0B4EA197-EFBD-EC45-9A0D-B0A18B95DEA4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0412-984B-E341-995B-2422EA401C01}">
  <dimension ref="A1:AI501"/>
  <sheetViews>
    <sheetView topLeftCell="M1" zoomScale="160" zoomScaleNormal="160" workbookViewId="0">
      <selection activeCell="P5" sqref="P5"/>
    </sheetView>
  </sheetViews>
  <sheetFormatPr defaultColWidth="10.875" defaultRowHeight="15.95"/>
  <cols>
    <col min="1" max="1" width="13.875" customWidth="1"/>
    <col min="2" max="2" width="13.625" customWidth="1"/>
    <col min="3" max="3" width="16.875" customWidth="1"/>
    <col min="4" max="4" width="17.375" style="1" customWidth="1"/>
    <col min="5" max="5" width="11.5" style="1" customWidth="1"/>
    <col min="6" max="6" width="11.125" style="1" customWidth="1"/>
    <col min="7" max="7" width="11" style="1" customWidth="1"/>
    <col min="8" max="8" width="9" customWidth="1"/>
    <col min="9" max="9" width="19.875" style="5" customWidth="1"/>
    <col min="10" max="10" width="23.375" customWidth="1"/>
    <col min="11" max="11" width="26.125" customWidth="1"/>
    <col min="12" max="12" width="16.875" customWidth="1"/>
    <col min="13" max="13" width="16" customWidth="1"/>
    <col min="14" max="14" width="9.625" customWidth="1"/>
    <col min="15" max="15" width="15.875" style="6" customWidth="1"/>
    <col min="16" max="16" width="12.125" customWidth="1"/>
    <col min="17" max="17" width="16.625" customWidth="1"/>
    <col min="18" max="18" width="17.125" customWidth="1"/>
    <col min="19" max="19" width="23.5" customWidth="1"/>
    <col min="20" max="20" width="26.125" customWidth="1"/>
    <col min="21" max="21" width="27" customWidth="1"/>
    <col min="22" max="22" width="22.375" customWidth="1"/>
    <col min="23" max="23" width="16.5" customWidth="1"/>
    <col min="24" max="24" width="19" customWidth="1"/>
    <col min="26" max="26" width="17.375" customWidth="1"/>
    <col min="27" max="27" width="23" bestFit="1" customWidth="1"/>
    <col min="28" max="29" width="23" customWidth="1"/>
    <col min="30" max="30" width="29.5" customWidth="1"/>
    <col min="31" max="31" width="13.375" customWidth="1"/>
    <col min="32" max="32" width="22.375" customWidth="1"/>
    <col min="33" max="33" width="20" customWidth="1"/>
    <col min="34" max="34" width="22.125" customWidth="1"/>
  </cols>
  <sheetData>
    <row r="1" spans="1:3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s="5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6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t="s">
        <v>27</v>
      </c>
    </row>
    <row r="2" spans="1:35">
      <c r="A2" t="str">
        <f>"E" &amp; TEXT(ROW(A1), "000")</f>
        <v>E001</v>
      </c>
      <c r="B2" t="str" cm="1">
        <f t="array" aca="1" ref="B2" ca="1">INDEX(sheet2!$A$2:$A$6, RANDBETWEEN(1, 5))</f>
        <v>Finance</v>
      </c>
      <c r="C2" t="str">
        <f ca="1">_xlfn.XLOOKUP(Table1[[#This Row],[Department]],sheet2!$A$2:$A$6,sheet2!$B$2:$B$6,_xleta.NA,0)</f>
        <v>Finance Manager</v>
      </c>
      <c r="D2" s="1">
        <f ca="1">DATE(RANDBETWEEN(2018, 2022), RANDBETWEEN(1, 12), RANDBETWEEN(1, 28))</f>
        <v>43297</v>
      </c>
      <c r="E2" s="1">
        <f ca="1">Table1[[#This Row],[Job Posting Date]]+ RANDBETWEEN(15, 90)</f>
        <v>43329</v>
      </c>
      <c r="F2" s="1">
        <f ca="1">Table1[[#This Row],[Hire Date]]+ RANDBETWEEN(1, 15)</f>
        <v>43334</v>
      </c>
      <c r="G2" s="1">
        <f ca="1">IF(RAND() &lt; 0.5,  Table1[[#This Row],[Join Date]]+ RANDBETWEEN(30, TODAY()- Table1[[#This Row],[Join Date]]), "-")</f>
        <v>45505</v>
      </c>
      <c r="H2" t="str">
        <f ca="1">IF(Table1[[#This Row],[Exit Date]]= "-", "Active", "Exited")</f>
        <v>Exited</v>
      </c>
      <c r="I2" s="5">
        <f t="shared" ref="I2:I33" ca="1" si="0">RANDBETWEEN(1500, 5000)</f>
        <v>1760</v>
      </c>
      <c r="J2" t="str" cm="1">
        <f t="array" aca="1" ref="J2" ca="1">INDEX(sheet2!$C$2:$C$6, RANDBETWEEN(1, 5))</f>
        <v>Communication Skills</v>
      </c>
      <c r="K2" t="str">
        <f t="shared" ref="K2:K33" ca="1" si="1">IF(RAND() &lt; 0.7, "Completed", "Not Completed")</f>
        <v>Completed</v>
      </c>
      <c r="L2">
        <v>260</v>
      </c>
      <c r="M2">
        <f t="shared" ref="M2:M65" ca="1" si="2">RANDBETWEEN(0, 20)</f>
        <v>10</v>
      </c>
      <c r="N2" t="str">
        <f t="shared" ref="N2:N65" ca="1" si="3">CHOOSE(RANDBETWEEN(1, 3), "Male", "Female", "Other")</f>
        <v>Male</v>
      </c>
      <c r="O2" s="6">
        <f t="shared" ref="O2:O65" ca="1" si="4">RANDBETWEEN(1200, 2500)</f>
        <v>2450</v>
      </c>
      <c r="P2">
        <f ca="1">Table1[[#This Row],[Hire Date]]-Table1[[#This Row],[Job Posting Date]]</f>
        <v>32</v>
      </c>
      <c r="Q2" s="7">
        <f ca="1">Table1[[#This Row],[Join Date]]-Table1[[#This Row],[Hire Date]]</f>
        <v>5</v>
      </c>
      <c r="R2" s="8">
        <f ca="1">(IF(Table1[[#This Row],[Status]]="Exited",Table1[[#This Row],[Exit Date]]-Table1[[#This Row],[Join Date]],TODAY()-Table1[[#This Row],[Join Date]]))/30</f>
        <v>72.36666666666666</v>
      </c>
      <c r="S2">
        <f ca="1">Table1[[#This Row],[Hire Date]]-Table1[[#This Row],[Job Posting Date]]</f>
        <v>32</v>
      </c>
      <c r="T2" s="7">
        <f ca="1">Table1[[#This Row],[Time to onboard]]/Table1[[#This Row],[Time to Fill]]*100</f>
        <v>15.625</v>
      </c>
      <c r="U2" s="8">
        <f ca="1">Table1[[#This Row],[Time to onboard]]/Table1[[#This Row],[Time to Fill]]*100</f>
        <v>15.625</v>
      </c>
      <c r="V2">
        <f ca="1">Table1[[#This Row],[Join Date]]-Table1[[#This Row],[Job Posting Date]]</f>
        <v>37</v>
      </c>
      <c r="W2">
        <f t="shared" ref="W2:W65" ca="1" si="5">RANDBETWEEN(100,200)</f>
        <v>187</v>
      </c>
      <c r="X2" s="8">
        <f ca="1">Table1[[#This Row],[Absentee Days]]/Table1[[#This Row],[Total Work Days]]*100</f>
        <v>3.8461538461538463</v>
      </c>
      <c r="Y2">
        <f ca="1">YEAR(Table1[[#This Row],[Join Date]])</f>
        <v>2018</v>
      </c>
      <c r="Z2">
        <f ca="1">IF(Table1[[#This Row],[Status]]="Active",1,0)</f>
        <v>0</v>
      </c>
      <c r="AA2">
        <f ca="1">IF(Table1[[#This Row],[Status]]="Exited",Table1[[#This Row],[Recruitment Cost]]+Table1[[#This Row],[Onboarding cost]]+Table1[[#This Row],[Training Cost]],0)</f>
        <v>4397</v>
      </c>
    </row>
    <row r="3" spans="1:35">
      <c r="A3" t="str">
        <f t="shared" ref="A3:A33" si="6">"E" &amp; TEXT(ROW(A2), "000")</f>
        <v>E002</v>
      </c>
      <c r="B3" t="str" cm="1">
        <f t="array" aca="1" ref="B3" ca="1">INDEX(sheet2!$A$2:$A$6, RANDBETWEEN(1, 5))</f>
        <v>IT</v>
      </c>
      <c r="C3" t="str">
        <f ca="1">_xlfn.XLOOKUP(Table1[[#This Row],[Department]],sheet2!$A$2:$A$6,sheet2!$B$2:$B$6,_xleta.NA,0)</f>
        <v>Software Engineer</v>
      </c>
      <c r="D3" s="1">
        <f t="shared" ref="D3:D33" ca="1" si="7">DATE(RANDBETWEEN(2018, 2022), RANDBETWEEN(1, 12), RANDBETWEEN(1, 28))</f>
        <v>43664</v>
      </c>
      <c r="E3" s="1">
        <f ca="1">Table1[[#This Row],[Job Posting Date]]+ RANDBETWEEN(15, 90)</f>
        <v>43701</v>
      </c>
      <c r="F3" s="1">
        <f ca="1">Table1[[#This Row],[Hire Date]]+ RANDBETWEEN(1, 15)</f>
        <v>43713</v>
      </c>
      <c r="G3" s="1">
        <f ca="1">IF(RAND() &lt; 0.5,  Table1[[#This Row],[Join Date]]+ RANDBETWEEN(30, TODAY()- Table1[[#This Row],[Join Date]]), "-")</f>
        <v>44492</v>
      </c>
      <c r="H3" t="str">
        <f ca="1">IF(Table1[[#This Row],[Exit Date]]= "-", "Active", "Exited")</f>
        <v>Exited</v>
      </c>
      <c r="I3" s="5">
        <f t="shared" ca="1" si="0"/>
        <v>1572</v>
      </c>
      <c r="J3" t="str" cm="1">
        <f t="array" aca="1" ref="J3" ca="1">INDEX(sheet2!$C$2:$C$6, RANDBETWEEN(1, 5))</f>
        <v>Communication Skills</v>
      </c>
      <c r="K3" t="str">
        <f t="shared" ca="1" si="1"/>
        <v>Not Completed</v>
      </c>
      <c r="L3">
        <v>260</v>
      </c>
      <c r="M3">
        <f t="shared" ca="1" si="2"/>
        <v>14</v>
      </c>
      <c r="N3" t="str">
        <f t="shared" ca="1" si="3"/>
        <v>Other</v>
      </c>
      <c r="O3" s="6">
        <f t="shared" ca="1" si="4"/>
        <v>1563</v>
      </c>
      <c r="P3">
        <f ca="1">Table1[[#This Row],[Hire Date]]-Table1[[#This Row],[Job Posting Date]]</f>
        <v>37</v>
      </c>
      <c r="Q3" s="7">
        <f ca="1">Table1[[#This Row],[Join Date]]-Table1[[#This Row],[Hire Date]]</f>
        <v>12</v>
      </c>
      <c r="R3" s="8">
        <f ca="1">(IF(Table1[[#This Row],[Status]]="Exited",Table1[[#This Row],[Exit Date]]-Table1[[#This Row],[Join Date]],TODAY()-Table1[[#This Row],[Join Date]]))/30</f>
        <v>25.966666666666665</v>
      </c>
      <c r="S3">
        <f ca="1">Table1[[#This Row],[Hire Date]]-Table1[[#This Row],[Job Posting Date]]</f>
        <v>37</v>
      </c>
      <c r="T3" s="7">
        <f ca="1">Table1[[#This Row],[Time to onboard]]/Table1[[#This Row],[Time to Fill]]*100</f>
        <v>32.432432432432435</v>
      </c>
      <c r="U3" s="8">
        <f ca="1">Table1[[#This Row],[Time to onboard]]/Table1[[#This Row],[Time to Fill]]*100</f>
        <v>32.432432432432435</v>
      </c>
      <c r="V3">
        <f ca="1">Table1[[#This Row],[Join Date]]-Table1[[#This Row],[Job Posting Date]]</f>
        <v>49</v>
      </c>
      <c r="W3">
        <f t="shared" ca="1" si="5"/>
        <v>131</v>
      </c>
      <c r="X3" s="8">
        <f ca="1">Table1[[#This Row],[Absentee Days]]/Table1[[#This Row],[Total Work Days]]*100</f>
        <v>5.384615384615385</v>
      </c>
      <c r="Y3">
        <f ca="1">YEAR(Table1[[#This Row],[Join Date]])</f>
        <v>2019</v>
      </c>
      <c r="Z3">
        <f ca="1">IF(Table1[[#This Row],[Status]]="Active",1,0)</f>
        <v>0</v>
      </c>
      <c r="AA3">
        <f ca="1">IF(Table1[[#This Row],[Status]]="Exited",Table1[[#This Row],[Recruitment Cost]]+Table1[[#This Row],[Onboarding cost]]+Table1[[#This Row],[Training Cost]],0)</f>
        <v>3266</v>
      </c>
    </row>
    <row r="4" spans="1:35">
      <c r="A4" t="str">
        <f t="shared" si="6"/>
        <v>E003</v>
      </c>
      <c r="B4" t="str" cm="1">
        <f t="array" aca="1" ref="B4" ca="1">INDEX(sheet2!$A$2:$A$6, RANDBETWEEN(1, 5))</f>
        <v>IT</v>
      </c>
      <c r="C4" t="str">
        <f ca="1">_xlfn.XLOOKUP(Table1[[#This Row],[Department]],sheet2!$A$2:$A$6,sheet2!$B$2:$B$6,_xleta.NA,0)</f>
        <v>Software Engineer</v>
      </c>
      <c r="D4" s="1">
        <f t="shared" ca="1" si="7"/>
        <v>43783</v>
      </c>
      <c r="E4" s="1">
        <f ca="1">Table1[[#This Row],[Job Posting Date]]+ RANDBETWEEN(15, 90)</f>
        <v>43830</v>
      </c>
      <c r="F4" s="1">
        <f ca="1">Table1[[#This Row],[Hire Date]]+ RANDBETWEEN(1, 15)</f>
        <v>43838</v>
      </c>
      <c r="G4" s="1">
        <f ca="1">IF(RAND() &lt; 0.5,  Table1[[#This Row],[Join Date]]+ RANDBETWEEN(30, TODAY()- Table1[[#This Row],[Join Date]]), "-")</f>
        <v>44583</v>
      </c>
      <c r="H4" t="str">
        <f ca="1">IF(Table1[[#This Row],[Exit Date]]= "-", "Active", "Exited")</f>
        <v>Exited</v>
      </c>
      <c r="I4" s="5">
        <f t="shared" ca="1" si="0"/>
        <v>2649</v>
      </c>
      <c r="J4" t="str" cm="1">
        <f t="array" aca="1" ref="J4" ca="1">INDEX(sheet2!$C$2:$C$6, RANDBETWEEN(1, 5))</f>
        <v>Advanced Excel Skills </v>
      </c>
      <c r="K4" t="str">
        <f t="shared" ca="1" si="1"/>
        <v>Completed</v>
      </c>
      <c r="L4">
        <v>260</v>
      </c>
      <c r="M4">
        <f t="shared" ca="1" si="2"/>
        <v>5</v>
      </c>
      <c r="N4" t="str">
        <f t="shared" ca="1" si="3"/>
        <v>Male</v>
      </c>
      <c r="O4" s="6">
        <f t="shared" ca="1" si="4"/>
        <v>2245</v>
      </c>
      <c r="P4">
        <f ca="1">Table1[[#This Row],[Hire Date]]-Table1[[#This Row],[Job Posting Date]]</f>
        <v>47</v>
      </c>
      <c r="Q4" s="7">
        <f ca="1">Table1[[#This Row],[Join Date]]-Table1[[#This Row],[Hire Date]]</f>
        <v>8</v>
      </c>
      <c r="R4" s="8">
        <f ca="1">(IF(Table1[[#This Row],[Status]]="Exited",Table1[[#This Row],[Exit Date]]-Table1[[#This Row],[Join Date]],TODAY()-Table1[[#This Row],[Join Date]]))/30</f>
        <v>24.833333333333332</v>
      </c>
      <c r="S4">
        <f ca="1">Table1[[#This Row],[Hire Date]]-Table1[[#This Row],[Job Posting Date]]</f>
        <v>47</v>
      </c>
      <c r="T4" s="7">
        <f ca="1">Table1[[#This Row],[Time to onboard]]/Table1[[#This Row],[Time to Fill]]*100</f>
        <v>17.021276595744681</v>
      </c>
      <c r="U4" s="8">
        <f ca="1">Table1[[#This Row],[Time to onboard]]/Table1[[#This Row],[Time to Fill]]*100</f>
        <v>17.021276595744681</v>
      </c>
      <c r="V4">
        <f ca="1">Table1[[#This Row],[Join Date]]-Table1[[#This Row],[Job Posting Date]]</f>
        <v>55</v>
      </c>
      <c r="W4">
        <f t="shared" ca="1" si="5"/>
        <v>198</v>
      </c>
      <c r="X4" s="8">
        <f ca="1">Table1[[#This Row],[Absentee Days]]/Table1[[#This Row],[Total Work Days]]*100</f>
        <v>1.9230769230769231</v>
      </c>
      <c r="Y4">
        <f ca="1">YEAR(Table1[[#This Row],[Join Date]])</f>
        <v>2020</v>
      </c>
      <c r="Z4">
        <f ca="1">IF(Table1[[#This Row],[Status]]="Active",1,0)</f>
        <v>0</v>
      </c>
      <c r="AA4">
        <f ca="1">IF(Table1[[#This Row],[Status]]="Exited",Table1[[#This Row],[Recruitment Cost]]+Table1[[#This Row],[Onboarding cost]]+Table1[[#This Row],[Training Cost]],0)</f>
        <v>5092</v>
      </c>
    </row>
    <row r="5" spans="1:35">
      <c r="A5" t="str">
        <f t="shared" si="6"/>
        <v>E004</v>
      </c>
      <c r="B5" t="str" cm="1">
        <f t="array" aca="1" ref="B5" ca="1">INDEX(sheet2!$A$2:$A$6, RANDBETWEEN(1, 5))</f>
        <v>Finance</v>
      </c>
      <c r="C5" t="str">
        <f ca="1">_xlfn.XLOOKUP(Table1[[#This Row],[Department]],sheet2!$A$2:$A$6,sheet2!$B$2:$B$6,_xleta.NA,0)</f>
        <v>Finance Manager</v>
      </c>
      <c r="D5" s="1">
        <f t="shared" ca="1" si="7"/>
        <v>44118</v>
      </c>
      <c r="E5" s="1">
        <f ca="1">Table1[[#This Row],[Job Posting Date]]+ RANDBETWEEN(15, 90)</f>
        <v>44193</v>
      </c>
      <c r="F5" s="1">
        <f ca="1">Table1[[#This Row],[Hire Date]]+ RANDBETWEEN(1, 15)</f>
        <v>44199</v>
      </c>
      <c r="G5" s="1">
        <f ca="1">IF(RAND() &lt; 0.5,  Table1[[#This Row],[Join Date]]+ RANDBETWEEN(30, TODAY()- Table1[[#This Row],[Join Date]]), "-")</f>
        <v>44657</v>
      </c>
      <c r="H5" t="str">
        <f ca="1">IF(Table1[[#This Row],[Exit Date]]= "-", "Active", "Exited")</f>
        <v>Exited</v>
      </c>
      <c r="I5" s="5">
        <f t="shared" ca="1" si="0"/>
        <v>4078</v>
      </c>
      <c r="J5" t="str" cm="1">
        <f t="array" aca="1" ref="J5" ca="1">INDEX(sheet2!$C$2:$C$6, RANDBETWEEN(1, 5))</f>
        <v>Leadership Development</v>
      </c>
      <c r="K5" t="str">
        <f ca="1">IF(RAND() &lt; 0.7, "Completed", "Not Completed")</f>
        <v>Completed</v>
      </c>
      <c r="L5">
        <v>260</v>
      </c>
      <c r="M5">
        <f t="shared" ca="1" si="2"/>
        <v>14</v>
      </c>
      <c r="N5" t="str">
        <f t="shared" ca="1" si="3"/>
        <v>Female</v>
      </c>
      <c r="O5" s="6">
        <f t="shared" ca="1" si="4"/>
        <v>1845</v>
      </c>
      <c r="P5">
        <f ca="1">Table1[[#This Row],[Hire Date]]-Table1[[#This Row],[Job Posting Date]]</f>
        <v>75</v>
      </c>
      <c r="Q5" s="7">
        <f ca="1">Table1[[#This Row],[Join Date]]-Table1[[#This Row],[Hire Date]]</f>
        <v>6</v>
      </c>
      <c r="R5" s="8">
        <f ca="1">(IF(Table1[[#This Row],[Status]]="Exited",Table1[[#This Row],[Exit Date]]-Table1[[#This Row],[Join Date]],TODAY()-Table1[[#This Row],[Join Date]]))/30</f>
        <v>15.266666666666667</v>
      </c>
      <c r="S5">
        <f ca="1">Table1[[#This Row],[Hire Date]]-Table1[[#This Row],[Job Posting Date]]</f>
        <v>75</v>
      </c>
      <c r="T5" s="7">
        <f ca="1">Table1[[#This Row],[Time to onboard]]/Table1[[#This Row],[Time to Fill]]*100</f>
        <v>8</v>
      </c>
      <c r="U5" s="8">
        <f ca="1">Table1[[#This Row],[Time to onboard]]/Table1[[#This Row],[Time to Fill]]*100</f>
        <v>8</v>
      </c>
      <c r="V5">
        <f ca="1">Table1[[#This Row],[Join Date]]-Table1[[#This Row],[Job Posting Date]]</f>
        <v>81</v>
      </c>
      <c r="W5">
        <f t="shared" ca="1" si="5"/>
        <v>136</v>
      </c>
      <c r="X5" s="8">
        <f ca="1">Table1[[#This Row],[Absentee Days]]/Table1[[#This Row],[Total Work Days]]*100</f>
        <v>5.384615384615385</v>
      </c>
      <c r="Y5">
        <f ca="1">YEAR(Table1[[#This Row],[Join Date]])</f>
        <v>2021</v>
      </c>
      <c r="Z5">
        <f ca="1">IF(Table1[[#This Row],[Status]]="Active",1,0)</f>
        <v>0</v>
      </c>
      <c r="AA5">
        <f ca="1">IF(Table1[[#This Row],[Status]]="Exited",Table1[[#This Row],[Recruitment Cost]]+Table1[[#This Row],[Onboarding cost]]+Table1[[#This Row],[Training Cost]],0)</f>
        <v>6059</v>
      </c>
      <c r="AD5" s="4" t="s">
        <v>28</v>
      </c>
      <c r="AE5" s="4" t="s">
        <v>29</v>
      </c>
      <c r="AF5" s="4" t="s">
        <v>30</v>
      </c>
      <c r="AG5" s="4" t="s">
        <v>31</v>
      </c>
      <c r="AH5" s="4" t="s">
        <v>32</v>
      </c>
    </row>
    <row r="6" spans="1:35">
      <c r="A6" t="str">
        <f t="shared" si="6"/>
        <v>E005</v>
      </c>
      <c r="B6" t="str" cm="1">
        <f t="array" aca="1" ref="B6" ca="1">INDEX(sheet2!$A$2:$A$6, RANDBETWEEN(1, 5))</f>
        <v>Sales</v>
      </c>
      <c r="C6" t="str">
        <f ca="1">_xlfn.XLOOKUP(Table1[[#This Row],[Department]],sheet2!$A$2:$A$6,sheet2!$B$2:$B$6,_xleta.NA,0)</f>
        <v>Marketing Manager</v>
      </c>
      <c r="D6" s="1">
        <f t="shared" ca="1" si="7"/>
        <v>44088</v>
      </c>
      <c r="E6" s="1">
        <f ca="1">Table1[[#This Row],[Job Posting Date]]+ RANDBETWEEN(15, 90)</f>
        <v>44142</v>
      </c>
      <c r="F6" s="1">
        <f ca="1">Table1[[#This Row],[Hire Date]]+ RANDBETWEEN(1, 15)</f>
        <v>44145</v>
      </c>
      <c r="G6" s="1" t="str">
        <f ca="1">IF(RAND() &lt; 0.5,  Table1[[#This Row],[Join Date]]+ RANDBETWEEN(30, TODAY()- Table1[[#This Row],[Join Date]]), "-")</f>
        <v>-</v>
      </c>
      <c r="H6" t="str">
        <f ca="1">IF(Table1[[#This Row],[Exit Date]]= "-", "Active", "Exited")</f>
        <v>Active</v>
      </c>
      <c r="I6" s="5">
        <f t="shared" ca="1" si="0"/>
        <v>4771</v>
      </c>
      <c r="J6" t="str" cm="1">
        <f t="array" aca="1" ref="J6" ca="1">INDEX(sheet2!$C$2:$C$6, RANDBETWEEN(1, 5))</f>
        <v>Ethics and Responsibilities</v>
      </c>
      <c r="K6" t="str">
        <f t="shared" ca="1" si="1"/>
        <v>Completed</v>
      </c>
      <c r="L6">
        <v>260</v>
      </c>
      <c r="M6">
        <f t="shared" ca="1" si="2"/>
        <v>16</v>
      </c>
      <c r="N6" t="str">
        <f t="shared" ca="1" si="3"/>
        <v>Male</v>
      </c>
      <c r="O6" s="6">
        <f t="shared" ca="1" si="4"/>
        <v>2032</v>
      </c>
      <c r="P6">
        <f ca="1">Table1[[#This Row],[Hire Date]]-Table1[[#This Row],[Job Posting Date]]</f>
        <v>54</v>
      </c>
      <c r="Q6" s="7">
        <f ca="1">Table1[[#This Row],[Join Date]]-Table1[[#This Row],[Hire Date]]</f>
        <v>3</v>
      </c>
      <c r="R6" s="8">
        <f ca="1">(IF(Table1[[#This Row],[Status]]="Exited",Table1[[#This Row],[Exit Date]]-Table1[[#This Row],[Join Date]],TODAY()-Table1[[#This Row],[Join Date]]))/30</f>
        <v>50.6</v>
      </c>
      <c r="S6">
        <f ca="1">Table1[[#This Row],[Hire Date]]-Table1[[#This Row],[Job Posting Date]]</f>
        <v>54</v>
      </c>
      <c r="T6" s="7">
        <f ca="1">Table1[[#This Row],[Time to onboard]]/Table1[[#This Row],[Time to Fill]]*100</f>
        <v>5.5555555555555554</v>
      </c>
      <c r="U6" s="8">
        <f ca="1">Table1[[#This Row],[Time to onboard]]/Table1[[#This Row],[Time to Fill]]*100</f>
        <v>5.5555555555555554</v>
      </c>
      <c r="V6">
        <f ca="1">Table1[[#This Row],[Join Date]]-Table1[[#This Row],[Job Posting Date]]</f>
        <v>57</v>
      </c>
      <c r="W6">
        <f t="shared" ca="1" si="5"/>
        <v>199</v>
      </c>
      <c r="X6" s="8">
        <f ca="1">Table1[[#This Row],[Absentee Days]]/Table1[[#This Row],[Total Work Days]]*100</f>
        <v>6.1538461538461542</v>
      </c>
      <c r="Y6">
        <f ca="1">YEAR(Table1[[#This Row],[Join Date]])</f>
        <v>2020</v>
      </c>
      <c r="Z6">
        <f ca="1">IF(Table1[[#This Row],[Status]]="Active",1,0)</f>
        <v>1</v>
      </c>
      <c r="AA6">
        <f ca="1">IF(Table1[[#This Row],[Status]]="Exited",Table1[[#This Row],[Recruitment Cost]]+Table1[[#This Row],[Onboarding cost]]+Table1[[#This Row],[Training Cost]],0)</f>
        <v>0</v>
      </c>
      <c r="AD6" s="9">
        <f ca="1">(COUNTIF(Status,"Exited") / COUNTA(Status)) * 100</f>
        <v>51.49700598802395</v>
      </c>
      <c r="AE6" s="9">
        <f ca="1">((COUNTIF(Status,"Active")) / COUNTA(Status)) * 100</f>
        <v>48.303393213572853</v>
      </c>
      <c r="AF6" s="9">
        <f ca="1">(COUNTIF(TrainingCompletionStatus,"Completed") / COUNTA(TrainingCompletionStatus)) * 100</f>
        <v>69.860279441117768</v>
      </c>
      <c r="AG6" s="9">
        <f ca="1">AVERAGE(Timetofill)</f>
        <v>53.481999999999999</v>
      </c>
      <c r="AH6" s="9">
        <f ca="1">AVERAGE(TotalTenureinM)</f>
        <v>39.470866666666723</v>
      </c>
      <c r="AI6" s="8"/>
    </row>
    <row r="7" spans="1:35">
      <c r="A7" t="str">
        <f t="shared" si="6"/>
        <v>E006</v>
      </c>
      <c r="B7" t="str" cm="1">
        <f t="array" aca="1" ref="B7" ca="1">INDEX(sheet2!$A$2:$A$6, RANDBETWEEN(1, 5))</f>
        <v>Sales</v>
      </c>
      <c r="C7" t="str">
        <f ca="1">_xlfn.XLOOKUP(Table1[[#This Row],[Department]],sheet2!$A$2:$A$6,sheet2!$B$2:$B$6,_xleta.NA,0)</f>
        <v>Marketing Manager</v>
      </c>
      <c r="D7" s="1">
        <f t="shared" ca="1" si="7"/>
        <v>43942</v>
      </c>
      <c r="E7" s="1">
        <f ca="1">Table1[[#This Row],[Job Posting Date]]+ RANDBETWEEN(15, 90)</f>
        <v>43997</v>
      </c>
      <c r="F7" s="1">
        <f ca="1">Table1[[#This Row],[Hire Date]]+ RANDBETWEEN(1, 15)</f>
        <v>43998</v>
      </c>
      <c r="G7" s="1" t="str">
        <f ca="1">IF(RAND() &lt; 0.5,  Table1[[#This Row],[Join Date]]+ RANDBETWEEN(30, TODAY()- Table1[[#This Row],[Join Date]]), "-")</f>
        <v>-</v>
      </c>
      <c r="H7" t="str">
        <f ca="1">IF(Table1[[#This Row],[Exit Date]]= "-", "Active", "Exited")</f>
        <v>Active</v>
      </c>
      <c r="I7" s="5">
        <f t="shared" ca="1" si="0"/>
        <v>1862</v>
      </c>
      <c r="J7" t="str" cm="1">
        <f t="array" aca="1" ref="J7" ca="1">INDEX(sheet2!$C$2:$C$6, RANDBETWEEN(1, 5))</f>
        <v>Conflict Resolution</v>
      </c>
      <c r="K7" t="str">
        <f ca="1">IF(RAND() &lt; 0.7, "Completed", "Not Completed")</f>
        <v>Completed</v>
      </c>
      <c r="L7">
        <v>260</v>
      </c>
      <c r="M7">
        <f t="shared" ca="1" si="2"/>
        <v>9</v>
      </c>
      <c r="N7" t="str">
        <f t="shared" ca="1" si="3"/>
        <v>Female</v>
      </c>
      <c r="O7" s="6">
        <f t="shared" ca="1" si="4"/>
        <v>1670</v>
      </c>
      <c r="P7">
        <f ca="1">Table1[[#This Row],[Hire Date]]-Table1[[#This Row],[Job Posting Date]]</f>
        <v>55</v>
      </c>
      <c r="Q7" s="7">
        <f ca="1">Table1[[#This Row],[Join Date]]-Table1[[#This Row],[Hire Date]]</f>
        <v>1</v>
      </c>
      <c r="R7" s="8">
        <f ca="1">(IF(Table1[[#This Row],[Status]]="Exited",Table1[[#This Row],[Exit Date]]-Table1[[#This Row],[Join Date]],TODAY()-Table1[[#This Row],[Join Date]]))/30</f>
        <v>55.5</v>
      </c>
      <c r="S7">
        <f ca="1">Table1[[#This Row],[Hire Date]]-Table1[[#This Row],[Job Posting Date]]</f>
        <v>55</v>
      </c>
      <c r="T7" s="7">
        <f ca="1">Table1[[#This Row],[Time to onboard]]/Table1[[#This Row],[Time to Fill]]*100</f>
        <v>1.8181818181818181</v>
      </c>
      <c r="U7" s="8">
        <f ca="1">Table1[[#This Row],[Time to onboard]]/Table1[[#This Row],[Time to Fill]]*100</f>
        <v>1.8181818181818181</v>
      </c>
      <c r="V7">
        <f ca="1">Table1[[#This Row],[Join Date]]-Table1[[#This Row],[Job Posting Date]]</f>
        <v>56</v>
      </c>
      <c r="W7">
        <f t="shared" ca="1" si="5"/>
        <v>106</v>
      </c>
      <c r="X7" s="8">
        <f ca="1">Table1[[#This Row],[Absentee Days]]/Table1[[#This Row],[Total Work Days]]*100</f>
        <v>3.4615384615384617</v>
      </c>
      <c r="Y7">
        <f ca="1">YEAR(Table1[[#This Row],[Join Date]])</f>
        <v>2020</v>
      </c>
      <c r="Z7">
        <f ca="1">IF(Table1[[#This Row],[Status]]="Active",1,0)</f>
        <v>1</v>
      </c>
      <c r="AA7">
        <f ca="1">IF(Table1[[#This Row],[Status]]="Exited",Table1[[#This Row],[Recruitment Cost]]+Table1[[#This Row],[Onboarding cost]]+Table1[[#This Row],[Training Cost]],0)</f>
        <v>0</v>
      </c>
      <c r="AD7" s="9"/>
      <c r="AE7" s="9"/>
      <c r="AF7" s="9"/>
      <c r="AG7" s="9"/>
      <c r="AH7" s="9"/>
      <c r="AI7" s="8"/>
    </row>
    <row r="8" spans="1:35">
      <c r="A8" t="str">
        <f t="shared" si="6"/>
        <v>E007</v>
      </c>
      <c r="B8" t="str" cm="1">
        <f t="array" aca="1" ref="B8" ca="1">INDEX(sheet2!$A$2:$A$6, RANDBETWEEN(1, 5))</f>
        <v>IT</v>
      </c>
      <c r="C8" t="str">
        <f ca="1">_xlfn.XLOOKUP(Table1[[#This Row],[Department]],sheet2!$A$2:$A$6,sheet2!$B$2:$B$6,_xleta.NA,0)</f>
        <v>Software Engineer</v>
      </c>
      <c r="D8" s="1">
        <f t="shared" ca="1" si="7"/>
        <v>43505</v>
      </c>
      <c r="E8" s="1">
        <f ca="1">Table1[[#This Row],[Job Posting Date]]+ RANDBETWEEN(15, 90)</f>
        <v>43532</v>
      </c>
      <c r="F8" s="1">
        <f ca="1">Table1[[#This Row],[Hire Date]]+ RANDBETWEEN(1, 15)</f>
        <v>43542</v>
      </c>
      <c r="G8" s="1">
        <f ca="1">IF(RAND() &lt; 0.5,  Table1[[#This Row],[Join Date]]+ RANDBETWEEN(30, TODAY()- Table1[[#This Row],[Join Date]]), "-")</f>
        <v>44911</v>
      </c>
      <c r="H8" t="str">
        <f ca="1">IF(Table1[[#This Row],[Exit Date]]= "-", "Active", "Exited")</f>
        <v>Exited</v>
      </c>
      <c r="I8" s="5">
        <f t="shared" ca="1" si="0"/>
        <v>1542</v>
      </c>
      <c r="J8" t="str" cm="1">
        <f t="array" aca="1" ref="J8" ca="1">INDEX(sheet2!$C$2:$C$6, RANDBETWEEN(1, 5))</f>
        <v>Conflict Resolution</v>
      </c>
      <c r="K8" t="str">
        <f ca="1">IF(RAND() &lt; 0.7, "Completed", "Not Completed")</f>
        <v>Completed</v>
      </c>
      <c r="L8">
        <v>260</v>
      </c>
      <c r="M8">
        <f t="shared" ca="1" si="2"/>
        <v>11</v>
      </c>
      <c r="N8" t="str">
        <f t="shared" ca="1" si="3"/>
        <v>Female</v>
      </c>
      <c r="O8" s="6">
        <f t="shared" ca="1" si="4"/>
        <v>2236</v>
      </c>
      <c r="P8">
        <f ca="1">Table1[[#This Row],[Hire Date]]-Table1[[#This Row],[Job Posting Date]]</f>
        <v>27</v>
      </c>
      <c r="Q8" s="7">
        <f ca="1">Table1[[#This Row],[Join Date]]-Table1[[#This Row],[Hire Date]]</f>
        <v>10</v>
      </c>
      <c r="R8" s="8">
        <f ca="1">(IF(Table1[[#This Row],[Status]]="Exited",Table1[[#This Row],[Exit Date]]-Table1[[#This Row],[Join Date]],TODAY()-Table1[[#This Row],[Join Date]]))/30</f>
        <v>45.633333333333333</v>
      </c>
      <c r="S8">
        <f ca="1">Table1[[#This Row],[Hire Date]]-Table1[[#This Row],[Job Posting Date]]</f>
        <v>27</v>
      </c>
      <c r="T8" s="7">
        <f ca="1">Table1[[#This Row],[Time to onboard]]/Table1[[#This Row],[Time to Fill]]*100</f>
        <v>37.037037037037038</v>
      </c>
      <c r="U8" s="8">
        <f ca="1">Table1[[#This Row],[Time to onboard]]/Table1[[#This Row],[Time to Fill]]*100</f>
        <v>37.037037037037038</v>
      </c>
      <c r="V8">
        <f ca="1">Table1[[#This Row],[Join Date]]-Table1[[#This Row],[Job Posting Date]]</f>
        <v>37</v>
      </c>
      <c r="W8">
        <f t="shared" ca="1" si="5"/>
        <v>128</v>
      </c>
      <c r="X8" s="8">
        <f ca="1">Table1[[#This Row],[Absentee Days]]/Table1[[#This Row],[Total Work Days]]*100</f>
        <v>4.2307692307692308</v>
      </c>
      <c r="Y8">
        <f ca="1">YEAR(Table1[[#This Row],[Join Date]])</f>
        <v>2019</v>
      </c>
      <c r="Z8">
        <f ca="1">IF(Table1[[#This Row],[Status]]="Active",1,0)</f>
        <v>0</v>
      </c>
      <c r="AA8">
        <f ca="1">IF(Table1[[#This Row],[Status]]="Exited",Table1[[#This Row],[Recruitment Cost]]+Table1[[#This Row],[Onboarding cost]]+Table1[[#This Row],[Training Cost]],0)</f>
        <v>3906</v>
      </c>
      <c r="AD8" s="9"/>
      <c r="AE8" s="9"/>
      <c r="AF8" s="9"/>
      <c r="AG8" s="9"/>
      <c r="AH8" s="9"/>
      <c r="AI8" s="8"/>
    </row>
    <row r="9" spans="1:35">
      <c r="A9" t="str">
        <f t="shared" si="6"/>
        <v>E008</v>
      </c>
      <c r="B9" t="str" cm="1">
        <f t="array" aca="1" ref="B9" ca="1">INDEX(sheet2!$A$2:$A$6, RANDBETWEEN(1, 5))</f>
        <v>Finance</v>
      </c>
      <c r="C9" t="str">
        <f ca="1">_xlfn.XLOOKUP(Table1[[#This Row],[Department]],sheet2!$A$2:$A$6,sheet2!$B$2:$B$6,_xleta.NA,0)</f>
        <v>Finance Manager</v>
      </c>
      <c r="D9" s="1">
        <f t="shared" ca="1" si="7"/>
        <v>44077</v>
      </c>
      <c r="E9" s="1">
        <f ca="1">Table1[[#This Row],[Job Posting Date]]+ RANDBETWEEN(15, 90)</f>
        <v>44118</v>
      </c>
      <c r="F9" s="1">
        <f ca="1">Table1[[#This Row],[Hire Date]]+ RANDBETWEEN(1, 15)</f>
        <v>44123</v>
      </c>
      <c r="G9" s="1">
        <f ca="1">IF(RAND() &lt; 0.5,  Table1[[#This Row],[Join Date]]+ RANDBETWEEN(30, TODAY()- Table1[[#This Row],[Join Date]]), "-")</f>
        <v>44415</v>
      </c>
      <c r="H9" t="str">
        <f ca="1">IF(Table1[[#This Row],[Exit Date]]= "-", "Active", "Exited")</f>
        <v>Exited</v>
      </c>
      <c r="I9" s="5">
        <f t="shared" ca="1" si="0"/>
        <v>4276</v>
      </c>
      <c r="J9" t="str" cm="1">
        <f t="array" aca="1" ref="J9" ca="1">INDEX(sheet2!$C$2:$C$6, RANDBETWEEN(1, 5))</f>
        <v>Conflict Resolution</v>
      </c>
      <c r="K9" t="str">
        <f ca="1">IF(RAND() &lt; 0.7, "Completed", "Not Completed")</f>
        <v>Completed</v>
      </c>
      <c r="L9">
        <v>260</v>
      </c>
      <c r="M9">
        <f t="shared" ca="1" si="2"/>
        <v>3</v>
      </c>
      <c r="N9" t="str">
        <f t="shared" ca="1" si="3"/>
        <v>Female</v>
      </c>
      <c r="O9" s="6">
        <f t="shared" ca="1" si="4"/>
        <v>1626</v>
      </c>
      <c r="P9">
        <f ca="1">Table1[[#This Row],[Hire Date]]-Table1[[#This Row],[Job Posting Date]]</f>
        <v>41</v>
      </c>
      <c r="Q9" s="7">
        <f ca="1">Table1[[#This Row],[Join Date]]-Table1[[#This Row],[Hire Date]]</f>
        <v>5</v>
      </c>
      <c r="R9" s="8">
        <f ca="1">(IF(Table1[[#This Row],[Status]]="Exited",Table1[[#This Row],[Exit Date]]-Table1[[#This Row],[Join Date]],TODAY()-Table1[[#This Row],[Join Date]]))/30</f>
        <v>9.7333333333333325</v>
      </c>
      <c r="S9">
        <f ca="1">Table1[[#This Row],[Hire Date]]-Table1[[#This Row],[Job Posting Date]]</f>
        <v>41</v>
      </c>
      <c r="T9" s="7">
        <f ca="1">Table1[[#This Row],[Time to onboard]]/Table1[[#This Row],[Time to Fill]]*100</f>
        <v>12.195121951219512</v>
      </c>
      <c r="U9" s="8">
        <f ca="1">Table1[[#This Row],[Time to onboard]]/Table1[[#This Row],[Time to Fill]]*100</f>
        <v>12.195121951219512</v>
      </c>
      <c r="V9">
        <f ca="1">Table1[[#This Row],[Join Date]]-Table1[[#This Row],[Job Posting Date]]</f>
        <v>46</v>
      </c>
      <c r="W9">
        <f t="shared" ca="1" si="5"/>
        <v>124</v>
      </c>
      <c r="X9" s="8">
        <f ca="1">Table1[[#This Row],[Absentee Days]]/Table1[[#This Row],[Total Work Days]]*100</f>
        <v>1.153846153846154</v>
      </c>
      <c r="Y9">
        <f ca="1">YEAR(Table1[[#This Row],[Join Date]])</f>
        <v>2020</v>
      </c>
      <c r="Z9">
        <f ca="1">IF(Table1[[#This Row],[Status]]="Active",1,0)</f>
        <v>0</v>
      </c>
      <c r="AA9">
        <f ca="1">IF(Table1[[#This Row],[Status]]="Exited",Table1[[#This Row],[Recruitment Cost]]+Table1[[#This Row],[Onboarding cost]]+Table1[[#This Row],[Training Cost]],0)</f>
        <v>6026</v>
      </c>
      <c r="AD9" s="9" t="s">
        <v>33</v>
      </c>
      <c r="AE9" s="9"/>
      <c r="AF9" s="9" t="s">
        <v>34</v>
      </c>
      <c r="AG9" s="9" t="s">
        <v>35</v>
      </c>
      <c r="AH9" s="9" t="s">
        <v>36</v>
      </c>
      <c r="AI9" s="8"/>
    </row>
    <row r="10" spans="1:35">
      <c r="A10" t="str">
        <f t="shared" si="6"/>
        <v>E009</v>
      </c>
      <c r="B10" t="str" cm="1">
        <f t="array" aca="1" ref="B10" ca="1">INDEX(sheet2!$A$2:$A$6, RANDBETWEEN(1, 5))</f>
        <v>Sales</v>
      </c>
      <c r="C10" t="str">
        <f ca="1">_xlfn.XLOOKUP(Table1[[#This Row],[Department]],sheet2!$A$2:$A$6,sheet2!$B$2:$B$6,_xleta.NA,0)</f>
        <v>Marketing Manager</v>
      </c>
      <c r="D10" s="1">
        <f t="shared" ca="1" si="7"/>
        <v>44768</v>
      </c>
      <c r="E10" s="1">
        <f ca="1">Table1[[#This Row],[Job Posting Date]]+ RANDBETWEEN(15, 90)</f>
        <v>44806</v>
      </c>
      <c r="F10" s="1">
        <f ca="1">Table1[[#This Row],[Hire Date]]+ RANDBETWEEN(1, 15)</f>
        <v>44819</v>
      </c>
      <c r="G10" s="1">
        <f ca="1">IF(RAND() &lt; 0.5,  Table1[[#This Row],[Join Date]]+ RANDBETWEEN(30, TODAY()- Table1[[#This Row],[Join Date]]), "-")</f>
        <v>45374</v>
      </c>
      <c r="H10" t="str">
        <f ca="1">IF(Table1[[#This Row],[Exit Date]]= "-", "Active", "Exited")</f>
        <v>Exited</v>
      </c>
      <c r="I10" s="5">
        <f t="shared" ca="1" si="0"/>
        <v>3009</v>
      </c>
      <c r="J10" t="str" cm="1">
        <f t="array" aca="1" ref="J10" ca="1">INDEX(sheet2!$C$2:$C$6, RANDBETWEEN(1, 5))</f>
        <v>Advanced Excel Skills </v>
      </c>
      <c r="K10" t="str">
        <f t="shared" ca="1" si="1"/>
        <v>Completed</v>
      </c>
      <c r="L10">
        <v>260</v>
      </c>
      <c r="M10">
        <f t="shared" ca="1" si="2"/>
        <v>2</v>
      </c>
      <c r="N10" t="str">
        <f t="shared" ca="1" si="3"/>
        <v>Male</v>
      </c>
      <c r="O10" s="6">
        <f t="shared" ca="1" si="4"/>
        <v>2307</v>
      </c>
      <c r="P10">
        <f ca="1">Table1[[#This Row],[Hire Date]]-Table1[[#This Row],[Job Posting Date]]</f>
        <v>38</v>
      </c>
      <c r="Q10" s="7">
        <f ca="1">Table1[[#This Row],[Join Date]]-Table1[[#This Row],[Hire Date]]</f>
        <v>13</v>
      </c>
      <c r="R10" s="8">
        <f ca="1">(IF(Table1[[#This Row],[Status]]="Exited",Table1[[#This Row],[Exit Date]]-Table1[[#This Row],[Join Date]],TODAY()-Table1[[#This Row],[Join Date]]))/30</f>
        <v>18.5</v>
      </c>
      <c r="S10">
        <f ca="1">Table1[[#This Row],[Hire Date]]-Table1[[#This Row],[Job Posting Date]]</f>
        <v>38</v>
      </c>
      <c r="T10" s="7">
        <f ca="1">Table1[[#This Row],[Time to onboard]]/Table1[[#This Row],[Time to Fill]]*100</f>
        <v>34.210526315789473</v>
      </c>
      <c r="U10" s="8">
        <f ca="1">Table1[[#This Row],[Time to onboard]]/Table1[[#This Row],[Time to Fill]]*100</f>
        <v>34.210526315789473</v>
      </c>
      <c r="V10">
        <f ca="1">Table1[[#This Row],[Join Date]]-Table1[[#This Row],[Job Posting Date]]</f>
        <v>51</v>
      </c>
      <c r="W10">
        <f t="shared" ca="1" si="5"/>
        <v>164</v>
      </c>
      <c r="X10" s="8">
        <f ca="1">Table1[[#This Row],[Absentee Days]]/Table1[[#This Row],[Total Work Days]]*100</f>
        <v>0.76923076923076927</v>
      </c>
      <c r="Y10">
        <f ca="1">YEAR(Table1[[#This Row],[Join Date]])</f>
        <v>2022</v>
      </c>
      <c r="Z10">
        <f ca="1">IF(Table1[[#This Row],[Status]]="Active",1,0)</f>
        <v>0</v>
      </c>
      <c r="AA10">
        <f ca="1">IF(Table1[[#This Row],[Status]]="Exited",Table1[[#This Row],[Recruitment Cost]]+Table1[[#This Row],[Onboarding cost]]+Table1[[#This Row],[Training Cost]],0)</f>
        <v>5480</v>
      </c>
      <c r="AD10" s="9">
        <f ca="1" xml:space="preserve"> (SUM(Timetoonboard) / SUM(Timetofill)) * 100</f>
        <v>14.980741183949739</v>
      </c>
      <c r="AE10" s="4"/>
      <c r="AF10" s="9">
        <f ca="1">(COUNTIF(Status, "Exited") / COUNTIF(Status, "Active")) * 100</f>
        <v>106.61157024793388</v>
      </c>
      <c r="AG10" s="9">
        <f ca="1" xml:space="preserve"> (COUNTIF(Status, "Active") / COUNTA(Status)) * 100</f>
        <v>48.303393213572853</v>
      </c>
      <c r="AH10" s="4">
        <f ca="1">(AVERAGE(RecruitmentCost)+AVERAGE(Onboardingcost))*COUNTIF(Status,"Exited")</f>
        <v>877768.11599999992</v>
      </c>
    </row>
    <row r="11" spans="1:35">
      <c r="A11" t="str">
        <f t="shared" si="6"/>
        <v>E010</v>
      </c>
      <c r="B11" t="str" cm="1">
        <f t="array" aca="1" ref="B11" ca="1">INDEX(sheet2!$A$2:$A$6, RANDBETWEEN(1, 5))</f>
        <v>HR</v>
      </c>
      <c r="C11" t="str">
        <f ca="1">_xlfn.XLOOKUP(Table1[[#This Row],[Department]],sheet2!$A$2:$A$6,sheet2!$B$2:$B$6,_xleta.NA,0)</f>
        <v>HR Manager</v>
      </c>
      <c r="D11" s="1">
        <f t="shared" ca="1" si="7"/>
        <v>44101</v>
      </c>
      <c r="E11" s="1">
        <f ca="1">Table1[[#This Row],[Job Posting Date]]+ RANDBETWEEN(15, 90)</f>
        <v>44179</v>
      </c>
      <c r="F11" s="1">
        <f ca="1">Table1[[#This Row],[Hire Date]]+ RANDBETWEEN(1, 15)</f>
        <v>44186</v>
      </c>
      <c r="G11" s="1" t="str">
        <f ca="1">IF(RAND() &lt; 0.5,  Table1[[#This Row],[Join Date]]+ RANDBETWEEN(30, TODAY()- Table1[[#This Row],[Join Date]]), "-")</f>
        <v>-</v>
      </c>
      <c r="H11" t="str">
        <f ca="1">IF(Table1[[#This Row],[Exit Date]]= "-", "Active", "Exited")</f>
        <v>Active</v>
      </c>
      <c r="I11" s="5">
        <f t="shared" ca="1" si="0"/>
        <v>4707</v>
      </c>
      <c r="J11" t="str" cm="1">
        <f t="array" aca="1" ref="J11" ca="1">INDEX(sheet2!$C$2:$C$6, RANDBETWEEN(1, 5))</f>
        <v>Advanced Excel Skills </v>
      </c>
      <c r="K11" t="str">
        <f t="shared" ca="1" si="1"/>
        <v>Completed</v>
      </c>
      <c r="L11">
        <v>260</v>
      </c>
      <c r="M11">
        <f t="shared" ca="1" si="2"/>
        <v>1</v>
      </c>
      <c r="N11" t="str">
        <f t="shared" ca="1" si="3"/>
        <v>Female</v>
      </c>
      <c r="O11" s="6">
        <f t="shared" ca="1" si="4"/>
        <v>2126</v>
      </c>
      <c r="P11">
        <f ca="1">Table1[[#This Row],[Hire Date]]-Table1[[#This Row],[Job Posting Date]]</f>
        <v>78</v>
      </c>
      <c r="Q11" s="7">
        <f ca="1">Table1[[#This Row],[Join Date]]-Table1[[#This Row],[Hire Date]]</f>
        <v>7</v>
      </c>
      <c r="R11" s="8">
        <f ca="1">(IF(Table1[[#This Row],[Status]]="Exited",Table1[[#This Row],[Exit Date]]-Table1[[#This Row],[Join Date]],TODAY()-Table1[[#This Row],[Join Date]]))/30</f>
        <v>49.233333333333334</v>
      </c>
      <c r="S11">
        <f ca="1">Table1[[#This Row],[Hire Date]]-Table1[[#This Row],[Job Posting Date]]</f>
        <v>78</v>
      </c>
      <c r="T11" s="7">
        <f ca="1">Table1[[#This Row],[Time to onboard]]/Table1[[#This Row],[Time to Fill]]*100</f>
        <v>8.9743589743589745</v>
      </c>
      <c r="U11" s="8">
        <f ca="1">Table1[[#This Row],[Time to onboard]]/Table1[[#This Row],[Time to Fill]]*100</f>
        <v>8.9743589743589745</v>
      </c>
      <c r="V11">
        <f ca="1">Table1[[#This Row],[Join Date]]-Table1[[#This Row],[Job Posting Date]]</f>
        <v>85</v>
      </c>
      <c r="W11">
        <f t="shared" ca="1" si="5"/>
        <v>159</v>
      </c>
      <c r="X11" s="8">
        <f ca="1">Table1[[#This Row],[Absentee Days]]/Table1[[#This Row],[Total Work Days]]*100</f>
        <v>0.38461538461538464</v>
      </c>
      <c r="Y11">
        <f ca="1">YEAR(Table1[[#This Row],[Join Date]])</f>
        <v>2020</v>
      </c>
      <c r="Z11">
        <f ca="1">IF(Table1[[#This Row],[Status]]="Active",1,0)</f>
        <v>1</v>
      </c>
      <c r="AA11">
        <f ca="1">IF(Table1[[#This Row],[Status]]="Exited",Table1[[#This Row],[Recruitment Cost]]+Table1[[#This Row],[Onboarding cost]]+Table1[[#This Row],[Training Cost]],0)</f>
        <v>0</v>
      </c>
      <c r="AD11" s="4"/>
      <c r="AE11" s="4"/>
      <c r="AF11" s="4"/>
      <c r="AG11" s="4"/>
      <c r="AH11" s="4"/>
    </row>
    <row r="12" spans="1:35">
      <c r="A12" t="str">
        <f t="shared" si="6"/>
        <v>E011</v>
      </c>
      <c r="B12" t="str" cm="1">
        <f t="array" aca="1" ref="B12" ca="1">INDEX(sheet2!$A$2:$A$6, RANDBETWEEN(1, 5))</f>
        <v>Sales</v>
      </c>
      <c r="C12" t="str">
        <f ca="1">_xlfn.XLOOKUP(Table1[[#This Row],[Department]],sheet2!$A$2:$A$6,sheet2!$B$2:$B$6,_xleta.NA,0)</f>
        <v>Marketing Manager</v>
      </c>
      <c r="D12" s="1">
        <f t="shared" ca="1" si="7"/>
        <v>44234</v>
      </c>
      <c r="E12" s="1">
        <f ca="1">Table1[[#This Row],[Job Posting Date]]+ RANDBETWEEN(15, 90)</f>
        <v>44305</v>
      </c>
      <c r="F12" s="1">
        <f ca="1">Table1[[#This Row],[Hire Date]]+ RANDBETWEEN(1, 15)</f>
        <v>44312</v>
      </c>
      <c r="G12" s="1">
        <f ca="1">IF(RAND() &lt; 0.5,  Table1[[#This Row],[Join Date]]+ RANDBETWEEN(30, TODAY()- Table1[[#This Row],[Join Date]]), "-")</f>
        <v>44775</v>
      </c>
      <c r="H12" t="str">
        <f ca="1">IF(Table1[[#This Row],[Exit Date]]= "-", "Active", "Exited")</f>
        <v>Exited</v>
      </c>
      <c r="I12" s="5">
        <f t="shared" ca="1" si="0"/>
        <v>3665</v>
      </c>
      <c r="J12" t="str" cm="1">
        <f t="array" aca="1" ref="J12" ca="1">INDEX(sheet2!$C$2:$C$6, RANDBETWEEN(1, 5))</f>
        <v>Leadership Development</v>
      </c>
      <c r="K12" t="str">
        <f t="shared" ca="1" si="1"/>
        <v>Completed</v>
      </c>
      <c r="L12">
        <v>260</v>
      </c>
      <c r="M12">
        <f t="shared" ca="1" si="2"/>
        <v>9</v>
      </c>
      <c r="N12" t="str">
        <f t="shared" ca="1" si="3"/>
        <v>Female</v>
      </c>
      <c r="O12" s="6">
        <f t="shared" ca="1" si="4"/>
        <v>2069</v>
      </c>
      <c r="P12">
        <f ca="1">Table1[[#This Row],[Hire Date]]-Table1[[#This Row],[Job Posting Date]]</f>
        <v>71</v>
      </c>
      <c r="Q12" s="7">
        <f ca="1">Table1[[#This Row],[Join Date]]-Table1[[#This Row],[Hire Date]]</f>
        <v>7</v>
      </c>
      <c r="R12" s="8">
        <f ca="1">(IF(Table1[[#This Row],[Status]]="Exited",Table1[[#This Row],[Exit Date]]-Table1[[#This Row],[Join Date]],TODAY()-Table1[[#This Row],[Join Date]]))/30</f>
        <v>15.433333333333334</v>
      </c>
      <c r="S12">
        <f ca="1">Table1[[#This Row],[Hire Date]]-Table1[[#This Row],[Job Posting Date]]</f>
        <v>71</v>
      </c>
      <c r="T12" s="7">
        <f ca="1">Table1[[#This Row],[Time to onboard]]/Table1[[#This Row],[Time to Fill]]*100</f>
        <v>9.8591549295774641</v>
      </c>
      <c r="U12" s="8">
        <f ca="1">Table1[[#This Row],[Time to onboard]]/Table1[[#This Row],[Time to Fill]]*100</f>
        <v>9.8591549295774641</v>
      </c>
      <c r="V12">
        <f ca="1">Table1[[#This Row],[Join Date]]-Table1[[#This Row],[Job Posting Date]]</f>
        <v>78</v>
      </c>
      <c r="W12">
        <f t="shared" ca="1" si="5"/>
        <v>184</v>
      </c>
      <c r="X12" s="8">
        <f ca="1">Table1[[#This Row],[Absentee Days]]/Table1[[#This Row],[Total Work Days]]*100</f>
        <v>3.4615384615384617</v>
      </c>
      <c r="Y12">
        <f ca="1">YEAR(Table1[[#This Row],[Join Date]])</f>
        <v>2021</v>
      </c>
      <c r="Z12">
        <f ca="1">IF(Table1[[#This Row],[Status]]="Active",1,0)</f>
        <v>0</v>
      </c>
      <c r="AA12">
        <f ca="1">IF(Table1[[#This Row],[Status]]="Exited",Table1[[#This Row],[Recruitment Cost]]+Table1[[#This Row],[Onboarding cost]]+Table1[[#This Row],[Training Cost]],0)</f>
        <v>5918</v>
      </c>
      <c r="AD12" s="4" t="s">
        <v>37</v>
      </c>
      <c r="AE12" s="4"/>
      <c r="AF12" s="4" t="s">
        <v>38</v>
      </c>
      <c r="AG12" s="4"/>
      <c r="AH12" s="4"/>
    </row>
    <row r="13" spans="1:35">
      <c r="A13" t="str">
        <f t="shared" si="6"/>
        <v>E012</v>
      </c>
      <c r="B13" t="str" cm="1">
        <f t="array" aca="1" ref="B13" ca="1">INDEX(sheet2!$A$2:$A$6, RANDBETWEEN(1, 5))</f>
        <v>Analytics</v>
      </c>
      <c r="C13" t="str">
        <f ca="1">_xlfn.XLOOKUP(Table1[[#This Row],[Department]],sheet2!$A$2:$A$6,sheet2!$B$2:$B$6,_xleta.NA,0)</f>
        <v>Data Analyst</v>
      </c>
      <c r="D13" s="1">
        <f t="shared" ca="1" si="7"/>
        <v>43374</v>
      </c>
      <c r="E13" s="1">
        <f ca="1">Table1[[#This Row],[Job Posting Date]]+ RANDBETWEEN(15, 90)</f>
        <v>43451</v>
      </c>
      <c r="F13" s="1">
        <f ca="1">Table1[[#This Row],[Hire Date]]+ RANDBETWEEN(1, 15)</f>
        <v>43465</v>
      </c>
      <c r="G13" s="1">
        <f ca="1">IF(RAND() &lt; 0.5,  Table1[[#This Row],[Join Date]]+ RANDBETWEEN(30, TODAY()- Table1[[#This Row],[Join Date]]), "-")</f>
        <v>45620</v>
      </c>
      <c r="H13" t="str">
        <f ca="1">IF(Table1[[#This Row],[Exit Date]]= "-", "Active", "Exited")</f>
        <v>Exited</v>
      </c>
      <c r="I13" s="5">
        <f t="shared" ca="1" si="0"/>
        <v>4133</v>
      </c>
      <c r="J13" t="str" cm="1">
        <f t="array" aca="1" ref="J13" ca="1">INDEX(sheet2!$C$2:$C$6, RANDBETWEEN(1, 5))</f>
        <v>Communication Skills</v>
      </c>
      <c r="K13" t="str">
        <f t="shared" ca="1" si="1"/>
        <v>Completed</v>
      </c>
      <c r="L13">
        <v>260</v>
      </c>
      <c r="M13">
        <f t="shared" ca="1" si="2"/>
        <v>14</v>
      </c>
      <c r="N13" t="str">
        <f t="shared" ca="1" si="3"/>
        <v>Other</v>
      </c>
      <c r="O13" s="6">
        <f t="shared" ca="1" si="4"/>
        <v>1997</v>
      </c>
      <c r="P13">
        <f ca="1">Table1[[#This Row],[Hire Date]]-Table1[[#This Row],[Job Posting Date]]</f>
        <v>77</v>
      </c>
      <c r="Q13" s="7">
        <f ca="1">Table1[[#This Row],[Join Date]]-Table1[[#This Row],[Hire Date]]</f>
        <v>14</v>
      </c>
      <c r="R13" s="8">
        <f ca="1">(IF(Table1[[#This Row],[Status]]="Exited",Table1[[#This Row],[Exit Date]]-Table1[[#This Row],[Join Date]],TODAY()-Table1[[#This Row],[Join Date]]))/30</f>
        <v>71.833333333333329</v>
      </c>
      <c r="S13">
        <f ca="1">Table1[[#This Row],[Hire Date]]-Table1[[#This Row],[Job Posting Date]]</f>
        <v>77</v>
      </c>
      <c r="T13" s="7">
        <f ca="1">Table1[[#This Row],[Time to onboard]]/Table1[[#This Row],[Time to Fill]]*100</f>
        <v>18.181818181818183</v>
      </c>
      <c r="U13" s="8">
        <f ca="1">Table1[[#This Row],[Time to onboard]]/Table1[[#This Row],[Time to Fill]]*100</f>
        <v>18.181818181818183</v>
      </c>
      <c r="V13">
        <f ca="1">Table1[[#This Row],[Join Date]]-Table1[[#This Row],[Job Posting Date]]</f>
        <v>91</v>
      </c>
      <c r="W13">
        <f t="shared" ca="1" si="5"/>
        <v>123</v>
      </c>
      <c r="X13" s="8">
        <f ca="1">Table1[[#This Row],[Absentee Days]]/Table1[[#This Row],[Total Work Days]]*100</f>
        <v>5.384615384615385</v>
      </c>
      <c r="Y13">
        <f ca="1">YEAR(Table1[[#This Row],[Join Date]])</f>
        <v>2018</v>
      </c>
      <c r="Z13">
        <f ca="1">IF(Table1[[#This Row],[Status]]="Active",1,0)</f>
        <v>0</v>
      </c>
      <c r="AA13">
        <f ca="1">IF(Table1[[#This Row],[Status]]="Exited",Table1[[#This Row],[Recruitment Cost]]+Table1[[#This Row],[Onboarding cost]]+Table1[[#This Row],[Training Cost]],0)</f>
        <v>6253</v>
      </c>
      <c r="AD13" s="9">
        <f ca="1">COUNTIF(Gender,"Female")/COUNTA(Gender)*100</f>
        <v>34.331337325349303</v>
      </c>
      <c r="AE13" s="4"/>
      <c r="AF13" s="4">
        <f ca="1">SUM(CostofEmployeeTurnover)</f>
        <v>1350637</v>
      </c>
      <c r="AG13" s="4"/>
      <c r="AH13" s="4"/>
    </row>
    <row r="14" spans="1:35">
      <c r="A14" t="str">
        <f t="shared" si="6"/>
        <v>E013</v>
      </c>
      <c r="B14" t="str" cm="1">
        <f t="array" aca="1" ref="B14" ca="1">INDEX(sheet2!$A$2:$A$6, RANDBETWEEN(1, 5))</f>
        <v>HR</v>
      </c>
      <c r="C14" t="str">
        <f ca="1">_xlfn.XLOOKUP(Table1[[#This Row],[Department]],sheet2!$A$2:$A$6,sheet2!$B$2:$B$6,_xleta.NA,0)</f>
        <v>HR Manager</v>
      </c>
      <c r="D14" s="1">
        <f t="shared" ca="1" si="7"/>
        <v>44431</v>
      </c>
      <c r="E14" s="1">
        <f ca="1">Table1[[#This Row],[Job Posting Date]]+ RANDBETWEEN(15, 90)</f>
        <v>44466</v>
      </c>
      <c r="F14" s="1">
        <f ca="1">Table1[[#This Row],[Hire Date]]+ RANDBETWEEN(1, 15)</f>
        <v>44477</v>
      </c>
      <c r="G14" s="1">
        <f ca="1">IF(RAND() &lt; 0.5,  Table1[[#This Row],[Join Date]]+ RANDBETWEEN(30, TODAY()- Table1[[#This Row],[Join Date]]), "-")</f>
        <v>45216</v>
      </c>
      <c r="H14" t="str">
        <f ca="1">IF(Table1[[#This Row],[Exit Date]]= "-", "Active", "Exited")</f>
        <v>Exited</v>
      </c>
      <c r="I14" s="5">
        <f t="shared" ca="1" si="0"/>
        <v>4871</v>
      </c>
      <c r="J14" t="str" cm="1">
        <f t="array" aca="1" ref="J14" ca="1">INDEX(sheet2!$C$2:$C$6, RANDBETWEEN(1, 5))</f>
        <v>Conflict Resolution</v>
      </c>
      <c r="K14" t="str">
        <f t="shared" ca="1" si="1"/>
        <v>Not Completed</v>
      </c>
      <c r="L14">
        <v>260</v>
      </c>
      <c r="M14">
        <f t="shared" ca="1" si="2"/>
        <v>0</v>
      </c>
      <c r="N14" t="str">
        <f t="shared" ca="1" si="3"/>
        <v>Female</v>
      </c>
      <c r="O14" s="6">
        <f t="shared" ca="1" si="4"/>
        <v>2422</v>
      </c>
      <c r="P14">
        <f ca="1">Table1[[#This Row],[Hire Date]]-Table1[[#This Row],[Job Posting Date]]</f>
        <v>35</v>
      </c>
      <c r="Q14" s="7">
        <f ca="1">Table1[[#This Row],[Join Date]]-Table1[[#This Row],[Hire Date]]</f>
        <v>11</v>
      </c>
      <c r="R14" s="8">
        <f ca="1">(IF(Table1[[#This Row],[Status]]="Exited",Table1[[#This Row],[Exit Date]]-Table1[[#This Row],[Join Date]],TODAY()-Table1[[#This Row],[Join Date]]))/30</f>
        <v>24.633333333333333</v>
      </c>
      <c r="S14">
        <f ca="1">Table1[[#This Row],[Hire Date]]-Table1[[#This Row],[Job Posting Date]]</f>
        <v>35</v>
      </c>
      <c r="T14" s="7">
        <f ca="1">Table1[[#This Row],[Time to onboard]]/Table1[[#This Row],[Time to Fill]]*100</f>
        <v>31.428571428571427</v>
      </c>
      <c r="U14" s="8">
        <f ca="1">Table1[[#This Row],[Time to onboard]]/Table1[[#This Row],[Time to Fill]]*100</f>
        <v>31.428571428571427</v>
      </c>
      <c r="V14">
        <f ca="1">Table1[[#This Row],[Join Date]]-Table1[[#This Row],[Job Posting Date]]</f>
        <v>46</v>
      </c>
      <c r="W14">
        <f t="shared" ca="1" si="5"/>
        <v>100</v>
      </c>
      <c r="X14" s="8">
        <f ca="1">Table1[[#This Row],[Absentee Days]]/Table1[[#This Row],[Total Work Days]]*100</f>
        <v>0</v>
      </c>
      <c r="Y14">
        <f ca="1">YEAR(Table1[[#This Row],[Join Date]])</f>
        <v>2021</v>
      </c>
      <c r="Z14">
        <f ca="1">IF(Table1[[#This Row],[Status]]="Active",1,0)</f>
        <v>0</v>
      </c>
      <c r="AA14">
        <f ca="1">IF(Table1[[#This Row],[Status]]="Exited",Table1[[#This Row],[Recruitment Cost]]+Table1[[#This Row],[Onboarding cost]]+Table1[[#This Row],[Training Cost]],0)</f>
        <v>7393</v>
      </c>
    </row>
    <row r="15" spans="1:35">
      <c r="A15" t="str">
        <f t="shared" si="6"/>
        <v>E014</v>
      </c>
      <c r="B15" t="str" cm="1">
        <f t="array" aca="1" ref="B15" ca="1">INDEX(sheet2!$A$2:$A$6, RANDBETWEEN(1, 5))</f>
        <v>Finance</v>
      </c>
      <c r="C15" t="str">
        <f ca="1">_xlfn.XLOOKUP(Table1[[#This Row],[Department]],sheet2!$A$2:$A$6,sheet2!$B$2:$B$6,_xleta.NA,0)</f>
        <v>Finance Manager</v>
      </c>
      <c r="D15" s="1">
        <f t="shared" ca="1" si="7"/>
        <v>44175</v>
      </c>
      <c r="E15" s="1">
        <f ca="1">Table1[[#This Row],[Job Posting Date]]+ RANDBETWEEN(15, 90)</f>
        <v>44208</v>
      </c>
      <c r="F15" s="1">
        <f ca="1">Table1[[#This Row],[Hire Date]]+ RANDBETWEEN(1, 15)</f>
        <v>44211</v>
      </c>
      <c r="G15" s="1">
        <f ca="1">IF(RAND() &lt; 0.5,  Table1[[#This Row],[Join Date]]+ RANDBETWEEN(30, TODAY()- Table1[[#This Row],[Join Date]]), "-")</f>
        <v>44366</v>
      </c>
      <c r="H15" t="str">
        <f ca="1">IF(Table1[[#This Row],[Exit Date]]= "-", "Active", "Exited")</f>
        <v>Exited</v>
      </c>
      <c r="I15" s="5">
        <f t="shared" ca="1" si="0"/>
        <v>3234</v>
      </c>
      <c r="J15" t="str" cm="1">
        <f t="array" aca="1" ref="J15" ca="1">INDEX(sheet2!$C$2:$C$6, RANDBETWEEN(1, 5))</f>
        <v>Communication Skills</v>
      </c>
      <c r="K15" t="str">
        <f t="shared" ca="1" si="1"/>
        <v>Completed</v>
      </c>
      <c r="L15">
        <v>260</v>
      </c>
      <c r="M15">
        <f t="shared" ca="1" si="2"/>
        <v>16</v>
      </c>
      <c r="N15" t="str">
        <f t="shared" ca="1" si="3"/>
        <v>Other</v>
      </c>
      <c r="O15" s="6">
        <f t="shared" ca="1" si="4"/>
        <v>1374</v>
      </c>
      <c r="P15">
        <f ca="1">Table1[[#This Row],[Hire Date]]-Table1[[#This Row],[Job Posting Date]]</f>
        <v>33</v>
      </c>
      <c r="Q15" s="7">
        <f ca="1">Table1[[#This Row],[Join Date]]-Table1[[#This Row],[Hire Date]]</f>
        <v>3</v>
      </c>
      <c r="R15" s="8">
        <f ca="1">(IF(Table1[[#This Row],[Status]]="Exited",Table1[[#This Row],[Exit Date]]-Table1[[#This Row],[Join Date]],TODAY()-Table1[[#This Row],[Join Date]]))/30</f>
        <v>5.166666666666667</v>
      </c>
      <c r="S15">
        <f ca="1">Table1[[#This Row],[Hire Date]]-Table1[[#This Row],[Job Posting Date]]</f>
        <v>33</v>
      </c>
      <c r="T15" s="7">
        <f ca="1">Table1[[#This Row],[Time to onboard]]/Table1[[#This Row],[Time to Fill]]*100</f>
        <v>9.0909090909090917</v>
      </c>
      <c r="U15" s="8">
        <f ca="1">Table1[[#This Row],[Time to onboard]]/Table1[[#This Row],[Time to Fill]]*100</f>
        <v>9.0909090909090917</v>
      </c>
      <c r="V15">
        <f ca="1">Table1[[#This Row],[Join Date]]-Table1[[#This Row],[Job Posting Date]]</f>
        <v>36</v>
      </c>
      <c r="W15">
        <f t="shared" ca="1" si="5"/>
        <v>170</v>
      </c>
      <c r="X15" s="8">
        <f ca="1">Table1[[#This Row],[Absentee Days]]/Table1[[#This Row],[Total Work Days]]*100</f>
        <v>6.1538461538461542</v>
      </c>
      <c r="Y15">
        <f ca="1">YEAR(Table1[[#This Row],[Join Date]])</f>
        <v>2021</v>
      </c>
      <c r="Z15">
        <f ca="1">IF(Table1[[#This Row],[Status]]="Active",1,0)</f>
        <v>0</v>
      </c>
      <c r="AA15">
        <f ca="1">IF(Table1[[#This Row],[Status]]="Exited",Table1[[#This Row],[Recruitment Cost]]+Table1[[#This Row],[Onboarding cost]]+Table1[[#This Row],[Training Cost]],0)</f>
        <v>4778</v>
      </c>
    </row>
    <row r="16" spans="1:35">
      <c r="A16" t="str">
        <f t="shared" si="6"/>
        <v>E015</v>
      </c>
      <c r="B16" t="str" cm="1">
        <f t="array" aca="1" ref="B16" ca="1">INDEX(sheet2!$A$2:$A$6, RANDBETWEEN(1, 5))</f>
        <v>HR</v>
      </c>
      <c r="C16" t="str">
        <f ca="1">_xlfn.XLOOKUP(Table1[[#This Row],[Department]],sheet2!$A$2:$A$6,sheet2!$B$2:$B$6,_xleta.NA,0)</f>
        <v>HR Manager</v>
      </c>
      <c r="D16" s="1">
        <f t="shared" ca="1" si="7"/>
        <v>43386</v>
      </c>
      <c r="E16" s="1">
        <f ca="1">Table1[[#This Row],[Job Posting Date]]+ RANDBETWEEN(15, 90)</f>
        <v>43402</v>
      </c>
      <c r="F16" s="1">
        <f ca="1">Table1[[#This Row],[Hire Date]]+ RANDBETWEEN(1, 15)</f>
        <v>43412</v>
      </c>
      <c r="G16" s="1" t="str">
        <f ca="1">IF(RAND() &lt; 0.5,  Table1[[#This Row],[Join Date]]+ RANDBETWEEN(30, TODAY()- Table1[[#This Row],[Join Date]]), "-")</f>
        <v>-</v>
      </c>
      <c r="H16" t="str">
        <f ca="1">IF(Table1[[#This Row],[Exit Date]]= "-", "Active", "Exited")</f>
        <v>Active</v>
      </c>
      <c r="I16" s="5">
        <f t="shared" ca="1" si="0"/>
        <v>4336</v>
      </c>
      <c r="J16" t="str" cm="1">
        <f t="array" aca="1" ref="J16" ca="1">INDEX(sheet2!$C$2:$C$6, RANDBETWEEN(1, 5))</f>
        <v>Leadership Development</v>
      </c>
      <c r="K16" t="str">
        <f t="shared" ca="1" si="1"/>
        <v>Not Completed</v>
      </c>
      <c r="L16">
        <v>260</v>
      </c>
      <c r="M16">
        <f t="shared" ca="1" si="2"/>
        <v>14</v>
      </c>
      <c r="N16" t="str">
        <f t="shared" ca="1" si="3"/>
        <v>Male</v>
      </c>
      <c r="O16" s="6">
        <f t="shared" ca="1" si="4"/>
        <v>1550</v>
      </c>
      <c r="P16">
        <f ca="1">Table1[[#This Row],[Hire Date]]-Table1[[#This Row],[Job Posting Date]]</f>
        <v>16</v>
      </c>
      <c r="Q16" s="7">
        <f ca="1">Table1[[#This Row],[Join Date]]-Table1[[#This Row],[Hire Date]]</f>
        <v>10</v>
      </c>
      <c r="R16" s="8">
        <f ca="1">(IF(Table1[[#This Row],[Status]]="Exited",Table1[[#This Row],[Exit Date]]-Table1[[#This Row],[Join Date]],TODAY()-Table1[[#This Row],[Join Date]]))/30</f>
        <v>75.033333333333331</v>
      </c>
      <c r="S16">
        <f ca="1">Table1[[#This Row],[Hire Date]]-Table1[[#This Row],[Job Posting Date]]</f>
        <v>16</v>
      </c>
      <c r="T16" s="7">
        <f ca="1">Table1[[#This Row],[Time to onboard]]/Table1[[#This Row],[Time to Fill]]*100</f>
        <v>62.5</v>
      </c>
      <c r="U16" s="8">
        <f ca="1">Table1[[#This Row],[Time to onboard]]/Table1[[#This Row],[Time to Fill]]*100</f>
        <v>62.5</v>
      </c>
      <c r="V16">
        <f ca="1">Table1[[#This Row],[Join Date]]-Table1[[#This Row],[Job Posting Date]]</f>
        <v>26</v>
      </c>
      <c r="W16">
        <f t="shared" ca="1" si="5"/>
        <v>129</v>
      </c>
      <c r="X16" s="8">
        <f ca="1">Table1[[#This Row],[Absentee Days]]/Table1[[#This Row],[Total Work Days]]*100</f>
        <v>5.384615384615385</v>
      </c>
      <c r="Y16">
        <f ca="1">YEAR(Table1[[#This Row],[Join Date]])</f>
        <v>2018</v>
      </c>
      <c r="Z16">
        <f ca="1">IF(Table1[[#This Row],[Status]]="Active",1,0)</f>
        <v>1</v>
      </c>
      <c r="AA16">
        <f ca="1">IF(Table1[[#This Row],[Status]]="Exited",Table1[[#This Row],[Recruitment Cost]]+Table1[[#This Row],[Onboarding cost]]+Table1[[#This Row],[Training Cost]],0)</f>
        <v>0</v>
      </c>
    </row>
    <row r="17" spans="1:27">
      <c r="A17" t="str">
        <f t="shared" si="6"/>
        <v>E016</v>
      </c>
      <c r="B17" t="str" cm="1">
        <f t="array" aca="1" ref="B17" ca="1">INDEX(sheet2!$A$2:$A$6, RANDBETWEEN(1, 5))</f>
        <v>Analytics</v>
      </c>
      <c r="C17" t="str">
        <f ca="1">_xlfn.XLOOKUP(Table1[[#This Row],[Department]],sheet2!$A$2:$A$6,sheet2!$B$2:$B$6,_xleta.NA,0)</f>
        <v>Data Analyst</v>
      </c>
      <c r="D17" s="1">
        <f t="shared" ca="1" si="7"/>
        <v>43792</v>
      </c>
      <c r="E17" s="1">
        <f ca="1">Table1[[#This Row],[Job Posting Date]]+ RANDBETWEEN(15, 90)</f>
        <v>43834</v>
      </c>
      <c r="F17" s="1">
        <f ca="1">Table1[[#This Row],[Hire Date]]+ RANDBETWEEN(1, 15)</f>
        <v>43847</v>
      </c>
      <c r="G17" s="1">
        <f ca="1">IF(RAND() &lt; 0.5,  Table1[[#This Row],[Join Date]]+ RANDBETWEEN(30, TODAY()- Table1[[#This Row],[Join Date]]), "-")</f>
        <v>45074</v>
      </c>
      <c r="H17" t="str">
        <f ca="1">IF(Table1[[#This Row],[Exit Date]]= "-", "Active", "Exited")</f>
        <v>Exited</v>
      </c>
      <c r="I17" s="5">
        <f t="shared" ca="1" si="0"/>
        <v>2579</v>
      </c>
      <c r="J17" t="str" cm="1">
        <f t="array" aca="1" ref="J17" ca="1">INDEX(sheet2!$C$2:$C$6, RANDBETWEEN(1, 5))</f>
        <v>Ethics and Responsibilities</v>
      </c>
      <c r="K17" t="str">
        <f t="shared" ca="1" si="1"/>
        <v>Completed</v>
      </c>
      <c r="L17">
        <v>260</v>
      </c>
      <c r="M17">
        <f t="shared" ca="1" si="2"/>
        <v>5</v>
      </c>
      <c r="N17" t="str">
        <f t="shared" ca="1" si="3"/>
        <v>Other</v>
      </c>
      <c r="O17" s="6">
        <f t="shared" ca="1" si="4"/>
        <v>1939</v>
      </c>
      <c r="P17">
        <f ca="1">Table1[[#This Row],[Hire Date]]-Table1[[#This Row],[Job Posting Date]]</f>
        <v>42</v>
      </c>
      <c r="Q17" s="7">
        <f ca="1">Table1[[#This Row],[Join Date]]-Table1[[#This Row],[Hire Date]]</f>
        <v>13</v>
      </c>
      <c r="R17" s="8">
        <f ca="1">(IF(Table1[[#This Row],[Status]]="Exited",Table1[[#This Row],[Exit Date]]-Table1[[#This Row],[Join Date]],TODAY()-Table1[[#This Row],[Join Date]]))/30</f>
        <v>40.9</v>
      </c>
      <c r="S17">
        <f ca="1">Table1[[#This Row],[Hire Date]]-Table1[[#This Row],[Job Posting Date]]</f>
        <v>42</v>
      </c>
      <c r="T17" s="7">
        <f ca="1">Table1[[#This Row],[Time to onboard]]/Table1[[#This Row],[Time to Fill]]*100</f>
        <v>30.952380952380953</v>
      </c>
      <c r="U17" s="8">
        <f ca="1">Table1[[#This Row],[Time to onboard]]/Table1[[#This Row],[Time to Fill]]*100</f>
        <v>30.952380952380953</v>
      </c>
      <c r="V17">
        <f ca="1">Table1[[#This Row],[Join Date]]-Table1[[#This Row],[Job Posting Date]]</f>
        <v>55</v>
      </c>
      <c r="W17">
        <f t="shared" ca="1" si="5"/>
        <v>122</v>
      </c>
      <c r="X17" s="8">
        <f ca="1">Table1[[#This Row],[Absentee Days]]/Table1[[#This Row],[Total Work Days]]*100</f>
        <v>1.9230769230769231</v>
      </c>
      <c r="Y17">
        <f ca="1">YEAR(Table1[[#This Row],[Join Date]])</f>
        <v>2020</v>
      </c>
      <c r="Z17">
        <f ca="1">IF(Table1[[#This Row],[Status]]="Active",1,0)</f>
        <v>0</v>
      </c>
      <c r="AA17">
        <f ca="1">IF(Table1[[#This Row],[Status]]="Exited",Table1[[#This Row],[Recruitment Cost]]+Table1[[#This Row],[Onboarding cost]]+Table1[[#This Row],[Training Cost]],0)</f>
        <v>4640</v>
      </c>
    </row>
    <row r="18" spans="1:27">
      <c r="A18" t="str">
        <f t="shared" si="6"/>
        <v>E017</v>
      </c>
      <c r="B18" t="str" cm="1">
        <f t="array" aca="1" ref="B18" ca="1">INDEX(sheet2!$A$2:$A$6, RANDBETWEEN(1, 5))</f>
        <v>Finance</v>
      </c>
      <c r="C18" t="str">
        <f ca="1">_xlfn.XLOOKUP(Table1[[#This Row],[Department]],sheet2!$A$2:$A$6,sheet2!$B$2:$B$6,_xleta.NA,0)</f>
        <v>Finance Manager</v>
      </c>
      <c r="D18" s="1">
        <f t="shared" ca="1" si="7"/>
        <v>44122</v>
      </c>
      <c r="E18" s="1">
        <f ca="1">Table1[[#This Row],[Job Posting Date]]+ RANDBETWEEN(15, 90)</f>
        <v>44169</v>
      </c>
      <c r="F18" s="1">
        <f ca="1">Table1[[#This Row],[Hire Date]]+ RANDBETWEEN(1, 15)</f>
        <v>44172</v>
      </c>
      <c r="G18" s="1" t="str">
        <f ca="1">IF(RAND() &lt; 0.5,  Table1[[#This Row],[Join Date]]+ RANDBETWEEN(30, TODAY()- Table1[[#This Row],[Join Date]]), "-")</f>
        <v>-</v>
      </c>
      <c r="H18" t="str">
        <f ca="1">IF(Table1[[#This Row],[Exit Date]]= "-", "Active", "Exited")</f>
        <v>Active</v>
      </c>
      <c r="I18" s="5">
        <f t="shared" ca="1" si="0"/>
        <v>3629</v>
      </c>
      <c r="J18" t="str" cm="1">
        <f t="array" aca="1" ref="J18" ca="1">INDEX(sheet2!$C$2:$C$6, RANDBETWEEN(1, 5))</f>
        <v>Advanced Excel Skills </v>
      </c>
      <c r="K18" t="str">
        <f t="shared" ca="1" si="1"/>
        <v>Completed</v>
      </c>
      <c r="L18">
        <v>260</v>
      </c>
      <c r="M18">
        <f t="shared" ca="1" si="2"/>
        <v>6</v>
      </c>
      <c r="N18" t="str">
        <f t="shared" ca="1" si="3"/>
        <v>Other</v>
      </c>
      <c r="O18" s="6">
        <f t="shared" ca="1" si="4"/>
        <v>2279</v>
      </c>
      <c r="P18">
        <f ca="1">Table1[[#This Row],[Hire Date]]-Table1[[#This Row],[Job Posting Date]]</f>
        <v>47</v>
      </c>
      <c r="Q18" s="7">
        <f ca="1">Table1[[#This Row],[Join Date]]-Table1[[#This Row],[Hire Date]]</f>
        <v>3</v>
      </c>
      <c r="R18" s="8">
        <f ca="1">(IF(Table1[[#This Row],[Status]]="Exited",Table1[[#This Row],[Exit Date]]-Table1[[#This Row],[Join Date]],TODAY()-Table1[[#This Row],[Join Date]]))/30</f>
        <v>49.7</v>
      </c>
      <c r="S18">
        <f ca="1">Table1[[#This Row],[Hire Date]]-Table1[[#This Row],[Job Posting Date]]</f>
        <v>47</v>
      </c>
      <c r="T18" s="7">
        <f ca="1">Table1[[#This Row],[Time to onboard]]/Table1[[#This Row],[Time to Fill]]*100</f>
        <v>6.3829787234042552</v>
      </c>
      <c r="U18" s="8">
        <f ca="1">Table1[[#This Row],[Time to onboard]]/Table1[[#This Row],[Time to Fill]]*100</f>
        <v>6.3829787234042552</v>
      </c>
      <c r="V18">
        <f ca="1">Table1[[#This Row],[Join Date]]-Table1[[#This Row],[Job Posting Date]]</f>
        <v>50</v>
      </c>
      <c r="W18">
        <f t="shared" ca="1" si="5"/>
        <v>185</v>
      </c>
      <c r="X18" s="8">
        <f ca="1">Table1[[#This Row],[Absentee Days]]/Table1[[#This Row],[Total Work Days]]*100</f>
        <v>2.3076923076923079</v>
      </c>
      <c r="Y18">
        <f ca="1">YEAR(Table1[[#This Row],[Join Date]])</f>
        <v>2020</v>
      </c>
      <c r="Z18">
        <f ca="1">IF(Table1[[#This Row],[Status]]="Active",1,0)</f>
        <v>1</v>
      </c>
      <c r="AA18">
        <f ca="1">IF(Table1[[#This Row],[Status]]="Exited",Table1[[#This Row],[Recruitment Cost]]+Table1[[#This Row],[Onboarding cost]]+Table1[[#This Row],[Training Cost]],0)</f>
        <v>0</v>
      </c>
    </row>
    <row r="19" spans="1:27">
      <c r="A19" t="str">
        <f t="shared" si="6"/>
        <v>E018</v>
      </c>
      <c r="B19" t="str" cm="1">
        <f t="array" aca="1" ref="B19" ca="1">INDEX(sheet2!$A$2:$A$6, RANDBETWEEN(1, 5))</f>
        <v>Finance</v>
      </c>
      <c r="C19" t="str">
        <f ca="1">_xlfn.XLOOKUP(Table1[[#This Row],[Department]],sheet2!$A$2:$A$6,sheet2!$B$2:$B$6,_xleta.NA,0)</f>
        <v>Finance Manager</v>
      </c>
      <c r="D19" s="1">
        <f t="shared" ca="1" si="7"/>
        <v>44827</v>
      </c>
      <c r="E19" s="1">
        <f ca="1">Table1[[#This Row],[Job Posting Date]]+ RANDBETWEEN(15, 90)</f>
        <v>44882</v>
      </c>
      <c r="F19" s="1">
        <f ca="1">Table1[[#This Row],[Hire Date]]+ RANDBETWEEN(1, 15)</f>
        <v>44891</v>
      </c>
      <c r="G19" s="1">
        <f ca="1">IF(RAND() &lt; 0.5,  Table1[[#This Row],[Join Date]]+ RANDBETWEEN(30, TODAY()- Table1[[#This Row],[Join Date]]), "-")</f>
        <v>45092</v>
      </c>
      <c r="H19" t="str">
        <f ca="1">IF(Table1[[#This Row],[Exit Date]]= "-", "Active", "Exited")</f>
        <v>Exited</v>
      </c>
      <c r="I19" s="5">
        <f t="shared" ca="1" si="0"/>
        <v>1605</v>
      </c>
      <c r="J19" t="str" cm="1">
        <f t="array" aca="1" ref="J19" ca="1">INDEX(sheet2!$C$2:$C$6, RANDBETWEEN(1, 5))</f>
        <v>Conflict Resolution</v>
      </c>
      <c r="K19" t="str">
        <f t="shared" ca="1" si="1"/>
        <v>Not Completed</v>
      </c>
      <c r="L19">
        <v>260</v>
      </c>
      <c r="M19">
        <f t="shared" ca="1" si="2"/>
        <v>14</v>
      </c>
      <c r="N19" t="str">
        <f t="shared" ca="1" si="3"/>
        <v>Male</v>
      </c>
      <c r="O19" s="6">
        <f t="shared" ca="1" si="4"/>
        <v>1980</v>
      </c>
      <c r="P19">
        <f ca="1">Table1[[#This Row],[Hire Date]]-Table1[[#This Row],[Job Posting Date]]</f>
        <v>55</v>
      </c>
      <c r="Q19" s="7">
        <f ca="1">Table1[[#This Row],[Join Date]]-Table1[[#This Row],[Hire Date]]</f>
        <v>9</v>
      </c>
      <c r="R19" s="8">
        <f ca="1">(IF(Table1[[#This Row],[Status]]="Exited",Table1[[#This Row],[Exit Date]]-Table1[[#This Row],[Join Date]],TODAY()-Table1[[#This Row],[Join Date]]))/30</f>
        <v>6.7</v>
      </c>
      <c r="S19">
        <f ca="1">Table1[[#This Row],[Hire Date]]-Table1[[#This Row],[Job Posting Date]]</f>
        <v>55</v>
      </c>
      <c r="T19" s="7">
        <f ca="1">Table1[[#This Row],[Time to onboard]]/Table1[[#This Row],[Time to Fill]]*100</f>
        <v>16.363636363636363</v>
      </c>
      <c r="U19" s="8">
        <f ca="1">Table1[[#This Row],[Time to onboard]]/Table1[[#This Row],[Time to Fill]]*100</f>
        <v>16.363636363636363</v>
      </c>
      <c r="V19">
        <f ca="1">Table1[[#This Row],[Join Date]]-Table1[[#This Row],[Job Posting Date]]</f>
        <v>64</v>
      </c>
      <c r="W19">
        <f t="shared" ca="1" si="5"/>
        <v>106</v>
      </c>
      <c r="X19" s="8">
        <f ca="1">Table1[[#This Row],[Absentee Days]]/Table1[[#This Row],[Total Work Days]]*100</f>
        <v>5.384615384615385</v>
      </c>
      <c r="Y19">
        <f ca="1">YEAR(Table1[[#This Row],[Join Date]])</f>
        <v>2022</v>
      </c>
      <c r="Z19">
        <f ca="1">IF(Table1[[#This Row],[Status]]="Active",1,0)</f>
        <v>0</v>
      </c>
      <c r="AA19">
        <f ca="1">IF(Table1[[#This Row],[Status]]="Exited",Table1[[#This Row],[Recruitment Cost]]+Table1[[#This Row],[Onboarding cost]]+Table1[[#This Row],[Training Cost]],0)</f>
        <v>3691</v>
      </c>
    </row>
    <row r="20" spans="1:27">
      <c r="A20" t="str">
        <f t="shared" si="6"/>
        <v>E019</v>
      </c>
      <c r="B20" t="str" cm="1">
        <f t="array" aca="1" ref="B20" ca="1">INDEX(sheet2!$A$2:$A$6, RANDBETWEEN(1, 5))</f>
        <v>HR</v>
      </c>
      <c r="C20" t="str">
        <f ca="1">_xlfn.XLOOKUP(Table1[[#This Row],[Department]],sheet2!$A$2:$A$6,sheet2!$B$2:$B$6,_xleta.NA,0)</f>
        <v>HR Manager</v>
      </c>
      <c r="D20" s="1">
        <f t="shared" ca="1" si="7"/>
        <v>43240</v>
      </c>
      <c r="E20" s="1">
        <f ca="1">Table1[[#This Row],[Job Posting Date]]+ RANDBETWEEN(15, 90)</f>
        <v>43292</v>
      </c>
      <c r="F20" s="1">
        <f ca="1">Table1[[#This Row],[Hire Date]]+ RANDBETWEEN(1, 15)</f>
        <v>43293</v>
      </c>
      <c r="G20" s="1">
        <f ca="1">IF(RAND() &lt; 0.5,  Table1[[#This Row],[Join Date]]+ RANDBETWEEN(30, TODAY()- Table1[[#This Row],[Join Date]]), "-")</f>
        <v>45080</v>
      </c>
      <c r="H20" t="str">
        <f ca="1">IF(Table1[[#This Row],[Exit Date]]= "-", "Active", "Exited")</f>
        <v>Exited</v>
      </c>
      <c r="I20" s="5">
        <f t="shared" ca="1" si="0"/>
        <v>1740</v>
      </c>
      <c r="J20" t="str" cm="1">
        <f t="array" aca="1" ref="J20" ca="1">INDEX(sheet2!$C$2:$C$6, RANDBETWEEN(1, 5))</f>
        <v>Ethics and Responsibilities</v>
      </c>
      <c r="K20" t="str">
        <f t="shared" ca="1" si="1"/>
        <v>Completed</v>
      </c>
      <c r="L20">
        <v>260</v>
      </c>
      <c r="M20">
        <f t="shared" ca="1" si="2"/>
        <v>20</v>
      </c>
      <c r="N20" t="str">
        <f t="shared" ca="1" si="3"/>
        <v>Male</v>
      </c>
      <c r="O20" s="6">
        <f t="shared" ca="1" si="4"/>
        <v>1630</v>
      </c>
      <c r="P20">
        <f ca="1">Table1[[#This Row],[Hire Date]]-Table1[[#This Row],[Job Posting Date]]</f>
        <v>52</v>
      </c>
      <c r="Q20" s="7">
        <f ca="1">Table1[[#This Row],[Join Date]]-Table1[[#This Row],[Hire Date]]</f>
        <v>1</v>
      </c>
      <c r="R20" s="8">
        <f ca="1">(IF(Table1[[#This Row],[Status]]="Exited",Table1[[#This Row],[Exit Date]]-Table1[[#This Row],[Join Date]],TODAY()-Table1[[#This Row],[Join Date]]))/30</f>
        <v>59.56666666666667</v>
      </c>
      <c r="S20">
        <f ca="1">Table1[[#This Row],[Hire Date]]-Table1[[#This Row],[Job Posting Date]]</f>
        <v>52</v>
      </c>
      <c r="T20" s="7">
        <f ca="1">Table1[[#This Row],[Time to onboard]]/Table1[[#This Row],[Time to Fill]]*100</f>
        <v>1.9230769230769231</v>
      </c>
      <c r="U20" s="8">
        <f ca="1">Table1[[#This Row],[Time to onboard]]/Table1[[#This Row],[Time to Fill]]*100</f>
        <v>1.9230769230769231</v>
      </c>
      <c r="V20">
        <f ca="1">Table1[[#This Row],[Join Date]]-Table1[[#This Row],[Job Posting Date]]</f>
        <v>53</v>
      </c>
      <c r="W20">
        <f t="shared" ca="1" si="5"/>
        <v>141</v>
      </c>
      <c r="X20" s="8">
        <f ca="1">Table1[[#This Row],[Absentee Days]]/Table1[[#This Row],[Total Work Days]]*100</f>
        <v>7.6923076923076925</v>
      </c>
      <c r="Y20">
        <f ca="1">YEAR(Table1[[#This Row],[Join Date]])</f>
        <v>2018</v>
      </c>
      <c r="Z20">
        <f ca="1">IF(Table1[[#This Row],[Status]]="Active",1,0)</f>
        <v>0</v>
      </c>
      <c r="AA20">
        <f ca="1">IF(Table1[[#This Row],[Status]]="Exited",Table1[[#This Row],[Recruitment Cost]]+Table1[[#This Row],[Onboarding cost]]+Table1[[#This Row],[Training Cost]],0)</f>
        <v>3511</v>
      </c>
    </row>
    <row r="21" spans="1:27">
      <c r="A21" t="str">
        <f t="shared" si="6"/>
        <v>E020</v>
      </c>
      <c r="B21" t="str" cm="1">
        <f t="array" aca="1" ref="B21" ca="1">INDEX(sheet2!$A$2:$A$6, RANDBETWEEN(1, 5))</f>
        <v>HR</v>
      </c>
      <c r="C21" t="str">
        <f ca="1">_xlfn.XLOOKUP(Table1[[#This Row],[Department]],sheet2!$A$2:$A$6,sheet2!$B$2:$B$6,_xleta.NA,0)</f>
        <v>HR Manager</v>
      </c>
      <c r="D21" s="1">
        <f t="shared" ca="1" si="7"/>
        <v>44450</v>
      </c>
      <c r="E21" s="1">
        <f ca="1">Table1[[#This Row],[Job Posting Date]]+ RANDBETWEEN(15, 90)</f>
        <v>44531</v>
      </c>
      <c r="F21" s="1">
        <f ca="1">Table1[[#This Row],[Hire Date]]+ RANDBETWEEN(1, 15)</f>
        <v>44539</v>
      </c>
      <c r="G21" s="1">
        <f ca="1">IF(RAND() &lt; 0.5,  Table1[[#This Row],[Join Date]]+ RANDBETWEEN(30, TODAY()- Table1[[#This Row],[Join Date]]), "-")</f>
        <v>44848</v>
      </c>
      <c r="H21" t="str">
        <f ca="1">IF(Table1[[#This Row],[Exit Date]]= "-", "Active", "Exited")</f>
        <v>Exited</v>
      </c>
      <c r="I21" s="5">
        <f t="shared" ca="1" si="0"/>
        <v>3009</v>
      </c>
      <c r="J21" t="str" cm="1">
        <f t="array" aca="1" ref="J21" ca="1">INDEX(sheet2!$C$2:$C$6, RANDBETWEEN(1, 5))</f>
        <v>Leadership Development</v>
      </c>
      <c r="K21" t="str">
        <f t="shared" ca="1" si="1"/>
        <v>Completed</v>
      </c>
      <c r="L21">
        <v>260</v>
      </c>
      <c r="M21">
        <f t="shared" ca="1" si="2"/>
        <v>11</v>
      </c>
      <c r="N21" t="str">
        <f t="shared" ca="1" si="3"/>
        <v>Male</v>
      </c>
      <c r="O21" s="6">
        <f t="shared" ca="1" si="4"/>
        <v>1341</v>
      </c>
      <c r="P21">
        <f ca="1">Table1[[#This Row],[Hire Date]]-Table1[[#This Row],[Job Posting Date]]</f>
        <v>81</v>
      </c>
      <c r="Q21" s="7">
        <f ca="1">Table1[[#This Row],[Join Date]]-Table1[[#This Row],[Hire Date]]</f>
        <v>8</v>
      </c>
      <c r="R21" s="8">
        <f ca="1">(IF(Table1[[#This Row],[Status]]="Exited",Table1[[#This Row],[Exit Date]]-Table1[[#This Row],[Join Date]],TODAY()-Table1[[#This Row],[Join Date]]))/30</f>
        <v>10.3</v>
      </c>
      <c r="S21">
        <f ca="1">Table1[[#This Row],[Hire Date]]-Table1[[#This Row],[Job Posting Date]]</f>
        <v>81</v>
      </c>
      <c r="T21" s="7">
        <f ca="1">Table1[[#This Row],[Time to onboard]]/Table1[[#This Row],[Time to Fill]]*100</f>
        <v>9.8765432098765427</v>
      </c>
      <c r="U21" s="8">
        <f ca="1">Table1[[#This Row],[Time to onboard]]/Table1[[#This Row],[Time to Fill]]*100</f>
        <v>9.8765432098765427</v>
      </c>
      <c r="V21">
        <f ca="1">Table1[[#This Row],[Join Date]]-Table1[[#This Row],[Job Posting Date]]</f>
        <v>89</v>
      </c>
      <c r="W21">
        <f t="shared" ca="1" si="5"/>
        <v>183</v>
      </c>
      <c r="X21" s="8">
        <f ca="1">Table1[[#This Row],[Absentee Days]]/Table1[[#This Row],[Total Work Days]]*100</f>
        <v>4.2307692307692308</v>
      </c>
      <c r="Y21">
        <f ca="1">YEAR(Table1[[#This Row],[Join Date]])</f>
        <v>2021</v>
      </c>
      <c r="Z21">
        <f ca="1">IF(Table1[[#This Row],[Status]]="Active",1,0)</f>
        <v>0</v>
      </c>
      <c r="AA21">
        <f ca="1">IF(Table1[[#This Row],[Status]]="Exited",Table1[[#This Row],[Recruitment Cost]]+Table1[[#This Row],[Onboarding cost]]+Table1[[#This Row],[Training Cost]],0)</f>
        <v>4533</v>
      </c>
    </row>
    <row r="22" spans="1:27">
      <c r="A22" t="str">
        <f t="shared" si="6"/>
        <v>E021</v>
      </c>
      <c r="B22" t="str" cm="1">
        <f t="array" aca="1" ref="B22" ca="1">INDEX(sheet2!$A$2:$A$6, RANDBETWEEN(1, 5))</f>
        <v>Analytics</v>
      </c>
      <c r="C22" t="str">
        <f ca="1">_xlfn.XLOOKUP(Table1[[#This Row],[Department]],sheet2!$A$2:$A$6,sheet2!$B$2:$B$6,_xleta.NA,0)</f>
        <v>Data Analyst</v>
      </c>
      <c r="D22" s="1">
        <f t="shared" ca="1" si="7"/>
        <v>43834</v>
      </c>
      <c r="E22" s="1">
        <f ca="1">Table1[[#This Row],[Job Posting Date]]+ RANDBETWEEN(15, 90)</f>
        <v>43877</v>
      </c>
      <c r="F22" s="1">
        <f ca="1">Table1[[#This Row],[Hire Date]]+ RANDBETWEEN(1, 15)</f>
        <v>43892</v>
      </c>
      <c r="G22" s="1" t="str">
        <f ca="1">IF(RAND() &lt; 0.5,  Table1[[#This Row],[Join Date]]+ RANDBETWEEN(30, TODAY()- Table1[[#This Row],[Join Date]]), "-")</f>
        <v>-</v>
      </c>
      <c r="H22" t="str">
        <f ca="1">IF(Table1[[#This Row],[Exit Date]]= "-", "Active", "Exited")</f>
        <v>Active</v>
      </c>
      <c r="I22" s="5">
        <f t="shared" ca="1" si="0"/>
        <v>4950</v>
      </c>
      <c r="J22" t="str" cm="1">
        <f t="array" aca="1" ref="J22" ca="1">INDEX(sheet2!$C$2:$C$6, RANDBETWEEN(1, 5))</f>
        <v>Advanced Excel Skills </v>
      </c>
      <c r="K22" t="str">
        <f t="shared" ca="1" si="1"/>
        <v>Not Completed</v>
      </c>
      <c r="L22">
        <v>260</v>
      </c>
      <c r="M22">
        <f t="shared" ca="1" si="2"/>
        <v>3</v>
      </c>
      <c r="N22" t="str">
        <f t="shared" ca="1" si="3"/>
        <v>Other</v>
      </c>
      <c r="O22" s="6">
        <f t="shared" ca="1" si="4"/>
        <v>1972</v>
      </c>
      <c r="P22">
        <f ca="1">Table1[[#This Row],[Hire Date]]-Table1[[#This Row],[Job Posting Date]]</f>
        <v>43</v>
      </c>
      <c r="Q22" s="7">
        <f ca="1">Table1[[#This Row],[Join Date]]-Table1[[#This Row],[Hire Date]]</f>
        <v>15</v>
      </c>
      <c r="R22" s="8">
        <f ca="1">(IF(Table1[[#This Row],[Status]]="Exited",Table1[[#This Row],[Exit Date]]-Table1[[#This Row],[Join Date]],TODAY()-Table1[[#This Row],[Join Date]]))/30</f>
        <v>59.033333333333331</v>
      </c>
      <c r="S22">
        <f ca="1">Table1[[#This Row],[Hire Date]]-Table1[[#This Row],[Job Posting Date]]</f>
        <v>43</v>
      </c>
      <c r="T22" s="7">
        <f ca="1">Table1[[#This Row],[Time to onboard]]/Table1[[#This Row],[Time to Fill]]*100</f>
        <v>34.883720930232556</v>
      </c>
      <c r="U22" s="8">
        <f ca="1">Table1[[#This Row],[Time to onboard]]/Table1[[#This Row],[Time to Fill]]*100</f>
        <v>34.883720930232556</v>
      </c>
      <c r="V22">
        <f ca="1">Table1[[#This Row],[Join Date]]-Table1[[#This Row],[Job Posting Date]]</f>
        <v>58</v>
      </c>
      <c r="W22">
        <f t="shared" ca="1" si="5"/>
        <v>135</v>
      </c>
      <c r="X22" s="8">
        <f ca="1">Table1[[#This Row],[Absentee Days]]/Table1[[#This Row],[Total Work Days]]*100</f>
        <v>1.153846153846154</v>
      </c>
      <c r="Y22">
        <f ca="1">YEAR(Table1[[#This Row],[Join Date]])</f>
        <v>2020</v>
      </c>
      <c r="Z22">
        <f ca="1">IF(Table1[[#This Row],[Status]]="Active",1,0)</f>
        <v>1</v>
      </c>
      <c r="AA22">
        <f ca="1">IF(Table1[[#This Row],[Status]]="Exited",Table1[[#This Row],[Recruitment Cost]]+Table1[[#This Row],[Onboarding cost]]+Table1[[#This Row],[Training Cost]],0)</f>
        <v>0</v>
      </c>
    </row>
    <row r="23" spans="1:27">
      <c r="A23" t="str">
        <f t="shared" si="6"/>
        <v>E022</v>
      </c>
      <c r="B23" t="str" cm="1">
        <f t="array" aca="1" ref="B23" ca="1">INDEX(sheet2!$A$2:$A$6, RANDBETWEEN(1, 5))</f>
        <v>IT</v>
      </c>
      <c r="C23" t="str">
        <f ca="1">_xlfn.XLOOKUP(Table1[[#This Row],[Department]],sheet2!$A$2:$A$6,sheet2!$B$2:$B$6,_xleta.NA,0)</f>
        <v>Software Engineer</v>
      </c>
      <c r="D23" s="1">
        <f t="shared" ca="1" si="7"/>
        <v>44143</v>
      </c>
      <c r="E23" s="1">
        <f ca="1">Table1[[#This Row],[Job Posting Date]]+ RANDBETWEEN(15, 90)</f>
        <v>44226</v>
      </c>
      <c r="F23" s="1">
        <f ca="1">Table1[[#This Row],[Hire Date]]+ RANDBETWEEN(1, 15)</f>
        <v>44227</v>
      </c>
      <c r="G23" s="1">
        <f ca="1">IF(RAND() &lt; 0.5,  Table1[[#This Row],[Join Date]]+ RANDBETWEEN(30, TODAY()- Table1[[#This Row],[Join Date]]), "-")</f>
        <v>45385</v>
      </c>
      <c r="H23" t="str">
        <f ca="1">IF(Table1[[#This Row],[Exit Date]]= "-", "Active", "Exited")</f>
        <v>Exited</v>
      </c>
      <c r="I23" s="5">
        <f t="shared" ca="1" si="0"/>
        <v>3932</v>
      </c>
      <c r="J23" t="str" cm="1">
        <f t="array" aca="1" ref="J23" ca="1">INDEX(sheet2!$C$2:$C$6, RANDBETWEEN(1, 5))</f>
        <v>Communication Skills</v>
      </c>
      <c r="K23" t="str">
        <f t="shared" ca="1" si="1"/>
        <v>Completed</v>
      </c>
      <c r="L23">
        <v>260</v>
      </c>
      <c r="M23">
        <f t="shared" ca="1" si="2"/>
        <v>9</v>
      </c>
      <c r="N23" t="str">
        <f t="shared" ca="1" si="3"/>
        <v>Female</v>
      </c>
      <c r="O23" s="6">
        <f t="shared" ca="1" si="4"/>
        <v>1793</v>
      </c>
      <c r="P23">
        <f ca="1">Table1[[#This Row],[Hire Date]]-Table1[[#This Row],[Job Posting Date]]</f>
        <v>83</v>
      </c>
      <c r="Q23" s="7">
        <f ca="1">Table1[[#This Row],[Join Date]]-Table1[[#This Row],[Hire Date]]</f>
        <v>1</v>
      </c>
      <c r="R23" s="8">
        <f ca="1">(IF(Table1[[#This Row],[Status]]="Exited",Table1[[#This Row],[Exit Date]]-Table1[[#This Row],[Join Date]],TODAY()-Table1[[#This Row],[Join Date]]))/30</f>
        <v>38.6</v>
      </c>
      <c r="S23">
        <f ca="1">Table1[[#This Row],[Hire Date]]-Table1[[#This Row],[Job Posting Date]]</f>
        <v>83</v>
      </c>
      <c r="T23" s="7">
        <f ca="1">Table1[[#This Row],[Time to onboard]]/Table1[[#This Row],[Time to Fill]]*100</f>
        <v>1.2048192771084338</v>
      </c>
      <c r="U23" s="8">
        <f ca="1">Table1[[#This Row],[Time to onboard]]/Table1[[#This Row],[Time to Fill]]*100</f>
        <v>1.2048192771084338</v>
      </c>
      <c r="V23">
        <f ca="1">Table1[[#This Row],[Join Date]]-Table1[[#This Row],[Job Posting Date]]</f>
        <v>84</v>
      </c>
      <c r="W23">
        <f t="shared" ca="1" si="5"/>
        <v>176</v>
      </c>
      <c r="X23" s="8">
        <f ca="1">Table1[[#This Row],[Absentee Days]]/Table1[[#This Row],[Total Work Days]]*100</f>
        <v>3.4615384615384617</v>
      </c>
      <c r="Y23">
        <f ca="1">YEAR(Table1[[#This Row],[Join Date]])</f>
        <v>2021</v>
      </c>
      <c r="Z23">
        <f ca="1">IF(Table1[[#This Row],[Status]]="Active",1,0)</f>
        <v>0</v>
      </c>
      <c r="AA23">
        <f ca="1">IF(Table1[[#This Row],[Status]]="Exited",Table1[[#This Row],[Recruitment Cost]]+Table1[[#This Row],[Onboarding cost]]+Table1[[#This Row],[Training Cost]],0)</f>
        <v>5901</v>
      </c>
    </row>
    <row r="24" spans="1:27">
      <c r="A24" t="str">
        <f t="shared" si="6"/>
        <v>E023</v>
      </c>
      <c r="B24" t="str" cm="1">
        <f t="array" aca="1" ref="B24" ca="1">INDEX(sheet2!$A$2:$A$6, RANDBETWEEN(1, 5))</f>
        <v>Finance</v>
      </c>
      <c r="C24" t="str">
        <f ca="1">_xlfn.XLOOKUP(Table1[[#This Row],[Department]],sheet2!$A$2:$A$6,sheet2!$B$2:$B$6,_xleta.NA,0)</f>
        <v>Finance Manager</v>
      </c>
      <c r="D24" s="1">
        <f t="shared" ca="1" si="7"/>
        <v>44427</v>
      </c>
      <c r="E24" s="1">
        <f ca="1">Table1[[#This Row],[Job Posting Date]]+ RANDBETWEEN(15, 90)</f>
        <v>44503</v>
      </c>
      <c r="F24" s="1">
        <f ca="1">Table1[[#This Row],[Hire Date]]+ RANDBETWEEN(1, 15)</f>
        <v>44515</v>
      </c>
      <c r="G24" s="1">
        <f ca="1">IF(RAND() &lt; 0.5,  Table1[[#This Row],[Join Date]]+ RANDBETWEEN(30, TODAY()- Table1[[#This Row],[Join Date]]), "-")</f>
        <v>44546</v>
      </c>
      <c r="H24" t="str">
        <f ca="1">IF(Table1[[#This Row],[Exit Date]]= "-", "Active", "Exited")</f>
        <v>Exited</v>
      </c>
      <c r="I24" s="5">
        <f t="shared" ca="1" si="0"/>
        <v>4250</v>
      </c>
      <c r="J24" t="str" cm="1">
        <f t="array" aca="1" ref="J24" ca="1">INDEX(sheet2!$C$2:$C$6, RANDBETWEEN(1, 5))</f>
        <v>Leadership Development</v>
      </c>
      <c r="K24" t="str">
        <f t="shared" ca="1" si="1"/>
        <v>Completed</v>
      </c>
      <c r="L24">
        <v>260</v>
      </c>
      <c r="M24">
        <f t="shared" ca="1" si="2"/>
        <v>9</v>
      </c>
      <c r="N24" t="str">
        <f t="shared" ca="1" si="3"/>
        <v>Male</v>
      </c>
      <c r="O24" s="6">
        <f t="shared" ca="1" si="4"/>
        <v>2470</v>
      </c>
      <c r="P24">
        <f ca="1">Table1[[#This Row],[Hire Date]]-Table1[[#This Row],[Job Posting Date]]</f>
        <v>76</v>
      </c>
      <c r="Q24" s="7">
        <f ca="1">Table1[[#This Row],[Join Date]]-Table1[[#This Row],[Hire Date]]</f>
        <v>12</v>
      </c>
      <c r="R24" s="8">
        <f ca="1">(IF(Table1[[#This Row],[Status]]="Exited",Table1[[#This Row],[Exit Date]]-Table1[[#This Row],[Join Date]],TODAY()-Table1[[#This Row],[Join Date]]))/30</f>
        <v>1.0333333333333334</v>
      </c>
      <c r="S24">
        <f ca="1">Table1[[#This Row],[Hire Date]]-Table1[[#This Row],[Job Posting Date]]</f>
        <v>76</v>
      </c>
      <c r="T24" s="7">
        <f ca="1">Table1[[#This Row],[Time to onboard]]/Table1[[#This Row],[Time to Fill]]*100</f>
        <v>15.789473684210526</v>
      </c>
      <c r="U24" s="8">
        <f ca="1">Table1[[#This Row],[Time to onboard]]/Table1[[#This Row],[Time to Fill]]*100</f>
        <v>15.789473684210526</v>
      </c>
      <c r="V24">
        <f ca="1">Table1[[#This Row],[Join Date]]-Table1[[#This Row],[Job Posting Date]]</f>
        <v>88</v>
      </c>
      <c r="W24">
        <f t="shared" ca="1" si="5"/>
        <v>115</v>
      </c>
      <c r="X24" s="8">
        <f ca="1">Table1[[#This Row],[Absentee Days]]/Table1[[#This Row],[Total Work Days]]*100</f>
        <v>3.4615384615384617</v>
      </c>
      <c r="Y24">
        <f ca="1">YEAR(Table1[[#This Row],[Join Date]])</f>
        <v>2021</v>
      </c>
      <c r="Z24">
        <f ca="1">IF(Table1[[#This Row],[Status]]="Active",1,0)</f>
        <v>0</v>
      </c>
      <c r="AA24">
        <f ca="1">IF(Table1[[#This Row],[Status]]="Exited",Table1[[#This Row],[Recruitment Cost]]+Table1[[#This Row],[Onboarding cost]]+Table1[[#This Row],[Training Cost]],0)</f>
        <v>6835</v>
      </c>
    </row>
    <row r="25" spans="1:27">
      <c r="A25" t="str">
        <f t="shared" si="6"/>
        <v>E024</v>
      </c>
      <c r="B25" t="str" cm="1">
        <f t="array" aca="1" ref="B25" ca="1">INDEX(sheet2!$A$2:$A$6, RANDBETWEEN(1, 5))</f>
        <v>Finance</v>
      </c>
      <c r="C25" t="str">
        <f ca="1">_xlfn.XLOOKUP(Table1[[#This Row],[Department]],sheet2!$A$2:$A$6,sheet2!$B$2:$B$6,_xleta.NA,0)</f>
        <v>Finance Manager</v>
      </c>
      <c r="D25" s="1">
        <f t="shared" ca="1" si="7"/>
        <v>43871</v>
      </c>
      <c r="E25" s="1">
        <f ca="1">Table1[[#This Row],[Job Posting Date]]+ RANDBETWEEN(15, 90)</f>
        <v>43916</v>
      </c>
      <c r="F25" s="1">
        <f ca="1">Table1[[#This Row],[Hire Date]]+ RANDBETWEEN(1, 15)</f>
        <v>43926</v>
      </c>
      <c r="G25" s="1">
        <f ca="1">IF(RAND() &lt; 0.5,  Table1[[#This Row],[Join Date]]+ RANDBETWEEN(30, TODAY()- Table1[[#This Row],[Join Date]]), "-")</f>
        <v>44895</v>
      </c>
      <c r="H25" t="str">
        <f ca="1">IF(Table1[[#This Row],[Exit Date]]= "-", "Active", "Exited")</f>
        <v>Exited</v>
      </c>
      <c r="I25" s="5">
        <f t="shared" ca="1" si="0"/>
        <v>2194</v>
      </c>
      <c r="J25" t="str" cm="1">
        <f t="array" aca="1" ref="J25" ca="1">INDEX(sheet2!$C$2:$C$6, RANDBETWEEN(1, 5))</f>
        <v>Communication Skills</v>
      </c>
      <c r="K25" t="str">
        <f t="shared" ca="1" si="1"/>
        <v>Completed</v>
      </c>
      <c r="L25">
        <v>260</v>
      </c>
      <c r="M25">
        <f t="shared" ca="1" si="2"/>
        <v>5</v>
      </c>
      <c r="N25" t="str">
        <f t="shared" ca="1" si="3"/>
        <v>Male</v>
      </c>
      <c r="O25" s="6">
        <f t="shared" ca="1" si="4"/>
        <v>2493</v>
      </c>
      <c r="P25">
        <f ca="1">Table1[[#This Row],[Hire Date]]-Table1[[#This Row],[Job Posting Date]]</f>
        <v>45</v>
      </c>
      <c r="Q25" s="7">
        <f ca="1">Table1[[#This Row],[Join Date]]-Table1[[#This Row],[Hire Date]]</f>
        <v>10</v>
      </c>
      <c r="R25" s="8">
        <f ca="1">(IF(Table1[[#This Row],[Status]]="Exited",Table1[[#This Row],[Exit Date]]-Table1[[#This Row],[Join Date]],TODAY()-Table1[[#This Row],[Join Date]]))/30</f>
        <v>32.299999999999997</v>
      </c>
      <c r="S25">
        <f ca="1">Table1[[#This Row],[Hire Date]]-Table1[[#This Row],[Job Posting Date]]</f>
        <v>45</v>
      </c>
      <c r="T25" s="7">
        <f ca="1">Table1[[#This Row],[Time to onboard]]/Table1[[#This Row],[Time to Fill]]*100</f>
        <v>22.222222222222221</v>
      </c>
      <c r="U25" s="8">
        <f ca="1">Table1[[#This Row],[Time to onboard]]/Table1[[#This Row],[Time to Fill]]*100</f>
        <v>22.222222222222221</v>
      </c>
      <c r="V25">
        <f ca="1">Table1[[#This Row],[Join Date]]-Table1[[#This Row],[Job Posting Date]]</f>
        <v>55</v>
      </c>
      <c r="W25">
        <f t="shared" ca="1" si="5"/>
        <v>194</v>
      </c>
      <c r="X25" s="8">
        <f ca="1">Table1[[#This Row],[Absentee Days]]/Table1[[#This Row],[Total Work Days]]*100</f>
        <v>1.9230769230769231</v>
      </c>
      <c r="Y25">
        <f ca="1">YEAR(Table1[[#This Row],[Join Date]])</f>
        <v>2020</v>
      </c>
      <c r="Z25">
        <f ca="1">IF(Table1[[#This Row],[Status]]="Active",1,0)</f>
        <v>0</v>
      </c>
      <c r="AA25">
        <f ca="1">IF(Table1[[#This Row],[Status]]="Exited",Table1[[#This Row],[Recruitment Cost]]+Table1[[#This Row],[Onboarding cost]]+Table1[[#This Row],[Training Cost]],0)</f>
        <v>4881</v>
      </c>
    </row>
    <row r="26" spans="1:27">
      <c r="A26" t="str">
        <f t="shared" si="6"/>
        <v>E025</v>
      </c>
      <c r="B26" t="str" cm="1">
        <f t="array" aca="1" ref="B26" ca="1">INDEX(sheet2!$A$2:$A$6, RANDBETWEEN(1, 5))</f>
        <v>IT</v>
      </c>
      <c r="C26" t="str">
        <f ca="1">_xlfn.XLOOKUP(Table1[[#This Row],[Department]],sheet2!$A$2:$A$6,sheet2!$B$2:$B$6,_xleta.NA,0)</f>
        <v>Software Engineer</v>
      </c>
      <c r="D26" s="1">
        <f t="shared" ca="1" si="7"/>
        <v>43568</v>
      </c>
      <c r="E26" s="1">
        <f ca="1">Table1[[#This Row],[Job Posting Date]]+ RANDBETWEEN(15, 90)</f>
        <v>43631</v>
      </c>
      <c r="F26" s="1">
        <f ca="1">Table1[[#This Row],[Hire Date]]+ RANDBETWEEN(1, 15)</f>
        <v>43635</v>
      </c>
      <c r="G26" s="1">
        <f ca="1">IF(RAND() &lt; 0.5,  Table1[[#This Row],[Join Date]]+ RANDBETWEEN(30, TODAY()- Table1[[#This Row],[Join Date]]), "-")</f>
        <v>45653</v>
      </c>
      <c r="H26" t="str">
        <f ca="1">IF(Table1[[#This Row],[Exit Date]]= "-", "Active", "Exited")</f>
        <v>Exited</v>
      </c>
      <c r="I26" s="5">
        <f t="shared" ca="1" si="0"/>
        <v>3069</v>
      </c>
      <c r="J26" t="str" cm="1">
        <f t="array" aca="1" ref="J26" ca="1">INDEX(sheet2!$C$2:$C$6, RANDBETWEEN(1, 5))</f>
        <v>Advanced Excel Skills </v>
      </c>
      <c r="K26" t="str">
        <f t="shared" ca="1" si="1"/>
        <v>Completed</v>
      </c>
      <c r="L26">
        <v>260</v>
      </c>
      <c r="M26">
        <f t="shared" ca="1" si="2"/>
        <v>13</v>
      </c>
      <c r="N26" t="str">
        <f t="shared" ca="1" si="3"/>
        <v>Other</v>
      </c>
      <c r="O26" s="6">
        <f t="shared" ca="1" si="4"/>
        <v>1631</v>
      </c>
      <c r="P26">
        <f ca="1">Table1[[#This Row],[Hire Date]]-Table1[[#This Row],[Job Posting Date]]</f>
        <v>63</v>
      </c>
      <c r="Q26" s="7">
        <f ca="1">Table1[[#This Row],[Join Date]]-Table1[[#This Row],[Hire Date]]</f>
        <v>4</v>
      </c>
      <c r="R26" s="8">
        <f ca="1">(IF(Table1[[#This Row],[Status]]="Exited",Table1[[#This Row],[Exit Date]]-Table1[[#This Row],[Join Date]],TODAY()-Table1[[#This Row],[Join Date]]))/30</f>
        <v>67.266666666666666</v>
      </c>
      <c r="S26">
        <f ca="1">Table1[[#This Row],[Hire Date]]-Table1[[#This Row],[Job Posting Date]]</f>
        <v>63</v>
      </c>
      <c r="T26" s="7">
        <f ca="1">Table1[[#This Row],[Time to onboard]]/Table1[[#This Row],[Time to Fill]]*100</f>
        <v>6.3492063492063489</v>
      </c>
      <c r="U26" s="8">
        <f ca="1">Table1[[#This Row],[Time to onboard]]/Table1[[#This Row],[Time to Fill]]*100</f>
        <v>6.3492063492063489</v>
      </c>
      <c r="V26">
        <f ca="1">Table1[[#This Row],[Join Date]]-Table1[[#This Row],[Job Posting Date]]</f>
        <v>67</v>
      </c>
      <c r="W26">
        <f t="shared" ca="1" si="5"/>
        <v>123</v>
      </c>
      <c r="X26" s="8">
        <f ca="1">Table1[[#This Row],[Absentee Days]]/Table1[[#This Row],[Total Work Days]]*100</f>
        <v>5</v>
      </c>
      <c r="Y26">
        <f ca="1">YEAR(Table1[[#This Row],[Join Date]])</f>
        <v>2019</v>
      </c>
      <c r="Z26">
        <f ca="1">IF(Table1[[#This Row],[Status]]="Active",1,0)</f>
        <v>0</v>
      </c>
      <c r="AA26">
        <f ca="1">IF(Table1[[#This Row],[Status]]="Exited",Table1[[#This Row],[Recruitment Cost]]+Table1[[#This Row],[Onboarding cost]]+Table1[[#This Row],[Training Cost]],0)</f>
        <v>4823</v>
      </c>
    </row>
    <row r="27" spans="1:27">
      <c r="A27" t="str">
        <f t="shared" si="6"/>
        <v>E026</v>
      </c>
      <c r="B27" t="str" cm="1">
        <f t="array" aca="1" ref="B27" ca="1">INDEX(sheet2!$A$2:$A$6, RANDBETWEEN(1, 5))</f>
        <v>Sales</v>
      </c>
      <c r="C27" t="str">
        <f ca="1">_xlfn.XLOOKUP(Table1[[#This Row],[Department]],sheet2!$A$2:$A$6,sheet2!$B$2:$B$6,_xleta.NA,0)</f>
        <v>Marketing Manager</v>
      </c>
      <c r="D27" s="1">
        <f t="shared" ca="1" si="7"/>
        <v>43960</v>
      </c>
      <c r="E27" s="1">
        <f ca="1">Table1[[#This Row],[Job Posting Date]]+ RANDBETWEEN(15, 90)</f>
        <v>43992</v>
      </c>
      <c r="F27" s="1">
        <f ca="1">Table1[[#This Row],[Hire Date]]+ RANDBETWEEN(1, 15)</f>
        <v>44001</v>
      </c>
      <c r="G27" s="1" t="str">
        <f ca="1">IF(RAND() &lt; 0.5,  Table1[[#This Row],[Join Date]]+ RANDBETWEEN(30, TODAY()- Table1[[#This Row],[Join Date]]), "-")</f>
        <v>-</v>
      </c>
      <c r="H27" t="str">
        <f ca="1">IF(Table1[[#This Row],[Exit Date]]= "-", "Active", "Exited")</f>
        <v>Active</v>
      </c>
      <c r="I27" s="5">
        <f t="shared" ca="1" si="0"/>
        <v>4913</v>
      </c>
      <c r="J27" t="str" cm="1">
        <f t="array" aca="1" ref="J27" ca="1">INDEX(sheet2!$C$2:$C$6, RANDBETWEEN(1, 5))</f>
        <v>Leadership Development</v>
      </c>
      <c r="K27" t="str">
        <f t="shared" ca="1" si="1"/>
        <v>Completed</v>
      </c>
      <c r="L27">
        <v>260</v>
      </c>
      <c r="M27">
        <f t="shared" ca="1" si="2"/>
        <v>1</v>
      </c>
      <c r="N27" t="str">
        <f t="shared" ca="1" si="3"/>
        <v>Other</v>
      </c>
      <c r="O27" s="6">
        <f t="shared" ca="1" si="4"/>
        <v>2071</v>
      </c>
      <c r="P27">
        <f ca="1">Table1[[#This Row],[Hire Date]]-Table1[[#This Row],[Job Posting Date]]</f>
        <v>32</v>
      </c>
      <c r="Q27" s="7">
        <f ca="1">Table1[[#This Row],[Join Date]]-Table1[[#This Row],[Hire Date]]</f>
        <v>9</v>
      </c>
      <c r="R27" s="8">
        <f ca="1">(IF(Table1[[#This Row],[Status]]="Exited",Table1[[#This Row],[Exit Date]]-Table1[[#This Row],[Join Date]],TODAY()-Table1[[#This Row],[Join Date]]))/30</f>
        <v>55.4</v>
      </c>
      <c r="S27">
        <f ca="1">Table1[[#This Row],[Hire Date]]-Table1[[#This Row],[Job Posting Date]]</f>
        <v>32</v>
      </c>
      <c r="T27" s="7">
        <f ca="1">Table1[[#This Row],[Time to onboard]]/Table1[[#This Row],[Time to Fill]]*100</f>
        <v>28.125</v>
      </c>
      <c r="U27" s="8">
        <f ca="1">Table1[[#This Row],[Time to onboard]]/Table1[[#This Row],[Time to Fill]]*100</f>
        <v>28.125</v>
      </c>
      <c r="V27">
        <f ca="1">Table1[[#This Row],[Join Date]]-Table1[[#This Row],[Job Posting Date]]</f>
        <v>41</v>
      </c>
      <c r="W27">
        <f t="shared" ca="1" si="5"/>
        <v>179</v>
      </c>
      <c r="X27" s="8">
        <f ca="1">Table1[[#This Row],[Absentee Days]]/Table1[[#This Row],[Total Work Days]]*100</f>
        <v>0.38461538461538464</v>
      </c>
      <c r="Y27">
        <f ca="1">YEAR(Table1[[#This Row],[Join Date]])</f>
        <v>2020</v>
      </c>
      <c r="Z27">
        <f ca="1">IF(Table1[[#This Row],[Status]]="Active",1,0)</f>
        <v>1</v>
      </c>
      <c r="AA27">
        <f ca="1">IF(Table1[[#This Row],[Status]]="Exited",Table1[[#This Row],[Recruitment Cost]]+Table1[[#This Row],[Onboarding cost]]+Table1[[#This Row],[Training Cost]],0)</f>
        <v>0</v>
      </c>
    </row>
    <row r="28" spans="1:27">
      <c r="A28" t="str">
        <f t="shared" si="6"/>
        <v>E027</v>
      </c>
      <c r="B28" t="str" cm="1">
        <f t="array" aca="1" ref="B28" ca="1">INDEX(sheet2!$A$2:$A$6, RANDBETWEEN(1, 5))</f>
        <v>HR</v>
      </c>
      <c r="C28" t="str">
        <f ca="1">_xlfn.XLOOKUP(Table1[[#This Row],[Department]],sheet2!$A$2:$A$6,sheet2!$B$2:$B$6,_xleta.NA,0)</f>
        <v>HR Manager</v>
      </c>
      <c r="D28" s="1">
        <f t="shared" ca="1" si="7"/>
        <v>44318</v>
      </c>
      <c r="E28" s="1">
        <f ca="1">Table1[[#This Row],[Job Posting Date]]+ RANDBETWEEN(15, 90)</f>
        <v>44347</v>
      </c>
      <c r="F28" s="1">
        <f ca="1">Table1[[#This Row],[Hire Date]]+ RANDBETWEEN(1, 15)</f>
        <v>44360</v>
      </c>
      <c r="G28" s="1">
        <f ca="1">IF(RAND() &lt; 0.5,  Table1[[#This Row],[Join Date]]+ RANDBETWEEN(30, TODAY()- Table1[[#This Row],[Join Date]]), "-")</f>
        <v>44415</v>
      </c>
      <c r="H28" t="str">
        <f ca="1">IF(Table1[[#This Row],[Exit Date]]= "-", "Active", "Exited")</f>
        <v>Exited</v>
      </c>
      <c r="I28" s="5">
        <f t="shared" ca="1" si="0"/>
        <v>3696</v>
      </c>
      <c r="J28" t="str" cm="1">
        <f t="array" aca="1" ref="J28" ca="1">INDEX(sheet2!$C$2:$C$6, RANDBETWEEN(1, 5))</f>
        <v>Leadership Development</v>
      </c>
      <c r="K28" t="str">
        <f t="shared" ca="1" si="1"/>
        <v>Completed</v>
      </c>
      <c r="L28">
        <v>260</v>
      </c>
      <c r="M28">
        <f t="shared" ca="1" si="2"/>
        <v>6</v>
      </c>
      <c r="N28" t="str">
        <f t="shared" ca="1" si="3"/>
        <v>Male</v>
      </c>
      <c r="O28" s="6">
        <f t="shared" ca="1" si="4"/>
        <v>2274</v>
      </c>
      <c r="P28">
        <f ca="1">Table1[[#This Row],[Hire Date]]-Table1[[#This Row],[Job Posting Date]]</f>
        <v>29</v>
      </c>
      <c r="Q28" s="7">
        <f ca="1">Table1[[#This Row],[Join Date]]-Table1[[#This Row],[Hire Date]]</f>
        <v>13</v>
      </c>
      <c r="R28" s="8">
        <f ca="1">(IF(Table1[[#This Row],[Status]]="Exited",Table1[[#This Row],[Exit Date]]-Table1[[#This Row],[Join Date]],TODAY()-Table1[[#This Row],[Join Date]]))/30</f>
        <v>1.8333333333333333</v>
      </c>
      <c r="S28">
        <f ca="1">Table1[[#This Row],[Hire Date]]-Table1[[#This Row],[Job Posting Date]]</f>
        <v>29</v>
      </c>
      <c r="T28" s="7">
        <f ca="1">Table1[[#This Row],[Time to onboard]]/Table1[[#This Row],[Time to Fill]]*100</f>
        <v>44.827586206896555</v>
      </c>
      <c r="U28" s="8">
        <f ca="1">Table1[[#This Row],[Time to onboard]]/Table1[[#This Row],[Time to Fill]]*100</f>
        <v>44.827586206896555</v>
      </c>
      <c r="V28">
        <f ca="1">Table1[[#This Row],[Join Date]]-Table1[[#This Row],[Job Posting Date]]</f>
        <v>42</v>
      </c>
      <c r="W28">
        <f t="shared" ca="1" si="5"/>
        <v>189</v>
      </c>
      <c r="X28" s="8">
        <f ca="1">Table1[[#This Row],[Absentee Days]]/Table1[[#This Row],[Total Work Days]]*100</f>
        <v>2.3076923076923079</v>
      </c>
      <c r="Y28">
        <f ca="1">YEAR(Table1[[#This Row],[Join Date]])</f>
        <v>2021</v>
      </c>
      <c r="Z28">
        <f ca="1">IF(Table1[[#This Row],[Status]]="Active",1,0)</f>
        <v>0</v>
      </c>
      <c r="AA28">
        <f ca="1">IF(Table1[[#This Row],[Status]]="Exited",Table1[[#This Row],[Recruitment Cost]]+Table1[[#This Row],[Onboarding cost]]+Table1[[#This Row],[Training Cost]],0)</f>
        <v>6159</v>
      </c>
    </row>
    <row r="29" spans="1:27">
      <c r="A29" t="str">
        <f t="shared" si="6"/>
        <v>E028</v>
      </c>
      <c r="B29" t="str" cm="1">
        <f t="array" aca="1" ref="B29" ca="1">INDEX(sheet2!$A$2:$A$6, RANDBETWEEN(1, 5))</f>
        <v>HR</v>
      </c>
      <c r="C29" t="str">
        <f ca="1">_xlfn.XLOOKUP(Table1[[#This Row],[Department]],sheet2!$A$2:$A$6,sheet2!$B$2:$B$6,_xleta.NA,0)</f>
        <v>HR Manager</v>
      </c>
      <c r="D29" s="1">
        <f t="shared" ca="1" si="7"/>
        <v>43824</v>
      </c>
      <c r="E29" s="1">
        <f ca="1">Table1[[#This Row],[Job Posting Date]]+ RANDBETWEEN(15, 90)</f>
        <v>43878</v>
      </c>
      <c r="F29" s="1">
        <f ca="1">Table1[[#This Row],[Hire Date]]+ RANDBETWEEN(1, 15)</f>
        <v>43882</v>
      </c>
      <c r="G29" s="1">
        <f ca="1">IF(RAND() &lt; 0.5,  Table1[[#This Row],[Join Date]]+ RANDBETWEEN(30, TODAY()- Table1[[#This Row],[Join Date]]), "-")</f>
        <v>45020</v>
      </c>
      <c r="H29" t="str">
        <f ca="1">IF(Table1[[#This Row],[Exit Date]]= "-", "Active", "Exited")</f>
        <v>Exited</v>
      </c>
      <c r="I29" s="5">
        <f t="shared" ca="1" si="0"/>
        <v>2834</v>
      </c>
      <c r="J29" t="str" cm="1">
        <f t="array" aca="1" ref="J29" ca="1">INDEX(sheet2!$C$2:$C$6, RANDBETWEEN(1, 5))</f>
        <v>Conflict Resolution</v>
      </c>
      <c r="K29" t="str">
        <f t="shared" ca="1" si="1"/>
        <v>Completed</v>
      </c>
      <c r="L29">
        <v>260</v>
      </c>
      <c r="M29">
        <f t="shared" ca="1" si="2"/>
        <v>12</v>
      </c>
      <c r="N29" t="str">
        <f t="shared" ca="1" si="3"/>
        <v>Female</v>
      </c>
      <c r="O29" s="6">
        <f t="shared" ca="1" si="4"/>
        <v>2335</v>
      </c>
      <c r="P29">
        <f ca="1">Table1[[#This Row],[Hire Date]]-Table1[[#This Row],[Job Posting Date]]</f>
        <v>54</v>
      </c>
      <c r="Q29" s="7">
        <f ca="1">Table1[[#This Row],[Join Date]]-Table1[[#This Row],[Hire Date]]</f>
        <v>4</v>
      </c>
      <c r="R29" s="8">
        <f ca="1">(IF(Table1[[#This Row],[Status]]="Exited",Table1[[#This Row],[Exit Date]]-Table1[[#This Row],[Join Date]],TODAY()-Table1[[#This Row],[Join Date]]))/30</f>
        <v>37.93333333333333</v>
      </c>
      <c r="S29">
        <f ca="1">Table1[[#This Row],[Hire Date]]-Table1[[#This Row],[Job Posting Date]]</f>
        <v>54</v>
      </c>
      <c r="T29" s="7">
        <f ca="1">Table1[[#This Row],[Time to onboard]]/Table1[[#This Row],[Time to Fill]]*100</f>
        <v>7.4074074074074066</v>
      </c>
      <c r="U29" s="8">
        <f ca="1">Table1[[#This Row],[Time to onboard]]/Table1[[#This Row],[Time to Fill]]*100</f>
        <v>7.4074074074074066</v>
      </c>
      <c r="V29">
        <f ca="1">Table1[[#This Row],[Join Date]]-Table1[[#This Row],[Job Posting Date]]</f>
        <v>58</v>
      </c>
      <c r="W29">
        <f t="shared" ca="1" si="5"/>
        <v>100</v>
      </c>
      <c r="X29" s="8">
        <f ca="1">Table1[[#This Row],[Absentee Days]]/Table1[[#This Row],[Total Work Days]]*100</f>
        <v>4.6153846153846159</v>
      </c>
      <c r="Y29">
        <f ca="1">YEAR(Table1[[#This Row],[Join Date]])</f>
        <v>2020</v>
      </c>
      <c r="Z29">
        <f ca="1">IF(Table1[[#This Row],[Status]]="Active",1,0)</f>
        <v>0</v>
      </c>
      <c r="AA29">
        <f ca="1">IF(Table1[[#This Row],[Status]]="Exited",Table1[[#This Row],[Recruitment Cost]]+Table1[[#This Row],[Onboarding cost]]+Table1[[#This Row],[Training Cost]],0)</f>
        <v>5269</v>
      </c>
    </row>
    <row r="30" spans="1:27">
      <c r="A30" t="str">
        <f t="shared" si="6"/>
        <v>E029</v>
      </c>
      <c r="B30" t="str" cm="1">
        <f t="array" aca="1" ref="B30" ca="1">INDEX(sheet2!$A$2:$A$6, RANDBETWEEN(1, 5))</f>
        <v>Sales</v>
      </c>
      <c r="C30" t="str">
        <f ca="1">_xlfn.XLOOKUP(Table1[[#This Row],[Department]],sheet2!$A$2:$A$6,sheet2!$B$2:$B$6,_xleta.NA,0)</f>
        <v>Marketing Manager</v>
      </c>
      <c r="D30" s="1">
        <f t="shared" ca="1" si="7"/>
        <v>43836</v>
      </c>
      <c r="E30" s="1">
        <f ca="1">Table1[[#This Row],[Job Posting Date]]+ RANDBETWEEN(15, 90)</f>
        <v>43908</v>
      </c>
      <c r="F30" s="1">
        <f ca="1">Table1[[#This Row],[Hire Date]]+ RANDBETWEEN(1, 15)</f>
        <v>43920</v>
      </c>
      <c r="G30" s="1">
        <f ca="1">IF(RAND() &lt; 0.5,  Table1[[#This Row],[Join Date]]+ RANDBETWEEN(30, TODAY()- Table1[[#This Row],[Join Date]]), "-")</f>
        <v>45490</v>
      </c>
      <c r="H30" t="str">
        <f ca="1">IF(Table1[[#This Row],[Exit Date]]= "-", "Active", "Exited")</f>
        <v>Exited</v>
      </c>
      <c r="I30" s="5">
        <f t="shared" ca="1" si="0"/>
        <v>1951</v>
      </c>
      <c r="J30" t="str" cm="1">
        <f t="array" aca="1" ref="J30" ca="1">INDEX(sheet2!$C$2:$C$6, RANDBETWEEN(1, 5))</f>
        <v>Conflict Resolution</v>
      </c>
      <c r="K30" t="str">
        <f t="shared" ca="1" si="1"/>
        <v>Completed</v>
      </c>
      <c r="L30">
        <v>260</v>
      </c>
      <c r="M30">
        <f t="shared" ca="1" si="2"/>
        <v>10</v>
      </c>
      <c r="N30" t="str">
        <f t="shared" ca="1" si="3"/>
        <v>Other</v>
      </c>
      <c r="O30" s="6">
        <f t="shared" ca="1" si="4"/>
        <v>1799</v>
      </c>
      <c r="P30">
        <f ca="1">Table1[[#This Row],[Hire Date]]-Table1[[#This Row],[Job Posting Date]]</f>
        <v>72</v>
      </c>
      <c r="Q30" s="7">
        <f ca="1">Table1[[#This Row],[Join Date]]-Table1[[#This Row],[Hire Date]]</f>
        <v>12</v>
      </c>
      <c r="R30" s="8">
        <f ca="1">(IF(Table1[[#This Row],[Status]]="Exited",Table1[[#This Row],[Exit Date]]-Table1[[#This Row],[Join Date]],TODAY()-Table1[[#This Row],[Join Date]]))/30</f>
        <v>52.333333333333336</v>
      </c>
      <c r="S30">
        <f ca="1">Table1[[#This Row],[Hire Date]]-Table1[[#This Row],[Job Posting Date]]</f>
        <v>72</v>
      </c>
      <c r="T30" s="7">
        <f ca="1">Table1[[#This Row],[Time to onboard]]/Table1[[#This Row],[Time to Fill]]*100</f>
        <v>16.666666666666664</v>
      </c>
      <c r="U30" s="8">
        <f ca="1">Table1[[#This Row],[Time to onboard]]/Table1[[#This Row],[Time to Fill]]*100</f>
        <v>16.666666666666664</v>
      </c>
      <c r="V30">
        <f ca="1">Table1[[#This Row],[Join Date]]-Table1[[#This Row],[Job Posting Date]]</f>
        <v>84</v>
      </c>
      <c r="W30">
        <f t="shared" ca="1" si="5"/>
        <v>181</v>
      </c>
      <c r="X30" s="8">
        <f ca="1">Table1[[#This Row],[Absentee Days]]/Table1[[#This Row],[Total Work Days]]*100</f>
        <v>3.8461538461538463</v>
      </c>
      <c r="Y30">
        <f ca="1">YEAR(Table1[[#This Row],[Join Date]])</f>
        <v>2020</v>
      </c>
      <c r="Z30">
        <f ca="1">IF(Table1[[#This Row],[Status]]="Active",1,0)</f>
        <v>0</v>
      </c>
      <c r="AA30">
        <f ca="1">IF(Table1[[#This Row],[Status]]="Exited",Table1[[#This Row],[Recruitment Cost]]+Table1[[#This Row],[Onboarding cost]]+Table1[[#This Row],[Training Cost]],0)</f>
        <v>3931</v>
      </c>
    </row>
    <row r="31" spans="1:27">
      <c r="A31" t="str">
        <f t="shared" si="6"/>
        <v>E030</v>
      </c>
      <c r="B31" t="str" cm="1">
        <f t="array" aca="1" ref="B31" ca="1">INDEX(sheet2!$A$2:$A$6, RANDBETWEEN(1, 5))</f>
        <v>Sales</v>
      </c>
      <c r="C31" t="str">
        <f ca="1">_xlfn.XLOOKUP(Table1[[#This Row],[Department]],sheet2!$A$2:$A$6,sheet2!$B$2:$B$6,_xleta.NA,0)</f>
        <v>Marketing Manager</v>
      </c>
      <c r="D31" s="1">
        <f t="shared" ca="1" si="7"/>
        <v>44570</v>
      </c>
      <c r="E31" s="1">
        <f ca="1">Table1[[#This Row],[Job Posting Date]]+ RANDBETWEEN(15, 90)</f>
        <v>44588</v>
      </c>
      <c r="F31" s="1">
        <f ca="1">Table1[[#This Row],[Hire Date]]+ RANDBETWEEN(1, 15)</f>
        <v>44603</v>
      </c>
      <c r="G31" s="1">
        <f ca="1">IF(RAND() &lt; 0.5,  Table1[[#This Row],[Join Date]]+ RANDBETWEEN(30, TODAY()- Table1[[#This Row],[Join Date]]), "-")</f>
        <v>45394</v>
      </c>
      <c r="H31" t="str">
        <f ca="1">IF(Table1[[#This Row],[Exit Date]]= "-", "Active", "Exited")</f>
        <v>Exited</v>
      </c>
      <c r="I31" s="5">
        <f t="shared" ca="1" si="0"/>
        <v>2536</v>
      </c>
      <c r="J31" t="str" cm="1">
        <f t="array" aca="1" ref="J31" ca="1">INDEX(sheet2!$C$2:$C$6, RANDBETWEEN(1, 5))</f>
        <v>Ethics and Responsibilities</v>
      </c>
      <c r="K31" t="str">
        <f t="shared" ca="1" si="1"/>
        <v>Completed</v>
      </c>
      <c r="L31">
        <v>260</v>
      </c>
      <c r="M31">
        <f t="shared" ca="1" si="2"/>
        <v>5</v>
      </c>
      <c r="N31" t="str">
        <f t="shared" ca="1" si="3"/>
        <v>Other</v>
      </c>
      <c r="O31" s="6">
        <f t="shared" ca="1" si="4"/>
        <v>1407</v>
      </c>
      <c r="P31">
        <f ca="1">Table1[[#This Row],[Hire Date]]-Table1[[#This Row],[Job Posting Date]]</f>
        <v>18</v>
      </c>
      <c r="Q31" s="7">
        <f ca="1">Table1[[#This Row],[Join Date]]-Table1[[#This Row],[Hire Date]]</f>
        <v>15</v>
      </c>
      <c r="R31" s="8">
        <f ca="1">(IF(Table1[[#This Row],[Status]]="Exited",Table1[[#This Row],[Exit Date]]-Table1[[#This Row],[Join Date]],TODAY()-Table1[[#This Row],[Join Date]]))/30</f>
        <v>26.366666666666667</v>
      </c>
      <c r="S31">
        <f ca="1">Table1[[#This Row],[Hire Date]]-Table1[[#This Row],[Job Posting Date]]</f>
        <v>18</v>
      </c>
      <c r="T31" s="7">
        <f ca="1">Table1[[#This Row],[Time to onboard]]/Table1[[#This Row],[Time to Fill]]*100</f>
        <v>83.333333333333343</v>
      </c>
      <c r="U31" s="8">
        <f ca="1">Table1[[#This Row],[Time to onboard]]/Table1[[#This Row],[Time to Fill]]*100</f>
        <v>83.333333333333343</v>
      </c>
      <c r="V31">
        <f ca="1">Table1[[#This Row],[Join Date]]-Table1[[#This Row],[Job Posting Date]]</f>
        <v>33</v>
      </c>
      <c r="W31">
        <f t="shared" ca="1" si="5"/>
        <v>110</v>
      </c>
      <c r="X31" s="8">
        <f ca="1">Table1[[#This Row],[Absentee Days]]/Table1[[#This Row],[Total Work Days]]*100</f>
        <v>1.9230769230769231</v>
      </c>
      <c r="Y31">
        <f ca="1">YEAR(Table1[[#This Row],[Join Date]])</f>
        <v>2022</v>
      </c>
      <c r="Z31">
        <f ca="1">IF(Table1[[#This Row],[Status]]="Active",1,0)</f>
        <v>0</v>
      </c>
      <c r="AA31">
        <f ca="1">IF(Table1[[#This Row],[Status]]="Exited",Table1[[#This Row],[Recruitment Cost]]+Table1[[#This Row],[Onboarding cost]]+Table1[[#This Row],[Training Cost]],0)</f>
        <v>4053</v>
      </c>
    </row>
    <row r="32" spans="1:27">
      <c r="A32" t="str">
        <f t="shared" si="6"/>
        <v>E031</v>
      </c>
      <c r="B32" t="str" cm="1">
        <f t="array" aca="1" ref="B32" ca="1">INDEX(sheet2!$A$2:$A$6, RANDBETWEEN(1, 5))</f>
        <v>IT</v>
      </c>
      <c r="C32" t="str">
        <f ca="1">_xlfn.XLOOKUP(Table1[[#This Row],[Department]],sheet2!$A$2:$A$6,sheet2!$B$2:$B$6,_xleta.NA,0)</f>
        <v>Software Engineer</v>
      </c>
      <c r="D32" s="1">
        <f t="shared" ca="1" si="7"/>
        <v>43870</v>
      </c>
      <c r="E32" s="1">
        <f ca="1">Table1[[#This Row],[Job Posting Date]]+ RANDBETWEEN(15, 90)</f>
        <v>43891</v>
      </c>
      <c r="F32" s="1">
        <f ca="1">Table1[[#This Row],[Hire Date]]+ RANDBETWEEN(1, 15)</f>
        <v>43897</v>
      </c>
      <c r="G32" s="1">
        <f ca="1">IF(RAND() &lt; 0.5,  Table1[[#This Row],[Join Date]]+ RANDBETWEEN(30, TODAY()- Table1[[#This Row],[Join Date]]), "-")</f>
        <v>44447</v>
      </c>
      <c r="H32" t="str">
        <f ca="1">IF(Table1[[#This Row],[Exit Date]]= "-", "Active", "Exited")</f>
        <v>Exited</v>
      </c>
      <c r="I32" s="5">
        <f t="shared" ca="1" si="0"/>
        <v>2826</v>
      </c>
      <c r="J32" t="str" cm="1">
        <f t="array" aca="1" ref="J32" ca="1">INDEX(sheet2!$C$2:$C$6, RANDBETWEEN(1, 5))</f>
        <v>Ethics and Responsibilities</v>
      </c>
      <c r="K32" t="str">
        <f t="shared" ca="1" si="1"/>
        <v>Completed</v>
      </c>
      <c r="L32">
        <v>260</v>
      </c>
      <c r="M32">
        <f t="shared" ca="1" si="2"/>
        <v>10</v>
      </c>
      <c r="N32" t="str">
        <f t="shared" ca="1" si="3"/>
        <v>Female</v>
      </c>
      <c r="O32" s="6">
        <f t="shared" ca="1" si="4"/>
        <v>2407</v>
      </c>
      <c r="P32">
        <f ca="1">Table1[[#This Row],[Hire Date]]-Table1[[#This Row],[Job Posting Date]]</f>
        <v>21</v>
      </c>
      <c r="Q32" s="7">
        <f ca="1">Table1[[#This Row],[Join Date]]-Table1[[#This Row],[Hire Date]]</f>
        <v>6</v>
      </c>
      <c r="R32" s="8">
        <f ca="1">(IF(Table1[[#This Row],[Status]]="Exited",Table1[[#This Row],[Exit Date]]-Table1[[#This Row],[Join Date]],TODAY()-Table1[[#This Row],[Join Date]]))/30</f>
        <v>18.333333333333332</v>
      </c>
      <c r="S32">
        <f ca="1">Table1[[#This Row],[Hire Date]]-Table1[[#This Row],[Job Posting Date]]</f>
        <v>21</v>
      </c>
      <c r="T32" s="7">
        <f ca="1">Table1[[#This Row],[Time to onboard]]/Table1[[#This Row],[Time to Fill]]*100</f>
        <v>28.571428571428569</v>
      </c>
      <c r="U32" s="8">
        <f ca="1">Table1[[#This Row],[Time to onboard]]/Table1[[#This Row],[Time to Fill]]*100</f>
        <v>28.571428571428569</v>
      </c>
      <c r="V32">
        <f ca="1">Table1[[#This Row],[Join Date]]-Table1[[#This Row],[Job Posting Date]]</f>
        <v>27</v>
      </c>
      <c r="W32">
        <f t="shared" ca="1" si="5"/>
        <v>116</v>
      </c>
      <c r="X32" s="8">
        <f ca="1">Table1[[#This Row],[Absentee Days]]/Table1[[#This Row],[Total Work Days]]*100</f>
        <v>3.8461538461538463</v>
      </c>
      <c r="Y32">
        <f ca="1">YEAR(Table1[[#This Row],[Join Date]])</f>
        <v>2020</v>
      </c>
      <c r="Z32">
        <f ca="1">IF(Table1[[#This Row],[Status]]="Active",1,0)</f>
        <v>0</v>
      </c>
      <c r="AA32">
        <f ca="1">IF(Table1[[#This Row],[Status]]="Exited",Table1[[#This Row],[Recruitment Cost]]+Table1[[#This Row],[Onboarding cost]]+Table1[[#This Row],[Training Cost]],0)</f>
        <v>5349</v>
      </c>
    </row>
    <row r="33" spans="1:27">
      <c r="A33" t="str">
        <f t="shared" si="6"/>
        <v>E032</v>
      </c>
      <c r="B33" t="str" cm="1">
        <f t="array" aca="1" ref="B33" ca="1">INDEX(sheet2!$A$2:$A$6, RANDBETWEEN(1, 5))</f>
        <v>IT</v>
      </c>
      <c r="C33" t="str">
        <f ca="1">_xlfn.XLOOKUP(Table1[[#This Row],[Department]],sheet2!$A$2:$A$6,sheet2!$B$2:$B$6,_xleta.NA,0)</f>
        <v>Software Engineer</v>
      </c>
      <c r="D33" s="1">
        <f t="shared" ca="1" si="7"/>
        <v>43670</v>
      </c>
      <c r="E33" s="1">
        <f ca="1">Table1[[#This Row],[Job Posting Date]]+ RANDBETWEEN(15, 90)</f>
        <v>43715</v>
      </c>
      <c r="F33" s="1">
        <f ca="1">Table1[[#This Row],[Hire Date]]+ RANDBETWEEN(1, 15)</f>
        <v>43718</v>
      </c>
      <c r="G33" s="1">
        <f ca="1">IF(RAND() &lt; 0.5,  Table1[[#This Row],[Join Date]]+ RANDBETWEEN(30, TODAY()- Table1[[#This Row],[Join Date]]), "-")</f>
        <v>45264</v>
      </c>
      <c r="H33" t="str">
        <f ca="1">IF(Table1[[#This Row],[Exit Date]]= "-", "Active", "Exited")</f>
        <v>Exited</v>
      </c>
      <c r="I33" s="5">
        <f t="shared" ca="1" si="0"/>
        <v>3928</v>
      </c>
      <c r="J33" t="str" cm="1">
        <f t="array" aca="1" ref="J33" ca="1">INDEX(sheet2!$C$2:$C$6, RANDBETWEEN(1, 5))</f>
        <v>Leadership Development</v>
      </c>
      <c r="K33" t="str">
        <f t="shared" ca="1" si="1"/>
        <v>Completed</v>
      </c>
      <c r="L33">
        <v>260</v>
      </c>
      <c r="M33">
        <f t="shared" ca="1" si="2"/>
        <v>13</v>
      </c>
      <c r="N33" t="str">
        <f t="shared" ca="1" si="3"/>
        <v>Male</v>
      </c>
      <c r="O33" s="6">
        <f t="shared" ca="1" si="4"/>
        <v>1758</v>
      </c>
      <c r="P33">
        <f ca="1">Table1[[#This Row],[Hire Date]]-Table1[[#This Row],[Job Posting Date]]</f>
        <v>45</v>
      </c>
      <c r="Q33" s="7">
        <f ca="1">Table1[[#This Row],[Join Date]]-Table1[[#This Row],[Hire Date]]</f>
        <v>3</v>
      </c>
      <c r="R33" s="8">
        <f ca="1">(IF(Table1[[#This Row],[Status]]="Exited",Table1[[#This Row],[Exit Date]]-Table1[[#This Row],[Join Date]],TODAY()-Table1[[#This Row],[Join Date]]))/30</f>
        <v>51.533333333333331</v>
      </c>
      <c r="S33">
        <f ca="1">Table1[[#This Row],[Hire Date]]-Table1[[#This Row],[Job Posting Date]]</f>
        <v>45</v>
      </c>
      <c r="T33" s="7">
        <f ca="1">Table1[[#This Row],[Time to onboard]]/Table1[[#This Row],[Time to Fill]]*100</f>
        <v>6.666666666666667</v>
      </c>
      <c r="U33" s="8">
        <f ca="1">Table1[[#This Row],[Time to onboard]]/Table1[[#This Row],[Time to Fill]]*100</f>
        <v>6.666666666666667</v>
      </c>
      <c r="V33">
        <f ca="1">Table1[[#This Row],[Join Date]]-Table1[[#This Row],[Job Posting Date]]</f>
        <v>48</v>
      </c>
      <c r="W33">
        <f t="shared" ca="1" si="5"/>
        <v>121</v>
      </c>
      <c r="X33" s="8">
        <f ca="1">Table1[[#This Row],[Absentee Days]]/Table1[[#This Row],[Total Work Days]]*100</f>
        <v>5</v>
      </c>
      <c r="Y33">
        <f ca="1">YEAR(Table1[[#This Row],[Join Date]])</f>
        <v>2019</v>
      </c>
      <c r="Z33">
        <f ca="1">IF(Table1[[#This Row],[Status]]="Active",1,0)</f>
        <v>0</v>
      </c>
      <c r="AA33">
        <f ca="1">IF(Table1[[#This Row],[Status]]="Exited",Table1[[#This Row],[Recruitment Cost]]+Table1[[#This Row],[Onboarding cost]]+Table1[[#This Row],[Training Cost]],0)</f>
        <v>5807</v>
      </c>
    </row>
    <row r="34" spans="1:27">
      <c r="A34" t="str">
        <f t="shared" ref="A34:A65" si="8">"E" &amp; TEXT(ROW(A33), "000")</f>
        <v>E033</v>
      </c>
      <c r="B34" t="str" cm="1">
        <f t="array" aca="1" ref="B34" ca="1">INDEX(sheet2!$A$2:$A$6, RANDBETWEEN(1, 5))</f>
        <v>Analytics</v>
      </c>
      <c r="C34" t="str">
        <f ca="1">_xlfn.XLOOKUP(Table1[[#This Row],[Department]],sheet2!$A$2:$A$6,sheet2!$B$2:$B$6,_xleta.NA,0)</f>
        <v>Data Analyst</v>
      </c>
      <c r="D34" s="1">
        <f t="shared" ref="D34:D65" ca="1" si="9">DATE(RANDBETWEEN(2018, 2022), RANDBETWEEN(1, 12), RANDBETWEEN(1, 28))</f>
        <v>44579</v>
      </c>
      <c r="E34" s="1">
        <f ca="1">Table1[[#This Row],[Job Posting Date]]+ RANDBETWEEN(15, 90)</f>
        <v>44609</v>
      </c>
      <c r="F34" s="1">
        <f ca="1">Table1[[#This Row],[Hire Date]]+ RANDBETWEEN(1, 15)</f>
        <v>44612</v>
      </c>
      <c r="G34" s="1">
        <f ca="1">IF(RAND() &lt; 0.5,  Table1[[#This Row],[Join Date]]+ RANDBETWEEN(30, TODAY()- Table1[[#This Row],[Join Date]]), "-")</f>
        <v>45295</v>
      </c>
      <c r="H34" t="str">
        <f ca="1">IF(Table1[[#This Row],[Exit Date]]= "-", "Active", "Exited")</f>
        <v>Exited</v>
      </c>
      <c r="I34" s="5">
        <f t="shared" ref="I34:I65" ca="1" si="10">RANDBETWEEN(1500, 5000)</f>
        <v>4640</v>
      </c>
      <c r="J34" t="str" cm="1">
        <f t="array" aca="1" ref="J34" ca="1">INDEX(sheet2!$C$2:$C$6, RANDBETWEEN(1, 5))</f>
        <v>Leadership Development</v>
      </c>
      <c r="K34" t="str">
        <f t="shared" ref="K34:K65" ca="1" si="11">IF(RAND() &lt; 0.7, "Completed", "Not Completed")</f>
        <v>Not Completed</v>
      </c>
      <c r="L34">
        <v>260</v>
      </c>
      <c r="M34">
        <f t="shared" ca="1" si="2"/>
        <v>14</v>
      </c>
      <c r="N34" t="str">
        <f t="shared" ca="1" si="3"/>
        <v>Female</v>
      </c>
      <c r="O34" s="6">
        <f t="shared" ca="1" si="4"/>
        <v>1210</v>
      </c>
      <c r="P34">
        <f ca="1">Table1[[#This Row],[Hire Date]]-Table1[[#This Row],[Job Posting Date]]</f>
        <v>30</v>
      </c>
      <c r="Q34" s="7">
        <f ca="1">Table1[[#This Row],[Join Date]]-Table1[[#This Row],[Hire Date]]</f>
        <v>3</v>
      </c>
      <c r="R34" s="8">
        <f ca="1">(IF(Table1[[#This Row],[Status]]="Exited",Table1[[#This Row],[Exit Date]]-Table1[[#This Row],[Join Date]],TODAY()-Table1[[#This Row],[Join Date]]))/30</f>
        <v>22.766666666666666</v>
      </c>
      <c r="S34">
        <f ca="1">Table1[[#This Row],[Hire Date]]-Table1[[#This Row],[Job Posting Date]]</f>
        <v>30</v>
      </c>
      <c r="T34" s="7">
        <f ca="1">Table1[[#This Row],[Time to onboard]]/Table1[[#This Row],[Time to Fill]]*100</f>
        <v>10</v>
      </c>
      <c r="U34" s="8">
        <f ca="1">Table1[[#This Row],[Time to onboard]]/Table1[[#This Row],[Time to Fill]]*100</f>
        <v>10</v>
      </c>
      <c r="V34">
        <f ca="1">Table1[[#This Row],[Join Date]]-Table1[[#This Row],[Job Posting Date]]</f>
        <v>33</v>
      </c>
      <c r="W34">
        <f t="shared" ca="1" si="5"/>
        <v>179</v>
      </c>
      <c r="X34" s="8">
        <f ca="1">Table1[[#This Row],[Absentee Days]]/Table1[[#This Row],[Total Work Days]]*100</f>
        <v>5.384615384615385</v>
      </c>
      <c r="Y34">
        <f ca="1">YEAR(Table1[[#This Row],[Join Date]])</f>
        <v>2022</v>
      </c>
      <c r="Z34">
        <f ca="1">IF(Table1[[#This Row],[Status]]="Active",1,0)</f>
        <v>0</v>
      </c>
      <c r="AA34">
        <f ca="1">IF(Table1[[#This Row],[Status]]="Exited",Table1[[#This Row],[Recruitment Cost]]+Table1[[#This Row],[Onboarding cost]]+Table1[[#This Row],[Training Cost]],0)</f>
        <v>6029</v>
      </c>
    </row>
    <row r="35" spans="1:27">
      <c r="A35" t="str">
        <f t="shared" si="8"/>
        <v>E034</v>
      </c>
      <c r="B35" t="str" cm="1">
        <f t="array" aca="1" ref="B35" ca="1">INDEX(sheet2!$A$2:$A$6, RANDBETWEEN(1, 5))</f>
        <v>IT</v>
      </c>
      <c r="C35" t="str">
        <f ca="1">_xlfn.XLOOKUP(Table1[[#This Row],[Department]],sheet2!$A$2:$A$6,sheet2!$B$2:$B$6,_xleta.NA,0)</f>
        <v>Software Engineer</v>
      </c>
      <c r="D35" s="1">
        <f t="shared" ca="1" si="9"/>
        <v>43293</v>
      </c>
      <c r="E35" s="1">
        <f ca="1">Table1[[#This Row],[Job Posting Date]]+ RANDBETWEEN(15, 90)</f>
        <v>43320</v>
      </c>
      <c r="F35" s="1">
        <f ca="1">Table1[[#This Row],[Hire Date]]+ RANDBETWEEN(1, 15)</f>
        <v>43335</v>
      </c>
      <c r="G35" s="1">
        <f ca="1">IF(RAND() &lt; 0.5,  Table1[[#This Row],[Join Date]]+ RANDBETWEEN(30, TODAY()- Table1[[#This Row],[Join Date]]), "-")</f>
        <v>43548</v>
      </c>
      <c r="H35" t="str">
        <f ca="1">IF(Table1[[#This Row],[Exit Date]]= "-", "Active", "Exited")</f>
        <v>Exited</v>
      </c>
      <c r="I35" s="5">
        <f t="shared" ca="1" si="10"/>
        <v>3433</v>
      </c>
      <c r="J35" t="str" cm="1">
        <f t="array" aca="1" ref="J35" ca="1">INDEX(sheet2!$C$2:$C$6, RANDBETWEEN(1, 5))</f>
        <v>Communication Skills</v>
      </c>
      <c r="K35" t="str">
        <f t="shared" ca="1" si="11"/>
        <v>Completed</v>
      </c>
      <c r="L35">
        <v>260</v>
      </c>
      <c r="M35">
        <f t="shared" ca="1" si="2"/>
        <v>11</v>
      </c>
      <c r="N35" t="str">
        <f t="shared" ca="1" si="3"/>
        <v>Other</v>
      </c>
      <c r="O35" s="6">
        <f t="shared" ca="1" si="4"/>
        <v>1990</v>
      </c>
      <c r="P35">
        <f ca="1">Table1[[#This Row],[Hire Date]]-Table1[[#This Row],[Job Posting Date]]</f>
        <v>27</v>
      </c>
      <c r="Q35" s="7">
        <f ca="1">Table1[[#This Row],[Join Date]]-Table1[[#This Row],[Hire Date]]</f>
        <v>15</v>
      </c>
      <c r="R35" s="8">
        <f ca="1">(IF(Table1[[#This Row],[Status]]="Exited",Table1[[#This Row],[Exit Date]]-Table1[[#This Row],[Join Date]],TODAY()-Table1[[#This Row],[Join Date]]))/30</f>
        <v>7.1</v>
      </c>
      <c r="S35">
        <f ca="1">Table1[[#This Row],[Hire Date]]-Table1[[#This Row],[Job Posting Date]]</f>
        <v>27</v>
      </c>
      <c r="T35" s="7">
        <f ca="1">Table1[[#This Row],[Time to onboard]]/Table1[[#This Row],[Time to Fill]]*100</f>
        <v>55.555555555555557</v>
      </c>
      <c r="U35" s="8">
        <f ca="1">Table1[[#This Row],[Time to onboard]]/Table1[[#This Row],[Time to Fill]]*100</f>
        <v>55.555555555555557</v>
      </c>
      <c r="V35">
        <f ca="1">Table1[[#This Row],[Join Date]]-Table1[[#This Row],[Job Posting Date]]</f>
        <v>42</v>
      </c>
      <c r="W35">
        <f t="shared" ca="1" si="5"/>
        <v>102</v>
      </c>
      <c r="X35" s="8">
        <f ca="1">Table1[[#This Row],[Absentee Days]]/Table1[[#This Row],[Total Work Days]]*100</f>
        <v>4.2307692307692308</v>
      </c>
      <c r="Y35">
        <f ca="1">YEAR(Table1[[#This Row],[Join Date]])</f>
        <v>2018</v>
      </c>
      <c r="Z35">
        <f ca="1">IF(Table1[[#This Row],[Status]]="Active",1,0)</f>
        <v>0</v>
      </c>
      <c r="AA35">
        <f ca="1">IF(Table1[[#This Row],[Status]]="Exited",Table1[[#This Row],[Recruitment Cost]]+Table1[[#This Row],[Onboarding cost]]+Table1[[#This Row],[Training Cost]],0)</f>
        <v>5525</v>
      </c>
    </row>
    <row r="36" spans="1:27">
      <c r="A36" t="str">
        <f t="shared" si="8"/>
        <v>E035</v>
      </c>
      <c r="B36" t="str" cm="1">
        <f t="array" aca="1" ref="B36" ca="1">INDEX(sheet2!$A$2:$A$6, RANDBETWEEN(1, 5))</f>
        <v>IT</v>
      </c>
      <c r="C36" t="str">
        <f ca="1">_xlfn.XLOOKUP(Table1[[#This Row],[Department]],sheet2!$A$2:$A$6,sheet2!$B$2:$B$6,_xleta.NA,0)</f>
        <v>Software Engineer</v>
      </c>
      <c r="D36" s="1">
        <f t="shared" ca="1" si="9"/>
        <v>43815</v>
      </c>
      <c r="E36" s="1">
        <f ca="1">Table1[[#This Row],[Job Posting Date]]+ RANDBETWEEN(15, 90)</f>
        <v>43837</v>
      </c>
      <c r="F36" s="1">
        <f ca="1">Table1[[#This Row],[Hire Date]]+ RANDBETWEEN(1, 15)</f>
        <v>43842</v>
      </c>
      <c r="G36" s="1">
        <f ca="1">IF(RAND() &lt; 0.5,  Table1[[#This Row],[Join Date]]+ RANDBETWEEN(30, TODAY()- Table1[[#This Row],[Join Date]]), "-")</f>
        <v>45127</v>
      </c>
      <c r="H36" t="str">
        <f ca="1">IF(Table1[[#This Row],[Exit Date]]= "-", "Active", "Exited")</f>
        <v>Exited</v>
      </c>
      <c r="I36" s="5">
        <f t="shared" ca="1" si="10"/>
        <v>3910</v>
      </c>
      <c r="J36" t="str" cm="1">
        <f t="array" aca="1" ref="J36" ca="1">INDEX(sheet2!$C$2:$C$6, RANDBETWEEN(1, 5))</f>
        <v>Leadership Development</v>
      </c>
      <c r="K36" t="str">
        <f t="shared" ca="1" si="11"/>
        <v>Completed</v>
      </c>
      <c r="L36">
        <v>260</v>
      </c>
      <c r="M36">
        <f t="shared" ca="1" si="2"/>
        <v>12</v>
      </c>
      <c r="N36" t="str">
        <f t="shared" ca="1" si="3"/>
        <v>Other</v>
      </c>
      <c r="O36" s="6">
        <f t="shared" ca="1" si="4"/>
        <v>1878</v>
      </c>
      <c r="P36">
        <f ca="1">Table1[[#This Row],[Hire Date]]-Table1[[#This Row],[Job Posting Date]]</f>
        <v>22</v>
      </c>
      <c r="Q36" s="7">
        <f ca="1">Table1[[#This Row],[Join Date]]-Table1[[#This Row],[Hire Date]]</f>
        <v>5</v>
      </c>
      <c r="R36" s="8">
        <f ca="1">(IF(Table1[[#This Row],[Status]]="Exited",Table1[[#This Row],[Exit Date]]-Table1[[#This Row],[Join Date]],TODAY()-Table1[[#This Row],[Join Date]]))/30</f>
        <v>42.833333333333336</v>
      </c>
      <c r="S36">
        <f ca="1">Table1[[#This Row],[Hire Date]]-Table1[[#This Row],[Job Posting Date]]</f>
        <v>22</v>
      </c>
      <c r="T36" s="7">
        <f ca="1">Table1[[#This Row],[Time to onboard]]/Table1[[#This Row],[Time to Fill]]*100</f>
        <v>22.727272727272727</v>
      </c>
      <c r="U36" s="8">
        <f ca="1">Table1[[#This Row],[Time to onboard]]/Table1[[#This Row],[Time to Fill]]*100</f>
        <v>22.727272727272727</v>
      </c>
      <c r="V36">
        <f ca="1">Table1[[#This Row],[Join Date]]-Table1[[#This Row],[Job Posting Date]]</f>
        <v>27</v>
      </c>
      <c r="W36">
        <f t="shared" ca="1" si="5"/>
        <v>155</v>
      </c>
      <c r="X36" s="8">
        <f ca="1">Table1[[#This Row],[Absentee Days]]/Table1[[#This Row],[Total Work Days]]*100</f>
        <v>4.6153846153846159</v>
      </c>
      <c r="Y36">
        <f ca="1">YEAR(Table1[[#This Row],[Join Date]])</f>
        <v>2020</v>
      </c>
      <c r="Z36">
        <f ca="1">IF(Table1[[#This Row],[Status]]="Active",1,0)</f>
        <v>0</v>
      </c>
      <c r="AA36">
        <f ca="1">IF(Table1[[#This Row],[Status]]="Exited",Table1[[#This Row],[Recruitment Cost]]+Table1[[#This Row],[Onboarding cost]]+Table1[[#This Row],[Training Cost]],0)</f>
        <v>5943</v>
      </c>
    </row>
    <row r="37" spans="1:27">
      <c r="A37" t="str">
        <f t="shared" si="8"/>
        <v>E036</v>
      </c>
      <c r="B37" t="str" cm="1">
        <f t="array" aca="1" ref="B37" ca="1">INDEX(sheet2!$A$2:$A$6, RANDBETWEEN(1, 5))</f>
        <v>IT</v>
      </c>
      <c r="C37" t="str">
        <f ca="1">_xlfn.XLOOKUP(Table1[[#This Row],[Department]],sheet2!$A$2:$A$6,sheet2!$B$2:$B$6,_xleta.NA,0)</f>
        <v>Software Engineer</v>
      </c>
      <c r="D37" s="1">
        <f t="shared" ca="1" si="9"/>
        <v>44539</v>
      </c>
      <c r="E37" s="1">
        <f ca="1">Table1[[#This Row],[Job Posting Date]]+ RANDBETWEEN(15, 90)</f>
        <v>44577</v>
      </c>
      <c r="F37" s="1">
        <f ca="1">Table1[[#This Row],[Hire Date]]+ RANDBETWEEN(1, 15)</f>
        <v>44590</v>
      </c>
      <c r="G37" s="1" t="str">
        <f ca="1">IF(RAND() &lt; 0.5,  Table1[[#This Row],[Join Date]]+ RANDBETWEEN(30, TODAY()- Table1[[#This Row],[Join Date]]), "-")</f>
        <v>-</v>
      </c>
      <c r="H37" t="str">
        <f ca="1">IF(Table1[[#This Row],[Exit Date]]= "-", "Active", "Exited")</f>
        <v>Active</v>
      </c>
      <c r="I37" s="5">
        <f t="shared" ca="1" si="10"/>
        <v>2211</v>
      </c>
      <c r="J37" t="str" cm="1">
        <f t="array" aca="1" ref="J37" ca="1">INDEX(sheet2!$C$2:$C$6, RANDBETWEEN(1, 5))</f>
        <v>Communication Skills</v>
      </c>
      <c r="K37" t="str">
        <f t="shared" ca="1" si="11"/>
        <v>Not Completed</v>
      </c>
      <c r="L37">
        <v>260</v>
      </c>
      <c r="M37">
        <f t="shared" ca="1" si="2"/>
        <v>14</v>
      </c>
      <c r="N37" t="str">
        <f t="shared" ca="1" si="3"/>
        <v>Male</v>
      </c>
      <c r="O37" s="6">
        <f t="shared" ca="1" si="4"/>
        <v>1628</v>
      </c>
      <c r="P37">
        <f ca="1">Table1[[#This Row],[Hire Date]]-Table1[[#This Row],[Job Posting Date]]</f>
        <v>38</v>
      </c>
      <c r="Q37" s="7">
        <f ca="1">Table1[[#This Row],[Join Date]]-Table1[[#This Row],[Hire Date]]</f>
        <v>13</v>
      </c>
      <c r="R37" s="8">
        <f ca="1">(IF(Table1[[#This Row],[Status]]="Exited",Table1[[#This Row],[Exit Date]]-Table1[[#This Row],[Join Date]],TODAY()-Table1[[#This Row],[Join Date]]))/30</f>
        <v>35.766666666666666</v>
      </c>
      <c r="S37">
        <f ca="1">Table1[[#This Row],[Hire Date]]-Table1[[#This Row],[Job Posting Date]]</f>
        <v>38</v>
      </c>
      <c r="T37" s="7">
        <f ca="1">Table1[[#This Row],[Time to onboard]]/Table1[[#This Row],[Time to Fill]]*100</f>
        <v>34.210526315789473</v>
      </c>
      <c r="U37" s="8">
        <f ca="1">Table1[[#This Row],[Time to onboard]]/Table1[[#This Row],[Time to Fill]]*100</f>
        <v>34.210526315789473</v>
      </c>
      <c r="V37">
        <f ca="1">Table1[[#This Row],[Join Date]]-Table1[[#This Row],[Job Posting Date]]</f>
        <v>51</v>
      </c>
      <c r="W37">
        <f t="shared" ca="1" si="5"/>
        <v>152</v>
      </c>
      <c r="X37" s="8">
        <f ca="1">Table1[[#This Row],[Absentee Days]]/Table1[[#This Row],[Total Work Days]]*100</f>
        <v>5.384615384615385</v>
      </c>
      <c r="Y37">
        <f ca="1">YEAR(Table1[[#This Row],[Join Date]])</f>
        <v>2022</v>
      </c>
      <c r="Z37">
        <f ca="1">IF(Table1[[#This Row],[Status]]="Active",1,0)</f>
        <v>1</v>
      </c>
      <c r="AA37">
        <f ca="1">IF(Table1[[#This Row],[Status]]="Exited",Table1[[#This Row],[Recruitment Cost]]+Table1[[#This Row],[Onboarding cost]]+Table1[[#This Row],[Training Cost]],0)</f>
        <v>0</v>
      </c>
    </row>
    <row r="38" spans="1:27">
      <c r="A38" t="str">
        <f t="shared" si="8"/>
        <v>E037</v>
      </c>
      <c r="B38" t="str" cm="1">
        <f t="array" aca="1" ref="B38" ca="1">INDEX(sheet2!$A$2:$A$6, RANDBETWEEN(1, 5))</f>
        <v>Finance</v>
      </c>
      <c r="C38" t="str">
        <f ca="1">_xlfn.XLOOKUP(Table1[[#This Row],[Department]],sheet2!$A$2:$A$6,sheet2!$B$2:$B$6,_xleta.NA,0)</f>
        <v>Finance Manager</v>
      </c>
      <c r="D38" s="1">
        <f t="shared" ca="1" si="9"/>
        <v>44412</v>
      </c>
      <c r="E38" s="1">
        <f ca="1">Table1[[#This Row],[Job Posting Date]]+ RANDBETWEEN(15, 90)</f>
        <v>44493</v>
      </c>
      <c r="F38" s="1">
        <f ca="1">Table1[[#This Row],[Hire Date]]+ RANDBETWEEN(1, 15)</f>
        <v>44506</v>
      </c>
      <c r="G38" s="1">
        <f ca="1">IF(RAND() &lt; 0.5,  Table1[[#This Row],[Join Date]]+ RANDBETWEEN(30, TODAY()- Table1[[#This Row],[Join Date]]), "-")</f>
        <v>44916</v>
      </c>
      <c r="H38" t="str">
        <f ca="1">IF(Table1[[#This Row],[Exit Date]]= "-", "Active", "Exited")</f>
        <v>Exited</v>
      </c>
      <c r="I38" s="5">
        <f t="shared" ca="1" si="10"/>
        <v>3292</v>
      </c>
      <c r="J38" t="str" cm="1">
        <f t="array" aca="1" ref="J38" ca="1">INDEX(sheet2!$C$2:$C$6, RANDBETWEEN(1, 5))</f>
        <v>Leadership Development</v>
      </c>
      <c r="K38" t="str">
        <f t="shared" ca="1" si="11"/>
        <v>Completed</v>
      </c>
      <c r="L38">
        <v>260</v>
      </c>
      <c r="M38">
        <f t="shared" ca="1" si="2"/>
        <v>19</v>
      </c>
      <c r="N38" t="str">
        <f t="shared" ca="1" si="3"/>
        <v>Female</v>
      </c>
      <c r="O38" s="6">
        <f t="shared" ca="1" si="4"/>
        <v>2432</v>
      </c>
      <c r="P38">
        <f ca="1">Table1[[#This Row],[Hire Date]]-Table1[[#This Row],[Job Posting Date]]</f>
        <v>81</v>
      </c>
      <c r="Q38" s="7">
        <f ca="1">Table1[[#This Row],[Join Date]]-Table1[[#This Row],[Hire Date]]</f>
        <v>13</v>
      </c>
      <c r="R38" s="8">
        <f ca="1">(IF(Table1[[#This Row],[Status]]="Exited",Table1[[#This Row],[Exit Date]]-Table1[[#This Row],[Join Date]],TODAY()-Table1[[#This Row],[Join Date]]))/30</f>
        <v>13.666666666666666</v>
      </c>
      <c r="S38">
        <f ca="1">Table1[[#This Row],[Hire Date]]-Table1[[#This Row],[Job Posting Date]]</f>
        <v>81</v>
      </c>
      <c r="T38" s="7">
        <f ca="1">Table1[[#This Row],[Time to onboard]]/Table1[[#This Row],[Time to Fill]]*100</f>
        <v>16.049382716049383</v>
      </c>
      <c r="U38" s="8">
        <f ca="1">Table1[[#This Row],[Time to onboard]]/Table1[[#This Row],[Time to Fill]]*100</f>
        <v>16.049382716049383</v>
      </c>
      <c r="V38">
        <f ca="1">Table1[[#This Row],[Join Date]]-Table1[[#This Row],[Job Posting Date]]</f>
        <v>94</v>
      </c>
      <c r="W38">
        <f t="shared" ca="1" si="5"/>
        <v>181</v>
      </c>
      <c r="X38" s="8">
        <f ca="1">Table1[[#This Row],[Absentee Days]]/Table1[[#This Row],[Total Work Days]]*100</f>
        <v>7.3076923076923084</v>
      </c>
      <c r="Y38">
        <f ca="1">YEAR(Table1[[#This Row],[Join Date]])</f>
        <v>2021</v>
      </c>
      <c r="Z38">
        <f ca="1">IF(Table1[[#This Row],[Status]]="Active",1,0)</f>
        <v>0</v>
      </c>
      <c r="AA38">
        <f ca="1">IF(Table1[[#This Row],[Status]]="Exited",Table1[[#This Row],[Recruitment Cost]]+Table1[[#This Row],[Onboarding cost]]+Table1[[#This Row],[Training Cost]],0)</f>
        <v>5905</v>
      </c>
    </row>
    <row r="39" spans="1:27">
      <c r="A39" t="str">
        <f t="shared" si="8"/>
        <v>E038</v>
      </c>
      <c r="B39" t="str" cm="1">
        <f t="array" aca="1" ref="B39" ca="1">INDEX(sheet2!$A$2:$A$6, RANDBETWEEN(1, 5))</f>
        <v>IT</v>
      </c>
      <c r="C39" t="str">
        <f ca="1">_xlfn.XLOOKUP(Table1[[#This Row],[Department]],sheet2!$A$2:$A$6,sheet2!$B$2:$B$6,_xleta.NA,0)</f>
        <v>Software Engineer</v>
      </c>
      <c r="D39" s="1">
        <f t="shared" ca="1" si="9"/>
        <v>43393</v>
      </c>
      <c r="E39" s="1">
        <f ca="1">Table1[[#This Row],[Job Posting Date]]+ RANDBETWEEN(15, 90)</f>
        <v>43461</v>
      </c>
      <c r="F39" s="1">
        <f ca="1">Table1[[#This Row],[Hire Date]]+ RANDBETWEEN(1, 15)</f>
        <v>43475</v>
      </c>
      <c r="G39" s="1">
        <f ca="1">IF(RAND() &lt; 0.5,  Table1[[#This Row],[Join Date]]+ RANDBETWEEN(30, TODAY()- Table1[[#This Row],[Join Date]]), "-")</f>
        <v>44978</v>
      </c>
      <c r="H39" t="str">
        <f ca="1">IF(Table1[[#This Row],[Exit Date]]= "-", "Active", "Exited")</f>
        <v>Exited</v>
      </c>
      <c r="I39" s="5">
        <f t="shared" ca="1" si="10"/>
        <v>3461</v>
      </c>
      <c r="J39" t="str" cm="1">
        <f t="array" aca="1" ref="J39" ca="1">INDEX(sheet2!$C$2:$C$6, RANDBETWEEN(1, 5))</f>
        <v>Advanced Excel Skills </v>
      </c>
      <c r="K39" t="str">
        <f t="shared" ca="1" si="11"/>
        <v>Completed</v>
      </c>
      <c r="L39">
        <v>260</v>
      </c>
      <c r="M39">
        <f t="shared" ca="1" si="2"/>
        <v>20</v>
      </c>
      <c r="N39" t="str">
        <f t="shared" ca="1" si="3"/>
        <v>Male</v>
      </c>
      <c r="O39" s="6">
        <f t="shared" ca="1" si="4"/>
        <v>1678</v>
      </c>
      <c r="P39">
        <f ca="1">Table1[[#This Row],[Hire Date]]-Table1[[#This Row],[Job Posting Date]]</f>
        <v>68</v>
      </c>
      <c r="Q39" s="7">
        <f ca="1">Table1[[#This Row],[Join Date]]-Table1[[#This Row],[Hire Date]]</f>
        <v>14</v>
      </c>
      <c r="R39" s="8">
        <f ca="1">(IF(Table1[[#This Row],[Status]]="Exited",Table1[[#This Row],[Exit Date]]-Table1[[#This Row],[Join Date]],TODAY()-Table1[[#This Row],[Join Date]]))/30</f>
        <v>50.1</v>
      </c>
      <c r="S39">
        <f ca="1">Table1[[#This Row],[Hire Date]]-Table1[[#This Row],[Job Posting Date]]</f>
        <v>68</v>
      </c>
      <c r="T39" s="7">
        <f ca="1">Table1[[#This Row],[Time to onboard]]/Table1[[#This Row],[Time to Fill]]*100</f>
        <v>20.588235294117645</v>
      </c>
      <c r="U39" s="8">
        <f ca="1">Table1[[#This Row],[Time to onboard]]/Table1[[#This Row],[Time to Fill]]*100</f>
        <v>20.588235294117645</v>
      </c>
      <c r="V39">
        <f ca="1">Table1[[#This Row],[Join Date]]-Table1[[#This Row],[Job Posting Date]]</f>
        <v>82</v>
      </c>
      <c r="W39">
        <f t="shared" ca="1" si="5"/>
        <v>196</v>
      </c>
      <c r="X39" s="8">
        <f ca="1">Table1[[#This Row],[Absentee Days]]/Table1[[#This Row],[Total Work Days]]*100</f>
        <v>7.6923076923076925</v>
      </c>
      <c r="Y39">
        <f ca="1">YEAR(Table1[[#This Row],[Join Date]])</f>
        <v>2019</v>
      </c>
      <c r="Z39">
        <f ca="1">IF(Table1[[#This Row],[Status]]="Active",1,0)</f>
        <v>0</v>
      </c>
      <c r="AA39">
        <f ca="1">IF(Table1[[#This Row],[Status]]="Exited",Table1[[#This Row],[Recruitment Cost]]+Table1[[#This Row],[Onboarding cost]]+Table1[[#This Row],[Training Cost]],0)</f>
        <v>5335</v>
      </c>
    </row>
    <row r="40" spans="1:27">
      <c r="A40" t="str">
        <f t="shared" si="8"/>
        <v>E039</v>
      </c>
      <c r="B40" t="str" cm="1">
        <f t="array" aca="1" ref="B40" ca="1">INDEX(sheet2!$A$2:$A$6, RANDBETWEEN(1, 5))</f>
        <v>IT</v>
      </c>
      <c r="C40" t="str">
        <f ca="1">_xlfn.XLOOKUP(Table1[[#This Row],[Department]],sheet2!$A$2:$A$6,sheet2!$B$2:$B$6,_xleta.NA,0)</f>
        <v>Software Engineer</v>
      </c>
      <c r="D40" s="1">
        <f t="shared" ca="1" si="9"/>
        <v>43625</v>
      </c>
      <c r="E40" s="1">
        <f ca="1">Table1[[#This Row],[Job Posting Date]]+ RANDBETWEEN(15, 90)</f>
        <v>43644</v>
      </c>
      <c r="F40" s="1">
        <f ca="1">Table1[[#This Row],[Hire Date]]+ RANDBETWEEN(1, 15)</f>
        <v>43657</v>
      </c>
      <c r="G40" s="1" t="str">
        <f ca="1">IF(RAND() &lt; 0.5,  Table1[[#This Row],[Join Date]]+ RANDBETWEEN(30, TODAY()- Table1[[#This Row],[Join Date]]), "-")</f>
        <v>-</v>
      </c>
      <c r="H40" t="str">
        <f ca="1">IF(Table1[[#This Row],[Exit Date]]= "-", "Active", "Exited")</f>
        <v>Active</v>
      </c>
      <c r="I40" s="5">
        <f t="shared" ca="1" si="10"/>
        <v>1741</v>
      </c>
      <c r="J40" t="str" cm="1">
        <f t="array" aca="1" ref="J40" ca="1">INDEX(sheet2!$C$2:$C$6, RANDBETWEEN(1, 5))</f>
        <v>Ethics and Responsibilities</v>
      </c>
      <c r="K40" t="str">
        <f t="shared" ca="1" si="11"/>
        <v>Not Completed</v>
      </c>
      <c r="L40">
        <v>260</v>
      </c>
      <c r="M40">
        <f t="shared" ca="1" si="2"/>
        <v>12</v>
      </c>
      <c r="N40" t="str">
        <f t="shared" ca="1" si="3"/>
        <v>Other</v>
      </c>
      <c r="O40" s="6">
        <f t="shared" ca="1" si="4"/>
        <v>2483</v>
      </c>
      <c r="P40">
        <f ca="1">Table1[[#This Row],[Hire Date]]-Table1[[#This Row],[Job Posting Date]]</f>
        <v>19</v>
      </c>
      <c r="Q40" s="7">
        <f ca="1">Table1[[#This Row],[Join Date]]-Table1[[#This Row],[Hire Date]]</f>
        <v>13</v>
      </c>
      <c r="R40" s="8">
        <f ca="1">(IF(Table1[[#This Row],[Status]]="Exited",Table1[[#This Row],[Exit Date]]-Table1[[#This Row],[Join Date]],TODAY()-Table1[[#This Row],[Join Date]]))/30</f>
        <v>66.86666666666666</v>
      </c>
      <c r="S40">
        <f ca="1">Table1[[#This Row],[Hire Date]]-Table1[[#This Row],[Job Posting Date]]</f>
        <v>19</v>
      </c>
      <c r="T40" s="7">
        <f ca="1">Table1[[#This Row],[Time to onboard]]/Table1[[#This Row],[Time to Fill]]*100</f>
        <v>68.421052631578945</v>
      </c>
      <c r="U40" s="8">
        <f ca="1">Table1[[#This Row],[Time to onboard]]/Table1[[#This Row],[Time to Fill]]*100</f>
        <v>68.421052631578945</v>
      </c>
      <c r="V40">
        <f ca="1">Table1[[#This Row],[Join Date]]-Table1[[#This Row],[Job Posting Date]]</f>
        <v>32</v>
      </c>
      <c r="W40">
        <f t="shared" ca="1" si="5"/>
        <v>193</v>
      </c>
      <c r="X40" s="8">
        <f ca="1">Table1[[#This Row],[Absentee Days]]/Table1[[#This Row],[Total Work Days]]*100</f>
        <v>4.6153846153846159</v>
      </c>
      <c r="Y40">
        <f ca="1">YEAR(Table1[[#This Row],[Join Date]])</f>
        <v>2019</v>
      </c>
      <c r="Z40">
        <f ca="1">IF(Table1[[#This Row],[Status]]="Active",1,0)</f>
        <v>1</v>
      </c>
      <c r="AA40">
        <f ca="1">IF(Table1[[#This Row],[Status]]="Exited",Table1[[#This Row],[Recruitment Cost]]+Table1[[#This Row],[Onboarding cost]]+Table1[[#This Row],[Training Cost]],0)</f>
        <v>0</v>
      </c>
    </row>
    <row r="41" spans="1:27">
      <c r="A41" t="str">
        <f t="shared" si="8"/>
        <v>E040</v>
      </c>
      <c r="B41" t="str" cm="1">
        <f t="array" aca="1" ref="B41" ca="1">INDEX(sheet2!$A$2:$A$6, RANDBETWEEN(1, 5))</f>
        <v>Sales</v>
      </c>
      <c r="C41" t="str">
        <f ca="1">_xlfn.XLOOKUP(Table1[[#This Row],[Department]],sheet2!$A$2:$A$6,sheet2!$B$2:$B$6,_xleta.NA,0)</f>
        <v>Marketing Manager</v>
      </c>
      <c r="D41" s="1">
        <f t="shared" ca="1" si="9"/>
        <v>44412</v>
      </c>
      <c r="E41" s="1">
        <f ca="1">Table1[[#This Row],[Job Posting Date]]+ RANDBETWEEN(15, 90)</f>
        <v>44463</v>
      </c>
      <c r="F41" s="1">
        <f ca="1">Table1[[#This Row],[Hire Date]]+ RANDBETWEEN(1, 15)</f>
        <v>44478</v>
      </c>
      <c r="G41" s="1" t="str">
        <f ca="1">IF(RAND() &lt; 0.5,  Table1[[#This Row],[Join Date]]+ RANDBETWEEN(30, TODAY()- Table1[[#This Row],[Join Date]]), "-")</f>
        <v>-</v>
      </c>
      <c r="H41" t="str">
        <f ca="1">IF(Table1[[#This Row],[Exit Date]]= "-", "Active", "Exited")</f>
        <v>Active</v>
      </c>
      <c r="I41" s="5">
        <f t="shared" ca="1" si="10"/>
        <v>4562</v>
      </c>
      <c r="J41" t="str" cm="1">
        <f t="array" aca="1" ref="J41" ca="1">INDEX(sheet2!$C$2:$C$6, RANDBETWEEN(1, 5))</f>
        <v>Leadership Development</v>
      </c>
      <c r="K41" t="str">
        <f t="shared" ca="1" si="11"/>
        <v>Completed</v>
      </c>
      <c r="L41">
        <v>260</v>
      </c>
      <c r="M41">
        <f t="shared" ca="1" si="2"/>
        <v>6</v>
      </c>
      <c r="N41" t="str">
        <f t="shared" ca="1" si="3"/>
        <v>Male</v>
      </c>
      <c r="O41" s="6">
        <f t="shared" ca="1" si="4"/>
        <v>1624</v>
      </c>
      <c r="P41">
        <f ca="1">Table1[[#This Row],[Hire Date]]-Table1[[#This Row],[Job Posting Date]]</f>
        <v>51</v>
      </c>
      <c r="Q41" s="7">
        <f ca="1">Table1[[#This Row],[Join Date]]-Table1[[#This Row],[Hire Date]]</f>
        <v>15</v>
      </c>
      <c r="R41" s="8">
        <f ca="1">(IF(Table1[[#This Row],[Status]]="Exited",Table1[[#This Row],[Exit Date]]-Table1[[#This Row],[Join Date]],TODAY()-Table1[[#This Row],[Join Date]]))/30</f>
        <v>39.5</v>
      </c>
      <c r="S41">
        <f ca="1">Table1[[#This Row],[Hire Date]]-Table1[[#This Row],[Job Posting Date]]</f>
        <v>51</v>
      </c>
      <c r="T41" s="7">
        <f ca="1">Table1[[#This Row],[Time to onboard]]/Table1[[#This Row],[Time to Fill]]*100</f>
        <v>29.411764705882355</v>
      </c>
      <c r="U41" s="8">
        <f ca="1">Table1[[#This Row],[Time to onboard]]/Table1[[#This Row],[Time to Fill]]*100</f>
        <v>29.411764705882355</v>
      </c>
      <c r="V41">
        <f ca="1">Table1[[#This Row],[Join Date]]-Table1[[#This Row],[Job Posting Date]]</f>
        <v>66</v>
      </c>
      <c r="W41">
        <f t="shared" ca="1" si="5"/>
        <v>158</v>
      </c>
      <c r="X41" s="8">
        <f ca="1">Table1[[#This Row],[Absentee Days]]/Table1[[#This Row],[Total Work Days]]*100</f>
        <v>2.3076923076923079</v>
      </c>
      <c r="Y41">
        <f ca="1">YEAR(Table1[[#This Row],[Join Date]])</f>
        <v>2021</v>
      </c>
      <c r="Z41">
        <f ca="1">IF(Table1[[#This Row],[Status]]="Active",1,0)</f>
        <v>1</v>
      </c>
      <c r="AA41">
        <f ca="1">IF(Table1[[#This Row],[Status]]="Exited",Table1[[#This Row],[Recruitment Cost]]+Table1[[#This Row],[Onboarding cost]]+Table1[[#This Row],[Training Cost]],0)</f>
        <v>0</v>
      </c>
    </row>
    <row r="42" spans="1:27">
      <c r="A42" t="str">
        <f t="shared" si="8"/>
        <v>E041</v>
      </c>
      <c r="B42" t="str" cm="1">
        <f t="array" aca="1" ref="B42" ca="1">INDEX(sheet2!$A$2:$A$6, RANDBETWEEN(1, 5))</f>
        <v>IT</v>
      </c>
      <c r="C42" t="str">
        <f ca="1">_xlfn.XLOOKUP(Table1[[#This Row],[Department]],sheet2!$A$2:$A$6,sheet2!$B$2:$B$6,_xleta.NA,0)</f>
        <v>Software Engineer</v>
      </c>
      <c r="D42" s="1">
        <f t="shared" ca="1" si="9"/>
        <v>43865</v>
      </c>
      <c r="E42" s="1">
        <f ca="1">Table1[[#This Row],[Job Posting Date]]+ RANDBETWEEN(15, 90)</f>
        <v>43911</v>
      </c>
      <c r="F42" s="1">
        <f ca="1">Table1[[#This Row],[Hire Date]]+ RANDBETWEEN(1, 15)</f>
        <v>43922</v>
      </c>
      <c r="G42" s="1" t="str">
        <f ca="1">IF(RAND() &lt; 0.5,  Table1[[#This Row],[Join Date]]+ RANDBETWEEN(30, TODAY()- Table1[[#This Row],[Join Date]]), "-")</f>
        <v>-</v>
      </c>
      <c r="H42" t="str">
        <f ca="1">IF(Table1[[#This Row],[Exit Date]]= "-", "Active", "Exited")</f>
        <v>Active</v>
      </c>
      <c r="I42" s="5">
        <f t="shared" ca="1" si="10"/>
        <v>3241</v>
      </c>
      <c r="J42" t="str" cm="1">
        <f t="array" aca="1" ref="J42" ca="1">INDEX(sheet2!$C$2:$C$6, RANDBETWEEN(1, 5))</f>
        <v>Leadership Development</v>
      </c>
      <c r="K42" t="str">
        <f t="shared" ca="1" si="11"/>
        <v>Completed</v>
      </c>
      <c r="L42">
        <v>260</v>
      </c>
      <c r="M42">
        <f t="shared" ca="1" si="2"/>
        <v>18</v>
      </c>
      <c r="N42" t="str">
        <f t="shared" ca="1" si="3"/>
        <v>Female</v>
      </c>
      <c r="O42" s="6">
        <f t="shared" ca="1" si="4"/>
        <v>2283</v>
      </c>
      <c r="P42">
        <f ca="1">Table1[[#This Row],[Hire Date]]-Table1[[#This Row],[Job Posting Date]]</f>
        <v>46</v>
      </c>
      <c r="Q42" s="7">
        <f ca="1">Table1[[#This Row],[Join Date]]-Table1[[#This Row],[Hire Date]]</f>
        <v>11</v>
      </c>
      <c r="R42" s="8">
        <f ca="1">(IF(Table1[[#This Row],[Status]]="Exited",Table1[[#This Row],[Exit Date]]-Table1[[#This Row],[Join Date]],TODAY()-Table1[[#This Row],[Join Date]]))/30</f>
        <v>58.033333333333331</v>
      </c>
      <c r="S42">
        <f ca="1">Table1[[#This Row],[Hire Date]]-Table1[[#This Row],[Job Posting Date]]</f>
        <v>46</v>
      </c>
      <c r="T42" s="7">
        <f ca="1">Table1[[#This Row],[Time to onboard]]/Table1[[#This Row],[Time to Fill]]*100</f>
        <v>23.913043478260871</v>
      </c>
      <c r="U42" s="8">
        <f ca="1">Table1[[#This Row],[Time to onboard]]/Table1[[#This Row],[Time to Fill]]*100</f>
        <v>23.913043478260871</v>
      </c>
      <c r="V42">
        <f ca="1">Table1[[#This Row],[Join Date]]-Table1[[#This Row],[Job Posting Date]]</f>
        <v>57</v>
      </c>
      <c r="W42">
        <f t="shared" ca="1" si="5"/>
        <v>172</v>
      </c>
      <c r="X42" s="8">
        <f ca="1">Table1[[#This Row],[Absentee Days]]/Table1[[#This Row],[Total Work Days]]*100</f>
        <v>6.9230769230769234</v>
      </c>
      <c r="Y42">
        <f ca="1">YEAR(Table1[[#This Row],[Join Date]])</f>
        <v>2020</v>
      </c>
      <c r="Z42">
        <f ca="1">IF(Table1[[#This Row],[Status]]="Active",1,0)</f>
        <v>1</v>
      </c>
      <c r="AA42">
        <f ca="1">IF(Table1[[#This Row],[Status]]="Exited",Table1[[#This Row],[Recruitment Cost]]+Table1[[#This Row],[Onboarding cost]]+Table1[[#This Row],[Training Cost]],0)</f>
        <v>0</v>
      </c>
    </row>
    <row r="43" spans="1:27">
      <c r="A43" t="str">
        <f t="shared" si="8"/>
        <v>E042</v>
      </c>
      <c r="B43" t="str" cm="1">
        <f t="array" aca="1" ref="B43" ca="1">INDEX(sheet2!$A$2:$A$6, RANDBETWEEN(1, 5))</f>
        <v>Finance</v>
      </c>
      <c r="C43" t="str">
        <f ca="1">_xlfn.XLOOKUP(Table1[[#This Row],[Department]],sheet2!$A$2:$A$6,sheet2!$B$2:$B$6,_xleta.NA,0)</f>
        <v>Finance Manager</v>
      </c>
      <c r="D43" s="1">
        <f t="shared" ca="1" si="9"/>
        <v>44298</v>
      </c>
      <c r="E43" s="1">
        <f ca="1">Table1[[#This Row],[Job Posting Date]]+ RANDBETWEEN(15, 90)</f>
        <v>44380</v>
      </c>
      <c r="F43" s="1">
        <f ca="1">Table1[[#This Row],[Hire Date]]+ RANDBETWEEN(1, 15)</f>
        <v>44395</v>
      </c>
      <c r="G43" s="1" t="str">
        <f ca="1">IF(RAND() &lt; 0.5,  Table1[[#This Row],[Join Date]]+ RANDBETWEEN(30, TODAY()- Table1[[#This Row],[Join Date]]), "-")</f>
        <v>-</v>
      </c>
      <c r="H43" t="str">
        <f ca="1">IF(Table1[[#This Row],[Exit Date]]= "-", "Active", "Exited")</f>
        <v>Active</v>
      </c>
      <c r="I43" s="5">
        <f t="shared" ca="1" si="10"/>
        <v>2460</v>
      </c>
      <c r="J43" t="str" cm="1">
        <f t="array" aca="1" ref="J43" ca="1">INDEX(sheet2!$C$2:$C$6, RANDBETWEEN(1, 5))</f>
        <v>Leadership Development</v>
      </c>
      <c r="K43" t="str">
        <f t="shared" ca="1" si="11"/>
        <v>Completed</v>
      </c>
      <c r="L43">
        <v>260</v>
      </c>
      <c r="M43">
        <f t="shared" ca="1" si="2"/>
        <v>13</v>
      </c>
      <c r="N43" t="str">
        <f t="shared" ca="1" si="3"/>
        <v>Other</v>
      </c>
      <c r="O43" s="6">
        <f t="shared" ca="1" si="4"/>
        <v>2334</v>
      </c>
      <c r="P43">
        <f ca="1">Table1[[#This Row],[Hire Date]]-Table1[[#This Row],[Job Posting Date]]</f>
        <v>82</v>
      </c>
      <c r="Q43" s="7">
        <f ca="1">Table1[[#This Row],[Join Date]]-Table1[[#This Row],[Hire Date]]</f>
        <v>15</v>
      </c>
      <c r="R43" s="8">
        <f ca="1">(IF(Table1[[#This Row],[Status]]="Exited",Table1[[#This Row],[Exit Date]]-Table1[[#This Row],[Join Date]],TODAY()-Table1[[#This Row],[Join Date]]))/30</f>
        <v>42.266666666666666</v>
      </c>
      <c r="S43">
        <f ca="1">Table1[[#This Row],[Hire Date]]-Table1[[#This Row],[Job Posting Date]]</f>
        <v>82</v>
      </c>
      <c r="T43" s="7">
        <f ca="1">Table1[[#This Row],[Time to onboard]]/Table1[[#This Row],[Time to Fill]]*100</f>
        <v>18.292682926829269</v>
      </c>
      <c r="U43" s="8">
        <f ca="1">Table1[[#This Row],[Time to onboard]]/Table1[[#This Row],[Time to Fill]]*100</f>
        <v>18.292682926829269</v>
      </c>
      <c r="V43">
        <f ca="1">Table1[[#This Row],[Join Date]]-Table1[[#This Row],[Job Posting Date]]</f>
        <v>97</v>
      </c>
      <c r="W43">
        <f t="shared" ca="1" si="5"/>
        <v>118</v>
      </c>
      <c r="X43" s="8">
        <f ca="1">Table1[[#This Row],[Absentee Days]]/Table1[[#This Row],[Total Work Days]]*100</f>
        <v>5</v>
      </c>
      <c r="Y43">
        <f ca="1">YEAR(Table1[[#This Row],[Join Date]])</f>
        <v>2021</v>
      </c>
      <c r="Z43">
        <f ca="1">IF(Table1[[#This Row],[Status]]="Active",1,0)</f>
        <v>1</v>
      </c>
      <c r="AA43">
        <f ca="1">IF(Table1[[#This Row],[Status]]="Exited",Table1[[#This Row],[Recruitment Cost]]+Table1[[#This Row],[Onboarding cost]]+Table1[[#This Row],[Training Cost]],0)</f>
        <v>0</v>
      </c>
    </row>
    <row r="44" spans="1:27">
      <c r="A44" t="str">
        <f t="shared" si="8"/>
        <v>E043</v>
      </c>
      <c r="B44" t="str" cm="1">
        <f t="array" aca="1" ref="B44" ca="1">INDEX(sheet2!$A$2:$A$6, RANDBETWEEN(1, 5))</f>
        <v>IT</v>
      </c>
      <c r="C44" t="str">
        <f ca="1">_xlfn.XLOOKUP(Table1[[#This Row],[Department]],sheet2!$A$2:$A$6,sheet2!$B$2:$B$6,_xleta.NA,0)</f>
        <v>Software Engineer</v>
      </c>
      <c r="D44" s="1">
        <f t="shared" ca="1" si="9"/>
        <v>44292</v>
      </c>
      <c r="E44" s="1">
        <f ca="1">Table1[[#This Row],[Job Posting Date]]+ RANDBETWEEN(15, 90)</f>
        <v>44307</v>
      </c>
      <c r="F44" s="1">
        <f ca="1">Table1[[#This Row],[Hire Date]]+ RANDBETWEEN(1, 15)</f>
        <v>44320</v>
      </c>
      <c r="G44" s="1">
        <f ca="1">IF(RAND() &lt; 0.5,  Table1[[#This Row],[Join Date]]+ RANDBETWEEN(30, TODAY()- Table1[[#This Row],[Join Date]]), "-")</f>
        <v>45067</v>
      </c>
      <c r="H44" t="str">
        <f ca="1">IF(Table1[[#This Row],[Exit Date]]= "-", "Active", "Exited")</f>
        <v>Exited</v>
      </c>
      <c r="I44" s="5">
        <f t="shared" ca="1" si="10"/>
        <v>2122</v>
      </c>
      <c r="J44" t="str" cm="1">
        <f t="array" aca="1" ref="J44" ca="1">INDEX(sheet2!$C$2:$C$6, RANDBETWEEN(1, 5))</f>
        <v>Communication Skills</v>
      </c>
      <c r="K44" t="str">
        <f t="shared" ca="1" si="11"/>
        <v>Completed</v>
      </c>
      <c r="L44">
        <v>260</v>
      </c>
      <c r="M44">
        <f t="shared" ca="1" si="2"/>
        <v>7</v>
      </c>
      <c r="N44" t="str">
        <f t="shared" ca="1" si="3"/>
        <v>Female</v>
      </c>
      <c r="O44" s="6">
        <f t="shared" ca="1" si="4"/>
        <v>1612</v>
      </c>
      <c r="P44">
        <f ca="1">Table1[[#This Row],[Hire Date]]-Table1[[#This Row],[Job Posting Date]]</f>
        <v>15</v>
      </c>
      <c r="Q44" s="7">
        <f ca="1">Table1[[#This Row],[Join Date]]-Table1[[#This Row],[Hire Date]]</f>
        <v>13</v>
      </c>
      <c r="R44" s="8">
        <f ca="1">(IF(Table1[[#This Row],[Status]]="Exited",Table1[[#This Row],[Exit Date]]-Table1[[#This Row],[Join Date]],TODAY()-Table1[[#This Row],[Join Date]]))/30</f>
        <v>24.9</v>
      </c>
      <c r="S44">
        <f ca="1">Table1[[#This Row],[Hire Date]]-Table1[[#This Row],[Job Posting Date]]</f>
        <v>15</v>
      </c>
      <c r="T44" s="7">
        <f ca="1">Table1[[#This Row],[Time to onboard]]/Table1[[#This Row],[Time to Fill]]*100</f>
        <v>86.666666666666671</v>
      </c>
      <c r="U44" s="8">
        <f ca="1">Table1[[#This Row],[Time to onboard]]/Table1[[#This Row],[Time to Fill]]*100</f>
        <v>86.666666666666671</v>
      </c>
      <c r="V44">
        <f ca="1">Table1[[#This Row],[Join Date]]-Table1[[#This Row],[Job Posting Date]]</f>
        <v>28</v>
      </c>
      <c r="W44">
        <f t="shared" ca="1" si="5"/>
        <v>121</v>
      </c>
      <c r="X44" s="8">
        <f ca="1">Table1[[#This Row],[Absentee Days]]/Table1[[#This Row],[Total Work Days]]*100</f>
        <v>2.6923076923076925</v>
      </c>
      <c r="Y44">
        <f ca="1">YEAR(Table1[[#This Row],[Join Date]])</f>
        <v>2021</v>
      </c>
      <c r="Z44">
        <f ca="1">IF(Table1[[#This Row],[Status]]="Active",1,0)</f>
        <v>0</v>
      </c>
      <c r="AA44">
        <f ca="1">IF(Table1[[#This Row],[Status]]="Exited",Table1[[#This Row],[Recruitment Cost]]+Table1[[#This Row],[Onboarding cost]]+Table1[[#This Row],[Training Cost]],0)</f>
        <v>3855</v>
      </c>
    </row>
    <row r="45" spans="1:27">
      <c r="A45" t="str">
        <f t="shared" si="8"/>
        <v>E044</v>
      </c>
      <c r="B45" t="str" cm="1">
        <f t="array" aca="1" ref="B45" ca="1">INDEX(sheet2!$A$2:$A$6, RANDBETWEEN(1, 5))</f>
        <v>IT</v>
      </c>
      <c r="C45" t="str">
        <f ca="1">_xlfn.XLOOKUP(Table1[[#This Row],[Department]],sheet2!$A$2:$A$6,sheet2!$B$2:$B$6,_xleta.NA,0)</f>
        <v>Software Engineer</v>
      </c>
      <c r="D45" s="1">
        <f t="shared" ca="1" si="9"/>
        <v>44715</v>
      </c>
      <c r="E45" s="1">
        <f ca="1">Table1[[#This Row],[Job Posting Date]]+ RANDBETWEEN(15, 90)</f>
        <v>44780</v>
      </c>
      <c r="F45" s="1">
        <f ca="1">Table1[[#This Row],[Hire Date]]+ RANDBETWEEN(1, 15)</f>
        <v>44781</v>
      </c>
      <c r="G45" s="1" t="str">
        <f ca="1">IF(RAND() &lt; 0.5,  Table1[[#This Row],[Join Date]]+ RANDBETWEEN(30, TODAY()- Table1[[#This Row],[Join Date]]), "-")</f>
        <v>-</v>
      </c>
      <c r="H45" t="str">
        <f ca="1">IF(Table1[[#This Row],[Exit Date]]= "-", "Active", "Exited")</f>
        <v>Active</v>
      </c>
      <c r="I45" s="5">
        <f t="shared" ca="1" si="10"/>
        <v>2466</v>
      </c>
      <c r="J45" t="str" cm="1">
        <f t="array" aca="1" ref="J45" ca="1">INDEX(sheet2!$C$2:$C$6, RANDBETWEEN(1, 5))</f>
        <v>Leadership Development</v>
      </c>
      <c r="K45" t="str">
        <f t="shared" ca="1" si="11"/>
        <v>Not Completed</v>
      </c>
      <c r="L45">
        <v>260</v>
      </c>
      <c r="M45">
        <f t="shared" ca="1" si="2"/>
        <v>6</v>
      </c>
      <c r="N45" t="str">
        <f t="shared" ca="1" si="3"/>
        <v>Other</v>
      </c>
      <c r="O45" s="6">
        <f t="shared" ca="1" si="4"/>
        <v>1543</v>
      </c>
      <c r="P45">
        <f ca="1">Table1[[#This Row],[Hire Date]]-Table1[[#This Row],[Job Posting Date]]</f>
        <v>65</v>
      </c>
      <c r="Q45" s="7">
        <f ca="1">Table1[[#This Row],[Join Date]]-Table1[[#This Row],[Hire Date]]</f>
        <v>1</v>
      </c>
      <c r="R45" s="8">
        <f ca="1">(IF(Table1[[#This Row],[Status]]="Exited",Table1[[#This Row],[Exit Date]]-Table1[[#This Row],[Join Date]],TODAY()-Table1[[#This Row],[Join Date]]))/30</f>
        <v>29.4</v>
      </c>
      <c r="S45">
        <f ca="1">Table1[[#This Row],[Hire Date]]-Table1[[#This Row],[Job Posting Date]]</f>
        <v>65</v>
      </c>
      <c r="T45" s="7">
        <f ca="1">Table1[[#This Row],[Time to onboard]]/Table1[[#This Row],[Time to Fill]]*100</f>
        <v>1.5384615384615385</v>
      </c>
      <c r="U45" s="8">
        <f ca="1">Table1[[#This Row],[Time to onboard]]/Table1[[#This Row],[Time to Fill]]*100</f>
        <v>1.5384615384615385</v>
      </c>
      <c r="V45">
        <f ca="1">Table1[[#This Row],[Join Date]]-Table1[[#This Row],[Job Posting Date]]</f>
        <v>66</v>
      </c>
      <c r="W45">
        <f t="shared" ca="1" si="5"/>
        <v>193</v>
      </c>
      <c r="X45" s="8">
        <f ca="1">Table1[[#This Row],[Absentee Days]]/Table1[[#This Row],[Total Work Days]]*100</f>
        <v>2.3076923076923079</v>
      </c>
      <c r="Y45">
        <f ca="1">YEAR(Table1[[#This Row],[Join Date]])</f>
        <v>2022</v>
      </c>
      <c r="Z45">
        <f ca="1">IF(Table1[[#This Row],[Status]]="Active",1,0)</f>
        <v>1</v>
      </c>
      <c r="AA45">
        <f ca="1">IF(Table1[[#This Row],[Status]]="Exited",Table1[[#This Row],[Recruitment Cost]]+Table1[[#This Row],[Onboarding cost]]+Table1[[#This Row],[Training Cost]],0)</f>
        <v>0</v>
      </c>
    </row>
    <row r="46" spans="1:27">
      <c r="A46" t="str">
        <f t="shared" si="8"/>
        <v>E045</v>
      </c>
      <c r="B46" t="str" cm="1">
        <f t="array" aca="1" ref="B46" ca="1">INDEX(sheet2!$A$2:$A$6, RANDBETWEEN(1, 5))</f>
        <v>IT</v>
      </c>
      <c r="C46" t="str">
        <f ca="1">_xlfn.XLOOKUP(Table1[[#This Row],[Department]],sheet2!$A$2:$A$6,sheet2!$B$2:$B$6,_xleta.NA,0)</f>
        <v>Software Engineer</v>
      </c>
      <c r="D46" s="1">
        <f t="shared" ca="1" si="9"/>
        <v>44517</v>
      </c>
      <c r="E46" s="1">
        <f ca="1">Table1[[#This Row],[Job Posting Date]]+ RANDBETWEEN(15, 90)</f>
        <v>44568</v>
      </c>
      <c r="F46" s="1">
        <f ca="1">Table1[[#This Row],[Hire Date]]+ RANDBETWEEN(1, 15)</f>
        <v>44581</v>
      </c>
      <c r="G46" s="1">
        <f ca="1">IF(RAND() &lt; 0.5,  Table1[[#This Row],[Join Date]]+ RANDBETWEEN(30, TODAY()- Table1[[#This Row],[Join Date]]), "-")</f>
        <v>44788</v>
      </c>
      <c r="H46" t="str">
        <f ca="1">IF(Table1[[#This Row],[Exit Date]]= "-", "Active", "Exited")</f>
        <v>Exited</v>
      </c>
      <c r="I46" s="5">
        <f t="shared" ca="1" si="10"/>
        <v>3392</v>
      </c>
      <c r="J46" t="str" cm="1">
        <f t="array" aca="1" ref="J46" ca="1">INDEX(sheet2!$C$2:$C$6, RANDBETWEEN(1, 5))</f>
        <v>Advanced Excel Skills </v>
      </c>
      <c r="K46" t="str">
        <f t="shared" ca="1" si="11"/>
        <v>Completed</v>
      </c>
      <c r="L46">
        <v>260</v>
      </c>
      <c r="M46">
        <f t="shared" ca="1" si="2"/>
        <v>12</v>
      </c>
      <c r="N46" t="str">
        <f t="shared" ca="1" si="3"/>
        <v>Male</v>
      </c>
      <c r="O46" s="6">
        <f t="shared" ca="1" si="4"/>
        <v>1796</v>
      </c>
      <c r="P46">
        <f ca="1">Table1[[#This Row],[Hire Date]]-Table1[[#This Row],[Job Posting Date]]</f>
        <v>51</v>
      </c>
      <c r="Q46" s="7">
        <f ca="1">Table1[[#This Row],[Join Date]]-Table1[[#This Row],[Hire Date]]</f>
        <v>13</v>
      </c>
      <c r="R46" s="8">
        <f ca="1">(IF(Table1[[#This Row],[Status]]="Exited",Table1[[#This Row],[Exit Date]]-Table1[[#This Row],[Join Date]],TODAY()-Table1[[#This Row],[Join Date]]))/30</f>
        <v>6.9</v>
      </c>
      <c r="S46">
        <f ca="1">Table1[[#This Row],[Hire Date]]-Table1[[#This Row],[Job Posting Date]]</f>
        <v>51</v>
      </c>
      <c r="T46" s="7">
        <f ca="1">Table1[[#This Row],[Time to onboard]]/Table1[[#This Row],[Time to Fill]]*100</f>
        <v>25.490196078431371</v>
      </c>
      <c r="U46" s="8">
        <f ca="1">Table1[[#This Row],[Time to onboard]]/Table1[[#This Row],[Time to Fill]]*100</f>
        <v>25.490196078431371</v>
      </c>
      <c r="V46">
        <f ca="1">Table1[[#This Row],[Join Date]]-Table1[[#This Row],[Job Posting Date]]</f>
        <v>64</v>
      </c>
      <c r="W46">
        <f t="shared" ca="1" si="5"/>
        <v>100</v>
      </c>
      <c r="X46" s="8">
        <f ca="1">Table1[[#This Row],[Absentee Days]]/Table1[[#This Row],[Total Work Days]]*100</f>
        <v>4.6153846153846159</v>
      </c>
      <c r="Y46">
        <f ca="1">YEAR(Table1[[#This Row],[Join Date]])</f>
        <v>2022</v>
      </c>
      <c r="Z46">
        <f ca="1">IF(Table1[[#This Row],[Status]]="Active",1,0)</f>
        <v>0</v>
      </c>
      <c r="AA46">
        <f ca="1">IF(Table1[[#This Row],[Status]]="Exited",Table1[[#This Row],[Recruitment Cost]]+Table1[[#This Row],[Onboarding cost]]+Table1[[#This Row],[Training Cost]],0)</f>
        <v>5288</v>
      </c>
    </row>
    <row r="47" spans="1:27">
      <c r="A47" t="str">
        <f t="shared" si="8"/>
        <v>E046</v>
      </c>
      <c r="B47" t="str" cm="1">
        <f t="array" aca="1" ref="B47" ca="1">INDEX(sheet2!$A$2:$A$6, RANDBETWEEN(1, 5))</f>
        <v>IT</v>
      </c>
      <c r="C47" t="str">
        <f ca="1">_xlfn.XLOOKUP(Table1[[#This Row],[Department]],sheet2!$A$2:$A$6,sheet2!$B$2:$B$6,_xleta.NA,0)</f>
        <v>Software Engineer</v>
      </c>
      <c r="D47" s="1">
        <f t="shared" ca="1" si="9"/>
        <v>44677</v>
      </c>
      <c r="E47" s="1">
        <f ca="1">Table1[[#This Row],[Job Posting Date]]+ RANDBETWEEN(15, 90)</f>
        <v>44750</v>
      </c>
      <c r="F47" s="1">
        <f ca="1">Table1[[#This Row],[Hire Date]]+ RANDBETWEEN(1, 15)</f>
        <v>44754</v>
      </c>
      <c r="G47" s="1">
        <f ca="1">IF(RAND() &lt; 0.5,  Table1[[#This Row],[Join Date]]+ RANDBETWEEN(30, TODAY()- Table1[[#This Row],[Join Date]]), "-")</f>
        <v>45616</v>
      </c>
      <c r="H47" t="str">
        <f ca="1">IF(Table1[[#This Row],[Exit Date]]= "-", "Active", "Exited")</f>
        <v>Exited</v>
      </c>
      <c r="I47" s="5">
        <f t="shared" ca="1" si="10"/>
        <v>2461</v>
      </c>
      <c r="J47" t="str" cm="1">
        <f t="array" aca="1" ref="J47" ca="1">INDEX(sheet2!$C$2:$C$6, RANDBETWEEN(1, 5))</f>
        <v>Communication Skills</v>
      </c>
      <c r="K47" t="str">
        <f t="shared" ca="1" si="11"/>
        <v>Completed</v>
      </c>
      <c r="L47">
        <v>260</v>
      </c>
      <c r="M47">
        <f t="shared" ca="1" si="2"/>
        <v>9</v>
      </c>
      <c r="N47" t="str">
        <f t="shared" ca="1" si="3"/>
        <v>Female</v>
      </c>
      <c r="O47" s="6">
        <f t="shared" ca="1" si="4"/>
        <v>1466</v>
      </c>
      <c r="P47">
        <f ca="1">Table1[[#This Row],[Hire Date]]-Table1[[#This Row],[Job Posting Date]]</f>
        <v>73</v>
      </c>
      <c r="Q47" s="7">
        <f ca="1">Table1[[#This Row],[Join Date]]-Table1[[#This Row],[Hire Date]]</f>
        <v>4</v>
      </c>
      <c r="R47" s="8">
        <f ca="1">(IF(Table1[[#This Row],[Status]]="Exited",Table1[[#This Row],[Exit Date]]-Table1[[#This Row],[Join Date]],TODAY()-Table1[[#This Row],[Join Date]]))/30</f>
        <v>28.733333333333334</v>
      </c>
      <c r="S47">
        <f ca="1">Table1[[#This Row],[Hire Date]]-Table1[[#This Row],[Job Posting Date]]</f>
        <v>73</v>
      </c>
      <c r="T47" s="7">
        <f ca="1">Table1[[#This Row],[Time to onboard]]/Table1[[#This Row],[Time to Fill]]*100</f>
        <v>5.4794520547945202</v>
      </c>
      <c r="U47" s="8">
        <f ca="1">Table1[[#This Row],[Time to onboard]]/Table1[[#This Row],[Time to Fill]]*100</f>
        <v>5.4794520547945202</v>
      </c>
      <c r="V47">
        <f ca="1">Table1[[#This Row],[Join Date]]-Table1[[#This Row],[Job Posting Date]]</f>
        <v>77</v>
      </c>
      <c r="W47">
        <f t="shared" ca="1" si="5"/>
        <v>199</v>
      </c>
      <c r="X47" s="8">
        <f ca="1">Table1[[#This Row],[Absentee Days]]/Table1[[#This Row],[Total Work Days]]*100</f>
        <v>3.4615384615384617</v>
      </c>
      <c r="Y47">
        <f ca="1">YEAR(Table1[[#This Row],[Join Date]])</f>
        <v>2022</v>
      </c>
      <c r="Z47">
        <f ca="1">IF(Table1[[#This Row],[Status]]="Active",1,0)</f>
        <v>0</v>
      </c>
      <c r="AA47">
        <f ca="1">IF(Table1[[#This Row],[Status]]="Exited",Table1[[#This Row],[Recruitment Cost]]+Table1[[#This Row],[Onboarding cost]]+Table1[[#This Row],[Training Cost]],0)</f>
        <v>4126</v>
      </c>
    </row>
    <row r="48" spans="1:27">
      <c r="A48" t="str">
        <f t="shared" si="8"/>
        <v>E047</v>
      </c>
      <c r="B48" t="str" cm="1">
        <f t="array" aca="1" ref="B48" ca="1">INDEX(sheet2!$A$2:$A$6, RANDBETWEEN(1, 5))</f>
        <v>IT</v>
      </c>
      <c r="C48" t="str">
        <f ca="1">_xlfn.XLOOKUP(Table1[[#This Row],[Department]],sheet2!$A$2:$A$6,sheet2!$B$2:$B$6,_xleta.NA,0)</f>
        <v>Software Engineer</v>
      </c>
      <c r="D48" s="1">
        <f t="shared" ca="1" si="9"/>
        <v>43296</v>
      </c>
      <c r="E48" s="1">
        <f ca="1">Table1[[#This Row],[Job Posting Date]]+ RANDBETWEEN(15, 90)</f>
        <v>43371</v>
      </c>
      <c r="F48" s="1">
        <f ca="1">Table1[[#This Row],[Hire Date]]+ RANDBETWEEN(1, 15)</f>
        <v>43383</v>
      </c>
      <c r="G48" s="1">
        <f ca="1">IF(RAND() &lt; 0.5,  Table1[[#This Row],[Join Date]]+ RANDBETWEEN(30, TODAY()- Table1[[#This Row],[Join Date]]), "-")</f>
        <v>44059</v>
      </c>
      <c r="H48" t="str">
        <f ca="1">IF(Table1[[#This Row],[Exit Date]]= "-", "Active", "Exited")</f>
        <v>Exited</v>
      </c>
      <c r="I48" s="5">
        <f t="shared" ca="1" si="10"/>
        <v>4087</v>
      </c>
      <c r="J48" t="str" cm="1">
        <f t="array" aca="1" ref="J48" ca="1">INDEX(sheet2!$C$2:$C$6, RANDBETWEEN(1, 5))</f>
        <v>Conflict Resolution</v>
      </c>
      <c r="K48" t="str">
        <f t="shared" ca="1" si="11"/>
        <v>Completed</v>
      </c>
      <c r="L48">
        <v>260</v>
      </c>
      <c r="M48">
        <f t="shared" ca="1" si="2"/>
        <v>1</v>
      </c>
      <c r="N48" t="str">
        <f t="shared" ca="1" si="3"/>
        <v>Other</v>
      </c>
      <c r="O48" s="6">
        <f t="shared" ca="1" si="4"/>
        <v>2227</v>
      </c>
      <c r="P48">
        <f ca="1">Table1[[#This Row],[Hire Date]]-Table1[[#This Row],[Job Posting Date]]</f>
        <v>75</v>
      </c>
      <c r="Q48" s="7">
        <f ca="1">Table1[[#This Row],[Join Date]]-Table1[[#This Row],[Hire Date]]</f>
        <v>12</v>
      </c>
      <c r="R48" s="8">
        <f ca="1">(IF(Table1[[#This Row],[Status]]="Exited",Table1[[#This Row],[Exit Date]]-Table1[[#This Row],[Join Date]],TODAY()-Table1[[#This Row],[Join Date]]))/30</f>
        <v>22.533333333333335</v>
      </c>
      <c r="S48">
        <f ca="1">Table1[[#This Row],[Hire Date]]-Table1[[#This Row],[Job Posting Date]]</f>
        <v>75</v>
      </c>
      <c r="T48" s="7">
        <f ca="1">Table1[[#This Row],[Time to onboard]]/Table1[[#This Row],[Time to Fill]]*100</f>
        <v>16</v>
      </c>
      <c r="U48" s="8">
        <f ca="1">Table1[[#This Row],[Time to onboard]]/Table1[[#This Row],[Time to Fill]]*100</f>
        <v>16</v>
      </c>
      <c r="V48">
        <f ca="1">Table1[[#This Row],[Join Date]]-Table1[[#This Row],[Job Posting Date]]</f>
        <v>87</v>
      </c>
      <c r="W48">
        <f t="shared" ca="1" si="5"/>
        <v>147</v>
      </c>
      <c r="X48" s="8">
        <f ca="1">Table1[[#This Row],[Absentee Days]]/Table1[[#This Row],[Total Work Days]]*100</f>
        <v>0.38461538461538464</v>
      </c>
      <c r="Y48">
        <f ca="1">YEAR(Table1[[#This Row],[Join Date]])</f>
        <v>2018</v>
      </c>
      <c r="Z48">
        <f ca="1">IF(Table1[[#This Row],[Status]]="Active",1,0)</f>
        <v>0</v>
      </c>
      <c r="AA48">
        <f ca="1">IF(Table1[[#This Row],[Status]]="Exited",Table1[[#This Row],[Recruitment Cost]]+Table1[[#This Row],[Onboarding cost]]+Table1[[#This Row],[Training Cost]],0)</f>
        <v>6461</v>
      </c>
    </row>
    <row r="49" spans="1:27">
      <c r="A49" t="str">
        <f t="shared" si="8"/>
        <v>E048</v>
      </c>
      <c r="B49" t="str" cm="1">
        <f t="array" aca="1" ref="B49" ca="1">INDEX(sheet2!$A$2:$A$6, RANDBETWEEN(1, 5))</f>
        <v>IT</v>
      </c>
      <c r="C49" t="str">
        <f ca="1">_xlfn.XLOOKUP(Table1[[#This Row],[Department]],sheet2!$A$2:$A$6,sheet2!$B$2:$B$6,_xleta.NA,0)</f>
        <v>Software Engineer</v>
      </c>
      <c r="D49" s="1">
        <f t="shared" ca="1" si="9"/>
        <v>44808</v>
      </c>
      <c r="E49" s="1">
        <f ca="1">Table1[[#This Row],[Job Posting Date]]+ RANDBETWEEN(15, 90)</f>
        <v>44895</v>
      </c>
      <c r="F49" s="1">
        <f ca="1">Table1[[#This Row],[Hire Date]]+ RANDBETWEEN(1, 15)</f>
        <v>44909</v>
      </c>
      <c r="G49" s="1">
        <f ca="1">IF(RAND() &lt; 0.5,  Table1[[#This Row],[Join Date]]+ RANDBETWEEN(30, TODAY()- Table1[[#This Row],[Join Date]]), "-")</f>
        <v>45056</v>
      </c>
      <c r="H49" t="str">
        <f ca="1">IF(Table1[[#This Row],[Exit Date]]= "-", "Active", "Exited")</f>
        <v>Exited</v>
      </c>
      <c r="I49" s="5">
        <f t="shared" ca="1" si="10"/>
        <v>2453</v>
      </c>
      <c r="J49" t="str" cm="1">
        <f t="array" aca="1" ref="J49" ca="1">INDEX(sheet2!$C$2:$C$6, RANDBETWEEN(1, 5))</f>
        <v>Leadership Development</v>
      </c>
      <c r="K49" t="str">
        <f t="shared" ca="1" si="11"/>
        <v>Completed</v>
      </c>
      <c r="L49">
        <v>260</v>
      </c>
      <c r="M49">
        <f t="shared" ca="1" si="2"/>
        <v>17</v>
      </c>
      <c r="N49" t="str">
        <f t="shared" ca="1" si="3"/>
        <v>Female</v>
      </c>
      <c r="O49" s="6">
        <f t="shared" ca="1" si="4"/>
        <v>1452</v>
      </c>
      <c r="P49">
        <f ca="1">Table1[[#This Row],[Hire Date]]-Table1[[#This Row],[Job Posting Date]]</f>
        <v>87</v>
      </c>
      <c r="Q49" s="7">
        <f ca="1">Table1[[#This Row],[Join Date]]-Table1[[#This Row],[Hire Date]]</f>
        <v>14</v>
      </c>
      <c r="R49" s="8">
        <f ca="1">(IF(Table1[[#This Row],[Status]]="Exited",Table1[[#This Row],[Exit Date]]-Table1[[#This Row],[Join Date]],TODAY()-Table1[[#This Row],[Join Date]]))/30</f>
        <v>4.9000000000000004</v>
      </c>
      <c r="S49">
        <f ca="1">Table1[[#This Row],[Hire Date]]-Table1[[#This Row],[Job Posting Date]]</f>
        <v>87</v>
      </c>
      <c r="T49" s="7">
        <f ca="1">Table1[[#This Row],[Time to onboard]]/Table1[[#This Row],[Time to Fill]]*100</f>
        <v>16.091954022988507</v>
      </c>
      <c r="U49" s="8">
        <f ca="1">Table1[[#This Row],[Time to onboard]]/Table1[[#This Row],[Time to Fill]]*100</f>
        <v>16.091954022988507</v>
      </c>
      <c r="V49">
        <f ca="1">Table1[[#This Row],[Join Date]]-Table1[[#This Row],[Job Posting Date]]</f>
        <v>101</v>
      </c>
      <c r="W49">
        <f t="shared" ca="1" si="5"/>
        <v>159</v>
      </c>
      <c r="X49" s="8">
        <f ca="1">Table1[[#This Row],[Absentee Days]]/Table1[[#This Row],[Total Work Days]]*100</f>
        <v>6.5384615384615392</v>
      </c>
      <c r="Y49">
        <f ca="1">YEAR(Table1[[#This Row],[Join Date]])</f>
        <v>2022</v>
      </c>
      <c r="Z49">
        <f ca="1">IF(Table1[[#This Row],[Status]]="Active",1,0)</f>
        <v>0</v>
      </c>
      <c r="AA49">
        <f ca="1">IF(Table1[[#This Row],[Status]]="Exited",Table1[[#This Row],[Recruitment Cost]]+Table1[[#This Row],[Onboarding cost]]+Table1[[#This Row],[Training Cost]],0)</f>
        <v>4064</v>
      </c>
    </row>
    <row r="50" spans="1:27">
      <c r="A50" t="str">
        <f t="shared" si="8"/>
        <v>E049</v>
      </c>
      <c r="B50" t="str" cm="1">
        <f t="array" aca="1" ref="B50" ca="1">INDEX(sheet2!$A$2:$A$6, RANDBETWEEN(1, 5))</f>
        <v>Sales</v>
      </c>
      <c r="C50" t="str">
        <f ca="1">_xlfn.XLOOKUP(Table1[[#This Row],[Department]],sheet2!$A$2:$A$6,sheet2!$B$2:$B$6,_xleta.NA,0)</f>
        <v>Marketing Manager</v>
      </c>
      <c r="D50" s="1">
        <f t="shared" ca="1" si="9"/>
        <v>44801</v>
      </c>
      <c r="E50" s="1">
        <f ca="1">Table1[[#This Row],[Job Posting Date]]+ RANDBETWEEN(15, 90)</f>
        <v>44853</v>
      </c>
      <c r="F50" s="1">
        <f ca="1">Table1[[#This Row],[Hire Date]]+ RANDBETWEEN(1, 15)</f>
        <v>44867</v>
      </c>
      <c r="G50" s="1">
        <f ca="1">IF(RAND() &lt; 0.5,  Table1[[#This Row],[Join Date]]+ RANDBETWEEN(30, TODAY()- Table1[[#This Row],[Join Date]]), "-")</f>
        <v>45591</v>
      </c>
      <c r="H50" t="str">
        <f ca="1">IF(Table1[[#This Row],[Exit Date]]= "-", "Active", "Exited")</f>
        <v>Exited</v>
      </c>
      <c r="I50" s="5">
        <f t="shared" ca="1" si="10"/>
        <v>3645</v>
      </c>
      <c r="J50" t="str" cm="1">
        <f t="array" aca="1" ref="J50" ca="1">INDEX(sheet2!$C$2:$C$6, RANDBETWEEN(1, 5))</f>
        <v>Conflict Resolution</v>
      </c>
      <c r="K50" t="str">
        <f t="shared" ca="1" si="11"/>
        <v>Not Completed</v>
      </c>
      <c r="L50">
        <v>260</v>
      </c>
      <c r="M50">
        <f t="shared" ca="1" si="2"/>
        <v>20</v>
      </c>
      <c r="N50" t="str">
        <f t="shared" ca="1" si="3"/>
        <v>Male</v>
      </c>
      <c r="O50" s="6">
        <f t="shared" ca="1" si="4"/>
        <v>2311</v>
      </c>
      <c r="P50">
        <f ca="1">Table1[[#This Row],[Hire Date]]-Table1[[#This Row],[Job Posting Date]]</f>
        <v>52</v>
      </c>
      <c r="Q50" s="7">
        <f ca="1">Table1[[#This Row],[Join Date]]-Table1[[#This Row],[Hire Date]]</f>
        <v>14</v>
      </c>
      <c r="R50" s="8">
        <f ca="1">(IF(Table1[[#This Row],[Status]]="Exited",Table1[[#This Row],[Exit Date]]-Table1[[#This Row],[Join Date]],TODAY()-Table1[[#This Row],[Join Date]]))/30</f>
        <v>24.133333333333333</v>
      </c>
      <c r="S50">
        <f ca="1">Table1[[#This Row],[Hire Date]]-Table1[[#This Row],[Job Posting Date]]</f>
        <v>52</v>
      </c>
      <c r="T50" s="7">
        <f ca="1">Table1[[#This Row],[Time to onboard]]/Table1[[#This Row],[Time to Fill]]*100</f>
        <v>26.923076923076923</v>
      </c>
      <c r="U50" s="8">
        <f ca="1">Table1[[#This Row],[Time to onboard]]/Table1[[#This Row],[Time to Fill]]*100</f>
        <v>26.923076923076923</v>
      </c>
      <c r="V50">
        <f ca="1">Table1[[#This Row],[Join Date]]-Table1[[#This Row],[Job Posting Date]]</f>
        <v>66</v>
      </c>
      <c r="W50">
        <f t="shared" ca="1" si="5"/>
        <v>116</v>
      </c>
      <c r="X50" s="8">
        <f ca="1">Table1[[#This Row],[Absentee Days]]/Table1[[#This Row],[Total Work Days]]*100</f>
        <v>7.6923076923076925</v>
      </c>
      <c r="Y50">
        <f ca="1">YEAR(Table1[[#This Row],[Join Date]])</f>
        <v>2022</v>
      </c>
      <c r="Z50">
        <f ca="1">IF(Table1[[#This Row],[Status]]="Active",1,0)</f>
        <v>0</v>
      </c>
      <c r="AA50">
        <f ca="1">IF(Table1[[#This Row],[Status]]="Exited",Table1[[#This Row],[Recruitment Cost]]+Table1[[#This Row],[Onboarding cost]]+Table1[[#This Row],[Training Cost]],0)</f>
        <v>6072</v>
      </c>
    </row>
    <row r="51" spans="1:27">
      <c r="A51" t="str">
        <f t="shared" si="8"/>
        <v>E050</v>
      </c>
      <c r="B51" t="str" cm="1">
        <f t="array" aca="1" ref="B51" ca="1">INDEX(sheet2!$A$2:$A$6, RANDBETWEEN(1, 5))</f>
        <v>Analytics</v>
      </c>
      <c r="C51" t="str">
        <f ca="1">_xlfn.XLOOKUP(Table1[[#This Row],[Department]],sheet2!$A$2:$A$6,sheet2!$B$2:$B$6,_xleta.NA,0)</f>
        <v>Data Analyst</v>
      </c>
      <c r="D51" s="1">
        <f t="shared" ca="1" si="9"/>
        <v>43491</v>
      </c>
      <c r="E51" s="1">
        <f ca="1">Table1[[#This Row],[Job Posting Date]]+ RANDBETWEEN(15, 90)</f>
        <v>43545</v>
      </c>
      <c r="F51" s="1">
        <f ca="1">Table1[[#This Row],[Hire Date]]+ RANDBETWEEN(1, 15)</f>
        <v>43556</v>
      </c>
      <c r="G51" s="1">
        <f ca="1">IF(RAND() &lt; 0.5,  Table1[[#This Row],[Join Date]]+ RANDBETWEEN(30, TODAY()- Table1[[#This Row],[Join Date]]), "-")</f>
        <v>44714</v>
      </c>
      <c r="H51" t="str">
        <f ca="1">IF(Table1[[#This Row],[Exit Date]]= "-", "Active", "Exited")</f>
        <v>Exited</v>
      </c>
      <c r="I51" s="5">
        <f t="shared" ca="1" si="10"/>
        <v>3779</v>
      </c>
      <c r="J51" t="str" cm="1">
        <f t="array" aca="1" ref="J51" ca="1">INDEX(sheet2!$C$2:$C$6, RANDBETWEEN(1, 5))</f>
        <v>Conflict Resolution</v>
      </c>
      <c r="K51" t="str">
        <f t="shared" ca="1" si="11"/>
        <v>Completed</v>
      </c>
      <c r="L51">
        <v>260</v>
      </c>
      <c r="M51">
        <f t="shared" ca="1" si="2"/>
        <v>9</v>
      </c>
      <c r="N51" t="str">
        <f t="shared" ca="1" si="3"/>
        <v>Female</v>
      </c>
      <c r="O51" s="6">
        <f t="shared" ca="1" si="4"/>
        <v>1773</v>
      </c>
      <c r="P51">
        <f ca="1">Table1[[#This Row],[Hire Date]]-Table1[[#This Row],[Job Posting Date]]</f>
        <v>54</v>
      </c>
      <c r="Q51" s="7">
        <f ca="1">Table1[[#This Row],[Join Date]]-Table1[[#This Row],[Hire Date]]</f>
        <v>11</v>
      </c>
      <c r="R51" s="8">
        <f ca="1">(IF(Table1[[#This Row],[Status]]="Exited",Table1[[#This Row],[Exit Date]]-Table1[[#This Row],[Join Date]],TODAY()-Table1[[#This Row],[Join Date]]))/30</f>
        <v>38.6</v>
      </c>
      <c r="S51">
        <f ca="1">Table1[[#This Row],[Hire Date]]-Table1[[#This Row],[Job Posting Date]]</f>
        <v>54</v>
      </c>
      <c r="T51" s="7">
        <f ca="1">Table1[[#This Row],[Time to onboard]]/Table1[[#This Row],[Time to Fill]]*100</f>
        <v>20.37037037037037</v>
      </c>
      <c r="U51" s="8">
        <f ca="1">Table1[[#This Row],[Time to onboard]]/Table1[[#This Row],[Time to Fill]]*100</f>
        <v>20.37037037037037</v>
      </c>
      <c r="V51">
        <f ca="1">Table1[[#This Row],[Join Date]]-Table1[[#This Row],[Job Posting Date]]</f>
        <v>65</v>
      </c>
      <c r="W51">
        <f t="shared" ca="1" si="5"/>
        <v>144</v>
      </c>
      <c r="X51" s="8">
        <f ca="1">Table1[[#This Row],[Absentee Days]]/Table1[[#This Row],[Total Work Days]]*100</f>
        <v>3.4615384615384617</v>
      </c>
      <c r="Y51">
        <f ca="1">YEAR(Table1[[#This Row],[Join Date]])</f>
        <v>2019</v>
      </c>
      <c r="Z51">
        <f ca="1">IF(Table1[[#This Row],[Status]]="Active",1,0)</f>
        <v>0</v>
      </c>
      <c r="AA51">
        <f ca="1">IF(Table1[[#This Row],[Status]]="Exited",Table1[[#This Row],[Recruitment Cost]]+Table1[[#This Row],[Onboarding cost]]+Table1[[#This Row],[Training Cost]],0)</f>
        <v>5696</v>
      </c>
    </row>
    <row r="52" spans="1:27">
      <c r="A52" t="str">
        <f t="shared" si="8"/>
        <v>E051</v>
      </c>
      <c r="B52" t="str" cm="1">
        <f t="array" aca="1" ref="B52" ca="1">INDEX(sheet2!$A$2:$A$6, RANDBETWEEN(1, 5))</f>
        <v>Analytics</v>
      </c>
      <c r="C52" t="str">
        <f ca="1">_xlfn.XLOOKUP(Table1[[#This Row],[Department]],sheet2!$A$2:$A$6,sheet2!$B$2:$B$6,_xleta.NA,0)</f>
        <v>Data Analyst</v>
      </c>
      <c r="D52" s="1">
        <f t="shared" ca="1" si="9"/>
        <v>44131</v>
      </c>
      <c r="E52" s="1">
        <f ca="1">Table1[[#This Row],[Job Posting Date]]+ RANDBETWEEN(15, 90)</f>
        <v>44177</v>
      </c>
      <c r="F52" s="1">
        <f ca="1">Table1[[#This Row],[Hire Date]]+ RANDBETWEEN(1, 15)</f>
        <v>44185</v>
      </c>
      <c r="G52" s="1">
        <f ca="1">IF(RAND() &lt; 0.5,  Table1[[#This Row],[Join Date]]+ RANDBETWEEN(30, TODAY()- Table1[[#This Row],[Join Date]]), "-")</f>
        <v>44922</v>
      </c>
      <c r="H52" t="str">
        <f ca="1">IF(Table1[[#This Row],[Exit Date]]= "-", "Active", "Exited")</f>
        <v>Exited</v>
      </c>
      <c r="I52" s="5">
        <f t="shared" ca="1" si="10"/>
        <v>2791</v>
      </c>
      <c r="J52" t="str" cm="1">
        <f t="array" aca="1" ref="J52" ca="1">INDEX(sheet2!$C$2:$C$6, RANDBETWEEN(1, 5))</f>
        <v>Leadership Development</v>
      </c>
      <c r="K52" t="str">
        <f t="shared" ca="1" si="11"/>
        <v>Completed</v>
      </c>
      <c r="L52">
        <v>260</v>
      </c>
      <c r="M52">
        <f t="shared" ca="1" si="2"/>
        <v>1</v>
      </c>
      <c r="N52" t="str">
        <f t="shared" ca="1" si="3"/>
        <v>Male</v>
      </c>
      <c r="O52" s="6">
        <f t="shared" ca="1" si="4"/>
        <v>1320</v>
      </c>
      <c r="P52">
        <f ca="1">Table1[[#This Row],[Hire Date]]-Table1[[#This Row],[Job Posting Date]]</f>
        <v>46</v>
      </c>
      <c r="Q52" s="7">
        <f ca="1">Table1[[#This Row],[Join Date]]-Table1[[#This Row],[Hire Date]]</f>
        <v>8</v>
      </c>
      <c r="R52" s="8">
        <f ca="1">(IF(Table1[[#This Row],[Status]]="Exited",Table1[[#This Row],[Exit Date]]-Table1[[#This Row],[Join Date]],TODAY()-Table1[[#This Row],[Join Date]]))/30</f>
        <v>24.566666666666666</v>
      </c>
      <c r="S52">
        <f ca="1">Table1[[#This Row],[Hire Date]]-Table1[[#This Row],[Job Posting Date]]</f>
        <v>46</v>
      </c>
      <c r="T52" s="7">
        <f ca="1">Table1[[#This Row],[Time to onboard]]/Table1[[#This Row],[Time to Fill]]*100</f>
        <v>17.391304347826086</v>
      </c>
      <c r="U52" s="8">
        <f ca="1">Table1[[#This Row],[Time to onboard]]/Table1[[#This Row],[Time to Fill]]*100</f>
        <v>17.391304347826086</v>
      </c>
      <c r="V52">
        <f ca="1">Table1[[#This Row],[Join Date]]-Table1[[#This Row],[Job Posting Date]]</f>
        <v>54</v>
      </c>
      <c r="W52">
        <f t="shared" ca="1" si="5"/>
        <v>142</v>
      </c>
      <c r="X52" s="8">
        <f ca="1">Table1[[#This Row],[Absentee Days]]/Table1[[#This Row],[Total Work Days]]*100</f>
        <v>0.38461538461538464</v>
      </c>
      <c r="Y52">
        <f ca="1">YEAR(Table1[[#This Row],[Join Date]])</f>
        <v>2020</v>
      </c>
      <c r="Z52">
        <f ca="1">IF(Table1[[#This Row],[Status]]="Active",1,0)</f>
        <v>0</v>
      </c>
      <c r="AA52">
        <f ca="1">IF(Table1[[#This Row],[Status]]="Exited",Table1[[#This Row],[Recruitment Cost]]+Table1[[#This Row],[Onboarding cost]]+Table1[[#This Row],[Training Cost]],0)</f>
        <v>4253</v>
      </c>
    </row>
    <row r="53" spans="1:27">
      <c r="A53" t="str">
        <f t="shared" si="8"/>
        <v>E052</v>
      </c>
      <c r="B53" t="str" cm="1">
        <f t="array" aca="1" ref="B53" ca="1">INDEX(sheet2!$A$2:$A$6, RANDBETWEEN(1, 5))</f>
        <v>Finance</v>
      </c>
      <c r="C53" t="str">
        <f ca="1">_xlfn.XLOOKUP(Table1[[#This Row],[Department]],sheet2!$A$2:$A$6,sheet2!$B$2:$B$6,_xleta.NA,0)</f>
        <v>Finance Manager</v>
      </c>
      <c r="D53" s="1">
        <f t="shared" ca="1" si="9"/>
        <v>44062</v>
      </c>
      <c r="E53" s="1">
        <f ca="1">Table1[[#This Row],[Job Posting Date]]+ RANDBETWEEN(15, 90)</f>
        <v>44077</v>
      </c>
      <c r="F53" s="1">
        <f ca="1">Table1[[#This Row],[Hire Date]]+ RANDBETWEEN(1, 15)</f>
        <v>44083</v>
      </c>
      <c r="G53" s="1">
        <f ca="1">IF(RAND() &lt; 0.5,  Table1[[#This Row],[Join Date]]+ RANDBETWEEN(30, TODAY()- Table1[[#This Row],[Join Date]]), "-")</f>
        <v>44984</v>
      </c>
      <c r="H53" t="str">
        <f ca="1">IF(Table1[[#This Row],[Exit Date]]= "-", "Active", "Exited")</f>
        <v>Exited</v>
      </c>
      <c r="I53" s="5">
        <f t="shared" ca="1" si="10"/>
        <v>4904</v>
      </c>
      <c r="J53" t="str" cm="1">
        <f t="array" aca="1" ref="J53" ca="1">INDEX(sheet2!$C$2:$C$6, RANDBETWEEN(1, 5))</f>
        <v>Conflict Resolution</v>
      </c>
      <c r="K53" t="str">
        <f t="shared" ca="1" si="11"/>
        <v>Not Completed</v>
      </c>
      <c r="L53">
        <v>260</v>
      </c>
      <c r="M53">
        <f t="shared" ca="1" si="2"/>
        <v>3</v>
      </c>
      <c r="N53" t="str">
        <f t="shared" ca="1" si="3"/>
        <v>Other</v>
      </c>
      <c r="O53" s="6">
        <f t="shared" ca="1" si="4"/>
        <v>1298</v>
      </c>
      <c r="P53">
        <f ca="1">Table1[[#This Row],[Hire Date]]-Table1[[#This Row],[Job Posting Date]]</f>
        <v>15</v>
      </c>
      <c r="Q53" s="7">
        <f ca="1">Table1[[#This Row],[Join Date]]-Table1[[#This Row],[Hire Date]]</f>
        <v>6</v>
      </c>
      <c r="R53" s="8">
        <f ca="1">(IF(Table1[[#This Row],[Status]]="Exited",Table1[[#This Row],[Exit Date]]-Table1[[#This Row],[Join Date]],TODAY()-Table1[[#This Row],[Join Date]]))/30</f>
        <v>30.033333333333335</v>
      </c>
      <c r="S53">
        <f ca="1">Table1[[#This Row],[Hire Date]]-Table1[[#This Row],[Job Posting Date]]</f>
        <v>15</v>
      </c>
      <c r="T53" s="7">
        <f ca="1">Table1[[#This Row],[Time to onboard]]/Table1[[#This Row],[Time to Fill]]*100</f>
        <v>40</v>
      </c>
      <c r="U53" s="8">
        <f ca="1">Table1[[#This Row],[Time to onboard]]/Table1[[#This Row],[Time to Fill]]*100</f>
        <v>40</v>
      </c>
      <c r="V53">
        <f ca="1">Table1[[#This Row],[Join Date]]-Table1[[#This Row],[Job Posting Date]]</f>
        <v>21</v>
      </c>
      <c r="W53">
        <f t="shared" ca="1" si="5"/>
        <v>175</v>
      </c>
      <c r="X53" s="8">
        <f ca="1">Table1[[#This Row],[Absentee Days]]/Table1[[#This Row],[Total Work Days]]*100</f>
        <v>1.153846153846154</v>
      </c>
      <c r="Y53">
        <f ca="1">YEAR(Table1[[#This Row],[Join Date]])</f>
        <v>2020</v>
      </c>
      <c r="Z53">
        <f ca="1">IF(Table1[[#This Row],[Status]]="Active",1,0)</f>
        <v>0</v>
      </c>
      <c r="AA53">
        <f ca="1">IF(Table1[[#This Row],[Status]]="Exited",Table1[[#This Row],[Recruitment Cost]]+Table1[[#This Row],[Onboarding cost]]+Table1[[#This Row],[Training Cost]],0)</f>
        <v>6377</v>
      </c>
    </row>
    <row r="54" spans="1:27">
      <c r="A54" t="str">
        <f t="shared" si="8"/>
        <v>E053</v>
      </c>
      <c r="B54" t="str" cm="1">
        <f t="array" aca="1" ref="B54" ca="1">INDEX(sheet2!$A$2:$A$6, RANDBETWEEN(1, 5))</f>
        <v>Analytics</v>
      </c>
      <c r="C54" t="str">
        <f ca="1">_xlfn.XLOOKUP(Table1[[#This Row],[Department]],sheet2!$A$2:$A$6,sheet2!$B$2:$B$6,_xleta.NA,0)</f>
        <v>Data Analyst</v>
      </c>
      <c r="D54" s="1">
        <f t="shared" ca="1" si="9"/>
        <v>43151</v>
      </c>
      <c r="E54" s="1">
        <f ca="1">Table1[[#This Row],[Job Posting Date]]+ RANDBETWEEN(15, 90)</f>
        <v>43193</v>
      </c>
      <c r="F54" s="1">
        <f ca="1">Table1[[#This Row],[Hire Date]]+ RANDBETWEEN(1, 15)</f>
        <v>43207</v>
      </c>
      <c r="G54" s="1" t="str">
        <f ca="1">IF(RAND() &lt; 0.5,  Table1[[#This Row],[Join Date]]+ RANDBETWEEN(30, TODAY()- Table1[[#This Row],[Join Date]]), "-")</f>
        <v>-</v>
      </c>
      <c r="H54" t="str">
        <f ca="1">IF(Table1[[#This Row],[Exit Date]]= "-", "Active", "Exited")</f>
        <v>Active</v>
      </c>
      <c r="I54" s="5">
        <f t="shared" ca="1" si="10"/>
        <v>3576</v>
      </c>
      <c r="J54" t="str" cm="1">
        <f t="array" aca="1" ref="J54" ca="1">INDEX(sheet2!$C$2:$C$6, RANDBETWEEN(1, 5))</f>
        <v>Conflict Resolution</v>
      </c>
      <c r="K54" t="str">
        <f t="shared" ca="1" si="11"/>
        <v>Completed</v>
      </c>
      <c r="L54">
        <v>260</v>
      </c>
      <c r="M54">
        <f t="shared" ca="1" si="2"/>
        <v>1</v>
      </c>
      <c r="N54" t="str">
        <f t="shared" ca="1" si="3"/>
        <v>Male</v>
      </c>
      <c r="O54" s="6">
        <f t="shared" ca="1" si="4"/>
        <v>1546</v>
      </c>
      <c r="P54">
        <f ca="1">Table1[[#This Row],[Hire Date]]-Table1[[#This Row],[Job Posting Date]]</f>
        <v>42</v>
      </c>
      <c r="Q54" s="7">
        <f ca="1">Table1[[#This Row],[Join Date]]-Table1[[#This Row],[Hire Date]]</f>
        <v>14</v>
      </c>
      <c r="R54" s="8">
        <f ca="1">(IF(Table1[[#This Row],[Status]]="Exited",Table1[[#This Row],[Exit Date]]-Table1[[#This Row],[Join Date]],TODAY()-Table1[[#This Row],[Join Date]]))/30</f>
        <v>81.86666666666666</v>
      </c>
      <c r="S54">
        <f ca="1">Table1[[#This Row],[Hire Date]]-Table1[[#This Row],[Job Posting Date]]</f>
        <v>42</v>
      </c>
      <c r="T54" s="7">
        <f ca="1">Table1[[#This Row],[Time to onboard]]/Table1[[#This Row],[Time to Fill]]*100</f>
        <v>33.333333333333329</v>
      </c>
      <c r="U54" s="8">
        <f ca="1">Table1[[#This Row],[Time to onboard]]/Table1[[#This Row],[Time to Fill]]*100</f>
        <v>33.333333333333329</v>
      </c>
      <c r="V54">
        <f ca="1">Table1[[#This Row],[Join Date]]-Table1[[#This Row],[Job Posting Date]]</f>
        <v>56</v>
      </c>
      <c r="W54">
        <f t="shared" ca="1" si="5"/>
        <v>152</v>
      </c>
      <c r="X54" s="8">
        <f ca="1">Table1[[#This Row],[Absentee Days]]/Table1[[#This Row],[Total Work Days]]*100</f>
        <v>0.38461538461538464</v>
      </c>
      <c r="Y54">
        <f ca="1">YEAR(Table1[[#This Row],[Join Date]])</f>
        <v>2018</v>
      </c>
      <c r="Z54">
        <f ca="1">IF(Table1[[#This Row],[Status]]="Active",1,0)</f>
        <v>1</v>
      </c>
      <c r="AA54">
        <f ca="1">IF(Table1[[#This Row],[Status]]="Exited",Table1[[#This Row],[Recruitment Cost]]+Table1[[#This Row],[Onboarding cost]]+Table1[[#This Row],[Training Cost]],0)</f>
        <v>0</v>
      </c>
    </row>
    <row r="55" spans="1:27">
      <c r="A55" t="str">
        <f t="shared" si="8"/>
        <v>E054</v>
      </c>
      <c r="B55" t="str" cm="1">
        <f t="array" aca="1" ref="B55" ca="1">INDEX(sheet2!$A$2:$A$6, RANDBETWEEN(1, 5))</f>
        <v>Sales</v>
      </c>
      <c r="C55" t="str">
        <f ca="1">_xlfn.XLOOKUP(Table1[[#This Row],[Department]],sheet2!$A$2:$A$6,sheet2!$B$2:$B$6,_xleta.NA,0)</f>
        <v>Marketing Manager</v>
      </c>
      <c r="D55" s="1">
        <f t="shared" ca="1" si="9"/>
        <v>44221</v>
      </c>
      <c r="E55" s="1">
        <f ca="1">Table1[[#This Row],[Job Posting Date]]+ RANDBETWEEN(15, 90)</f>
        <v>44247</v>
      </c>
      <c r="F55" s="1">
        <f ca="1">Table1[[#This Row],[Hire Date]]+ RANDBETWEEN(1, 15)</f>
        <v>44256</v>
      </c>
      <c r="G55" s="1">
        <f ca="1">IF(RAND() &lt; 0.5,  Table1[[#This Row],[Join Date]]+ RANDBETWEEN(30, TODAY()- Table1[[#This Row],[Join Date]]), "-")</f>
        <v>45442</v>
      </c>
      <c r="H55" t="str">
        <f ca="1">IF(Table1[[#This Row],[Exit Date]]= "-", "Active", "Exited")</f>
        <v>Exited</v>
      </c>
      <c r="I55" s="5">
        <f t="shared" ca="1" si="10"/>
        <v>4419</v>
      </c>
      <c r="J55" t="str" cm="1">
        <f t="array" aca="1" ref="J55" ca="1">INDEX(sheet2!$C$2:$C$6, RANDBETWEEN(1, 5))</f>
        <v>Ethics and Responsibilities</v>
      </c>
      <c r="K55" t="str">
        <f t="shared" ca="1" si="11"/>
        <v>Completed</v>
      </c>
      <c r="L55">
        <v>260</v>
      </c>
      <c r="M55">
        <f t="shared" ca="1" si="2"/>
        <v>12</v>
      </c>
      <c r="N55" t="str">
        <f t="shared" ca="1" si="3"/>
        <v>Male</v>
      </c>
      <c r="O55" s="6">
        <f t="shared" ca="1" si="4"/>
        <v>1466</v>
      </c>
      <c r="P55">
        <f ca="1">Table1[[#This Row],[Hire Date]]-Table1[[#This Row],[Job Posting Date]]</f>
        <v>26</v>
      </c>
      <c r="Q55" s="7">
        <f ca="1">Table1[[#This Row],[Join Date]]-Table1[[#This Row],[Hire Date]]</f>
        <v>9</v>
      </c>
      <c r="R55" s="8">
        <f ca="1">(IF(Table1[[#This Row],[Status]]="Exited",Table1[[#This Row],[Exit Date]]-Table1[[#This Row],[Join Date]],TODAY()-Table1[[#This Row],[Join Date]]))/30</f>
        <v>39.533333333333331</v>
      </c>
      <c r="S55">
        <f ca="1">Table1[[#This Row],[Hire Date]]-Table1[[#This Row],[Job Posting Date]]</f>
        <v>26</v>
      </c>
      <c r="T55" s="7">
        <f ca="1">Table1[[#This Row],[Time to onboard]]/Table1[[#This Row],[Time to Fill]]*100</f>
        <v>34.615384615384613</v>
      </c>
      <c r="U55" s="8">
        <f ca="1">Table1[[#This Row],[Time to onboard]]/Table1[[#This Row],[Time to Fill]]*100</f>
        <v>34.615384615384613</v>
      </c>
      <c r="V55">
        <f ca="1">Table1[[#This Row],[Join Date]]-Table1[[#This Row],[Job Posting Date]]</f>
        <v>35</v>
      </c>
      <c r="W55">
        <f t="shared" ca="1" si="5"/>
        <v>102</v>
      </c>
      <c r="X55" s="8">
        <f ca="1">Table1[[#This Row],[Absentee Days]]/Table1[[#This Row],[Total Work Days]]*100</f>
        <v>4.6153846153846159</v>
      </c>
      <c r="Y55">
        <f ca="1">YEAR(Table1[[#This Row],[Join Date]])</f>
        <v>2021</v>
      </c>
      <c r="Z55">
        <f ca="1">IF(Table1[[#This Row],[Status]]="Active",1,0)</f>
        <v>0</v>
      </c>
      <c r="AA55">
        <f ca="1">IF(Table1[[#This Row],[Status]]="Exited",Table1[[#This Row],[Recruitment Cost]]+Table1[[#This Row],[Onboarding cost]]+Table1[[#This Row],[Training Cost]],0)</f>
        <v>5987</v>
      </c>
    </row>
    <row r="56" spans="1:27">
      <c r="A56" t="str">
        <f t="shared" si="8"/>
        <v>E055</v>
      </c>
      <c r="B56" t="str" cm="1">
        <f t="array" aca="1" ref="B56" ca="1">INDEX(sheet2!$A$2:$A$6, RANDBETWEEN(1, 5))</f>
        <v>Analytics</v>
      </c>
      <c r="C56" t="str">
        <f ca="1">_xlfn.XLOOKUP(Table1[[#This Row],[Department]],sheet2!$A$2:$A$6,sheet2!$B$2:$B$6,_xleta.NA,0)</f>
        <v>Data Analyst</v>
      </c>
      <c r="D56" s="1">
        <f t="shared" ca="1" si="9"/>
        <v>43710</v>
      </c>
      <c r="E56" s="1">
        <f ca="1">Table1[[#This Row],[Job Posting Date]]+ RANDBETWEEN(15, 90)</f>
        <v>43799</v>
      </c>
      <c r="F56" s="1">
        <f ca="1">Table1[[#This Row],[Hire Date]]+ RANDBETWEEN(1, 15)</f>
        <v>43812</v>
      </c>
      <c r="G56" s="1" t="str">
        <f ca="1">IF(RAND() &lt; 0.5,  Table1[[#This Row],[Join Date]]+ RANDBETWEEN(30, TODAY()- Table1[[#This Row],[Join Date]]), "-")</f>
        <v>-</v>
      </c>
      <c r="H56" t="str">
        <f ca="1">IF(Table1[[#This Row],[Exit Date]]= "-", "Active", "Exited")</f>
        <v>Active</v>
      </c>
      <c r="I56" s="5">
        <f t="shared" ca="1" si="10"/>
        <v>1818</v>
      </c>
      <c r="J56" t="str" cm="1">
        <f t="array" aca="1" ref="J56" ca="1">INDEX(sheet2!$C$2:$C$6, RANDBETWEEN(1, 5))</f>
        <v>Communication Skills</v>
      </c>
      <c r="K56" t="str">
        <f t="shared" ca="1" si="11"/>
        <v>Not Completed</v>
      </c>
      <c r="L56">
        <v>260</v>
      </c>
      <c r="M56">
        <f t="shared" ca="1" si="2"/>
        <v>9</v>
      </c>
      <c r="N56" t="str">
        <f t="shared" ca="1" si="3"/>
        <v>Other</v>
      </c>
      <c r="O56" s="6">
        <f t="shared" ca="1" si="4"/>
        <v>1603</v>
      </c>
      <c r="P56">
        <f ca="1">Table1[[#This Row],[Hire Date]]-Table1[[#This Row],[Job Posting Date]]</f>
        <v>89</v>
      </c>
      <c r="Q56" s="7">
        <f ca="1">Table1[[#This Row],[Join Date]]-Table1[[#This Row],[Hire Date]]</f>
        <v>13</v>
      </c>
      <c r="R56" s="8">
        <f ca="1">(IF(Table1[[#This Row],[Status]]="Exited",Table1[[#This Row],[Exit Date]]-Table1[[#This Row],[Join Date]],TODAY()-Table1[[#This Row],[Join Date]]))/30</f>
        <v>61.7</v>
      </c>
      <c r="S56">
        <f ca="1">Table1[[#This Row],[Hire Date]]-Table1[[#This Row],[Job Posting Date]]</f>
        <v>89</v>
      </c>
      <c r="T56" s="7">
        <f ca="1">Table1[[#This Row],[Time to onboard]]/Table1[[#This Row],[Time to Fill]]*100</f>
        <v>14.606741573033707</v>
      </c>
      <c r="U56" s="8">
        <f ca="1">Table1[[#This Row],[Time to onboard]]/Table1[[#This Row],[Time to Fill]]*100</f>
        <v>14.606741573033707</v>
      </c>
      <c r="V56">
        <f ca="1">Table1[[#This Row],[Join Date]]-Table1[[#This Row],[Job Posting Date]]</f>
        <v>102</v>
      </c>
      <c r="W56">
        <f t="shared" ca="1" si="5"/>
        <v>117</v>
      </c>
      <c r="X56" s="8">
        <f ca="1">Table1[[#This Row],[Absentee Days]]/Table1[[#This Row],[Total Work Days]]*100</f>
        <v>3.4615384615384617</v>
      </c>
      <c r="Y56">
        <f ca="1">YEAR(Table1[[#This Row],[Join Date]])</f>
        <v>2019</v>
      </c>
      <c r="Z56">
        <f ca="1">IF(Table1[[#This Row],[Status]]="Active",1,0)</f>
        <v>1</v>
      </c>
      <c r="AA56">
        <f ca="1">IF(Table1[[#This Row],[Status]]="Exited",Table1[[#This Row],[Recruitment Cost]]+Table1[[#This Row],[Onboarding cost]]+Table1[[#This Row],[Training Cost]],0)</f>
        <v>0</v>
      </c>
    </row>
    <row r="57" spans="1:27">
      <c r="A57" t="str">
        <f t="shared" si="8"/>
        <v>E056</v>
      </c>
      <c r="B57" t="str" cm="1">
        <f t="array" aca="1" ref="B57" ca="1">INDEX(sheet2!$A$2:$A$6, RANDBETWEEN(1, 5))</f>
        <v>Finance</v>
      </c>
      <c r="C57" t="str">
        <f ca="1">_xlfn.XLOOKUP(Table1[[#This Row],[Department]],sheet2!$A$2:$A$6,sheet2!$B$2:$B$6,_xleta.NA,0)</f>
        <v>Finance Manager</v>
      </c>
      <c r="D57" s="1">
        <f t="shared" ca="1" si="9"/>
        <v>44123</v>
      </c>
      <c r="E57" s="1">
        <f ca="1">Table1[[#This Row],[Job Posting Date]]+ RANDBETWEEN(15, 90)</f>
        <v>44168</v>
      </c>
      <c r="F57" s="1">
        <f ca="1">Table1[[#This Row],[Hire Date]]+ RANDBETWEEN(1, 15)</f>
        <v>44181</v>
      </c>
      <c r="G57" s="1" t="str">
        <f ca="1">IF(RAND() &lt; 0.5,  Table1[[#This Row],[Join Date]]+ RANDBETWEEN(30, TODAY()- Table1[[#This Row],[Join Date]]), "-")</f>
        <v>-</v>
      </c>
      <c r="H57" t="str">
        <f ca="1">IF(Table1[[#This Row],[Exit Date]]= "-", "Active", "Exited")</f>
        <v>Active</v>
      </c>
      <c r="I57" s="5">
        <f t="shared" ca="1" si="10"/>
        <v>1916</v>
      </c>
      <c r="J57" t="str" cm="1">
        <f t="array" aca="1" ref="J57" ca="1">INDEX(sheet2!$C$2:$C$6, RANDBETWEEN(1, 5))</f>
        <v>Leadership Development</v>
      </c>
      <c r="K57" t="str">
        <f t="shared" ca="1" si="11"/>
        <v>Completed</v>
      </c>
      <c r="L57">
        <v>260</v>
      </c>
      <c r="M57">
        <f t="shared" ca="1" si="2"/>
        <v>9</v>
      </c>
      <c r="N57" t="str">
        <f t="shared" ca="1" si="3"/>
        <v>Male</v>
      </c>
      <c r="O57" s="6">
        <f t="shared" ca="1" si="4"/>
        <v>2415</v>
      </c>
      <c r="P57">
        <f ca="1">Table1[[#This Row],[Hire Date]]-Table1[[#This Row],[Job Posting Date]]</f>
        <v>45</v>
      </c>
      <c r="Q57" s="7">
        <f ca="1">Table1[[#This Row],[Join Date]]-Table1[[#This Row],[Hire Date]]</f>
        <v>13</v>
      </c>
      <c r="R57" s="8">
        <f ca="1">(IF(Table1[[#This Row],[Status]]="Exited",Table1[[#This Row],[Exit Date]]-Table1[[#This Row],[Join Date]],TODAY()-Table1[[#This Row],[Join Date]]))/30</f>
        <v>49.4</v>
      </c>
      <c r="S57">
        <f ca="1">Table1[[#This Row],[Hire Date]]-Table1[[#This Row],[Job Posting Date]]</f>
        <v>45</v>
      </c>
      <c r="T57" s="7">
        <f ca="1">Table1[[#This Row],[Time to onboard]]/Table1[[#This Row],[Time to Fill]]*100</f>
        <v>28.888888888888886</v>
      </c>
      <c r="U57" s="8">
        <f ca="1">Table1[[#This Row],[Time to onboard]]/Table1[[#This Row],[Time to Fill]]*100</f>
        <v>28.888888888888886</v>
      </c>
      <c r="V57">
        <f ca="1">Table1[[#This Row],[Join Date]]-Table1[[#This Row],[Job Posting Date]]</f>
        <v>58</v>
      </c>
      <c r="W57">
        <f t="shared" ca="1" si="5"/>
        <v>136</v>
      </c>
      <c r="X57" s="8">
        <f ca="1">Table1[[#This Row],[Absentee Days]]/Table1[[#This Row],[Total Work Days]]*100</f>
        <v>3.4615384615384617</v>
      </c>
      <c r="Y57">
        <f ca="1">YEAR(Table1[[#This Row],[Join Date]])</f>
        <v>2020</v>
      </c>
      <c r="Z57">
        <f ca="1">IF(Table1[[#This Row],[Status]]="Active",1,0)</f>
        <v>1</v>
      </c>
      <c r="AA57">
        <f ca="1">IF(Table1[[#This Row],[Status]]="Exited",Table1[[#This Row],[Recruitment Cost]]+Table1[[#This Row],[Onboarding cost]]+Table1[[#This Row],[Training Cost]],0)</f>
        <v>0</v>
      </c>
    </row>
    <row r="58" spans="1:27">
      <c r="A58" t="str">
        <f t="shared" si="8"/>
        <v>E057</v>
      </c>
      <c r="B58" t="str" cm="1">
        <f t="array" aca="1" ref="B58" ca="1">INDEX(sheet2!$A$2:$A$6, RANDBETWEEN(1, 5))</f>
        <v>Analytics</v>
      </c>
      <c r="C58" t="str">
        <f ca="1">_xlfn.XLOOKUP(Table1[[#This Row],[Department]],sheet2!$A$2:$A$6,sheet2!$B$2:$B$6,_xleta.NA,0)</f>
        <v>Data Analyst</v>
      </c>
      <c r="D58" s="1">
        <f t="shared" ca="1" si="9"/>
        <v>43296</v>
      </c>
      <c r="E58" s="1">
        <f ca="1">Table1[[#This Row],[Job Posting Date]]+ RANDBETWEEN(15, 90)</f>
        <v>43358</v>
      </c>
      <c r="F58" s="1">
        <f ca="1">Table1[[#This Row],[Hire Date]]+ RANDBETWEEN(1, 15)</f>
        <v>43361</v>
      </c>
      <c r="G58" s="1" t="str">
        <f ca="1">IF(RAND() &lt; 0.5,  Table1[[#This Row],[Join Date]]+ RANDBETWEEN(30, TODAY()- Table1[[#This Row],[Join Date]]), "-")</f>
        <v>-</v>
      </c>
      <c r="H58" t="str">
        <f ca="1">IF(Table1[[#This Row],[Exit Date]]= "-", "Active", "Exited")</f>
        <v>Active</v>
      </c>
      <c r="I58" s="5">
        <f t="shared" ca="1" si="10"/>
        <v>2215</v>
      </c>
      <c r="J58" t="str" cm="1">
        <f t="array" aca="1" ref="J58" ca="1">INDEX(sheet2!$C$2:$C$6, RANDBETWEEN(1, 5))</f>
        <v>Communication Skills</v>
      </c>
      <c r="K58" t="str">
        <f t="shared" ca="1" si="11"/>
        <v>Not Completed</v>
      </c>
      <c r="L58">
        <v>260</v>
      </c>
      <c r="M58">
        <f t="shared" ca="1" si="2"/>
        <v>12</v>
      </c>
      <c r="N58" t="str">
        <f t="shared" ca="1" si="3"/>
        <v>Other</v>
      </c>
      <c r="O58" s="6">
        <f t="shared" ca="1" si="4"/>
        <v>2406</v>
      </c>
      <c r="P58">
        <f ca="1">Table1[[#This Row],[Hire Date]]-Table1[[#This Row],[Job Posting Date]]</f>
        <v>62</v>
      </c>
      <c r="Q58" s="7">
        <f ca="1">Table1[[#This Row],[Join Date]]-Table1[[#This Row],[Hire Date]]</f>
        <v>3</v>
      </c>
      <c r="R58" s="8">
        <f ca="1">(IF(Table1[[#This Row],[Status]]="Exited",Table1[[#This Row],[Exit Date]]-Table1[[#This Row],[Join Date]],TODAY()-Table1[[#This Row],[Join Date]]))/30</f>
        <v>76.733333333333334</v>
      </c>
      <c r="S58">
        <f ca="1">Table1[[#This Row],[Hire Date]]-Table1[[#This Row],[Job Posting Date]]</f>
        <v>62</v>
      </c>
      <c r="T58" s="7">
        <f ca="1">Table1[[#This Row],[Time to onboard]]/Table1[[#This Row],[Time to Fill]]*100</f>
        <v>4.838709677419355</v>
      </c>
      <c r="U58" s="8">
        <f ca="1">Table1[[#This Row],[Time to onboard]]/Table1[[#This Row],[Time to Fill]]*100</f>
        <v>4.838709677419355</v>
      </c>
      <c r="V58">
        <f ca="1">Table1[[#This Row],[Join Date]]-Table1[[#This Row],[Job Posting Date]]</f>
        <v>65</v>
      </c>
      <c r="W58">
        <f t="shared" ca="1" si="5"/>
        <v>131</v>
      </c>
      <c r="X58" s="8">
        <f ca="1">Table1[[#This Row],[Absentee Days]]/Table1[[#This Row],[Total Work Days]]*100</f>
        <v>4.6153846153846159</v>
      </c>
      <c r="Y58">
        <f ca="1">YEAR(Table1[[#This Row],[Join Date]])</f>
        <v>2018</v>
      </c>
      <c r="Z58">
        <f ca="1">IF(Table1[[#This Row],[Status]]="Active",1,0)</f>
        <v>1</v>
      </c>
      <c r="AA58">
        <f ca="1">IF(Table1[[#This Row],[Status]]="Exited",Table1[[#This Row],[Recruitment Cost]]+Table1[[#This Row],[Onboarding cost]]+Table1[[#This Row],[Training Cost]],0)</f>
        <v>0</v>
      </c>
    </row>
    <row r="59" spans="1:27">
      <c r="A59" t="str">
        <f t="shared" si="8"/>
        <v>E058</v>
      </c>
      <c r="B59" t="str" cm="1">
        <f t="array" aca="1" ref="B59" ca="1">INDEX(sheet2!$A$2:$A$6, RANDBETWEEN(1, 5))</f>
        <v>Sales</v>
      </c>
      <c r="C59" t="str">
        <f ca="1">_xlfn.XLOOKUP(Table1[[#This Row],[Department]],sheet2!$A$2:$A$6,sheet2!$B$2:$B$6,_xleta.NA,0)</f>
        <v>Marketing Manager</v>
      </c>
      <c r="D59" s="1">
        <f t="shared" ca="1" si="9"/>
        <v>44728</v>
      </c>
      <c r="E59" s="1">
        <f ca="1">Table1[[#This Row],[Job Posting Date]]+ RANDBETWEEN(15, 90)</f>
        <v>44814</v>
      </c>
      <c r="F59" s="1">
        <f ca="1">Table1[[#This Row],[Hire Date]]+ RANDBETWEEN(1, 15)</f>
        <v>44823</v>
      </c>
      <c r="G59" s="1">
        <f ca="1">IF(RAND() &lt; 0.5,  Table1[[#This Row],[Join Date]]+ RANDBETWEEN(30, TODAY()- Table1[[#This Row],[Join Date]]), "-")</f>
        <v>45149</v>
      </c>
      <c r="H59" t="str">
        <f ca="1">IF(Table1[[#This Row],[Exit Date]]= "-", "Active", "Exited")</f>
        <v>Exited</v>
      </c>
      <c r="I59" s="5">
        <f t="shared" ca="1" si="10"/>
        <v>2540</v>
      </c>
      <c r="J59" t="str" cm="1">
        <f t="array" aca="1" ref="J59" ca="1">INDEX(sheet2!$C$2:$C$6, RANDBETWEEN(1, 5))</f>
        <v>Leadership Development</v>
      </c>
      <c r="K59" t="str">
        <f t="shared" ca="1" si="11"/>
        <v>Completed</v>
      </c>
      <c r="L59">
        <v>260</v>
      </c>
      <c r="M59">
        <f t="shared" ca="1" si="2"/>
        <v>14</v>
      </c>
      <c r="N59" t="str">
        <f t="shared" ca="1" si="3"/>
        <v>Male</v>
      </c>
      <c r="O59" s="6">
        <f t="shared" ca="1" si="4"/>
        <v>2297</v>
      </c>
      <c r="P59">
        <f ca="1">Table1[[#This Row],[Hire Date]]-Table1[[#This Row],[Job Posting Date]]</f>
        <v>86</v>
      </c>
      <c r="Q59" s="7">
        <f ca="1">Table1[[#This Row],[Join Date]]-Table1[[#This Row],[Hire Date]]</f>
        <v>9</v>
      </c>
      <c r="R59" s="8">
        <f ca="1">(IF(Table1[[#This Row],[Status]]="Exited",Table1[[#This Row],[Exit Date]]-Table1[[#This Row],[Join Date]],TODAY()-Table1[[#This Row],[Join Date]]))/30</f>
        <v>10.866666666666667</v>
      </c>
      <c r="S59">
        <f ca="1">Table1[[#This Row],[Hire Date]]-Table1[[#This Row],[Job Posting Date]]</f>
        <v>86</v>
      </c>
      <c r="T59" s="7">
        <f ca="1">Table1[[#This Row],[Time to onboard]]/Table1[[#This Row],[Time to Fill]]*100</f>
        <v>10.465116279069768</v>
      </c>
      <c r="U59" s="8">
        <f ca="1">Table1[[#This Row],[Time to onboard]]/Table1[[#This Row],[Time to Fill]]*100</f>
        <v>10.465116279069768</v>
      </c>
      <c r="V59">
        <f ca="1">Table1[[#This Row],[Join Date]]-Table1[[#This Row],[Job Posting Date]]</f>
        <v>95</v>
      </c>
      <c r="W59">
        <f t="shared" ca="1" si="5"/>
        <v>174</v>
      </c>
      <c r="X59" s="8">
        <f ca="1">Table1[[#This Row],[Absentee Days]]/Table1[[#This Row],[Total Work Days]]*100</f>
        <v>5.384615384615385</v>
      </c>
      <c r="Y59">
        <f ca="1">YEAR(Table1[[#This Row],[Join Date]])</f>
        <v>2022</v>
      </c>
      <c r="Z59">
        <f ca="1">IF(Table1[[#This Row],[Status]]="Active",1,0)</f>
        <v>0</v>
      </c>
      <c r="AA59">
        <f ca="1">IF(Table1[[#This Row],[Status]]="Exited",Table1[[#This Row],[Recruitment Cost]]+Table1[[#This Row],[Onboarding cost]]+Table1[[#This Row],[Training Cost]],0)</f>
        <v>5011</v>
      </c>
    </row>
    <row r="60" spans="1:27">
      <c r="A60" t="str">
        <f t="shared" si="8"/>
        <v>E059</v>
      </c>
      <c r="B60" t="str" cm="1">
        <f t="array" aca="1" ref="B60" ca="1">INDEX(sheet2!$A$2:$A$6, RANDBETWEEN(1, 5))</f>
        <v>IT</v>
      </c>
      <c r="C60" t="str">
        <f ca="1">_xlfn.XLOOKUP(Table1[[#This Row],[Department]],sheet2!$A$2:$A$6,sheet2!$B$2:$B$6,_xleta.NA,0)</f>
        <v>Software Engineer</v>
      </c>
      <c r="D60" s="1">
        <f t="shared" ca="1" si="9"/>
        <v>44390</v>
      </c>
      <c r="E60" s="1">
        <f ca="1">Table1[[#This Row],[Job Posting Date]]+ RANDBETWEEN(15, 90)</f>
        <v>44474</v>
      </c>
      <c r="F60" s="1">
        <f ca="1">Table1[[#This Row],[Hire Date]]+ RANDBETWEEN(1, 15)</f>
        <v>44485</v>
      </c>
      <c r="G60" s="1">
        <f ca="1">IF(RAND() &lt; 0.5,  Table1[[#This Row],[Join Date]]+ RANDBETWEEN(30, TODAY()- Table1[[#This Row],[Join Date]]), "-")</f>
        <v>44905</v>
      </c>
      <c r="H60" t="str">
        <f ca="1">IF(Table1[[#This Row],[Exit Date]]= "-", "Active", "Exited")</f>
        <v>Exited</v>
      </c>
      <c r="I60" s="5">
        <f t="shared" ca="1" si="10"/>
        <v>1982</v>
      </c>
      <c r="J60" t="str" cm="1">
        <f t="array" aca="1" ref="J60" ca="1">INDEX(sheet2!$C$2:$C$6, RANDBETWEEN(1, 5))</f>
        <v>Advanced Excel Skills </v>
      </c>
      <c r="K60" t="str">
        <f t="shared" ca="1" si="11"/>
        <v>Not Completed</v>
      </c>
      <c r="L60">
        <v>260</v>
      </c>
      <c r="M60">
        <f t="shared" ca="1" si="2"/>
        <v>8</v>
      </c>
      <c r="N60" t="str">
        <f t="shared" ca="1" si="3"/>
        <v>Female</v>
      </c>
      <c r="O60" s="6">
        <f t="shared" ca="1" si="4"/>
        <v>1878</v>
      </c>
      <c r="P60">
        <f ca="1">Table1[[#This Row],[Hire Date]]-Table1[[#This Row],[Job Posting Date]]</f>
        <v>84</v>
      </c>
      <c r="Q60" s="7">
        <f ca="1">Table1[[#This Row],[Join Date]]-Table1[[#This Row],[Hire Date]]</f>
        <v>11</v>
      </c>
      <c r="R60" s="8">
        <f ca="1">(IF(Table1[[#This Row],[Status]]="Exited",Table1[[#This Row],[Exit Date]]-Table1[[#This Row],[Join Date]],TODAY()-Table1[[#This Row],[Join Date]]))/30</f>
        <v>14</v>
      </c>
      <c r="S60">
        <f ca="1">Table1[[#This Row],[Hire Date]]-Table1[[#This Row],[Job Posting Date]]</f>
        <v>84</v>
      </c>
      <c r="T60" s="7">
        <f ca="1">Table1[[#This Row],[Time to onboard]]/Table1[[#This Row],[Time to Fill]]*100</f>
        <v>13.095238095238097</v>
      </c>
      <c r="U60" s="8">
        <f ca="1">Table1[[#This Row],[Time to onboard]]/Table1[[#This Row],[Time to Fill]]*100</f>
        <v>13.095238095238097</v>
      </c>
      <c r="V60">
        <f ca="1">Table1[[#This Row],[Join Date]]-Table1[[#This Row],[Job Posting Date]]</f>
        <v>95</v>
      </c>
      <c r="W60">
        <f t="shared" ca="1" si="5"/>
        <v>105</v>
      </c>
      <c r="X60" s="8">
        <f ca="1">Table1[[#This Row],[Absentee Days]]/Table1[[#This Row],[Total Work Days]]*100</f>
        <v>3.0769230769230771</v>
      </c>
      <c r="Y60">
        <f ca="1">YEAR(Table1[[#This Row],[Join Date]])</f>
        <v>2021</v>
      </c>
      <c r="Z60">
        <f ca="1">IF(Table1[[#This Row],[Status]]="Active",1,0)</f>
        <v>0</v>
      </c>
      <c r="AA60">
        <f ca="1">IF(Table1[[#This Row],[Status]]="Exited",Table1[[#This Row],[Recruitment Cost]]+Table1[[#This Row],[Onboarding cost]]+Table1[[#This Row],[Training Cost]],0)</f>
        <v>3965</v>
      </c>
    </row>
    <row r="61" spans="1:27">
      <c r="A61" t="str">
        <f t="shared" si="8"/>
        <v>E060</v>
      </c>
      <c r="B61" t="str" cm="1">
        <f t="array" aca="1" ref="B61" ca="1">INDEX(sheet2!$A$2:$A$6, RANDBETWEEN(1, 5))</f>
        <v>Analytics</v>
      </c>
      <c r="C61" t="str">
        <f ca="1">_xlfn.XLOOKUP(Table1[[#This Row],[Department]],sheet2!$A$2:$A$6,sheet2!$B$2:$B$6,_xleta.NA,0)</f>
        <v>Data Analyst</v>
      </c>
      <c r="D61" s="1">
        <f t="shared" ca="1" si="9"/>
        <v>44870</v>
      </c>
      <c r="E61" s="1">
        <f ca="1">Table1[[#This Row],[Job Posting Date]]+ RANDBETWEEN(15, 90)</f>
        <v>44897</v>
      </c>
      <c r="F61" s="1">
        <f ca="1">Table1[[#This Row],[Hire Date]]+ RANDBETWEEN(1, 15)</f>
        <v>44899</v>
      </c>
      <c r="G61" s="1">
        <f ca="1">IF(RAND() &lt; 0.5,  Table1[[#This Row],[Join Date]]+ RANDBETWEEN(30, TODAY()- Table1[[#This Row],[Join Date]]), "-")</f>
        <v>45367</v>
      </c>
      <c r="H61" t="str">
        <f ca="1">IF(Table1[[#This Row],[Exit Date]]= "-", "Active", "Exited")</f>
        <v>Exited</v>
      </c>
      <c r="I61" s="5">
        <f t="shared" ca="1" si="10"/>
        <v>4691</v>
      </c>
      <c r="J61" t="str" cm="1">
        <f t="array" aca="1" ref="J61" ca="1">INDEX(sheet2!$C$2:$C$6, RANDBETWEEN(1, 5))</f>
        <v>Conflict Resolution</v>
      </c>
      <c r="K61" t="str">
        <f t="shared" ca="1" si="11"/>
        <v>Completed</v>
      </c>
      <c r="L61">
        <v>260</v>
      </c>
      <c r="M61">
        <f t="shared" ca="1" si="2"/>
        <v>17</v>
      </c>
      <c r="N61" t="str">
        <f t="shared" ca="1" si="3"/>
        <v>Male</v>
      </c>
      <c r="O61" s="6">
        <f t="shared" ca="1" si="4"/>
        <v>1226</v>
      </c>
      <c r="P61">
        <f ca="1">Table1[[#This Row],[Hire Date]]-Table1[[#This Row],[Job Posting Date]]</f>
        <v>27</v>
      </c>
      <c r="Q61" s="7">
        <f ca="1">Table1[[#This Row],[Join Date]]-Table1[[#This Row],[Hire Date]]</f>
        <v>2</v>
      </c>
      <c r="R61" s="8">
        <f ca="1">(IF(Table1[[#This Row],[Status]]="Exited",Table1[[#This Row],[Exit Date]]-Table1[[#This Row],[Join Date]],TODAY()-Table1[[#This Row],[Join Date]]))/30</f>
        <v>15.6</v>
      </c>
      <c r="S61">
        <f ca="1">Table1[[#This Row],[Hire Date]]-Table1[[#This Row],[Job Posting Date]]</f>
        <v>27</v>
      </c>
      <c r="T61" s="7">
        <f ca="1">Table1[[#This Row],[Time to onboard]]/Table1[[#This Row],[Time to Fill]]*100</f>
        <v>7.4074074074074066</v>
      </c>
      <c r="U61" s="8">
        <f ca="1">Table1[[#This Row],[Time to onboard]]/Table1[[#This Row],[Time to Fill]]*100</f>
        <v>7.4074074074074066</v>
      </c>
      <c r="V61">
        <f ca="1">Table1[[#This Row],[Join Date]]-Table1[[#This Row],[Job Posting Date]]</f>
        <v>29</v>
      </c>
      <c r="W61">
        <f t="shared" ca="1" si="5"/>
        <v>100</v>
      </c>
      <c r="X61" s="8">
        <f ca="1">Table1[[#This Row],[Absentee Days]]/Table1[[#This Row],[Total Work Days]]*100</f>
        <v>6.5384615384615392</v>
      </c>
      <c r="Y61">
        <f ca="1">YEAR(Table1[[#This Row],[Join Date]])</f>
        <v>2022</v>
      </c>
      <c r="Z61">
        <f ca="1">IF(Table1[[#This Row],[Status]]="Active",1,0)</f>
        <v>0</v>
      </c>
      <c r="AA61">
        <f ca="1">IF(Table1[[#This Row],[Status]]="Exited",Table1[[#This Row],[Recruitment Cost]]+Table1[[#This Row],[Onboarding cost]]+Table1[[#This Row],[Training Cost]],0)</f>
        <v>6017</v>
      </c>
    </row>
    <row r="62" spans="1:27">
      <c r="A62" t="str">
        <f t="shared" si="8"/>
        <v>E061</v>
      </c>
      <c r="B62" t="str" cm="1">
        <f t="array" aca="1" ref="B62" ca="1">INDEX(sheet2!$A$2:$A$6, RANDBETWEEN(1, 5))</f>
        <v>IT</v>
      </c>
      <c r="C62" t="str">
        <f ca="1">_xlfn.XLOOKUP(Table1[[#This Row],[Department]],sheet2!$A$2:$A$6,sheet2!$B$2:$B$6,_xleta.NA,0)</f>
        <v>Software Engineer</v>
      </c>
      <c r="D62" s="1">
        <f t="shared" ca="1" si="9"/>
        <v>43127</v>
      </c>
      <c r="E62" s="1">
        <f ca="1">Table1[[#This Row],[Job Posting Date]]+ RANDBETWEEN(15, 90)</f>
        <v>43158</v>
      </c>
      <c r="F62" s="1">
        <f ca="1">Table1[[#This Row],[Hire Date]]+ RANDBETWEEN(1, 15)</f>
        <v>43171</v>
      </c>
      <c r="G62" s="1">
        <f ca="1">IF(RAND() &lt; 0.5,  Table1[[#This Row],[Join Date]]+ RANDBETWEEN(30, TODAY()- Table1[[#This Row],[Join Date]]), "-")</f>
        <v>43629</v>
      </c>
      <c r="H62" t="str">
        <f ca="1">IF(Table1[[#This Row],[Exit Date]]= "-", "Active", "Exited")</f>
        <v>Exited</v>
      </c>
      <c r="I62" s="5">
        <f t="shared" ca="1" si="10"/>
        <v>3536</v>
      </c>
      <c r="J62" t="str" cm="1">
        <f t="array" aca="1" ref="J62" ca="1">INDEX(sheet2!$C$2:$C$6, RANDBETWEEN(1, 5))</f>
        <v>Communication Skills</v>
      </c>
      <c r="K62" t="str">
        <f t="shared" ca="1" si="11"/>
        <v>Completed</v>
      </c>
      <c r="L62">
        <v>260</v>
      </c>
      <c r="M62">
        <f t="shared" ca="1" si="2"/>
        <v>6</v>
      </c>
      <c r="N62" t="str">
        <f t="shared" ca="1" si="3"/>
        <v>Male</v>
      </c>
      <c r="O62" s="6">
        <f t="shared" ca="1" si="4"/>
        <v>1284</v>
      </c>
      <c r="P62">
        <f ca="1">Table1[[#This Row],[Hire Date]]-Table1[[#This Row],[Job Posting Date]]</f>
        <v>31</v>
      </c>
      <c r="Q62" s="7">
        <f ca="1">Table1[[#This Row],[Join Date]]-Table1[[#This Row],[Hire Date]]</f>
        <v>13</v>
      </c>
      <c r="R62" s="8">
        <f ca="1">(IF(Table1[[#This Row],[Status]]="Exited",Table1[[#This Row],[Exit Date]]-Table1[[#This Row],[Join Date]],TODAY()-Table1[[#This Row],[Join Date]]))/30</f>
        <v>15.266666666666667</v>
      </c>
      <c r="S62">
        <f ca="1">Table1[[#This Row],[Hire Date]]-Table1[[#This Row],[Job Posting Date]]</f>
        <v>31</v>
      </c>
      <c r="T62" s="7">
        <f ca="1">Table1[[#This Row],[Time to onboard]]/Table1[[#This Row],[Time to Fill]]*100</f>
        <v>41.935483870967744</v>
      </c>
      <c r="U62" s="8">
        <f ca="1">Table1[[#This Row],[Time to onboard]]/Table1[[#This Row],[Time to Fill]]*100</f>
        <v>41.935483870967744</v>
      </c>
      <c r="V62">
        <f ca="1">Table1[[#This Row],[Join Date]]-Table1[[#This Row],[Job Posting Date]]</f>
        <v>44</v>
      </c>
      <c r="W62">
        <f t="shared" ca="1" si="5"/>
        <v>152</v>
      </c>
      <c r="X62" s="8">
        <f ca="1">Table1[[#This Row],[Absentee Days]]/Table1[[#This Row],[Total Work Days]]*100</f>
        <v>2.3076923076923079</v>
      </c>
      <c r="Y62">
        <f ca="1">YEAR(Table1[[#This Row],[Join Date]])</f>
        <v>2018</v>
      </c>
      <c r="Z62">
        <f ca="1">IF(Table1[[#This Row],[Status]]="Active",1,0)</f>
        <v>0</v>
      </c>
      <c r="AA62">
        <f ca="1">IF(Table1[[#This Row],[Status]]="Exited",Table1[[#This Row],[Recruitment Cost]]+Table1[[#This Row],[Onboarding cost]]+Table1[[#This Row],[Training Cost]],0)</f>
        <v>4972</v>
      </c>
    </row>
    <row r="63" spans="1:27">
      <c r="A63" t="str">
        <f t="shared" si="8"/>
        <v>E062</v>
      </c>
      <c r="B63" t="str" cm="1">
        <f t="array" aca="1" ref="B63" ca="1">INDEX(sheet2!$A$2:$A$6, RANDBETWEEN(1, 5))</f>
        <v>Finance</v>
      </c>
      <c r="C63" t="str">
        <f ca="1">_xlfn.XLOOKUP(Table1[[#This Row],[Department]],sheet2!$A$2:$A$6,sheet2!$B$2:$B$6,_xleta.NA,0)</f>
        <v>Finance Manager</v>
      </c>
      <c r="D63" s="1">
        <f t="shared" ca="1" si="9"/>
        <v>44552</v>
      </c>
      <c r="E63" s="1">
        <f ca="1">Table1[[#This Row],[Job Posting Date]]+ RANDBETWEEN(15, 90)</f>
        <v>44629</v>
      </c>
      <c r="F63" s="1">
        <f ca="1">Table1[[#This Row],[Hire Date]]+ RANDBETWEEN(1, 15)</f>
        <v>44640</v>
      </c>
      <c r="G63" s="1">
        <f ca="1">IF(RAND() &lt; 0.5,  Table1[[#This Row],[Join Date]]+ RANDBETWEEN(30, TODAY()- Table1[[#This Row],[Join Date]]), "-")</f>
        <v>45620</v>
      </c>
      <c r="H63" t="str">
        <f ca="1">IF(Table1[[#This Row],[Exit Date]]= "-", "Active", "Exited")</f>
        <v>Exited</v>
      </c>
      <c r="I63" s="5">
        <f t="shared" ca="1" si="10"/>
        <v>4451</v>
      </c>
      <c r="J63" t="str" cm="1">
        <f t="array" aca="1" ref="J63" ca="1">INDEX(sheet2!$C$2:$C$6, RANDBETWEEN(1, 5))</f>
        <v>Ethics and Responsibilities</v>
      </c>
      <c r="K63" t="str">
        <f t="shared" ca="1" si="11"/>
        <v>Not Completed</v>
      </c>
      <c r="L63">
        <v>260</v>
      </c>
      <c r="M63">
        <f t="shared" ca="1" si="2"/>
        <v>4</v>
      </c>
      <c r="N63" t="str">
        <f t="shared" ca="1" si="3"/>
        <v>Female</v>
      </c>
      <c r="O63" s="6">
        <f t="shared" ca="1" si="4"/>
        <v>1685</v>
      </c>
      <c r="P63">
        <f ca="1">Table1[[#This Row],[Hire Date]]-Table1[[#This Row],[Job Posting Date]]</f>
        <v>77</v>
      </c>
      <c r="Q63" s="7">
        <f ca="1">Table1[[#This Row],[Join Date]]-Table1[[#This Row],[Hire Date]]</f>
        <v>11</v>
      </c>
      <c r="R63" s="8">
        <f ca="1">(IF(Table1[[#This Row],[Status]]="Exited",Table1[[#This Row],[Exit Date]]-Table1[[#This Row],[Join Date]],TODAY()-Table1[[#This Row],[Join Date]]))/30</f>
        <v>32.666666666666664</v>
      </c>
      <c r="S63">
        <f ca="1">Table1[[#This Row],[Hire Date]]-Table1[[#This Row],[Job Posting Date]]</f>
        <v>77</v>
      </c>
      <c r="T63" s="7">
        <f ca="1">Table1[[#This Row],[Time to onboard]]/Table1[[#This Row],[Time to Fill]]*100</f>
        <v>14.285714285714285</v>
      </c>
      <c r="U63" s="8">
        <f ca="1">Table1[[#This Row],[Time to onboard]]/Table1[[#This Row],[Time to Fill]]*100</f>
        <v>14.285714285714285</v>
      </c>
      <c r="V63">
        <f ca="1">Table1[[#This Row],[Join Date]]-Table1[[#This Row],[Job Posting Date]]</f>
        <v>88</v>
      </c>
      <c r="W63">
        <f t="shared" ca="1" si="5"/>
        <v>108</v>
      </c>
      <c r="X63" s="8">
        <f ca="1">Table1[[#This Row],[Absentee Days]]/Table1[[#This Row],[Total Work Days]]*100</f>
        <v>1.5384615384615385</v>
      </c>
      <c r="Y63">
        <f ca="1">YEAR(Table1[[#This Row],[Join Date]])</f>
        <v>2022</v>
      </c>
      <c r="Z63">
        <f ca="1">IF(Table1[[#This Row],[Status]]="Active",1,0)</f>
        <v>0</v>
      </c>
      <c r="AA63">
        <f ca="1">IF(Table1[[#This Row],[Status]]="Exited",Table1[[#This Row],[Recruitment Cost]]+Table1[[#This Row],[Onboarding cost]]+Table1[[#This Row],[Training Cost]],0)</f>
        <v>6244</v>
      </c>
    </row>
    <row r="64" spans="1:27">
      <c r="A64" t="str">
        <f t="shared" si="8"/>
        <v>E063</v>
      </c>
      <c r="B64" t="str" cm="1">
        <f t="array" aca="1" ref="B64" ca="1">INDEX(sheet2!$A$2:$A$6, RANDBETWEEN(1, 5))</f>
        <v>HR</v>
      </c>
      <c r="C64" t="str">
        <f ca="1">_xlfn.XLOOKUP(Table1[[#This Row],[Department]],sheet2!$A$2:$A$6,sheet2!$B$2:$B$6,_xleta.NA,0)</f>
        <v>HR Manager</v>
      </c>
      <c r="D64" s="1">
        <f t="shared" ca="1" si="9"/>
        <v>44394</v>
      </c>
      <c r="E64" s="1">
        <f ca="1">Table1[[#This Row],[Job Posting Date]]+ RANDBETWEEN(15, 90)</f>
        <v>44479</v>
      </c>
      <c r="F64" s="1">
        <f ca="1">Table1[[#This Row],[Hire Date]]+ RANDBETWEEN(1, 15)</f>
        <v>44482</v>
      </c>
      <c r="G64" s="1" t="str">
        <f ca="1">IF(RAND() &lt; 0.5,  Table1[[#This Row],[Join Date]]+ RANDBETWEEN(30, TODAY()- Table1[[#This Row],[Join Date]]), "-")</f>
        <v>-</v>
      </c>
      <c r="H64" t="str">
        <f ca="1">IF(Table1[[#This Row],[Exit Date]]= "-", "Active", "Exited")</f>
        <v>Active</v>
      </c>
      <c r="I64" s="5">
        <f t="shared" ca="1" si="10"/>
        <v>1712</v>
      </c>
      <c r="J64" t="str" cm="1">
        <f t="array" aca="1" ref="J64" ca="1">INDEX(sheet2!$C$2:$C$6, RANDBETWEEN(1, 5))</f>
        <v>Communication Skills</v>
      </c>
      <c r="K64" t="str">
        <f t="shared" ca="1" si="11"/>
        <v>Not Completed</v>
      </c>
      <c r="L64">
        <v>260</v>
      </c>
      <c r="M64">
        <f t="shared" ca="1" si="2"/>
        <v>13</v>
      </c>
      <c r="N64" t="str">
        <f t="shared" ca="1" si="3"/>
        <v>Other</v>
      </c>
      <c r="O64" s="6">
        <f t="shared" ca="1" si="4"/>
        <v>1235</v>
      </c>
      <c r="P64">
        <f ca="1">Table1[[#This Row],[Hire Date]]-Table1[[#This Row],[Job Posting Date]]</f>
        <v>85</v>
      </c>
      <c r="Q64" s="7">
        <f ca="1">Table1[[#This Row],[Join Date]]-Table1[[#This Row],[Hire Date]]</f>
        <v>3</v>
      </c>
      <c r="R64" s="8">
        <f ca="1">(IF(Table1[[#This Row],[Status]]="Exited",Table1[[#This Row],[Exit Date]]-Table1[[#This Row],[Join Date]],TODAY()-Table1[[#This Row],[Join Date]]))/30</f>
        <v>39.366666666666667</v>
      </c>
      <c r="S64">
        <f ca="1">Table1[[#This Row],[Hire Date]]-Table1[[#This Row],[Job Posting Date]]</f>
        <v>85</v>
      </c>
      <c r="T64" s="7">
        <f ca="1">Table1[[#This Row],[Time to onboard]]/Table1[[#This Row],[Time to Fill]]*100</f>
        <v>3.5294117647058822</v>
      </c>
      <c r="U64" s="8">
        <f ca="1">Table1[[#This Row],[Time to onboard]]/Table1[[#This Row],[Time to Fill]]*100</f>
        <v>3.5294117647058822</v>
      </c>
      <c r="V64">
        <f ca="1">Table1[[#This Row],[Join Date]]-Table1[[#This Row],[Job Posting Date]]</f>
        <v>88</v>
      </c>
      <c r="W64">
        <f t="shared" ca="1" si="5"/>
        <v>111</v>
      </c>
      <c r="X64" s="8">
        <f ca="1">Table1[[#This Row],[Absentee Days]]/Table1[[#This Row],[Total Work Days]]*100</f>
        <v>5</v>
      </c>
      <c r="Y64">
        <f ca="1">YEAR(Table1[[#This Row],[Join Date]])</f>
        <v>2021</v>
      </c>
      <c r="Z64">
        <f ca="1">IF(Table1[[#This Row],[Status]]="Active",1,0)</f>
        <v>1</v>
      </c>
      <c r="AA64">
        <f ca="1">IF(Table1[[#This Row],[Status]]="Exited",Table1[[#This Row],[Recruitment Cost]]+Table1[[#This Row],[Onboarding cost]]+Table1[[#This Row],[Training Cost]],0)</f>
        <v>0</v>
      </c>
    </row>
    <row r="65" spans="1:27">
      <c r="A65" t="str">
        <f t="shared" si="8"/>
        <v>E064</v>
      </c>
      <c r="B65" t="str" cm="1">
        <f t="array" aca="1" ref="B65" ca="1">INDEX(sheet2!$A$2:$A$6, RANDBETWEEN(1, 5))</f>
        <v>Finance</v>
      </c>
      <c r="C65" t="str">
        <f ca="1">_xlfn.XLOOKUP(Table1[[#This Row],[Department]],sheet2!$A$2:$A$6,sheet2!$B$2:$B$6,_xleta.NA,0)</f>
        <v>Finance Manager</v>
      </c>
      <c r="D65" s="1">
        <f t="shared" ca="1" si="9"/>
        <v>44893</v>
      </c>
      <c r="E65" s="1">
        <f ca="1">Table1[[#This Row],[Job Posting Date]]+ RANDBETWEEN(15, 90)</f>
        <v>44936</v>
      </c>
      <c r="F65" s="1">
        <f ca="1">Table1[[#This Row],[Hire Date]]+ RANDBETWEEN(1, 15)</f>
        <v>44943</v>
      </c>
      <c r="G65" s="1">
        <f ca="1">IF(RAND() &lt; 0.5,  Table1[[#This Row],[Join Date]]+ RANDBETWEEN(30, TODAY()- Table1[[#This Row],[Join Date]]), "-")</f>
        <v>45347</v>
      </c>
      <c r="H65" t="str">
        <f ca="1">IF(Table1[[#This Row],[Exit Date]]= "-", "Active", "Exited")</f>
        <v>Exited</v>
      </c>
      <c r="I65" s="5">
        <f t="shared" ca="1" si="10"/>
        <v>3308</v>
      </c>
      <c r="J65" t="str" cm="1">
        <f t="array" aca="1" ref="J65" ca="1">INDEX(sheet2!$C$2:$C$6, RANDBETWEEN(1, 5))</f>
        <v>Ethics and Responsibilities</v>
      </c>
      <c r="K65" t="str">
        <f t="shared" ca="1" si="11"/>
        <v>Completed</v>
      </c>
      <c r="L65">
        <v>260</v>
      </c>
      <c r="M65">
        <f t="shared" ca="1" si="2"/>
        <v>11</v>
      </c>
      <c r="N65" t="str">
        <f t="shared" ca="1" si="3"/>
        <v>Female</v>
      </c>
      <c r="O65" s="6">
        <f t="shared" ca="1" si="4"/>
        <v>2153</v>
      </c>
      <c r="P65">
        <f ca="1">Table1[[#This Row],[Hire Date]]-Table1[[#This Row],[Job Posting Date]]</f>
        <v>43</v>
      </c>
      <c r="Q65" s="7">
        <f ca="1">Table1[[#This Row],[Join Date]]-Table1[[#This Row],[Hire Date]]</f>
        <v>7</v>
      </c>
      <c r="R65" s="8">
        <f ca="1">(IF(Table1[[#This Row],[Status]]="Exited",Table1[[#This Row],[Exit Date]]-Table1[[#This Row],[Join Date]],TODAY()-Table1[[#This Row],[Join Date]]))/30</f>
        <v>13.466666666666667</v>
      </c>
      <c r="S65">
        <f ca="1">Table1[[#This Row],[Hire Date]]-Table1[[#This Row],[Job Posting Date]]</f>
        <v>43</v>
      </c>
      <c r="T65" s="7">
        <f ca="1">Table1[[#This Row],[Time to onboard]]/Table1[[#This Row],[Time to Fill]]*100</f>
        <v>16.279069767441861</v>
      </c>
      <c r="U65" s="8">
        <f ca="1">Table1[[#This Row],[Time to onboard]]/Table1[[#This Row],[Time to Fill]]*100</f>
        <v>16.279069767441861</v>
      </c>
      <c r="V65">
        <f ca="1">Table1[[#This Row],[Join Date]]-Table1[[#This Row],[Job Posting Date]]</f>
        <v>50</v>
      </c>
      <c r="W65">
        <f t="shared" ca="1" si="5"/>
        <v>151</v>
      </c>
      <c r="X65" s="8">
        <f ca="1">Table1[[#This Row],[Absentee Days]]/Table1[[#This Row],[Total Work Days]]*100</f>
        <v>4.2307692307692308</v>
      </c>
      <c r="Y65">
        <f ca="1">YEAR(Table1[[#This Row],[Join Date]])</f>
        <v>2023</v>
      </c>
      <c r="Z65">
        <f ca="1">IF(Table1[[#This Row],[Status]]="Active",1,0)</f>
        <v>0</v>
      </c>
      <c r="AA65">
        <f ca="1">IF(Table1[[#This Row],[Status]]="Exited",Table1[[#This Row],[Recruitment Cost]]+Table1[[#This Row],[Onboarding cost]]+Table1[[#This Row],[Training Cost]],0)</f>
        <v>5612</v>
      </c>
    </row>
    <row r="66" spans="1:27">
      <c r="A66" t="str">
        <f t="shared" ref="A66:A129" si="12">"E" &amp; TEXT(ROW(A65), "000")</f>
        <v>E065</v>
      </c>
      <c r="B66" t="str" cm="1">
        <f t="array" aca="1" ref="B66" ca="1">INDEX(sheet2!$A$2:$A$6, RANDBETWEEN(1, 5))</f>
        <v>IT</v>
      </c>
      <c r="C66" t="str">
        <f ca="1">_xlfn.XLOOKUP(Table1[[#This Row],[Department]],sheet2!$A$2:$A$6,sheet2!$B$2:$B$6,_xleta.NA,0)</f>
        <v>Software Engineer</v>
      </c>
      <c r="D66" s="1">
        <f t="shared" ref="D66:D101" ca="1" si="13">DATE(RANDBETWEEN(2018, 2022), RANDBETWEEN(1, 12), RANDBETWEEN(1, 28))</f>
        <v>43576</v>
      </c>
      <c r="E66" s="1">
        <f ca="1">Table1[[#This Row],[Job Posting Date]]+ RANDBETWEEN(15, 90)</f>
        <v>43644</v>
      </c>
      <c r="F66" s="1">
        <f ca="1">Table1[[#This Row],[Hire Date]]+ RANDBETWEEN(1, 15)</f>
        <v>43646</v>
      </c>
      <c r="G66" s="1">
        <f ca="1">IF(RAND() &lt; 0.5,  Table1[[#This Row],[Join Date]]+ RANDBETWEEN(30, TODAY()- Table1[[#This Row],[Join Date]]), "-")</f>
        <v>43752</v>
      </c>
      <c r="H66" t="str">
        <f ca="1">IF(Table1[[#This Row],[Exit Date]]= "-", "Active", "Exited")</f>
        <v>Exited</v>
      </c>
      <c r="I66" s="5">
        <f t="shared" ref="I66:I101" ca="1" si="14">RANDBETWEEN(1500, 5000)</f>
        <v>3544</v>
      </c>
      <c r="J66" t="str" cm="1">
        <f t="array" aca="1" ref="J66" ca="1">INDEX(sheet2!$C$2:$C$6, RANDBETWEEN(1, 5))</f>
        <v>Leadership Development</v>
      </c>
      <c r="K66" t="str">
        <f t="shared" ref="K66:K101" ca="1" si="15">IF(RAND() &lt; 0.7, "Completed", "Not Completed")</f>
        <v>Not Completed</v>
      </c>
      <c r="L66">
        <v>260</v>
      </c>
      <c r="M66">
        <f t="shared" ref="M66:M129" ca="1" si="16">RANDBETWEEN(0, 20)</f>
        <v>15</v>
      </c>
      <c r="N66" t="str">
        <f t="shared" ref="N66:N129" ca="1" si="17">CHOOSE(RANDBETWEEN(1, 3), "Male", "Female", "Other")</f>
        <v>Male</v>
      </c>
      <c r="O66" s="6">
        <f t="shared" ref="O66:O129" ca="1" si="18">RANDBETWEEN(1200, 2500)</f>
        <v>2114</v>
      </c>
      <c r="P66">
        <f ca="1">Table1[[#This Row],[Hire Date]]-Table1[[#This Row],[Job Posting Date]]</f>
        <v>68</v>
      </c>
      <c r="Q66" s="7">
        <f ca="1">Table1[[#This Row],[Join Date]]-Table1[[#This Row],[Hire Date]]</f>
        <v>2</v>
      </c>
      <c r="R66" s="8">
        <f ca="1">(IF(Table1[[#This Row],[Status]]="Exited",Table1[[#This Row],[Exit Date]]-Table1[[#This Row],[Join Date]],TODAY()-Table1[[#This Row],[Join Date]]))/30</f>
        <v>3.5333333333333332</v>
      </c>
      <c r="S66">
        <f ca="1">Table1[[#This Row],[Hire Date]]-Table1[[#This Row],[Job Posting Date]]</f>
        <v>68</v>
      </c>
      <c r="T66" s="7">
        <f ca="1">Table1[[#This Row],[Time to onboard]]/Table1[[#This Row],[Time to Fill]]*100</f>
        <v>2.9411764705882351</v>
      </c>
      <c r="U66" s="8">
        <f ca="1">Table1[[#This Row],[Time to onboard]]/Table1[[#This Row],[Time to Fill]]*100</f>
        <v>2.9411764705882351</v>
      </c>
      <c r="V66">
        <f ca="1">Table1[[#This Row],[Join Date]]-Table1[[#This Row],[Job Posting Date]]</f>
        <v>70</v>
      </c>
      <c r="W66">
        <f t="shared" ref="W66:W129" ca="1" si="19">RANDBETWEEN(100,200)</f>
        <v>153</v>
      </c>
      <c r="X66" s="8">
        <f ca="1">Table1[[#This Row],[Absentee Days]]/Table1[[#This Row],[Total Work Days]]*100</f>
        <v>5.7692307692307692</v>
      </c>
      <c r="Y66">
        <f ca="1">YEAR(Table1[[#This Row],[Join Date]])</f>
        <v>2019</v>
      </c>
      <c r="Z66">
        <f ca="1">IF(Table1[[#This Row],[Status]]="Active",1,0)</f>
        <v>0</v>
      </c>
      <c r="AA66">
        <f ca="1">IF(Table1[[#This Row],[Status]]="Exited",Table1[[#This Row],[Recruitment Cost]]+Table1[[#This Row],[Onboarding cost]]+Table1[[#This Row],[Training Cost]],0)</f>
        <v>5811</v>
      </c>
    </row>
    <row r="67" spans="1:27">
      <c r="A67" t="str">
        <f t="shared" si="12"/>
        <v>E066</v>
      </c>
      <c r="B67" t="str" cm="1">
        <f t="array" aca="1" ref="B67" ca="1">INDEX(sheet2!$A$2:$A$6, RANDBETWEEN(1, 5))</f>
        <v>IT</v>
      </c>
      <c r="C67" t="str">
        <f ca="1">_xlfn.XLOOKUP(Table1[[#This Row],[Department]],sheet2!$A$2:$A$6,sheet2!$B$2:$B$6,_xleta.NA,0)</f>
        <v>Software Engineer</v>
      </c>
      <c r="D67" s="1">
        <f t="shared" ca="1" si="13"/>
        <v>44035</v>
      </c>
      <c r="E67" s="1">
        <f ca="1">Table1[[#This Row],[Job Posting Date]]+ RANDBETWEEN(15, 90)</f>
        <v>44108</v>
      </c>
      <c r="F67" s="1">
        <f ca="1">Table1[[#This Row],[Hire Date]]+ RANDBETWEEN(1, 15)</f>
        <v>44112</v>
      </c>
      <c r="G67" s="1" t="str">
        <f ca="1">IF(RAND() &lt; 0.5,  Table1[[#This Row],[Join Date]]+ RANDBETWEEN(30, TODAY()- Table1[[#This Row],[Join Date]]), "-")</f>
        <v>-</v>
      </c>
      <c r="H67" t="str">
        <f ca="1">IF(Table1[[#This Row],[Exit Date]]= "-", "Active", "Exited")</f>
        <v>Active</v>
      </c>
      <c r="I67" s="5">
        <f t="shared" ca="1" si="14"/>
        <v>4234</v>
      </c>
      <c r="J67" t="str" cm="1">
        <f t="array" aca="1" ref="J67" ca="1">INDEX(sheet2!$C$2:$C$6, RANDBETWEEN(1, 5))</f>
        <v>Communication Skills</v>
      </c>
      <c r="K67" t="str">
        <f t="shared" ca="1" si="15"/>
        <v>Completed</v>
      </c>
      <c r="L67">
        <v>260</v>
      </c>
      <c r="M67">
        <f t="shared" ca="1" si="16"/>
        <v>0</v>
      </c>
      <c r="N67" t="str">
        <f t="shared" ca="1" si="17"/>
        <v>Male</v>
      </c>
      <c r="O67" s="6">
        <f t="shared" ca="1" si="18"/>
        <v>1884</v>
      </c>
      <c r="P67">
        <f ca="1">Table1[[#This Row],[Hire Date]]-Table1[[#This Row],[Job Posting Date]]</f>
        <v>73</v>
      </c>
      <c r="Q67" s="7">
        <f ca="1">Table1[[#This Row],[Join Date]]-Table1[[#This Row],[Hire Date]]</f>
        <v>4</v>
      </c>
      <c r="R67" s="8">
        <f ca="1">(IF(Table1[[#This Row],[Status]]="Exited",Table1[[#This Row],[Exit Date]]-Table1[[#This Row],[Join Date]],TODAY()-Table1[[#This Row],[Join Date]]))/30</f>
        <v>51.7</v>
      </c>
      <c r="S67">
        <f ca="1">Table1[[#This Row],[Hire Date]]-Table1[[#This Row],[Job Posting Date]]</f>
        <v>73</v>
      </c>
      <c r="T67" s="7">
        <f ca="1">Table1[[#This Row],[Time to onboard]]/Table1[[#This Row],[Time to Fill]]*100</f>
        <v>5.4794520547945202</v>
      </c>
      <c r="U67" s="8">
        <f ca="1">Table1[[#This Row],[Time to onboard]]/Table1[[#This Row],[Time to Fill]]*100</f>
        <v>5.4794520547945202</v>
      </c>
      <c r="V67">
        <f ca="1">Table1[[#This Row],[Join Date]]-Table1[[#This Row],[Job Posting Date]]</f>
        <v>77</v>
      </c>
      <c r="W67">
        <f t="shared" ca="1" si="19"/>
        <v>145</v>
      </c>
      <c r="X67" s="8">
        <f ca="1">Table1[[#This Row],[Absentee Days]]/Table1[[#This Row],[Total Work Days]]*100</f>
        <v>0</v>
      </c>
      <c r="Y67">
        <f ca="1">YEAR(Table1[[#This Row],[Join Date]])</f>
        <v>2020</v>
      </c>
      <c r="Z67">
        <f ca="1">IF(Table1[[#This Row],[Status]]="Active",1,0)</f>
        <v>1</v>
      </c>
      <c r="AA67">
        <f ca="1">IF(Table1[[#This Row],[Status]]="Exited",Table1[[#This Row],[Recruitment Cost]]+Table1[[#This Row],[Onboarding cost]]+Table1[[#This Row],[Training Cost]],0)</f>
        <v>0</v>
      </c>
    </row>
    <row r="68" spans="1:27">
      <c r="A68" t="str">
        <f t="shared" si="12"/>
        <v>E067</v>
      </c>
      <c r="B68" t="str" cm="1">
        <f t="array" aca="1" ref="B68" ca="1">INDEX(sheet2!$A$2:$A$6, RANDBETWEEN(1, 5))</f>
        <v>Analytics</v>
      </c>
      <c r="C68" t="str">
        <f ca="1">_xlfn.XLOOKUP(Table1[[#This Row],[Department]],sheet2!$A$2:$A$6,sheet2!$B$2:$B$6,_xleta.NA,0)</f>
        <v>Data Analyst</v>
      </c>
      <c r="D68" s="1">
        <f t="shared" ca="1" si="13"/>
        <v>43112</v>
      </c>
      <c r="E68" s="1">
        <f ca="1">Table1[[#This Row],[Job Posting Date]]+ RANDBETWEEN(15, 90)</f>
        <v>43159</v>
      </c>
      <c r="F68" s="1">
        <f ca="1">Table1[[#This Row],[Hire Date]]+ RANDBETWEEN(1, 15)</f>
        <v>43162</v>
      </c>
      <c r="G68" s="1" t="str">
        <f ca="1">IF(RAND() &lt; 0.5,  Table1[[#This Row],[Join Date]]+ RANDBETWEEN(30, TODAY()- Table1[[#This Row],[Join Date]]), "-")</f>
        <v>-</v>
      </c>
      <c r="H68" t="str">
        <f ca="1">IF(Table1[[#This Row],[Exit Date]]= "-", "Active", "Exited")</f>
        <v>Active</v>
      </c>
      <c r="I68" s="5">
        <f t="shared" ca="1" si="14"/>
        <v>4270</v>
      </c>
      <c r="J68" t="str" cm="1">
        <f t="array" aca="1" ref="J68" ca="1">INDEX(sheet2!$C$2:$C$6, RANDBETWEEN(1, 5))</f>
        <v>Communication Skills</v>
      </c>
      <c r="K68" t="str">
        <f t="shared" ca="1" si="15"/>
        <v>Completed</v>
      </c>
      <c r="L68">
        <v>260</v>
      </c>
      <c r="M68">
        <f t="shared" ca="1" si="16"/>
        <v>0</v>
      </c>
      <c r="N68" t="str">
        <f t="shared" ca="1" si="17"/>
        <v>Other</v>
      </c>
      <c r="O68" s="6">
        <f t="shared" ca="1" si="18"/>
        <v>1725</v>
      </c>
      <c r="P68">
        <f ca="1">Table1[[#This Row],[Hire Date]]-Table1[[#This Row],[Job Posting Date]]</f>
        <v>47</v>
      </c>
      <c r="Q68" s="7">
        <f ca="1">Table1[[#This Row],[Join Date]]-Table1[[#This Row],[Hire Date]]</f>
        <v>3</v>
      </c>
      <c r="R68" s="8">
        <f ca="1">(IF(Table1[[#This Row],[Status]]="Exited",Table1[[#This Row],[Exit Date]]-Table1[[#This Row],[Join Date]],TODAY()-Table1[[#This Row],[Join Date]]))/30</f>
        <v>83.36666666666666</v>
      </c>
      <c r="S68">
        <f ca="1">Table1[[#This Row],[Hire Date]]-Table1[[#This Row],[Job Posting Date]]</f>
        <v>47</v>
      </c>
      <c r="T68" s="7">
        <f ca="1">Table1[[#This Row],[Time to onboard]]/Table1[[#This Row],[Time to Fill]]*100</f>
        <v>6.3829787234042552</v>
      </c>
      <c r="U68" s="8">
        <f ca="1">Table1[[#This Row],[Time to onboard]]/Table1[[#This Row],[Time to Fill]]*100</f>
        <v>6.3829787234042552</v>
      </c>
      <c r="V68">
        <f ca="1">Table1[[#This Row],[Join Date]]-Table1[[#This Row],[Job Posting Date]]</f>
        <v>50</v>
      </c>
      <c r="W68">
        <f t="shared" ca="1" si="19"/>
        <v>114</v>
      </c>
      <c r="X68" s="8">
        <f ca="1">Table1[[#This Row],[Absentee Days]]/Table1[[#This Row],[Total Work Days]]*100</f>
        <v>0</v>
      </c>
      <c r="Y68">
        <f ca="1">YEAR(Table1[[#This Row],[Join Date]])</f>
        <v>2018</v>
      </c>
      <c r="Z68">
        <f ca="1">IF(Table1[[#This Row],[Status]]="Active",1,0)</f>
        <v>1</v>
      </c>
      <c r="AA68">
        <f ca="1">IF(Table1[[#This Row],[Status]]="Exited",Table1[[#This Row],[Recruitment Cost]]+Table1[[#This Row],[Onboarding cost]]+Table1[[#This Row],[Training Cost]],0)</f>
        <v>0</v>
      </c>
    </row>
    <row r="69" spans="1:27">
      <c r="A69" t="str">
        <f t="shared" si="12"/>
        <v>E068</v>
      </c>
      <c r="B69" t="str" cm="1">
        <f t="array" aca="1" ref="B69" ca="1">INDEX(sheet2!$A$2:$A$6, RANDBETWEEN(1, 5))</f>
        <v>Sales</v>
      </c>
      <c r="C69" t="str">
        <f ca="1">_xlfn.XLOOKUP(Table1[[#This Row],[Department]],sheet2!$A$2:$A$6,sheet2!$B$2:$B$6,_xleta.NA,0)</f>
        <v>Marketing Manager</v>
      </c>
      <c r="D69" s="1">
        <f t="shared" ca="1" si="13"/>
        <v>43386</v>
      </c>
      <c r="E69" s="1">
        <f ca="1">Table1[[#This Row],[Job Posting Date]]+ RANDBETWEEN(15, 90)</f>
        <v>43454</v>
      </c>
      <c r="F69" s="1">
        <f ca="1">Table1[[#This Row],[Hire Date]]+ RANDBETWEEN(1, 15)</f>
        <v>43463</v>
      </c>
      <c r="G69" s="1" t="str">
        <f ca="1">IF(RAND() &lt; 0.5,  Table1[[#This Row],[Join Date]]+ RANDBETWEEN(30, TODAY()- Table1[[#This Row],[Join Date]]), "-")</f>
        <v>-</v>
      </c>
      <c r="H69" t="str">
        <f ca="1">IF(Table1[[#This Row],[Exit Date]]= "-", "Active", "Exited")</f>
        <v>Active</v>
      </c>
      <c r="I69" s="5">
        <f t="shared" ca="1" si="14"/>
        <v>2280</v>
      </c>
      <c r="J69" t="str" cm="1">
        <f t="array" aca="1" ref="J69" ca="1">INDEX(sheet2!$C$2:$C$6, RANDBETWEEN(1, 5))</f>
        <v>Communication Skills</v>
      </c>
      <c r="K69" t="str">
        <f t="shared" ca="1" si="15"/>
        <v>Completed</v>
      </c>
      <c r="L69">
        <v>260</v>
      </c>
      <c r="M69">
        <f t="shared" ca="1" si="16"/>
        <v>2</v>
      </c>
      <c r="N69" t="str">
        <f t="shared" ca="1" si="17"/>
        <v>Male</v>
      </c>
      <c r="O69" s="6">
        <f t="shared" ca="1" si="18"/>
        <v>1480</v>
      </c>
      <c r="P69">
        <f ca="1">Table1[[#This Row],[Hire Date]]-Table1[[#This Row],[Job Posting Date]]</f>
        <v>68</v>
      </c>
      <c r="Q69" s="7">
        <f ca="1">Table1[[#This Row],[Join Date]]-Table1[[#This Row],[Hire Date]]</f>
        <v>9</v>
      </c>
      <c r="R69" s="8">
        <f ca="1">(IF(Table1[[#This Row],[Status]]="Exited",Table1[[#This Row],[Exit Date]]-Table1[[#This Row],[Join Date]],TODAY()-Table1[[#This Row],[Join Date]]))/30</f>
        <v>73.333333333333329</v>
      </c>
      <c r="S69">
        <f ca="1">Table1[[#This Row],[Hire Date]]-Table1[[#This Row],[Job Posting Date]]</f>
        <v>68</v>
      </c>
      <c r="T69" s="7">
        <f ca="1">Table1[[#This Row],[Time to onboard]]/Table1[[#This Row],[Time to Fill]]*100</f>
        <v>13.23529411764706</v>
      </c>
      <c r="U69" s="8">
        <f ca="1">Table1[[#This Row],[Time to onboard]]/Table1[[#This Row],[Time to Fill]]*100</f>
        <v>13.23529411764706</v>
      </c>
      <c r="V69">
        <f ca="1">Table1[[#This Row],[Join Date]]-Table1[[#This Row],[Job Posting Date]]</f>
        <v>77</v>
      </c>
      <c r="W69">
        <f t="shared" ca="1" si="19"/>
        <v>111</v>
      </c>
      <c r="X69" s="8">
        <f ca="1">Table1[[#This Row],[Absentee Days]]/Table1[[#This Row],[Total Work Days]]*100</f>
        <v>0.76923076923076927</v>
      </c>
      <c r="Y69">
        <f ca="1">YEAR(Table1[[#This Row],[Join Date]])</f>
        <v>2018</v>
      </c>
      <c r="Z69">
        <f ca="1">IF(Table1[[#This Row],[Status]]="Active",1,0)</f>
        <v>1</v>
      </c>
      <c r="AA69">
        <f ca="1">IF(Table1[[#This Row],[Status]]="Exited",Table1[[#This Row],[Recruitment Cost]]+Table1[[#This Row],[Onboarding cost]]+Table1[[#This Row],[Training Cost]],0)</f>
        <v>0</v>
      </c>
    </row>
    <row r="70" spans="1:27">
      <c r="A70" t="str">
        <f t="shared" si="12"/>
        <v>E069</v>
      </c>
      <c r="B70" t="str" cm="1">
        <f t="array" aca="1" ref="B70" ca="1">INDEX(sheet2!$A$2:$A$6, RANDBETWEEN(1, 5))</f>
        <v>Sales</v>
      </c>
      <c r="C70" t="str">
        <f ca="1">_xlfn.XLOOKUP(Table1[[#This Row],[Department]],sheet2!$A$2:$A$6,sheet2!$B$2:$B$6,_xleta.NA,0)</f>
        <v>Marketing Manager</v>
      </c>
      <c r="D70" s="1">
        <f t="shared" ca="1" si="13"/>
        <v>43818</v>
      </c>
      <c r="E70" s="1">
        <f ca="1">Table1[[#This Row],[Job Posting Date]]+ RANDBETWEEN(15, 90)</f>
        <v>43865</v>
      </c>
      <c r="F70" s="1">
        <f ca="1">Table1[[#This Row],[Hire Date]]+ RANDBETWEEN(1, 15)</f>
        <v>43867</v>
      </c>
      <c r="G70" s="1" t="str">
        <f ca="1">IF(RAND() &lt; 0.5,  Table1[[#This Row],[Join Date]]+ RANDBETWEEN(30, TODAY()- Table1[[#This Row],[Join Date]]), "-")</f>
        <v>-</v>
      </c>
      <c r="H70" t="str">
        <f ca="1">IF(Table1[[#This Row],[Exit Date]]= "-", "Active", "Exited")</f>
        <v>Active</v>
      </c>
      <c r="I70" s="5">
        <f t="shared" ca="1" si="14"/>
        <v>3016</v>
      </c>
      <c r="J70" t="str" cm="1">
        <f t="array" aca="1" ref="J70" ca="1">INDEX(sheet2!$C$2:$C$6, RANDBETWEEN(1, 5))</f>
        <v>Communication Skills</v>
      </c>
      <c r="K70" t="str">
        <f t="shared" ca="1" si="15"/>
        <v>Completed</v>
      </c>
      <c r="L70">
        <v>260</v>
      </c>
      <c r="M70">
        <f t="shared" ca="1" si="16"/>
        <v>18</v>
      </c>
      <c r="N70" t="str">
        <f t="shared" ca="1" si="17"/>
        <v>Female</v>
      </c>
      <c r="O70" s="6">
        <f t="shared" ca="1" si="18"/>
        <v>2049</v>
      </c>
      <c r="P70">
        <f ca="1">Table1[[#This Row],[Hire Date]]-Table1[[#This Row],[Job Posting Date]]</f>
        <v>47</v>
      </c>
      <c r="Q70" s="7">
        <f ca="1">Table1[[#This Row],[Join Date]]-Table1[[#This Row],[Hire Date]]</f>
        <v>2</v>
      </c>
      <c r="R70" s="8">
        <f ca="1">(IF(Table1[[#This Row],[Status]]="Exited",Table1[[#This Row],[Exit Date]]-Table1[[#This Row],[Join Date]],TODAY()-Table1[[#This Row],[Join Date]]))/30</f>
        <v>59.866666666666667</v>
      </c>
      <c r="S70">
        <f ca="1">Table1[[#This Row],[Hire Date]]-Table1[[#This Row],[Job Posting Date]]</f>
        <v>47</v>
      </c>
      <c r="T70" s="7">
        <f ca="1">Table1[[#This Row],[Time to onboard]]/Table1[[#This Row],[Time to Fill]]*100</f>
        <v>4.2553191489361701</v>
      </c>
      <c r="U70" s="8">
        <f ca="1">Table1[[#This Row],[Time to onboard]]/Table1[[#This Row],[Time to Fill]]*100</f>
        <v>4.2553191489361701</v>
      </c>
      <c r="V70">
        <f ca="1">Table1[[#This Row],[Join Date]]-Table1[[#This Row],[Job Posting Date]]</f>
        <v>49</v>
      </c>
      <c r="W70">
        <f t="shared" ca="1" si="19"/>
        <v>103</v>
      </c>
      <c r="X70" s="8">
        <f ca="1">Table1[[#This Row],[Absentee Days]]/Table1[[#This Row],[Total Work Days]]*100</f>
        <v>6.9230769230769234</v>
      </c>
      <c r="Y70">
        <f ca="1">YEAR(Table1[[#This Row],[Join Date]])</f>
        <v>2020</v>
      </c>
      <c r="Z70">
        <f ca="1">IF(Table1[[#This Row],[Status]]="Active",1,0)</f>
        <v>1</v>
      </c>
      <c r="AA70">
        <f ca="1">IF(Table1[[#This Row],[Status]]="Exited",Table1[[#This Row],[Recruitment Cost]]+Table1[[#This Row],[Onboarding cost]]+Table1[[#This Row],[Training Cost]],0)</f>
        <v>0</v>
      </c>
    </row>
    <row r="71" spans="1:27">
      <c r="A71" t="str">
        <f t="shared" si="12"/>
        <v>E070</v>
      </c>
      <c r="B71" t="str" cm="1">
        <f t="array" aca="1" ref="B71" ca="1">INDEX(sheet2!$A$2:$A$6, RANDBETWEEN(1, 5))</f>
        <v>Analytics</v>
      </c>
      <c r="C71" t="str">
        <f ca="1">_xlfn.XLOOKUP(Table1[[#This Row],[Department]],sheet2!$A$2:$A$6,sheet2!$B$2:$B$6,_xleta.NA,0)</f>
        <v>Data Analyst</v>
      </c>
      <c r="D71" s="1">
        <f t="shared" ca="1" si="13"/>
        <v>44023</v>
      </c>
      <c r="E71" s="1">
        <f ca="1">Table1[[#This Row],[Job Posting Date]]+ RANDBETWEEN(15, 90)</f>
        <v>44052</v>
      </c>
      <c r="F71" s="1">
        <f ca="1">Table1[[#This Row],[Hire Date]]+ RANDBETWEEN(1, 15)</f>
        <v>44061</v>
      </c>
      <c r="G71" s="1" t="str">
        <f ca="1">IF(RAND() &lt; 0.5,  Table1[[#This Row],[Join Date]]+ RANDBETWEEN(30, TODAY()- Table1[[#This Row],[Join Date]]), "-")</f>
        <v>-</v>
      </c>
      <c r="H71" t="str">
        <f ca="1">IF(Table1[[#This Row],[Exit Date]]= "-", "Active", "Exited")</f>
        <v>Active</v>
      </c>
      <c r="I71" s="5">
        <f t="shared" ca="1" si="14"/>
        <v>1611</v>
      </c>
      <c r="J71" t="str" cm="1">
        <f t="array" aca="1" ref="J71" ca="1">INDEX(sheet2!$C$2:$C$6, RANDBETWEEN(1, 5))</f>
        <v>Advanced Excel Skills </v>
      </c>
      <c r="K71" t="str">
        <f t="shared" ca="1" si="15"/>
        <v>Completed</v>
      </c>
      <c r="L71">
        <v>260</v>
      </c>
      <c r="M71">
        <f t="shared" ca="1" si="16"/>
        <v>16</v>
      </c>
      <c r="N71" t="str">
        <f t="shared" ca="1" si="17"/>
        <v>Other</v>
      </c>
      <c r="O71" s="6">
        <f t="shared" ca="1" si="18"/>
        <v>1978</v>
      </c>
      <c r="P71">
        <f ca="1">Table1[[#This Row],[Hire Date]]-Table1[[#This Row],[Job Posting Date]]</f>
        <v>29</v>
      </c>
      <c r="Q71" s="7">
        <f ca="1">Table1[[#This Row],[Join Date]]-Table1[[#This Row],[Hire Date]]</f>
        <v>9</v>
      </c>
      <c r="R71" s="8">
        <f ca="1">(IF(Table1[[#This Row],[Status]]="Exited",Table1[[#This Row],[Exit Date]]-Table1[[#This Row],[Join Date]],TODAY()-Table1[[#This Row],[Join Date]]))/30</f>
        <v>53.4</v>
      </c>
      <c r="S71">
        <f ca="1">Table1[[#This Row],[Hire Date]]-Table1[[#This Row],[Job Posting Date]]</f>
        <v>29</v>
      </c>
      <c r="T71" s="7">
        <f ca="1">Table1[[#This Row],[Time to onboard]]/Table1[[#This Row],[Time to Fill]]*100</f>
        <v>31.03448275862069</v>
      </c>
      <c r="U71" s="8">
        <f ca="1">Table1[[#This Row],[Time to onboard]]/Table1[[#This Row],[Time to Fill]]*100</f>
        <v>31.03448275862069</v>
      </c>
      <c r="V71">
        <f ca="1">Table1[[#This Row],[Join Date]]-Table1[[#This Row],[Job Posting Date]]</f>
        <v>38</v>
      </c>
      <c r="W71">
        <f t="shared" ca="1" si="19"/>
        <v>102</v>
      </c>
      <c r="X71" s="8">
        <f ca="1">Table1[[#This Row],[Absentee Days]]/Table1[[#This Row],[Total Work Days]]*100</f>
        <v>6.1538461538461542</v>
      </c>
      <c r="Y71">
        <f ca="1">YEAR(Table1[[#This Row],[Join Date]])</f>
        <v>2020</v>
      </c>
      <c r="Z71">
        <f ca="1">IF(Table1[[#This Row],[Status]]="Active",1,0)</f>
        <v>1</v>
      </c>
      <c r="AA71">
        <f ca="1">IF(Table1[[#This Row],[Status]]="Exited",Table1[[#This Row],[Recruitment Cost]]+Table1[[#This Row],[Onboarding cost]]+Table1[[#This Row],[Training Cost]],0)</f>
        <v>0</v>
      </c>
    </row>
    <row r="72" spans="1:27">
      <c r="A72" t="str">
        <f t="shared" si="12"/>
        <v>E071</v>
      </c>
      <c r="B72" t="str" cm="1">
        <f t="array" aca="1" ref="B72" ca="1">INDEX(sheet2!$A$2:$A$6, RANDBETWEEN(1, 5))</f>
        <v>Finance</v>
      </c>
      <c r="C72" t="str">
        <f ca="1">_xlfn.XLOOKUP(Table1[[#This Row],[Department]],sheet2!$A$2:$A$6,sheet2!$B$2:$B$6,_xleta.NA,0)</f>
        <v>Finance Manager</v>
      </c>
      <c r="D72" s="1">
        <f t="shared" ca="1" si="13"/>
        <v>43702</v>
      </c>
      <c r="E72" s="1">
        <f ca="1">Table1[[#This Row],[Job Posting Date]]+ RANDBETWEEN(15, 90)</f>
        <v>43731</v>
      </c>
      <c r="F72" s="1">
        <f ca="1">Table1[[#This Row],[Hire Date]]+ RANDBETWEEN(1, 15)</f>
        <v>43740</v>
      </c>
      <c r="G72" s="1" t="str">
        <f ca="1">IF(RAND() &lt; 0.5,  Table1[[#This Row],[Join Date]]+ RANDBETWEEN(30, TODAY()- Table1[[#This Row],[Join Date]]), "-")</f>
        <v>-</v>
      </c>
      <c r="H72" t="str">
        <f ca="1">IF(Table1[[#This Row],[Exit Date]]= "-", "Active", "Exited")</f>
        <v>Active</v>
      </c>
      <c r="I72" s="5">
        <f t="shared" ca="1" si="14"/>
        <v>4283</v>
      </c>
      <c r="J72" t="str" cm="1">
        <f t="array" aca="1" ref="J72" ca="1">INDEX(sheet2!$C$2:$C$6, RANDBETWEEN(1, 5))</f>
        <v>Advanced Excel Skills </v>
      </c>
      <c r="K72" t="str">
        <f t="shared" ca="1" si="15"/>
        <v>Not Completed</v>
      </c>
      <c r="L72">
        <v>260</v>
      </c>
      <c r="M72">
        <f t="shared" ca="1" si="16"/>
        <v>19</v>
      </c>
      <c r="N72" t="str">
        <f t="shared" ca="1" si="17"/>
        <v>Female</v>
      </c>
      <c r="O72" s="6">
        <f t="shared" ca="1" si="18"/>
        <v>1889</v>
      </c>
      <c r="P72">
        <f ca="1">Table1[[#This Row],[Hire Date]]-Table1[[#This Row],[Job Posting Date]]</f>
        <v>29</v>
      </c>
      <c r="Q72" s="7">
        <f ca="1">Table1[[#This Row],[Join Date]]-Table1[[#This Row],[Hire Date]]</f>
        <v>9</v>
      </c>
      <c r="R72" s="8">
        <f ca="1">(IF(Table1[[#This Row],[Status]]="Exited",Table1[[#This Row],[Exit Date]]-Table1[[#This Row],[Join Date]],TODAY()-Table1[[#This Row],[Join Date]]))/30</f>
        <v>64.099999999999994</v>
      </c>
      <c r="S72">
        <f ca="1">Table1[[#This Row],[Hire Date]]-Table1[[#This Row],[Job Posting Date]]</f>
        <v>29</v>
      </c>
      <c r="T72" s="7">
        <f ca="1">Table1[[#This Row],[Time to onboard]]/Table1[[#This Row],[Time to Fill]]*100</f>
        <v>31.03448275862069</v>
      </c>
      <c r="U72" s="8">
        <f ca="1">Table1[[#This Row],[Time to onboard]]/Table1[[#This Row],[Time to Fill]]*100</f>
        <v>31.03448275862069</v>
      </c>
      <c r="V72">
        <f ca="1">Table1[[#This Row],[Join Date]]-Table1[[#This Row],[Job Posting Date]]</f>
        <v>38</v>
      </c>
      <c r="W72">
        <f t="shared" ca="1" si="19"/>
        <v>144</v>
      </c>
      <c r="X72" s="8">
        <f ca="1">Table1[[#This Row],[Absentee Days]]/Table1[[#This Row],[Total Work Days]]*100</f>
        <v>7.3076923076923084</v>
      </c>
      <c r="Y72">
        <f ca="1">YEAR(Table1[[#This Row],[Join Date]])</f>
        <v>2019</v>
      </c>
      <c r="Z72">
        <f ca="1">IF(Table1[[#This Row],[Status]]="Active",1,0)</f>
        <v>1</v>
      </c>
      <c r="AA72">
        <f ca="1">IF(Table1[[#This Row],[Status]]="Exited",Table1[[#This Row],[Recruitment Cost]]+Table1[[#This Row],[Onboarding cost]]+Table1[[#This Row],[Training Cost]],0)</f>
        <v>0</v>
      </c>
    </row>
    <row r="73" spans="1:27">
      <c r="A73" t="str">
        <f t="shared" si="12"/>
        <v>E072</v>
      </c>
      <c r="B73" t="str" cm="1">
        <f t="array" aca="1" ref="B73" ca="1">INDEX(sheet2!$A$2:$A$6, RANDBETWEEN(1, 5))</f>
        <v>Analytics</v>
      </c>
      <c r="C73" t="str">
        <f ca="1">_xlfn.XLOOKUP(Table1[[#This Row],[Department]],sheet2!$A$2:$A$6,sheet2!$B$2:$B$6,_xleta.NA,0)</f>
        <v>Data Analyst</v>
      </c>
      <c r="D73" s="1">
        <f t="shared" ca="1" si="13"/>
        <v>44677</v>
      </c>
      <c r="E73" s="1">
        <f ca="1">Table1[[#This Row],[Job Posting Date]]+ RANDBETWEEN(15, 90)</f>
        <v>44693</v>
      </c>
      <c r="F73" s="1">
        <f ca="1">Table1[[#This Row],[Hire Date]]+ RANDBETWEEN(1, 15)</f>
        <v>44702</v>
      </c>
      <c r="G73" s="1">
        <f ca="1">IF(RAND() &lt; 0.5,  Table1[[#This Row],[Join Date]]+ RANDBETWEEN(30, TODAY()- Table1[[#This Row],[Join Date]]), "-")</f>
        <v>45540</v>
      </c>
      <c r="H73" t="str">
        <f ca="1">IF(Table1[[#This Row],[Exit Date]]= "-", "Active", "Exited")</f>
        <v>Exited</v>
      </c>
      <c r="I73" s="5">
        <f t="shared" ca="1" si="14"/>
        <v>3626</v>
      </c>
      <c r="J73" t="str" cm="1">
        <f t="array" aca="1" ref="J73" ca="1">INDEX(sheet2!$C$2:$C$6, RANDBETWEEN(1, 5))</f>
        <v>Conflict Resolution</v>
      </c>
      <c r="K73" t="str">
        <f t="shared" ca="1" si="15"/>
        <v>Completed</v>
      </c>
      <c r="L73">
        <v>260</v>
      </c>
      <c r="M73">
        <f t="shared" ca="1" si="16"/>
        <v>1</v>
      </c>
      <c r="N73" t="str">
        <f t="shared" ca="1" si="17"/>
        <v>Female</v>
      </c>
      <c r="O73" s="6">
        <f t="shared" ca="1" si="18"/>
        <v>1420</v>
      </c>
      <c r="P73">
        <f ca="1">Table1[[#This Row],[Hire Date]]-Table1[[#This Row],[Job Posting Date]]</f>
        <v>16</v>
      </c>
      <c r="Q73" s="7">
        <f ca="1">Table1[[#This Row],[Join Date]]-Table1[[#This Row],[Hire Date]]</f>
        <v>9</v>
      </c>
      <c r="R73" s="8">
        <f ca="1">(IF(Table1[[#This Row],[Status]]="Exited",Table1[[#This Row],[Exit Date]]-Table1[[#This Row],[Join Date]],TODAY()-Table1[[#This Row],[Join Date]]))/30</f>
        <v>27.933333333333334</v>
      </c>
      <c r="S73">
        <f ca="1">Table1[[#This Row],[Hire Date]]-Table1[[#This Row],[Job Posting Date]]</f>
        <v>16</v>
      </c>
      <c r="T73" s="7">
        <f ca="1">Table1[[#This Row],[Time to onboard]]/Table1[[#This Row],[Time to Fill]]*100</f>
        <v>56.25</v>
      </c>
      <c r="U73" s="8">
        <f ca="1">Table1[[#This Row],[Time to onboard]]/Table1[[#This Row],[Time to Fill]]*100</f>
        <v>56.25</v>
      </c>
      <c r="V73">
        <f ca="1">Table1[[#This Row],[Join Date]]-Table1[[#This Row],[Job Posting Date]]</f>
        <v>25</v>
      </c>
      <c r="W73">
        <f t="shared" ca="1" si="19"/>
        <v>188</v>
      </c>
      <c r="X73" s="8">
        <f ca="1">Table1[[#This Row],[Absentee Days]]/Table1[[#This Row],[Total Work Days]]*100</f>
        <v>0.38461538461538464</v>
      </c>
      <c r="Y73">
        <f ca="1">YEAR(Table1[[#This Row],[Join Date]])</f>
        <v>2022</v>
      </c>
      <c r="Z73">
        <f ca="1">IF(Table1[[#This Row],[Status]]="Active",1,0)</f>
        <v>0</v>
      </c>
      <c r="AA73">
        <f ca="1">IF(Table1[[#This Row],[Status]]="Exited",Table1[[#This Row],[Recruitment Cost]]+Table1[[#This Row],[Onboarding cost]]+Table1[[#This Row],[Training Cost]],0)</f>
        <v>5234</v>
      </c>
    </row>
    <row r="74" spans="1:27">
      <c r="A74" t="str">
        <f t="shared" si="12"/>
        <v>E073</v>
      </c>
      <c r="B74" t="str" cm="1">
        <f t="array" aca="1" ref="B74" ca="1">INDEX(sheet2!$A$2:$A$6, RANDBETWEEN(1, 5))</f>
        <v>HR</v>
      </c>
      <c r="C74" t="str">
        <f ca="1">_xlfn.XLOOKUP(Table1[[#This Row],[Department]],sheet2!$A$2:$A$6,sheet2!$B$2:$B$6,_xleta.NA,0)</f>
        <v>HR Manager</v>
      </c>
      <c r="D74" s="1">
        <f t="shared" ca="1" si="13"/>
        <v>43853</v>
      </c>
      <c r="E74" s="1">
        <f ca="1">Table1[[#This Row],[Job Posting Date]]+ RANDBETWEEN(15, 90)</f>
        <v>43878</v>
      </c>
      <c r="F74" s="1">
        <f ca="1">Table1[[#This Row],[Hire Date]]+ RANDBETWEEN(1, 15)</f>
        <v>43886</v>
      </c>
      <c r="G74" s="1" t="str">
        <f ca="1">IF(RAND() &lt; 0.5,  Table1[[#This Row],[Join Date]]+ RANDBETWEEN(30, TODAY()- Table1[[#This Row],[Join Date]]), "-")</f>
        <v>-</v>
      </c>
      <c r="H74" t="str">
        <f ca="1">IF(Table1[[#This Row],[Exit Date]]= "-", "Active", "Exited")</f>
        <v>Active</v>
      </c>
      <c r="I74" s="5">
        <f t="shared" ca="1" si="14"/>
        <v>2602</v>
      </c>
      <c r="J74" t="str" cm="1">
        <f t="array" aca="1" ref="J74" ca="1">INDEX(sheet2!$C$2:$C$6, RANDBETWEEN(1, 5))</f>
        <v>Conflict Resolution</v>
      </c>
      <c r="K74" t="str">
        <f t="shared" ca="1" si="15"/>
        <v>Completed</v>
      </c>
      <c r="L74">
        <v>260</v>
      </c>
      <c r="M74">
        <f t="shared" ca="1" si="16"/>
        <v>6</v>
      </c>
      <c r="N74" t="str">
        <f t="shared" ca="1" si="17"/>
        <v>Male</v>
      </c>
      <c r="O74" s="6">
        <f t="shared" ca="1" si="18"/>
        <v>2233</v>
      </c>
      <c r="P74">
        <f ca="1">Table1[[#This Row],[Hire Date]]-Table1[[#This Row],[Job Posting Date]]</f>
        <v>25</v>
      </c>
      <c r="Q74" s="7">
        <f ca="1">Table1[[#This Row],[Join Date]]-Table1[[#This Row],[Hire Date]]</f>
        <v>8</v>
      </c>
      <c r="R74" s="8">
        <f ca="1">(IF(Table1[[#This Row],[Status]]="Exited",Table1[[#This Row],[Exit Date]]-Table1[[#This Row],[Join Date]],TODAY()-Table1[[#This Row],[Join Date]]))/30</f>
        <v>59.233333333333334</v>
      </c>
      <c r="S74">
        <f ca="1">Table1[[#This Row],[Hire Date]]-Table1[[#This Row],[Job Posting Date]]</f>
        <v>25</v>
      </c>
      <c r="T74" s="7">
        <f ca="1">Table1[[#This Row],[Time to onboard]]/Table1[[#This Row],[Time to Fill]]*100</f>
        <v>32</v>
      </c>
      <c r="U74" s="8">
        <f ca="1">Table1[[#This Row],[Time to onboard]]/Table1[[#This Row],[Time to Fill]]*100</f>
        <v>32</v>
      </c>
      <c r="V74">
        <f ca="1">Table1[[#This Row],[Join Date]]-Table1[[#This Row],[Job Posting Date]]</f>
        <v>33</v>
      </c>
      <c r="W74">
        <f t="shared" ca="1" si="19"/>
        <v>173</v>
      </c>
      <c r="X74" s="8">
        <f ca="1">Table1[[#This Row],[Absentee Days]]/Table1[[#This Row],[Total Work Days]]*100</f>
        <v>2.3076923076923079</v>
      </c>
      <c r="Y74">
        <f ca="1">YEAR(Table1[[#This Row],[Join Date]])</f>
        <v>2020</v>
      </c>
      <c r="Z74">
        <f ca="1">IF(Table1[[#This Row],[Status]]="Active",1,0)</f>
        <v>1</v>
      </c>
      <c r="AA74">
        <f ca="1">IF(Table1[[#This Row],[Status]]="Exited",Table1[[#This Row],[Recruitment Cost]]+Table1[[#This Row],[Onboarding cost]]+Table1[[#This Row],[Training Cost]],0)</f>
        <v>0</v>
      </c>
    </row>
    <row r="75" spans="1:27">
      <c r="A75" t="str">
        <f t="shared" si="12"/>
        <v>E074</v>
      </c>
      <c r="B75" t="str" cm="1">
        <f t="array" aca="1" ref="B75" ca="1">INDEX(sheet2!$A$2:$A$6, RANDBETWEEN(1, 5))</f>
        <v>HR</v>
      </c>
      <c r="C75" t="str">
        <f ca="1">_xlfn.XLOOKUP(Table1[[#This Row],[Department]],sheet2!$A$2:$A$6,sheet2!$B$2:$B$6,_xleta.NA,0)</f>
        <v>HR Manager</v>
      </c>
      <c r="D75" s="1">
        <f t="shared" ca="1" si="13"/>
        <v>43666</v>
      </c>
      <c r="E75" s="1">
        <f ca="1">Table1[[#This Row],[Job Posting Date]]+ RANDBETWEEN(15, 90)</f>
        <v>43749</v>
      </c>
      <c r="F75" s="1">
        <f ca="1">Table1[[#This Row],[Hire Date]]+ RANDBETWEEN(1, 15)</f>
        <v>43760</v>
      </c>
      <c r="G75" s="1" t="str">
        <f ca="1">IF(RAND() &lt; 0.5,  Table1[[#This Row],[Join Date]]+ RANDBETWEEN(30, TODAY()- Table1[[#This Row],[Join Date]]), "-")</f>
        <v>-</v>
      </c>
      <c r="H75" t="str">
        <f ca="1">IF(Table1[[#This Row],[Exit Date]]= "-", "Active", "Exited")</f>
        <v>Active</v>
      </c>
      <c r="I75" s="5">
        <f t="shared" ca="1" si="14"/>
        <v>3771</v>
      </c>
      <c r="J75" t="str" cm="1">
        <f t="array" aca="1" ref="J75" ca="1">INDEX(sheet2!$C$2:$C$6, RANDBETWEEN(1, 5))</f>
        <v>Ethics and Responsibilities</v>
      </c>
      <c r="K75" t="str">
        <f t="shared" ca="1" si="15"/>
        <v>Completed</v>
      </c>
      <c r="L75">
        <v>260</v>
      </c>
      <c r="M75">
        <f t="shared" ca="1" si="16"/>
        <v>3</v>
      </c>
      <c r="N75" t="str">
        <f t="shared" ca="1" si="17"/>
        <v>Female</v>
      </c>
      <c r="O75" s="6">
        <f t="shared" ca="1" si="18"/>
        <v>2077</v>
      </c>
      <c r="P75">
        <f ca="1">Table1[[#This Row],[Hire Date]]-Table1[[#This Row],[Job Posting Date]]</f>
        <v>83</v>
      </c>
      <c r="Q75" s="7">
        <f ca="1">Table1[[#This Row],[Join Date]]-Table1[[#This Row],[Hire Date]]</f>
        <v>11</v>
      </c>
      <c r="R75" s="8">
        <f ca="1">(IF(Table1[[#This Row],[Status]]="Exited",Table1[[#This Row],[Exit Date]]-Table1[[#This Row],[Join Date]],TODAY()-Table1[[#This Row],[Join Date]]))/30</f>
        <v>63.43333333333333</v>
      </c>
      <c r="S75">
        <f ca="1">Table1[[#This Row],[Hire Date]]-Table1[[#This Row],[Job Posting Date]]</f>
        <v>83</v>
      </c>
      <c r="T75" s="7">
        <f ca="1">Table1[[#This Row],[Time to onboard]]/Table1[[#This Row],[Time to Fill]]*100</f>
        <v>13.253012048192772</v>
      </c>
      <c r="U75" s="8">
        <f ca="1">Table1[[#This Row],[Time to onboard]]/Table1[[#This Row],[Time to Fill]]*100</f>
        <v>13.253012048192772</v>
      </c>
      <c r="V75">
        <f ca="1">Table1[[#This Row],[Join Date]]-Table1[[#This Row],[Job Posting Date]]</f>
        <v>94</v>
      </c>
      <c r="W75">
        <f t="shared" ca="1" si="19"/>
        <v>173</v>
      </c>
      <c r="X75" s="8">
        <f ca="1">Table1[[#This Row],[Absentee Days]]/Table1[[#This Row],[Total Work Days]]*100</f>
        <v>1.153846153846154</v>
      </c>
      <c r="Y75">
        <f ca="1">YEAR(Table1[[#This Row],[Join Date]])</f>
        <v>2019</v>
      </c>
      <c r="Z75">
        <f ca="1">IF(Table1[[#This Row],[Status]]="Active",1,0)</f>
        <v>1</v>
      </c>
      <c r="AA75">
        <f ca="1">IF(Table1[[#This Row],[Status]]="Exited",Table1[[#This Row],[Recruitment Cost]]+Table1[[#This Row],[Onboarding cost]]+Table1[[#This Row],[Training Cost]],0)</f>
        <v>0</v>
      </c>
    </row>
    <row r="76" spans="1:27">
      <c r="A76" t="str">
        <f t="shared" si="12"/>
        <v>E075</v>
      </c>
      <c r="B76" t="str" cm="1">
        <f t="array" aca="1" ref="B76" ca="1">INDEX(sheet2!$A$2:$A$6, RANDBETWEEN(1, 5))</f>
        <v>HR</v>
      </c>
      <c r="C76" t="str">
        <f ca="1">_xlfn.XLOOKUP(Table1[[#This Row],[Department]],sheet2!$A$2:$A$6,sheet2!$B$2:$B$6,_xleta.NA,0)</f>
        <v>HR Manager</v>
      </c>
      <c r="D76" s="1">
        <f t="shared" ca="1" si="13"/>
        <v>43199</v>
      </c>
      <c r="E76" s="1">
        <f ca="1">Table1[[#This Row],[Job Posting Date]]+ RANDBETWEEN(15, 90)</f>
        <v>43247</v>
      </c>
      <c r="F76" s="1">
        <f ca="1">Table1[[#This Row],[Hire Date]]+ RANDBETWEEN(1, 15)</f>
        <v>43255</v>
      </c>
      <c r="G76" s="1" t="str">
        <f ca="1">IF(RAND() &lt; 0.5,  Table1[[#This Row],[Join Date]]+ RANDBETWEEN(30, TODAY()- Table1[[#This Row],[Join Date]]), "-")</f>
        <v>-</v>
      </c>
      <c r="H76" t="str">
        <f ca="1">IF(Table1[[#This Row],[Exit Date]]= "-", "Active", "Exited")</f>
        <v>Active</v>
      </c>
      <c r="I76" s="5">
        <f t="shared" ca="1" si="14"/>
        <v>3438</v>
      </c>
      <c r="J76" t="str" cm="1">
        <f t="array" aca="1" ref="J76" ca="1">INDEX(sheet2!$C$2:$C$6, RANDBETWEEN(1, 5))</f>
        <v>Conflict Resolution</v>
      </c>
      <c r="K76" t="str">
        <f t="shared" ca="1" si="15"/>
        <v>Not Completed</v>
      </c>
      <c r="L76">
        <v>260</v>
      </c>
      <c r="M76">
        <f t="shared" ca="1" si="16"/>
        <v>17</v>
      </c>
      <c r="N76" t="str">
        <f t="shared" ca="1" si="17"/>
        <v>Female</v>
      </c>
      <c r="O76" s="6">
        <f t="shared" ca="1" si="18"/>
        <v>2495</v>
      </c>
      <c r="P76">
        <f ca="1">Table1[[#This Row],[Hire Date]]-Table1[[#This Row],[Job Posting Date]]</f>
        <v>48</v>
      </c>
      <c r="Q76" s="7">
        <f ca="1">Table1[[#This Row],[Join Date]]-Table1[[#This Row],[Hire Date]]</f>
        <v>8</v>
      </c>
      <c r="R76" s="8">
        <f ca="1">(IF(Table1[[#This Row],[Status]]="Exited",Table1[[#This Row],[Exit Date]]-Table1[[#This Row],[Join Date]],TODAY()-Table1[[#This Row],[Join Date]]))/30</f>
        <v>80.266666666666666</v>
      </c>
      <c r="S76">
        <f ca="1">Table1[[#This Row],[Hire Date]]-Table1[[#This Row],[Job Posting Date]]</f>
        <v>48</v>
      </c>
      <c r="T76" s="7">
        <f ca="1">Table1[[#This Row],[Time to onboard]]/Table1[[#This Row],[Time to Fill]]*100</f>
        <v>16.666666666666664</v>
      </c>
      <c r="U76" s="8">
        <f ca="1">Table1[[#This Row],[Time to onboard]]/Table1[[#This Row],[Time to Fill]]*100</f>
        <v>16.666666666666664</v>
      </c>
      <c r="V76">
        <f ca="1">Table1[[#This Row],[Join Date]]-Table1[[#This Row],[Job Posting Date]]</f>
        <v>56</v>
      </c>
      <c r="W76">
        <f t="shared" ca="1" si="19"/>
        <v>109</v>
      </c>
      <c r="X76" s="8">
        <f ca="1">Table1[[#This Row],[Absentee Days]]/Table1[[#This Row],[Total Work Days]]*100</f>
        <v>6.5384615384615392</v>
      </c>
      <c r="Y76">
        <f ca="1">YEAR(Table1[[#This Row],[Join Date]])</f>
        <v>2018</v>
      </c>
      <c r="Z76">
        <f ca="1">IF(Table1[[#This Row],[Status]]="Active",1,0)</f>
        <v>1</v>
      </c>
      <c r="AA76">
        <f ca="1">IF(Table1[[#This Row],[Status]]="Exited",Table1[[#This Row],[Recruitment Cost]]+Table1[[#This Row],[Onboarding cost]]+Table1[[#This Row],[Training Cost]],0)</f>
        <v>0</v>
      </c>
    </row>
    <row r="77" spans="1:27">
      <c r="A77" t="str">
        <f t="shared" si="12"/>
        <v>E076</v>
      </c>
      <c r="B77" t="str" cm="1">
        <f t="array" aca="1" ref="B77" ca="1">INDEX(sheet2!$A$2:$A$6, RANDBETWEEN(1, 5))</f>
        <v>Analytics</v>
      </c>
      <c r="C77" t="str">
        <f ca="1">_xlfn.XLOOKUP(Table1[[#This Row],[Department]],sheet2!$A$2:$A$6,sheet2!$B$2:$B$6,_xleta.NA,0)</f>
        <v>Data Analyst</v>
      </c>
      <c r="D77" s="1">
        <f t="shared" ca="1" si="13"/>
        <v>44147</v>
      </c>
      <c r="E77" s="1">
        <f ca="1">Table1[[#This Row],[Job Posting Date]]+ RANDBETWEEN(15, 90)</f>
        <v>44235</v>
      </c>
      <c r="F77" s="1">
        <f ca="1">Table1[[#This Row],[Hire Date]]+ RANDBETWEEN(1, 15)</f>
        <v>44250</v>
      </c>
      <c r="G77" s="1">
        <f ca="1">IF(RAND() &lt; 0.5,  Table1[[#This Row],[Join Date]]+ RANDBETWEEN(30, TODAY()- Table1[[#This Row],[Join Date]]), "-")</f>
        <v>44561</v>
      </c>
      <c r="H77" t="str">
        <f ca="1">IF(Table1[[#This Row],[Exit Date]]= "-", "Active", "Exited")</f>
        <v>Exited</v>
      </c>
      <c r="I77" s="5">
        <f t="shared" ca="1" si="14"/>
        <v>1529</v>
      </c>
      <c r="J77" t="str" cm="1">
        <f t="array" aca="1" ref="J77" ca="1">INDEX(sheet2!$C$2:$C$6, RANDBETWEEN(1, 5))</f>
        <v>Ethics and Responsibilities</v>
      </c>
      <c r="K77" t="str">
        <f t="shared" ca="1" si="15"/>
        <v>Completed</v>
      </c>
      <c r="L77">
        <v>260</v>
      </c>
      <c r="M77">
        <f t="shared" ca="1" si="16"/>
        <v>14</v>
      </c>
      <c r="N77" t="str">
        <f t="shared" ca="1" si="17"/>
        <v>Female</v>
      </c>
      <c r="O77" s="6">
        <f t="shared" ca="1" si="18"/>
        <v>2142</v>
      </c>
      <c r="P77">
        <f ca="1">Table1[[#This Row],[Hire Date]]-Table1[[#This Row],[Job Posting Date]]</f>
        <v>88</v>
      </c>
      <c r="Q77" s="7">
        <f ca="1">Table1[[#This Row],[Join Date]]-Table1[[#This Row],[Hire Date]]</f>
        <v>15</v>
      </c>
      <c r="R77" s="8">
        <f ca="1">(IF(Table1[[#This Row],[Status]]="Exited",Table1[[#This Row],[Exit Date]]-Table1[[#This Row],[Join Date]],TODAY()-Table1[[#This Row],[Join Date]]))/30</f>
        <v>10.366666666666667</v>
      </c>
      <c r="S77">
        <f ca="1">Table1[[#This Row],[Hire Date]]-Table1[[#This Row],[Job Posting Date]]</f>
        <v>88</v>
      </c>
      <c r="T77" s="7">
        <f ca="1">Table1[[#This Row],[Time to onboard]]/Table1[[#This Row],[Time to Fill]]*100</f>
        <v>17.045454545454543</v>
      </c>
      <c r="U77" s="8">
        <f ca="1">Table1[[#This Row],[Time to onboard]]/Table1[[#This Row],[Time to Fill]]*100</f>
        <v>17.045454545454543</v>
      </c>
      <c r="V77">
        <f ca="1">Table1[[#This Row],[Join Date]]-Table1[[#This Row],[Job Posting Date]]</f>
        <v>103</v>
      </c>
      <c r="W77">
        <f t="shared" ca="1" si="19"/>
        <v>158</v>
      </c>
      <c r="X77" s="8">
        <f ca="1">Table1[[#This Row],[Absentee Days]]/Table1[[#This Row],[Total Work Days]]*100</f>
        <v>5.384615384615385</v>
      </c>
      <c r="Y77">
        <f ca="1">YEAR(Table1[[#This Row],[Join Date]])</f>
        <v>2021</v>
      </c>
      <c r="Z77">
        <f ca="1">IF(Table1[[#This Row],[Status]]="Active",1,0)</f>
        <v>0</v>
      </c>
      <c r="AA77">
        <f ca="1">IF(Table1[[#This Row],[Status]]="Exited",Table1[[#This Row],[Recruitment Cost]]+Table1[[#This Row],[Onboarding cost]]+Table1[[#This Row],[Training Cost]],0)</f>
        <v>3829</v>
      </c>
    </row>
    <row r="78" spans="1:27">
      <c r="A78" t="str">
        <f t="shared" si="12"/>
        <v>E077</v>
      </c>
      <c r="B78" t="str" cm="1">
        <f t="array" aca="1" ref="B78" ca="1">INDEX(sheet2!$A$2:$A$6, RANDBETWEEN(1, 5))</f>
        <v>HR</v>
      </c>
      <c r="C78" t="str">
        <f ca="1">_xlfn.XLOOKUP(Table1[[#This Row],[Department]],sheet2!$A$2:$A$6,sheet2!$B$2:$B$6,_xleta.NA,0)</f>
        <v>HR Manager</v>
      </c>
      <c r="D78" s="1">
        <f t="shared" ca="1" si="13"/>
        <v>43108</v>
      </c>
      <c r="E78" s="1">
        <f ca="1">Table1[[#This Row],[Job Posting Date]]+ RANDBETWEEN(15, 90)</f>
        <v>43194</v>
      </c>
      <c r="F78" s="1">
        <f ca="1">Table1[[#This Row],[Hire Date]]+ RANDBETWEEN(1, 15)</f>
        <v>43208</v>
      </c>
      <c r="G78" s="1">
        <f ca="1">IF(RAND() &lt; 0.5,  Table1[[#This Row],[Join Date]]+ RANDBETWEEN(30, TODAY()- Table1[[#This Row],[Join Date]]), "-")</f>
        <v>43856</v>
      </c>
      <c r="H78" t="str">
        <f ca="1">IF(Table1[[#This Row],[Exit Date]]= "-", "Active", "Exited")</f>
        <v>Exited</v>
      </c>
      <c r="I78" s="5">
        <f t="shared" ca="1" si="14"/>
        <v>3793</v>
      </c>
      <c r="J78" t="str" cm="1">
        <f t="array" aca="1" ref="J78" ca="1">INDEX(sheet2!$C$2:$C$6, RANDBETWEEN(1, 5))</f>
        <v>Communication Skills</v>
      </c>
      <c r="K78" t="str">
        <f t="shared" ca="1" si="15"/>
        <v>Completed</v>
      </c>
      <c r="L78">
        <v>260</v>
      </c>
      <c r="M78">
        <f t="shared" ca="1" si="16"/>
        <v>14</v>
      </c>
      <c r="N78" t="str">
        <f t="shared" ca="1" si="17"/>
        <v>Male</v>
      </c>
      <c r="O78" s="6">
        <f t="shared" ca="1" si="18"/>
        <v>1605</v>
      </c>
      <c r="P78">
        <f ca="1">Table1[[#This Row],[Hire Date]]-Table1[[#This Row],[Job Posting Date]]</f>
        <v>86</v>
      </c>
      <c r="Q78" s="7">
        <f ca="1">Table1[[#This Row],[Join Date]]-Table1[[#This Row],[Hire Date]]</f>
        <v>14</v>
      </c>
      <c r="R78" s="8">
        <f ca="1">(IF(Table1[[#This Row],[Status]]="Exited",Table1[[#This Row],[Exit Date]]-Table1[[#This Row],[Join Date]],TODAY()-Table1[[#This Row],[Join Date]]))/30</f>
        <v>21.6</v>
      </c>
      <c r="S78">
        <f ca="1">Table1[[#This Row],[Hire Date]]-Table1[[#This Row],[Job Posting Date]]</f>
        <v>86</v>
      </c>
      <c r="T78" s="7">
        <f ca="1">Table1[[#This Row],[Time to onboard]]/Table1[[#This Row],[Time to Fill]]*100</f>
        <v>16.279069767441861</v>
      </c>
      <c r="U78" s="8">
        <f ca="1">Table1[[#This Row],[Time to onboard]]/Table1[[#This Row],[Time to Fill]]*100</f>
        <v>16.279069767441861</v>
      </c>
      <c r="V78">
        <f ca="1">Table1[[#This Row],[Join Date]]-Table1[[#This Row],[Job Posting Date]]</f>
        <v>100</v>
      </c>
      <c r="W78">
        <f t="shared" ca="1" si="19"/>
        <v>142</v>
      </c>
      <c r="X78" s="8">
        <f ca="1">Table1[[#This Row],[Absentee Days]]/Table1[[#This Row],[Total Work Days]]*100</f>
        <v>5.384615384615385</v>
      </c>
      <c r="Y78">
        <f ca="1">YEAR(Table1[[#This Row],[Join Date]])</f>
        <v>2018</v>
      </c>
      <c r="Z78">
        <f ca="1">IF(Table1[[#This Row],[Status]]="Active",1,0)</f>
        <v>0</v>
      </c>
      <c r="AA78">
        <f ca="1">IF(Table1[[#This Row],[Status]]="Exited",Table1[[#This Row],[Recruitment Cost]]+Table1[[#This Row],[Onboarding cost]]+Table1[[#This Row],[Training Cost]],0)</f>
        <v>5540</v>
      </c>
    </row>
    <row r="79" spans="1:27">
      <c r="A79" t="str">
        <f t="shared" si="12"/>
        <v>E078</v>
      </c>
      <c r="B79" t="str" cm="1">
        <f t="array" aca="1" ref="B79" ca="1">INDEX(sheet2!$A$2:$A$6, RANDBETWEEN(1, 5))</f>
        <v>HR</v>
      </c>
      <c r="C79" t="str">
        <f ca="1">_xlfn.XLOOKUP(Table1[[#This Row],[Department]],sheet2!$A$2:$A$6,sheet2!$B$2:$B$6,_xleta.NA,0)</f>
        <v>HR Manager</v>
      </c>
      <c r="D79" s="1">
        <f t="shared" ca="1" si="13"/>
        <v>44614</v>
      </c>
      <c r="E79" s="1">
        <f ca="1">Table1[[#This Row],[Job Posting Date]]+ RANDBETWEEN(15, 90)</f>
        <v>44637</v>
      </c>
      <c r="F79" s="1">
        <f ca="1">Table1[[#This Row],[Hire Date]]+ RANDBETWEEN(1, 15)</f>
        <v>44642</v>
      </c>
      <c r="G79" s="1" t="str">
        <f ca="1">IF(RAND() &lt; 0.5,  Table1[[#This Row],[Join Date]]+ RANDBETWEEN(30, TODAY()- Table1[[#This Row],[Join Date]]), "-")</f>
        <v>-</v>
      </c>
      <c r="H79" t="str">
        <f ca="1">IF(Table1[[#This Row],[Exit Date]]= "-", "Active", "Exited")</f>
        <v>Active</v>
      </c>
      <c r="I79" s="5">
        <f t="shared" ca="1" si="14"/>
        <v>1515</v>
      </c>
      <c r="J79" t="str" cm="1">
        <f t="array" aca="1" ref="J79" ca="1">INDEX(sheet2!$C$2:$C$6, RANDBETWEEN(1, 5))</f>
        <v>Conflict Resolution</v>
      </c>
      <c r="K79" t="str">
        <f t="shared" ca="1" si="15"/>
        <v>Completed</v>
      </c>
      <c r="L79">
        <v>260</v>
      </c>
      <c r="M79">
        <f t="shared" ca="1" si="16"/>
        <v>2</v>
      </c>
      <c r="N79" t="str">
        <f t="shared" ca="1" si="17"/>
        <v>Other</v>
      </c>
      <c r="O79" s="6">
        <f t="shared" ca="1" si="18"/>
        <v>1619</v>
      </c>
      <c r="P79">
        <f ca="1">Table1[[#This Row],[Hire Date]]-Table1[[#This Row],[Job Posting Date]]</f>
        <v>23</v>
      </c>
      <c r="Q79" s="7">
        <f ca="1">Table1[[#This Row],[Join Date]]-Table1[[#This Row],[Hire Date]]</f>
        <v>5</v>
      </c>
      <c r="R79" s="8">
        <f ca="1">(IF(Table1[[#This Row],[Status]]="Exited",Table1[[#This Row],[Exit Date]]-Table1[[#This Row],[Join Date]],TODAY()-Table1[[#This Row],[Join Date]]))/30</f>
        <v>34.033333333333331</v>
      </c>
      <c r="S79">
        <f ca="1">Table1[[#This Row],[Hire Date]]-Table1[[#This Row],[Job Posting Date]]</f>
        <v>23</v>
      </c>
      <c r="T79" s="7">
        <f ca="1">Table1[[#This Row],[Time to onboard]]/Table1[[#This Row],[Time to Fill]]*100</f>
        <v>21.739130434782609</v>
      </c>
      <c r="U79" s="8">
        <f ca="1">Table1[[#This Row],[Time to onboard]]/Table1[[#This Row],[Time to Fill]]*100</f>
        <v>21.739130434782609</v>
      </c>
      <c r="V79">
        <f ca="1">Table1[[#This Row],[Join Date]]-Table1[[#This Row],[Job Posting Date]]</f>
        <v>28</v>
      </c>
      <c r="W79">
        <f t="shared" ca="1" si="19"/>
        <v>168</v>
      </c>
      <c r="X79" s="8">
        <f ca="1">Table1[[#This Row],[Absentee Days]]/Table1[[#This Row],[Total Work Days]]*100</f>
        <v>0.76923076923076927</v>
      </c>
      <c r="Y79">
        <f ca="1">YEAR(Table1[[#This Row],[Join Date]])</f>
        <v>2022</v>
      </c>
      <c r="Z79">
        <f ca="1">IF(Table1[[#This Row],[Status]]="Active",1,0)</f>
        <v>1</v>
      </c>
      <c r="AA79">
        <f ca="1">IF(Table1[[#This Row],[Status]]="Exited",Table1[[#This Row],[Recruitment Cost]]+Table1[[#This Row],[Onboarding cost]]+Table1[[#This Row],[Training Cost]],0)</f>
        <v>0</v>
      </c>
    </row>
    <row r="80" spans="1:27">
      <c r="A80" t="str">
        <f t="shared" si="12"/>
        <v>E079</v>
      </c>
      <c r="B80" t="str" cm="1">
        <f t="array" aca="1" ref="B80" ca="1">INDEX(sheet2!$A$2:$A$6, RANDBETWEEN(1, 5))</f>
        <v>HR</v>
      </c>
      <c r="C80" t="str">
        <f ca="1">_xlfn.XLOOKUP(Table1[[#This Row],[Department]],sheet2!$A$2:$A$6,sheet2!$B$2:$B$6,_xleta.NA,0)</f>
        <v>HR Manager</v>
      </c>
      <c r="D80" s="1">
        <f t="shared" ca="1" si="13"/>
        <v>43930</v>
      </c>
      <c r="E80" s="1">
        <f ca="1">Table1[[#This Row],[Job Posting Date]]+ RANDBETWEEN(15, 90)</f>
        <v>43986</v>
      </c>
      <c r="F80" s="1">
        <f ca="1">Table1[[#This Row],[Hire Date]]+ RANDBETWEEN(1, 15)</f>
        <v>43988</v>
      </c>
      <c r="G80" s="1">
        <f ca="1">IF(RAND() &lt; 0.5,  Table1[[#This Row],[Join Date]]+ RANDBETWEEN(30, TODAY()- Table1[[#This Row],[Join Date]]), "-")</f>
        <v>45456</v>
      </c>
      <c r="H80" t="str">
        <f ca="1">IF(Table1[[#This Row],[Exit Date]]= "-", "Active", "Exited")</f>
        <v>Exited</v>
      </c>
      <c r="I80" s="5">
        <f t="shared" ca="1" si="14"/>
        <v>1827</v>
      </c>
      <c r="J80" t="str" cm="1">
        <f t="array" aca="1" ref="J80" ca="1">INDEX(sheet2!$C$2:$C$6, RANDBETWEEN(1, 5))</f>
        <v>Conflict Resolution</v>
      </c>
      <c r="K80" t="str">
        <f t="shared" ca="1" si="15"/>
        <v>Completed</v>
      </c>
      <c r="L80">
        <v>260</v>
      </c>
      <c r="M80">
        <f t="shared" ca="1" si="16"/>
        <v>4</v>
      </c>
      <c r="N80" t="str">
        <f t="shared" ca="1" si="17"/>
        <v>Female</v>
      </c>
      <c r="O80" s="6">
        <f t="shared" ca="1" si="18"/>
        <v>2500</v>
      </c>
      <c r="P80">
        <f ca="1">Table1[[#This Row],[Hire Date]]-Table1[[#This Row],[Job Posting Date]]</f>
        <v>56</v>
      </c>
      <c r="Q80" s="7">
        <f ca="1">Table1[[#This Row],[Join Date]]-Table1[[#This Row],[Hire Date]]</f>
        <v>2</v>
      </c>
      <c r="R80" s="8">
        <f ca="1">(IF(Table1[[#This Row],[Status]]="Exited",Table1[[#This Row],[Exit Date]]-Table1[[#This Row],[Join Date]],TODAY()-Table1[[#This Row],[Join Date]]))/30</f>
        <v>48.93333333333333</v>
      </c>
      <c r="S80">
        <f ca="1">Table1[[#This Row],[Hire Date]]-Table1[[#This Row],[Job Posting Date]]</f>
        <v>56</v>
      </c>
      <c r="T80" s="7">
        <f ca="1">Table1[[#This Row],[Time to onboard]]/Table1[[#This Row],[Time to Fill]]*100</f>
        <v>3.5714285714285712</v>
      </c>
      <c r="U80" s="8">
        <f ca="1">Table1[[#This Row],[Time to onboard]]/Table1[[#This Row],[Time to Fill]]*100</f>
        <v>3.5714285714285712</v>
      </c>
      <c r="V80">
        <f ca="1">Table1[[#This Row],[Join Date]]-Table1[[#This Row],[Job Posting Date]]</f>
        <v>58</v>
      </c>
      <c r="W80">
        <f t="shared" ca="1" si="19"/>
        <v>199</v>
      </c>
      <c r="X80" s="8">
        <f ca="1">Table1[[#This Row],[Absentee Days]]/Table1[[#This Row],[Total Work Days]]*100</f>
        <v>1.5384615384615385</v>
      </c>
      <c r="Y80">
        <f ca="1">YEAR(Table1[[#This Row],[Join Date]])</f>
        <v>2020</v>
      </c>
      <c r="Z80">
        <f ca="1">IF(Table1[[#This Row],[Status]]="Active",1,0)</f>
        <v>0</v>
      </c>
      <c r="AA80">
        <f ca="1">IF(Table1[[#This Row],[Status]]="Exited",Table1[[#This Row],[Recruitment Cost]]+Table1[[#This Row],[Onboarding cost]]+Table1[[#This Row],[Training Cost]],0)</f>
        <v>4526</v>
      </c>
    </row>
    <row r="81" spans="1:27">
      <c r="A81" t="str">
        <f t="shared" si="12"/>
        <v>E080</v>
      </c>
      <c r="B81" t="str" cm="1">
        <f t="array" aca="1" ref="B81" ca="1">INDEX(sheet2!$A$2:$A$6, RANDBETWEEN(1, 5))</f>
        <v>Analytics</v>
      </c>
      <c r="C81" t="str">
        <f ca="1">_xlfn.XLOOKUP(Table1[[#This Row],[Department]],sheet2!$A$2:$A$6,sheet2!$B$2:$B$6,_xleta.NA,0)</f>
        <v>Data Analyst</v>
      </c>
      <c r="D81" s="1">
        <f t="shared" ca="1" si="13"/>
        <v>44282</v>
      </c>
      <c r="E81" s="1">
        <f ca="1">Table1[[#This Row],[Job Posting Date]]+ RANDBETWEEN(15, 90)</f>
        <v>44316</v>
      </c>
      <c r="F81" s="1">
        <f ca="1">Table1[[#This Row],[Hire Date]]+ RANDBETWEEN(1, 15)</f>
        <v>44324</v>
      </c>
      <c r="G81" s="1" t="str">
        <f ca="1">IF(RAND() &lt; 0.5,  Table1[[#This Row],[Join Date]]+ RANDBETWEEN(30, TODAY()- Table1[[#This Row],[Join Date]]), "-")</f>
        <v>-</v>
      </c>
      <c r="H81" t="str">
        <f ca="1">IF(Table1[[#This Row],[Exit Date]]= "-", "Active", "Exited")</f>
        <v>Active</v>
      </c>
      <c r="I81" s="5">
        <f t="shared" ca="1" si="14"/>
        <v>2266</v>
      </c>
      <c r="J81" t="str" cm="1">
        <f t="array" aca="1" ref="J81" ca="1">INDEX(sheet2!$C$2:$C$6, RANDBETWEEN(1, 5))</f>
        <v>Conflict Resolution</v>
      </c>
      <c r="K81" t="str">
        <f t="shared" ca="1" si="15"/>
        <v>Not Completed</v>
      </c>
      <c r="L81">
        <v>260</v>
      </c>
      <c r="M81">
        <f t="shared" ca="1" si="16"/>
        <v>6</v>
      </c>
      <c r="N81" t="str">
        <f t="shared" ca="1" si="17"/>
        <v>Other</v>
      </c>
      <c r="O81" s="6">
        <f t="shared" ca="1" si="18"/>
        <v>1222</v>
      </c>
      <c r="P81">
        <f ca="1">Table1[[#This Row],[Hire Date]]-Table1[[#This Row],[Job Posting Date]]</f>
        <v>34</v>
      </c>
      <c r="Q81" s="7">
        <f ca="1">Table1[[#This Row],[Join Date]]-Table1[[#This Row],[Hire Date]]</f>
        <v>8</v>
      </c>
      <c r="R81" s="8">
        <f ca="1">(IF(Table1[[#This Row],[Status]]="Exited",Table1[[#This Row],[Exit Date]]-Table1[[#This Row],[Join Date]],TODAY()-Table1[[#This Row],[Join Date]]))/30</f>
        <v>44.633333333333333</v>
      </c>
      <c r="S81">
        <f ca="1">Table1[[#This Row],[Hire Date]]-Table1[[#This Row],[Job Posting Date]]</f>
        <v>34</v>
      </c>
      <c r="T81" s="7">
        <f ca="1">Table1[[#This Row],[Time to onboard]]/Table1[[#This Row],[Time to Fill]]*100</f>
        <v>23.52941176470588</v>
      </c>
      <c r="U81" s="8">
        <f ca="1">Table1[[#This Row],[Time to onboard]]/Table1[[#This Row],[Time to Fill]]*100</f>
        <v>23.52941176470588</v>
      </c>
      <c r="V81">
        <f ca="1">Table1[[#This Row],[Join Date]]-Table1[[#This Row],[Job Posting Date]]</f>
        <v>42</v>
      </c>
      <c r="W81">
        <f t="shared" ca="1" si="19"/>
        <v>173</v>
      </c>
      <c r="X81" s="8">
        <f ca="1">Table1[[#This Row],[Absentee Days]]/Table1[[#This Row],[Total Work Days]]*100</f>
        <v>2.3076923076923079</v>
      </c>
      <c r="Y81">
        <f ca="1">YEAR(Table1[[#This Row],[Join Date]])</f>
        <v>2021</v>
      </c>
      <c r="Z81">
        <f ca="1">IF(Table1[[#This Row],[Status]]="Active",1,0)</f>
        <v>1</v>
      </c>
      <c r="AA81">
        <f ca="1">IF(Table1[[#This Row],[Status]]="Exited",Table1[[#This Row],[Recruitment Cost]]+Table1[[#This Row],[Onboarding cost]]+Table1[[#This Row],[Training Cost]],0)</f>
        <v>0</v>
      </c>
    </row>
    <row r="82" spans="1:27">
      <c r="A82" t="str">
        <f t="shared" si="12"/>
        <v>E081</v>
      </c>
      <c r="B82" t="str" cm="1">
        <f t="array" aca="1" ref="B82" ca="1">INDEX(sheet2!$A$2:$A$6, RANDBETWEEN(1, 5))</f>
        <v>HR</v>
      </c>
      <c r="C82" t="str">
        <f ca="1">_xlfn.XLOOKUP(Table1[[#This Row],[Department]],sheet2!$A$2:$A$6,sheet2!$B$2:$B$6,_xleta.NA,0)</f>
        <v>HR Manager</v>
      </c>
      <c r="D82" s="1">
        <f t="shared" ca="1" si="13"/>
        <v>43212</v>
      </c>
      <c r="E82" s="1">
        <f ca="1">Table1[[#This Row],[Job Posting Date]]+ RANDBETWEEN(15, 90)</f>
        <v>43257</v>
      </c>
      <c r="F82" s="1">
        <f ca="1">Table1[[#This Row],[Hire Date]]+ RANDBETWEEN(1, 15)</f>
        <v>43261</v>
      </c>
      <c r="G82" s="1" t="str">
        <f ca="1">IF(RAND() &lt; 0.5,  Table1[[#This Row],[Join Date]]+ RANDBETWEEN(30, TODAY()- Table1[[#This Row],[Join Date]]), "-")</f>
        <v>-</v>
      </c>
      <c r="H82" t="str">
        <f ca="1">IF(Table1[[#This Row],[Exit Date]]= "-", "Active", "Exited")</f>
        <v>Active</v>
      </c>
      <c r="I82" s="5">
        <f t="shared" ca="1" si="14"/>
        <v>3992</v>
      </c>
      <c r="J82" t="str" cm="1">
        <f t="array" aca="1" ref="J82" ca="1">INDEX(sheet2!$C$2:$C$6, RANDBETWEEN(1, 5))</f>
        <v>Communication Skills</v>
      </c>
      <c r="K82" t="str">
        <f t="shared" ca="1" si="15"/>
        <v>Completed</v>
      </c>
      <c r="L82">
        <v>260</v>
      </c>
      <c r="M82">
        <f t="shared" ca="1" si="16"/>
        <v>4</v>
      </c>
      <c r="N82" t="str">
        <f t="shared" ca="1" si="17"/>
        <v>Female</v>
      </c>
      <c r="O82" s="6">
        <f t="shared" ca="1" si="18"/>
        <v>1821</v>
      </c>
      <c r="P82">
        <f ca="1">Table1[[#This Row],[Hire Date]]-Table1[[#This Row],[Job Posting Date]]</f>
        <v>45</v>
      </c>
      <c r="Q82" s="7">
        <f ca="1">Table1[[#This Row],[Join Date]]-Table1[[#This Row],[Hire Date]]</f>
        <v>4</v>
      </c>
      <c r="R82" s="8">
        <f ca="1">(IF(Table1[[#This Row],[Status]]="Exited",Table1[[#This Row],[Exit Date]]-Table1[[#This Row],[Join Date]],TODAY()-Table1[[#This Row],[Join Date]]))/30</f>
        <v>80.066666666666663</v>
      </c>
      <c r="S82">
        <f ca="1">Table1[[#This Row],[Hire Date]]-Table1[[#This Row],[Job Posting Date]]</f>
        <v>45</v>
      </c>
      <c r="T82" s="7">
        <f ca="1">Table1[[#This Row],[Time to onboard]]/Table1[[#This Row],[Time to Fill]]*100</f>
        <v>8.8888888888888893</v>
      </c>
      <c r="U82" s="8">
        <f ca="1">Table1[[#This Row],[Time to onboard]]/Table1[[#This Row],[Time to Fill]]*100</f>
        <v>8.8888888888888893</v>
      </c>
      <c r="V82">
        <f ca="1">Table1[[#This Row],[Join Date]]-Table1[[#This Row],[Job Posting Date]]</f>
        <v>49</v>
      </c>
      <c r="W82">
        <f t="shared" ca="1" si="19"/>
        <v>110</v>
      </c>
      <c r="X82" s="8">
        <f ca="1">Table1[[#This Row],[Absentee Days]]/Table1[[#This Row],[Total Work Days]]*100</f>
        <v>1.5384615384615385</v>
      </c>
      <c r="Y82">
        <f ca="1">YEAR(Table1[[#This Row],[Join Date]])</f>
        <v>2018</v>
      </c>
      <c r="Z82">
        <f ca="1">IF(Table1[[#This Row],[Status]]="Active",1,0)</f>
        <v>1</v>
      </c>
      <c r="AA82">
        <f ca="1">IF(Table1[[#This Row],[Status]]="Exited",Table1[[#This Row],[Recruitment Cost]]+Table1[[#This Row],[Onboarding cost]]+Table1[[#This Row],[Training Cost]],0)</f>
        <v>0</v>
      </c>
    </row>
    <row r="83" spans="1:27">
      <c r="A83" t="str">
        <f t="shared" si="12"/>
        <v>E082</v>
      </c>
      <c r="B83" t="str" cm="1">
        <f t="array" aca="1" ref="B83" ca="1">INDEX(sheet2!$A$2:$A$6, RANDBETWEEN(1, 5))</f>
        <v>IT</v>
      </c>
      <c r="C83" t="str">
        <f ca="1">_xlfn.XLOOKUP(Table1[[#This Row],[Department]],sheet2!$A$2:$A$6,sheet2!$B$2:$B$6,_xleta.NA,0)</f>
        <v>Software Engineer</v>
      </c>
      <c r="D83" s="1">
        <f t="shared" ca="1" si="13"/>
        <v>43413</v>
      </c>
      <c r="E83" s="1">
        <f ca="1">Table1[[#This Row],[Job Posting Date]]+ RANDBETWEEN(15, 90)</f>
        <v>43472</v>
      </c>
      <c r="F83" s="1">
        <f ca="1">Table1[[#This Row],[Hire Date]]+ RANDBETWEEN(1, 15)</f>
        <v>43482</v>
      </c>
      <c r="G83" s="1" t="str">
        <f ca="1">IF(RAND() &lt; 0.5,  Table1[[#This Row],[Join Date]]+ RANDBETWEEN(30, TODAY()- Table1[[#This Row],[Join Date]]), "-")</f>
        <v>-</v>
      </c>
      <c r="H83" t="str">
        <f ca="1">IF(Table1[[#This Row],[Exit Date]]= "-", "Active", "Exited")</f>
        <v>Active</v>
      </c>
      <c r="I83" s="5">
        <f t="shared" ca="1" si="14"/>
        <v>4488</v>
      </c>
      <c r="J83" t="str" cm="1">
        <f t="array" aca="1" ref="J83" ca="1">INDEX(sheet2!$C$2:$C$6, RANDBETWEEN(1, 5))</f>
        <v>Ethics and Responsibilities</v>
      </c>
      <c r="K83" t="str">
        <f t="shared" ca="1" si="15"/>
        <v>Completed</v>
      </c>
      <c r="L83">
        <v>260</v>
      </c>
      <c r="M83">
        <f t="shared" ca="1" si="16"/>
        <v>6</v>
      </c>
      <c r="N83" t="str">
        <f t="shared" ca="1" si="17"/>
        <v>Other</v>
      </c>
      <c r="O83" s="6">
        <f t="shared" ca="1" si="18"/>
        <v>1256</v>
      </c>
      <c r="P83">
        <f ca="1">Table1[[#This Row],[Hire Date]]-Table1[[#This Row],[Job Posting Date]]</f>
        <v>59</v>
      </c>
      <c r="Q83" s="7">
        <f ca="1">Table1[[#This Row],[Join Date]]-Table1[[#This Row],[Hire Date]]</f>
        <v>10</v>
      </c>
      <c r="R83" s="8">
        <f ca="1">(IF(Table1[[#This Row],[Status]]="Exited",Table1[[#This Row],[Exit Date]]-Table1[[#This Row],[Join Date]],TODAY()-Table1[[#This Row],[Join Date]]))/30</f>
        <v>72.7</v>
      </c>
      <c r="S83">
        <f ca="1">Table1[[#This Row],[Hire Date]]-Table1[[#This Row],[Job Posting Date]]</f>
        <v>59</v>
      </c>
      <c r="T83" s="7">
        <f ca="1">Table1[[#This Row],[Time to onboard]]/Table1[[#This Row],[Time to Fill]]*100</f>
        <v>16.949152542372879</v>
      </c>
      <c r="U83" s="8">
        <f ca="1">Table1[[#This Row],[Time to onboard]]/Table1[[#This Row],[Time to Fill]]*100</f>
        <v>16.949152542372879</v>
      </c>
      <c r="V83">
        <f ca="1">Table1[[#This Row],[Join Date]]-Table1[[#This Row],[Job Posting Date]]</f>
        <v>69</v>
      </c>
      <c r="W83">
        <f t="shared" ca="1" si="19"/>
        <v>135</v>
      </c>
      <c r="X83" s="8">
        <f ca="1">Table1[[#This Row],[Absentee Days]]/Table1[[#This Row],[Total Work Days]]*100</f>
        <v>2.3076923076923079</v>
      </c>
      <c r="Y83">
        <f ca="1">YEAR(Table1[[#This Row],[Join Date]])</f>
        <v>2019</v>
      </c>
      <c r="Z83">
        <f ca="1">IF(Table1[[#This Row],[Status]]="Active",1,0)</f>
        <v>1</v>
      </c>
      <c r="AA83">
        <f ca="1">IF(Table1[[#This Row],[Status]]="Exited",Table1[[#This Row],[Recruitment Cost]]+Table1[[#This Row],[Onboarding cost]]+Table1[[#This Row],[Training Cost]],0)</f>
        <v>0</v>
      </c>
    </row>
    <row r="84" spans="1:27">
      <c r="A84" t="str">
        <f t="shared" si="12"/>
        <v>E083</v>
      </c>
      <c r="B84" t="str" cm="1">
        <f t="array" aca="1" ref="B84" ca="1">INDEX(sheet2!$A$2:$A$6, RANDBETWEEN(1, 5))</f>
        <v>HR</v>
      </c>
      <c r="C84" t="str">
        <f ca="1">_xlfn.XLOOKUP(Table1[[#This Row],[Department]],sheet2!$A$2:$A$6,sheet2!$B$2:$B$6,_xleta.NA,0)</f>
        <v>HR Manager</v>
      </c>
      <c r="D84" s="1">
        <f t="shared" ca="1" si="13"/>
        <v>43975</v>
      </c>
      <c r="E84" s="1">
        <f ca="1">Table1[[#This Row],[Job Posting Date]]+ RANDBETWEEN(15, 90)</f>
        <v>43999</v>
      </c>
      <c r="F84" s="1">
        <f ca="1">Table1[[#This Row],[Hire Date]]+ RANDBETWEEN(1, 15)</f>
        <v>44003</v>
      </c>
      <c r="G84" s="1" t="str">
        <f ca="1">IF(RAND() &lt; 0.5,  Table1[[#This Row],[Join Date]]+ RANDBETWEEN(30, TODAY()- Table1[[#This Row],[Join Date]]), "-")</f>
        <v>-</v>
      </c>
      <c r="H84" t="str">
        <f ca="1">IF(Table1[[#This Row],[Exit Date]]= "-", "Active", "Exited")</f>
        <v>Active</v>
      </c>
      <c r="I84" s="5">
        <f t="shared" ca="1" si="14"/>
        <v>4246</v>
      </c>
      <c r="J84" t="str" cm="1">
        <f t="array" aca="1" ref="J84" ca="1">INDEX(sheet2!$C$2:$C$6, RANDBETWEEN(1, 5))</f>
        <v>Advanced Excel Skills </v>
      </c>
      <c r="K84" t="str">
        <f t="shared" ca="1" si="15"/>
        <v>Completed</v>
      </c>
      <c r="L84">
        <v>260</v>
      </c>
      <c r="M84">
        <f t="shared" ca="1" si="16"/>
        <v>19</v>
      </c>
      <c r="N84" t="str">
        <f t="shared" ca="1" si="17"/>
        <v>Female</v>
      </c>
      <c r="O84" s="6">
        <f t="shared" ca="1" si="18"/>
        <v>1872</v>
      </c>
      <c r="P84">
        <f ca="1">Table1[[#This Row],[Hire Date]]-Table1[[#This Row],[Job Posting Date]]</f>
        <v>24</v>
      </c>
      <c r="Q84" s="7">
        <f ca="1">Table1[[#This Row],[Join Date]]-Table1[[#This Row],[Hire Date]]</f>
        <v>4</v>
      </c>
      <c r="R84" s="8">
        <f ca="1">(IF(Table1[[#This Row],[Status]]="Exited",Table1[[#This Row],[Exit Date]]-Table1[[#This Row],[Join Date]],TODAY()-Table1[[#This Row],[Join Date]]))/30</f>
        <v>55.333333333333336</v>
      </c>
      <c r="S84">
        <f ca="1">Table1[[#This Row],[Hire Date]]-Table1[[#This Row],[Job Posting Date]]</f>
        <v>24</v>
      </c>
      <c r="T84" s="7">
        <f ca="1">Table1[[#This Row],[Time to onboard]]/Table1[[#This Row],[Time to Fill]]*100</f>
        <v>16.666666666666664</v>
      </c>
      <c r="U84" s="8">
        <f ca="1">Table1[[#This Row],[Time to onboard]]/Table1[[#This Row],[Time to Fill]]*100</f>
        <v>16.666666666666664</v>
      </c>
      <c r="V84">
        <f ca="1">Table1[[#This Row],[Join Date]]-Table1[[#This Row],[Job Posting Date]]</f>
        <v>28</v>
      </c>
      <c r="W84">
        <f t="shared" ca="1" si="19"/>
        <v>144</v>
      </c>
      <c r="X84" s="8">
        <f ca="1">Table1[[#This Row],[Absentee Days]]/Table1[[#This Row],[Total Work Days]]*100</f>
        <v>7.3076923076923084</v>
      </c>
      <c r="Y84">
        <f ca="1">YEAR(Table1[[#This Row],[Join Date]])</f>
        <v>2020</v>
      </c>
      <c r="Z84">
        <f ca="1">IF(Table1[[#This Row],[Status]]="Active",1,0)</f>
        <v>1</v>
      </c>
      <c r="AA84">
        <f ca="1">IF(Table1[[#This Row],[Status]]="Exited",Table1[[#This Row],[Recruitment Cost]]+Table1[[#This Row],[Onboarding cost]]+Table1[[#This Row],[Training Cost]],0)</f>
        <v>0</v>
      </c>
    </row>
    <row r="85" spans="1:27">
      <c r="A85" t="str">
        <f t="shared" si="12"/>
        <v>E084</v>
      </c>
      <c r="B85" t="str" cm="1">
        <f t="array" aca="1" ref="B85" ca="1">INDEX(sheet2!$A$2:$A$6, RANDBETWEEN(1, 5))</f>
        <v>HR</v>
      </c>
      <c r="C85" t="str">
        <f ca="1">_xlfn.XLOOKUP(Table1[[#This Row],[Department]],sheet2!$A$2:$A$6,sheet2!$B$2:$B$6,_xleta.NA,0)</f>
        <v>HR Manager</v>
      </c>
      <c r="D85" s="1">
        <f t="shared" ca="1" si="13"/>
        <v>44197</v>
      </c>
      <c r="E85" s="1">
        <f ca="1">Table1[[#This Row],[Job Posting Date]]+ RANDBETWEEN(15, 90)</f>
        <v>44253</v>
      </c>
      <c r="F85" s="1">
        <f ca="1">Table1[[#This Row],[Hire Date]]+ RANDBETWEEN(1, 15)</f>
        <v>44258</v>
      </c>
      <c r="G85" s="1" t="str">
        <f ca="1">IF(RAND() &lt; 0.5,  Table1[[#This Row],[Join Date]]+ RANDBETWEEN(30, TODAY()- Table1[[#This Row],[Join Date]]), "-")</f>
        <v>-</v>
      </c>
      <c r="H85" t="str">
        <f ca="1">IF(Table1[[#This Row],[Exit Date]]= "-", "Active", "Exited")</f>
        <v>Active</v>
      </c>
      <c r="I85" s="5">
        <f t="shared" ca="1" si="14"/>
        <v>1670</v>
      </c>
      <c r="J85" t="str" cm="1">
        <f t="array" aca="1" ref="J85" ca="1">INDEX(sheet2!$C$2:$C$6, RANDBETWEEN(1, 5))</f>
        <v>Communication Skills</v>
      </c>
      <c r="K85" t="str">
        <f t="shared" ca="1" si="15"/>
        <v>Not Completed</v>
      </c>
      <c r="L85">
        <v>260</v>
      </c>
      <c r="M85">
        <f t="shared" ca="1" si="16"/>
        <v>16</v>
      </c>
      <c r="N85" t="str">
        <f t="shared" ca="1" si="17"/>
        <v>Female</v>
      </c>
      <c r="O85" s="6">
        <f t="shared" ca="1" si="18"/>
        <v>1227</v>
      </c>
      <c r="P85">
        <f ca="1">Table1[[#This Row],[Hire Date]]-Table1[[#This Row],[Job Posting Date]]</f>
        <v>56</v>
      </c>
      <c r="Q85" s="7">
        <f ca="1">Table1[[#This Row],[Join Date]]-Table1[[#This Row],[Hire Date]]</f>
        <v>5</v>
      </c>
      <c r="R85" s="8">
        <f ca="1">(IF(Table1[[#This Row],[Status]]="Exited",Table1[[#This Row],[Exit Date]]-Table1[[#This Row],[Join Date]],TODAY()-Table1[[#This Row],[Join Date]]))/30</f>
        <v>46.833333333333336</v>
      </c>
      <c r="S85">
        <f ca="1">Table1[[#This Row],[Hire Date]]-Table1[[#This Row],[Job Posting Date]]</f>
        <v>56</v>
      </c>
      <c r="T85" s="7">
        <f ca="1">Table1[[#This Row],[Time to onboard]]/Table1[[#This Row],[Time to Fill]]*100</f>
        <v>8.9285714285714288</v>
      </c>
      <c r="U85" s="8">
        <f ca="1">Table1[[#This Row],[Time to onboard]]/Table1[[#This Row],[Time to Fill]]*100</f>
        <v>8.9285714285714288</v>
      </c>
      <c r="V85">
        <f ca="1">Table1[[#This Row],[Join Date]]-Table1[[#This Row],[Job Posting Date]]</f>
        <v>61</v>
      </c>
      <c r="W85">
        <f t="shared" ca="1" si="19"/>
        <v>186</v>
      </c>
      <c r="X85" s="8">
        <f ca="1">Table1[[#This Row],[Absentee Days]]/Table1[[#This Row],[Total Work Days]]*100</f>
        <v>6.1538461538461542</v>
      </c>
      <c r="Y85">
        <f ca="1">YEAR(Table1[[#This Row],[Join Date]])</f>
        <v>2021</v>
      </c>
      <c r="Z85">
        <f ca="1">IF(Table1[[#This Row],[Status]]="Active",1,0)</f>
        <v>1</v>
      </c>
      <c r="AA85">
        <f ca="1">IF(Table1[[#This Row],[Status]]="Exited",Table1[[#This Row],[Recruitment Cost]]+Table1[[#This Row],[Onboarding cost]]+Table1[[#This Row],[Training Cost]],0)</f>
        <v>0</v>
      </c>
    </row>
    <row r="86" spans="1:27">
      <c r="A86" t="str">
        <f t="shared" si="12"/>
        <v>E085</v>
      </c>
      <c r="B86" t="str" cm="1">
        <f t="array" aca="1" ref="B86" ca="1">INDEX(sheet2!$A$2:$A$6, RANDBETWEEN(1, 5))</f>
        <v>Analytics</v>
      </c>
      <c r="C86" t="str">
        <f ca="1">_xlfn.XLOOKUP(Table1[[#This Row],[Department]],sheet2!$A$2:$A$6,sheet2!$B$2:$B$6,_xleta.NA,0)</f>
        <v>Data Analyst</v>
      </c>
      <c r="D86" s="1">
        <f t="shared" ca="1" si="13"/>
        <v>43120</v>
      </c>
      <c r="E86" s="1">
        <f ca="1">Table1[[#This Row],[Job Posting Date]]+ RANDBETWEEN(15, 90)</f>
        <v>43171</v>
      </c>
      <c r="F86" s="1">
        <f ca="1">Table1[[#This Row],[Hire Date]]+ RANDBETWEEN(1, 15)</f>
        <v>43179</v>
      </c>
      <c r="G86" s="1" t="str">
        <f ca="1">IF(RAND() &lt; 0.5,  Table1[[#This Row],[Join Date]]+ RANDBETWEEN(30, TODAY()- Table1[[#This Row],[Join Date]]), "-")</f>
        <v>-</v>
      </c>
      <c r="H86" t="str">
        <f ca="1">IF(Table1[[#This Row],[Exit Date]]= "-", "Active", "Exited")</f>
        <v>Active</v>
      </c>
      <c r="I86" s="5">
        <f t="shared" ca="1" si="14"/>
        <v>3210</v>
      </c>
      <c r="J86" t="str" cm="1">
        <f t="array" aca="1" ref="J86" ca="1">INDEX(sheet2!$C$2:$C$6, RANDBETWEEN(1, 5))</f>
        <v>Conflict Resolution</v>
      </c>
      <c r="K86" t="str">
        <f t="shared" ca="1" si="15"/>
        <v>Completed</v>
      </c>
      <c r="L86">
        <v>260</v>
      </c>
      <c r="M86">
        <f t="shared" ca="1" si="16"/>
        <v>16</v>
      </c>
      <c r="N86" t="str">
        <f t="shared" ca="1" si="17"/>
        <v>Other</v>
      </c>
      <c r="O86" s="6">
        <f t="shared" ca="1" si="18"/>
        <v>1564</v>
      </c>
      <c r="P86">
        <f ca="1">Table1[[#This Row],[Hire Date]]-Table1[[#This Row],[Job Posting Date]]</f>
        <v>51</v>
      </c>
      <c r="Q86" s="7">
        <f ca="1">Table1[[#This Row],[Join Date]]-Table1[[#This Row],[Hire Date]]</f>
        <v>8</v>
      </c>
      <c r="R86" s="8">
        <f ca="1">(IF(Table1[[#This Row],[Status]]="Exited",Table1[[#This Row],[Exit Date]]-Table1[[#This Row],[Join Date]],TODAY()-Table1[[#This Row],[Join Date]]))/30</f>
        <v>82.8</v>
      </c>
      <c r="S86">
        <f ca="1">Table1[[#This Row],[Hire Date]]-Table1[[#This Row],[Job Posting Date]]</f>
        <v>51</v>
      </c>
      <c r="T86" s="7">
        <f ca="1">Table1[[#This Row],[Time to onboard]]/Table1[[#This Row],[Time to Fill]]*100</f>
        <v>15.686274509803921</v>
      </c>
      <c r="U86" s="8">
        <f ca="1">Table1[[#This Row],[Time to onboard]]/Table1[[#This Row],[Time to Fill]]*100</f>
        <v>15.686274509803921</v>
      </c>
      <c r="V86">
        <f ca="1">Table1[[#This Row],[Join Date]]-Table1[[#This Row],[Job Posting Date]]</f>
        <v>59</v>
      </c>
      <c r="W86">
        <f t="shared" ca="1" si="19"/>
        <v>144</v>
      </c>
      <c r="X86" s="8">
        <f ca="1">Table1[[#This Row],[Absentee Days]]/Table1[[#This Row],[Total Work Days]]*100</f>
        <v>6.1538461538461542</v>
      </c>
      <c r="Y86">
        <f ca="1">YEAR(Table1[[#This Row],[Join Date]])</f>
        <v>2018</v>
      </c>
      <c r="Z86">
        <f ca="1">IF(Table1[[#This Row],[Status]]="Active",1,0)</f>
        <v>1</v>
      </c>
      <c r="AA86">
        <f ca="1">IF(Table1[[#This Row],[Status]]="Exited",Table1[[#This Row],[Recruitment Cost]]+Table1[[#This Row],[Onboarding cost]]+Table1[[#This Row],[Training Cost]],0)</f>
        <v>0</v>
      </c>
    </row>
    <row r="87" spans="1:27">
      <c r="A87" t="str">
        <f t="shared" si="12"/>
        <v>E086</v>
      </c>
      <c r="B87" t="str" cm="1">
        <f t="array" aca="1" ref="B87" ca="1">INDEX(sheet2!$A$2:$A$6, RANDBETWEEN(1, 5))</f>
        <v>Sales</v>
      </c>
      <c r="C87" t="str">
        <f ca="1">_xlfn.XLOOKUP(Table1[[#This Row],[Department]],sheet2!$A$2:$A$6,sheet2!$B$2:$B$6,_xleta.NA,0)</f>
        <v>Marketing Manager</v>
      </c>
      <c r="D87" s="1">
        <f t="shared" ca="1" si="13"/>
        <v>43709</v>
      </c>
      <c r="E87" s="1">
        <f ca="1">Table1[[#This Row],[Job Posting Date]]+ RANDBETWEEN(15, 90)</f>
        <v>43767</v>
      </c>
      <c r="F87" s="1">
        <f ca="1">Table1[[#This Row],[Hire Date]]+ RANDBETWEEN(1, 15)</f>
        <v>43768</v>
      </c>
      <c r="G87" s="1" t="str">
        <f ca="1">IF(RAND() &lt; 0.5,  Table1[[#This Row],[Join Date]]+ RANDBETWEEN(30, TODAY()- Table1[[#This Row],[Join Date]]), "-")</f>
        <v>-</v>
      </c>
      <c r="H87" t="str">
        <f ca="1">IF(Table1[[#This Row],[Exit Date]]= "-", "Active", "Exited")</f>
        <v>Active</v>
      </c>
      <c r="I87" s="5">
        <f t="shared" ca="1" si="14"/>
        <v>4045</v>
      </c>
      <c r="J87" t="str" cm="1">
        <f t="array" aca="1" ref="J87" ca="1">INDEX(sheet2!$C$2:$C$6, RANDBETWEEN(1, 5))</f>
        <v>Communication Skills</v>
      </c>
      <c r="K87" t="str">
        <f t="shared" ca="1" si="15"/>
        <v>Completed</v>
      </c>
      <c r="L87">
        <v>260</v>
      </c>
      <c r="M87">
        <f t="shared" ca="1" si="16"/>
        <v>15</v>
      </c>
      <c r="N87" t="str">
        <f t="shared" ca="1" si="17"/>
        <v>Other</v>
      </c>
      <c r="O87" s="6">
        <f t="shared" ca="1" si="18"/>
        <v>1336</v>
      </c>
      <c r="P87">
        <f ca="1">Table1[[#This Row],[Hire Date]]-Table1[[#This Row],[Job Posting Date]]</f>
        <v>58</v>
      </c>
      <c r="Q87" s="7">
        <f ca="1">Table1[[#This Row],[Join Date]]-Table1[[#This Row],[Hire Date]]</f>
        <v>1</v>
      </c>
      <c r="R87" s="8">
        <f ca="1">(IF(Table1[[#This Row],[Status]]="Exited",Table1[[#This Row],[Exit Date]]-Table1[[#This Row],[Join Date]],TODAY()-Table1[[#This Row],[Join Date]]))/30</f>
        <v>63.166666666666664</v>
      </c>
      <c r="S87">
        <f ca="1">Table1[[#This Row],[Hire Date]]-Table1[[#This Row],[Job Posting Date]]</f>
        <v>58</v>
      </c>
      <c r="T87" s="7">
        <f ca="1">Table1[[#This Row],[Time to onboard]]/Table1[[#This Row],[Time to Fill]]*100</f>
        <v>1.7241379310344827</v>
      </c>
      <c r="U87" s="8">
        <f ca="1">Table1[[#This Row],[Time to onboard]]/Table1[[#This Row],[Time to Fill]]*100</f>
        <v>1.7241379310344827</v>
      </c>
      <c r="V87">
        <f ca="1">Table1[[#This Row],[Join Date]]-Table1[[#This Row],[Job Posting Date]]</f>
        <v>59</v>
      </c>
      <c r="W87">
        <f t="shared" ca="1" si="19"/>
        <v>157</v>
      </c>
      <c r="X87" s="8">
        <f ca="1">Table1[[#This Row],[Absentee Days]]/Table1[[#This Row],[Total Work Days]]*100</f>
        <v>5.7692307692307692</v>
      </c>
      <c r="Y87">
        <f ca="1">YEAR(Table1[[#This Row],[Join Date]])</f>
        <v>2019</v>
      </c>
      <c r="Z87">
        <f ca="1">IF(Table1[[#This Row],[Status]]="Active",1,0)</f>
        <v>1</v>
      </c>
      <c r="AA87">
        <f ca="1">IF(Table1[[#This Row],[Status]]="Exited",Table1[[#This Row],[Recruitment Cost]]+Table1[[#This Row],[Onboarding cost]]+Table1[[#This Row],[Training Cost]],0)</f>
        <v>0</v>
      </c>
    </row>
    <row r="88" spans="1:27">
      <c r="A88" t="str">
        <f t="shared" si="12"/>
        <v>E087</v>
      </c>
      <c r="B88" t="str" cm="1">
        <f t="array" aca="1" ref="B88" ca="1">INDEX(sheet2!$A$2:$A$6, RANDBETWEEN(1, 5))</f>
        <v>IT</v>
      </c>
      <c r="C88" t="str">
        <f ca="1">_xlfn.XLOOKUP(Table1[[#This Row],[Department]],sheet2!$A$2:$A$6,sheet2!$B$2:$B$6,_xleta.NA,0)</f>
        <v>Software Engineer</v>
      </c>
      <c r="D88" s="1">
        <f t="shared" ca="1" si="13"/>
        <v>43611</v>
      </c>
      <c r="E88" s="1">
        <f ca="1">Table1[[#This Row],[Job Posting Date]]+ RANDBETWEEN(15, 90)</f>
        <v>43681</v>
      </c>
      <c r="F88" s="1">
        <f ca="1">Table1[[#This Row],[Hire Date]]+ RANDBETWEEN(1, 15)</f>
        <v>43683</v>
      </c>
      <c r="G88" s="1">
        <f ca="1">IF(RAND() &lt; 0.5,  Table1[[#This Row],[Join Date]]+ RANDBETWEEN(30, TODAY()- Table1[[#This Row],[Join Date]]), "-")</f>
        <v>43794</v>
      </c>
      <c r="H88" t="str">
        <f ca="1">IF(Table1[[#This Row],[Exit Date]]= "-", "Active", "Exited")</f>
        <v>Exited</v>
      </c>
      <c r="I88" s="5">
        <f t="shared" ca="1" si="14"/>
        <v>3859</v>
      </c>
      <c r="J88" t="str" cm="1">
        <f t="array" aca="1" ref="J88" ca="1">INDEX(sheet2!$C$2:$C$6, RANDBETWEEN(1, 5))</f>
        <v>Advanced Excel Skills </v>
      </c>
      <c r="K88" t="str">
        <f t="shared" ca="1" si="15"/>
        <v>Completed</v>
      </c>
      <c r="L88">
        <v>260</v>
      </c>
      <c r="M88">
        <f t="shared" ca="1" si="16"/>
        <v>7</v>
      </c>
      <c r="N88" t="str">
        <f t="shared" ca="1" si="17"/>
        <v>Other</v>
      </c>
      <c r="O88" s="6">
        <f t="shared" ca="1" si="18"/>
        <v>1695</v>
      </c>
      <c r="P88">
        <f ca="1">Table1[[#This Row],[Hire Date]]-Table1[[#This Row],[Job Posting Date]]</f>
        <v>70</v>
      </c>
      <c r="Q88" s="7">
        <f ca="1">Table1[[#This Row],[Join Date]]-Table1[[#This Row],[Hire Date]]</f>
        <v>2</v>
      </c>
      <c r="R88" s="8">
        <f ca="1">(IF(Table1[[#This Row],[Status]]="Exited",Table1[[#This Row],[Exit Date]]-Table1[[#This Row],[Join Date]],TODAY()-Table1[[#This Row],[Join Date]]))/30</f>
        <v>3.7</v>
      </c>
      <c r="S88">
        <f ca="1">Table1[[#This Row],[Hire Date]]-Table1[[#This Row],[Job Posting Date]]</f>
        <v>70</v>
      </c>
      <c r="T88" s="7">
        <f ca="1">Table1[[#This Row],[Time to onboard]]/Table1[[#This Row],[Time to Fill]]*100</f>
        <v>2.8571428571428572</v>
      </c>
      <c r="U88" s="8">
        <f ca="1">Table1[[#This Row],[Time to onboard]]/Table1[[#This Row],[Time to Fill]]*100</f>
        <v>2.8571428571428572</v>
      </c>
      <c r="V88">
        <f ca="1">Table1[[#This Row],[Join Date]]-Table1[[#This Row],[Job Posting Date]]</f>
        <v>72</v>
      </c>
      <c r="W88">
        <f t="shared" ca="1" si="19"/>
        <v>178</v>
      </c>
      <c r="X88" s="8">
        <f ca="1">Table1[[#This Row],[Absentee Days]]/Table1[[#This Row],[Total Work Days]]*100</f>
        <v>2.6923076923076925</v>
      </c>
      <c r="Y88">
        <f ca="1">YEAR(Table1[[#This Row],[Join Date]])</f>
        <v>2019</v>
      </c>
      <c r="Z88">
        <f ca="1">IF(Table1[[#This Row],[Status]]="Active",1,0)</f>
        <v>0</v>
      </c>
      <c r="AA88">
        <f ca="1">IF(Table1[[#This Row],[Status]]="Exited",Table1[[#This Row],[Recruitment Cost]]+Table1[[#This Row],[Onboarding cost]]+Table1[[#This Row],[Training Cost]],0)</f>
        <v>5732</v>
      </c>
    </row>
    <row r="89" spans="1:27">
      <c r="A89" t="str">
        <f t="shared" si="12"/>
        <v>E088</v>
      </c>
      <c r="B89" t="str" cm="1">
        <f t="array" aca="1" ref="B89" ca="1">INDEX(sheet2!$A$2:$A$6, RANDBETWEEN(1, 5))</f>
        <v>Analytics</v>
      </c>
      <c r="C89" t="str">
        <f ca="1">_xlfn.XLOOKUP(Table1[[#This Row],[Department]],sheet2!$A$2:$A$6,sheet2!$B$2:$B$6,_xleta.NA,0)</f>
        <v>Data Analyst</v>
      </c>
      <c r="D89" s="1">
        <f t="shared" ca="1" si="13"/>
        <v>44280</v>
      </c>
      <c r="E89" s="1">
        <f ca="1">Table1[[#This Row],[Job Posting Date]]+ RANDBETWEEN(15, 90)</f>
        <v>44363</v>
      </c>
      <c r="F89" s="1">
        <f ca="1">Table1[[#This Row],[Hire Date]]+ RANDBETWEEN(1, 15)</f>
        <v>44367</v>
      </c>
      <c r="G89" s="1">
        <f ca="1">IF(RAND() &lt; 0.5,  Table1[[#This Row],[Join Date]]+ RANDBETWEEN(30, TODAY()- Table1[[#This Row],[Join Date]]), "-")</f>
        <v>44855</v>
      </c>
      <c r="H89" t="str">
        <f ca="1">IF(Table1[[#This Row],[Exit Date]]= "-", "Active", "Exited")</f>
        <v>Exited</v>
      </c>
      <c r="I89" s="5">
        <f t="shared" ca="1" si="14"/>
        <v>2489</v>
      </c>
      <c r="J89" t="str" cm="1">
        <f t="array" aca="1" ref="J89" ca="1">INDEX(sheet2!$C$2:$C$6, RANDBETWEEN(1, 5))</f>
        <v>Leadership Development</v>
      </c>
      <c r="K89" t="str">
        <f t="shared" ca="1" si="15"/>
        <v>Not Completed</v>
      </c>
      <c r="L89">
        <v>260</v>
      </c>
      <c r="M89">
        <f t="shared" ca="1" si="16"/>
        <v>15</v>
      </c>
      <c r="N89" t="str">
        <f t="shared" ca="1" si="17"/>
        <v>Male</v>
      </c>
      <c r="O89" s="6">
        <f t="shared" ca="1" si="18"/>
        <v>1670</v>
      </c>
      <c r="P89">
        <f ca="1">Table1[[#This Row],[Hire Date]]-Table1[[#This Row],[Job Posting Date]]</f>
        <v>83</v>
      </c>
      <c r="Q89" s="7">
        <f ca="1">Table1[[#This Row],[Join Date]]-Table1[[#This Row],[Hire Date]]</f>
        <v>4</v>
      </c>
      <c r="R89" s="8">
        <f ca="1">(IF(Table1[[#This Row],[Status]]="Exited",Table1[[#This Row],[Exit Date]]-Table1[[#This Row],[Join Date]],TODAY()-Table1[[#This Row],[Join Date]]))/30</f>
        <v>16.266666666666666</v>
      </c>
      <c r="S89">
        <f ca="1">Table1[[#This Row],[Hire Date]]-Table1[[#This Row],[Job Posting Date]]</f>
        <v>83</v>
      </c>
      <c r="T89" s="7">
        <f ca="1">Table1[[#This Row],[Time to onboard]]/Table1[[#This Row],[Time to Fill]]*100</f>
        <v>4.8192771084337354</v>
      </c>
      <c r="U89" s="8">
        <f ca="1">Table1[[#This Row],[Time to onboard]]/Table1[[#This Row],[Time to Fill]]*100</f>
        <v>4.8192771084337354</v>
      </c>
      <c r="V89">
        <f ca="1">Table1[[#This Row],[Join Date]]-Table1[[#This Row],[Job Posting Date]]</f>
        <v>87</v>
      </c>
      <c r="W89">
        <f t="shared" ca="1" si="19"/>
        <v>141</v>
      </c>
      <c r="X89" s="8">
        <f ca="1">Table1[[#This Row],[Absentee Days]]/Table1[[#This Row],[Total Work Days]]*100</f>
        <v>5.7692307692307692</v>
      </c>
      <c r="Y89">
        <f ca="1">YEAR(Table1[[#This Row],[Join Date]])</f>
        <v>2021</v>
      </c>
      <c r="Z89">
        <f ca="1">IF(Table1[[#This Row],[Status]]="Active",1,0)</f>
        <v>0</v>
      </c>
      <c r="AA89">
        <f ca="1">IF(Table1[[#This Row],[Status]]="Exited",Table1[[#This Row],[Recruitment Cost]]+Table1[[#This Row],[Onboarding cost]]+Table1[[#This Row],[Training Cost]],0)</f>
        <v>4300</v>
      </c>
    </row>
    <row r="90" spans="1:27">
      <c r="A90" t="str">
        <f t="shared" si="12"/>
        <v>E089</v>
      </c>
      <c r="B90" t="str" cm="1">
        <f t="array" aca="1" ref="B90" ca="1">INDEX(sheet2!$A$2:$A$6, RANDBETWEEN(1, 5))</f>
        <v>Analytics</v>
      </c>
      <c r="C90" t="str">
        <f ca="1">_xlfn.XLOOKUP(Table1[[#This Row],[Department]],sheet2!$A$2:$A$6,sheet2!$B$2:$B$6,_xleta.NA,0)</f>
        <v>Data Analyst</v>
      </c>
      <c r="D90" s="1">
        <f t="shared" ca="1" si="13"/>
        <v>43271</v>
      </c>
      <c r="E90" s="1">
        <f ca="1">Table1[[#This Row],[Job Posting Date]]+ RANDBETWEEN(15, 90)</f>
        <v>43308</v>
      </c>
      <c r="F90" s="1">
        <f ca="1">Table1[[#This Row],[Hire Date]]+ RANDBETWEEN(1, 15)</f>
        <v>43316</v>
      </c>
      <c r="G90" s="1">
        <f ca="1">IF(RAND() &lt; 0.5,  Table1[[#This Row],[Join Date]]+ RANDBETWEEN(30, TODAY()- Table1[[#This Row],[Join Date]]), "-")</f>
        <v>44741</v>
      </c>
      <c r="H90" t="str">
        <f ca="1">IF(Table1[[#This Row],[Exit Date]]= "-", "Active", "Exited")</f>
        <v>Exited</v>
      </c>
      <c r="I90" s="5">
        <f t="shared" ca="1" si="14"/>
        <v>2596</v>
      </c>
      <c r="J90" t="str" cm="1">
        <f t="array" aca="1" ref="J90" ca="1">INDEX(sheet2!$C$2:$C$6, RANDBETWEEN(1, 5))</f>
        <v>Leadership Development</v>
      </c>
      <c r="K90" t="str">
        <f t="shared" ca="1" si="15"/>
        <v>Completed</v>
      </c>
      <c r="L90">
        <v>260</v>
      </c>
      <c r="M90">
        <f t="shared" ca="1" si="16"/>
        <v>7</v>
      </c>
      <c r="N90" t="str">
        <f t="shared" ca="1" si="17"/>
        <v>Other</v>
      </c>
      <c r="O90" s="6">
        <f t="shared" ca="1" si="18"/>
        <v>1743</v>
      </c>
      <c r="P90">
        <f ca="1">Table1[[#This Row],[Hire Date]]-Table1[[#This Row],[Job Posting Date]]</f>
        <v>37</v>
      </c>
      <c r="Q90" s="7">
        <f ca="1">Table1[[#This Row],[Join Date]]-Table1[[#This Row],[Hire Date]]</f>
        <v>8</v>
      </c>
      <c r="R90" s="8">
        <f ca="1">(IF(Table1[[#This Row],[Status]]="Exited",Table1[[#This Row],[Exit Date]]-Table1[[#This Row],[Join Date]],TODAY()-Table1[[#This Row],[Join Date]]))/30</f>
        <v>47.5</v>
      </c>
      <c r="S90">
        <f ca="1">Table1[[#This Row],[Hire Date]]-Table1[[#This Row],[Job Posting Date]]</f>
        <v>37</v>
      </c>
      <c r="T90" s="7">
        <f ca="1">Table1[[#This Row],[Time to onboard]]/Table1[[#This Row],[Time to Fill]]*100</f>
        <v>21.621621621621621</v>
      </c>
      <c r="U90" s="8">
        <f ca="1">Table1[[#This Row],[Time to onboard]]/Table1[[#This Row],[Time to Fill]]*100</f>
        <v>21.621621621621621</v>
      </c>
      <c r="V90">
        <f ca="1">Table1[[#This Row],[Join Date]]-Table1[[#This Row],[Job Posting Date]]</f>
        <v>45</v>
      </c>
      <c r="W90">
        <f t="shared" ca="1" si="19"/>
        <v>188</v>
      </c>
      <c r="X90" s="8">
        <f ca="1">Table1[[#This Row],[Absentee Days]]/Table1[[#This Row],[Total Work Days]]*100</f>
        <v>2.6923076923076925</v>
      </c>
      <c r="Y90">
        <f ca="1">YEAR(Table1[[#This Row],[Join Date]])</f>
        <v>2018</v>
      </c>
      <c r="Z90">
        <f ca="1">IF(Table1[[#This Row],[Status]]="Active",1,0)</f>
        <v>0</v>
      </c>
      <c r="AA90">
        <f ca="1">IF(Table1[[#This Row],[Status]]="Exited",Table1[[#This Row],[Recruitment Cost]]+Table1[[#This Row],[Onboarding cost]]+Table1[[#This Row],[Training Cost]],0)</f>
        <v>4527</v>
      </c>
    </row>
    <row r="91" spans="1:27">
      <c r="A91" t="str">
        <f t="shared" si="12"/>
        <v>E090</v>
      </c>
      <c r="B91" t="str" cm="1">
        <f t="array" aca="1" ref="B91" ca="1">INDEX(sheet2!$A$2:$A$6, RANDBETWEEN(1, 5))</f>
        <v>HR</v>
      </c>
      <c r="C91" t="str">
        <f ca="1">_xlfn.XLOOKUP(Table1[[#This Row],[Department]],sheet2!$A$2:$A$6,sheet2!$B$2:$B$6,_xleta.NA,0)</f>
        <v>HR Manager</v>
      </c>
      <c r="D91" s="1">
        <f t="shared" ca="1" si="13"/>
        <v>44893</v>
      </c>
      <c r="E91" s="1">
        <f ca="1">Table1[[#This Row],[Job Posting Date]]+ RANDBETWEEN(15, 90)</f>
        <v>44965</v>
      </c>
      <c r="F91" s="1">
        <f ca="1">Table1[[#This Row],[Hire Date]]+ RANDBETWEEN(1, 15)</f>
        <v>44973</v>
      </c>
      <c r="G91" s="1" t="str">
        <f ca="1">IF(RAND() &lt; 0.5,  Table1[[#This Row],[Join Date]]+ RANDBETWEEN(30, TODAY()- Table1[[#This Row],[Join Date]]), "-")</f>
        <v>-</v>
      </c>
      <c r="H91" t="str">
        <f ca="1">IF(Table1[[#This Row],[Exit Date]]= "-", "Active", "Exited")</f>
        <v>Active</v>
      </c>
      <c r="I91" s="5">
        <f t="shared" ca="1" si="14"/>
        <v>3600</v>
      </c>
      <c r="J91" t="str" cm="1">
        <f t="array" aca="1" ref="J91" ca="1">INDEX(sheet2!$C$2:$C$6, RANDBETWEEN(1, 5))</f>
        <v>Conflict Resolution</v>
      </c>
      <c r="K91" t="str">
        <f t="shared" ca="1" si="15"/>
        <v>Not Completed</v>
      </c>
      <c r="L91">
        <v>260</v>
      </c>
      <c r="M91">
        <f t="shared" ca="1" si="16"/>
        <v>16</v>
      </c>
      <c r="N91" t="str">
        <f t="shared" ca="1" si="17"/>
        <v>Male</v>
      </c>
      <c r="O91" s="6">
        <f t="shared" ca="1" si="18"/>
        <v>1751</v>
      </c>
      <c r="P91">
        <f ca="1">Table1[[#This Row],[Hire Date]]-Table1[[#This Row],[Job Posting Date]]</f>
        <v>72</v>
      </c>
      <c r="Q91" s="7">
        <f ca="1">Table1[[#This Row],[Join Date]]-Table1[[#This Row],[Hire Date]]</f>
        <v>8</v>
      </c>
      <c r="R91" s="8">
        <f ca="1">(IF(Table1[[#This Row],[Status]]="Exited",Table1[[#This Row],[Exit Date]]-Table1[[#This Row],[Join Date]],TODAY()-Table1[[#This Row],[Join Date]]))/30</f>
        <v>23</v>
      </c>
      <c r="S91">
        <f ca="1">Table1[[#This Row],[Hire Date]]-Table1[[#This Row],[Job Posting Date]]</f>
        <v>72</v>
      </c>
      <c r="T91" s="7">
        <f ca="1">Table1[[#This Row],[Time to onboard]]/Table1[[#This Row],[Time to Fill]]*100</f>
        <v>11.111111111111111</v>
      </c>
      <c r="U91" s="8">
        <f ca="1">Table1[[#This Row],[Time to onboard]]/Table1[[#This Row],[Time to Fill]]*100</f>
        <v>11.111111111111111</v>
      </c>
      <c r="V91">
        <f ca="1">Table1[[#This Row],[Join Date]]-Table1[[#This Row],[Job Posting Date]]</f>
        <v>80</v>
      </c>
      <c r="W91">
        <f t="shared" ca="1" si="19"/>
        <v>165</v>
      </c>
      <c r="X91" s="8">
        <f ca="1">Table1[[#This Row],[Absentee Days]]/Table1[[#This Row],[Total Work Days]]*100</f>
        <v>6.1538461538461542</v>
      </c>
      <c r="Y91">
        <f ca="1">YEAR(Table1[[#This Row],[Join Date]])</f>
        <v>2023</v>
      </c>
      <c r="Z91">
        <f ca="1">IF(Table1[[#This Row],[Status]]="Active",1,0)</f>
        <v>1</v>
      </c>
      <c r="AA91">
        <f ca="1">IF(Table1[[#This Row],[Status]]="Exited",Table1[[#This Row],[Recruitment Cost]]+Table1[[#This Row],[Onboarding cost]]+Table1[[#This Row],[Training Cost]],0)</f>
        <v>0</v>
      </c>
    </row>
    <row r="92" spans="1:27">
      <c r="A92" t="str">
        <f t="shared" si="12"/>
        <v>E091</v>
      </c>
      <c r="B92" t="str" cm="1">
        <f t="array" aca="1" ref="B92" ca="1">INDEX(sheet2!$A$2:$A$6, RANDBETWEEN(1, 5))</f>
        <v>IT</v>
      </c>
      <c r="C92" t="str">
        <f ca="1">_xlfn.XLOOKUP(Table1[[#This Row],[Department]],sheet2!$A$2:$A$6,sheet2!$B$2:$B$6,_xleta.NA,0)</f>
        <v>Software Engineer</v>
      </c>
      <c r="D92" s="1">
        <f t="shared" ca="1" si="13"/>
        <v>44066</v>
      </c>
      <c r="E92" s="1">
        <f ca="1">Table1[[#This Row],[Job Posting Date]]+ RANDBETWEEN(15, 90)</f>
        <v>44088</v>
      </c>
      <c r="F92" s="1">
        <f ca="1">Table1[[#This Row],[Hire Date]]+ RANDBETWEEN(1, 15)</f>
        <v>44091</v>
      </c>
      <c r="G92" s="1" t="str">
        <f ca="1">IF(RAND() &lt; 0.5,  Table1[[#This Row],[Join Date]]+ RANDBETWEEN(30, TODAY()- Table1[[#This Row],[Join Date]]), "-")</f>
        <v>-</v>
      </c>
      <c r="H92" t="str">
        <f ca="1">IF(Table1[[#This Row],[Exit Date]]= "-", "Active", "Exited")</f>
        <v>Active</v>
      </c>
      <c r="I92" s="5">
        <f t="shared" ca="1" si="14"/>
        <v>3692</v>
      </c>
      <c r="J92" t="str" cm="1">
        <f t="array" aca="1" ref="J92" ca="1">INDEX(sheet2!$C$2:$C$6, RANDBETWEEN(1, 5))</f>
        <v>Advanced Excel Skills </v>
      </c>
      <c r="K92" t="str">
        <f t="shared" ca="1" si="15"/>
        <v>Completed</v>
      </c>
      <c r="L92">
        <v>260</v>
      </c>
      <c r="M92">
        <f t="shared" ca="1" si="16"/>
        <v>8</v>
      </c>
      <c r="N92" t="str">
        <f t="shared" ca="1" si="17"/>
        <v>Other</v>
      </c>
      <c r="O92" s="6">
        <f t="shared" ca="1" si="18"/>
        <v>1660</v>
      </c>
      <c r="P92">
        <f ca="1">Table1[[#This Row],[Hire Date]]-Table1[[#This Row],[Job Posting Date]]</f>
        <v>22</v>
      </c>
      <c r="Q92" s="7">
        <f ca="1">Table1[[#This Row],[Join Date]]-Table1[[#This Row],[Hire Date]]</f>
        <v>3</v>
      </c>
      <c r="R92" s="8">
        <f ca="1">(IF(Table1[[#This Row],[Status]]="Exited",Table1[[#This Row],[Exit Date]]-Table1[[#This Row],[Join Date]],TODAY()-Table1[[#This Row],[Join Date]]))/30</f>
        <v>52.4</v>
      </c>
      <c r="S92">
        <f ca="1">Table1[[#This Row],[Hire Date]]-Table1[[#This Row],[Job Posting Date]]</f>
        <v>22</v>
      </c>
      <c r="T92" s="7">
        <f ca="1">Table1[[#This Row],[Time to onboard]]/Table1[[#This Row],[Time to Fill]]*100</f>
        <v>13.636363636363635</v>
      </c>
      <c r="U92" s="8">
        <f ca="1">Table1[[#This Row],[Time to onboard]]/Table1[[#This Row],[Time to Fill]]*100</f>
        <v>13.636363636363635</v>
      </c>
      <c r="V92">
        <f ca="1">Table1[[#This Row],[Join Date]]-Table1[[#This Row],[Job Posting Date]]</f>
        <v>25</v>
      </c>
      <c r="W92">
        <f t="shared" ca="1" si="19"/>
        <v>116</v>
      </c>
      <c r="X92" s="8">
        <f ca="1">Table1[[#This Row],[Absentee Days]]/Table1[[#This Row],[Total Work Days]]*100</f>
        <v>3.0769230769230771</v>
      </c>
      <c r="Y92">
        <f ca="1">YEAR(Table1[[#This Row],[Join Date]])</f>
        <v>2020</v>
      </c>
      <c r="Z92">
        <f ca="1">IF(Table1[[#This Row],[Status]]="Active",1,0)</f>
        <v>1</v>
      </c>
      <c r="AA92">
        <f ca="1">IF(Table1[[#This Row],[Status]]="Exited",Table1[[#This Row],[Recruitment Cost]]+Table1[[#This Row],[Onboarding cost]]+Table1[[#This Row],[Training Cost]],0)</f>
        <v>0</v>
      </c>
    </row>
    <row r="93" spans="1:27">
      <c r="A93" t="str">
        <f t="shared" si="12"/>
        <v>E092</v>
      </c>
      <c r="B93" t="str" cm="1">
        <f t="array" aca="1" ref="B93" ca="1">INDEX(sheet2!$A$2:$A$6, RANDBETWEEN(1, 5))</f>
        <v>IT</v>
      </c>
      <c r="C93" t="str">
        <f ca="1">_xlfn.XLOOKUP(Table1[[#This Row],[Department]],sheet2!$A$2:$A$6,sheet2!$B$2:$B$6,_xleta.NA,0)</f>
        <v>Software Engineer</v>
      </c>
      <c r="D93" s="1">
        <f t="shared" ca="1" si="13"/>
        <v>44764</v>
      </c>
      <c r="E93" s="1">
        <f ca="1">Table1[[#This Row],[Job Posting Date]]+ RANDBETWEEN(15, 90)</f>
        <v>44824</v>
      </c>
      <c r="F93" s="1">
        <f ca="1">Table1[[#This Row],[Hire Date]]+ RANDBETWEEN(1, 15)</f>
        <v>44837</v>
      </c>
      <c r="G93" s="1">
        <f ca="1">IF(RAND() &lt; 0.5,  Table1[[#This Row],[Join Date]]+ RANDBETWEEN(30, TODAY()- Table1[[#This Row],[Join Date]]), "-")</f>
        <v>45352</v>
      </c>
      <c r="H93" t="str">
        <f ca="1">IF(Table1[[#This Row],[Exit Date]]= "-", "Active", "Exited")</f>
        <v>Exited</v>
      </c>
      <c r="I93" s="5">
        <f t="shared" ca="1" si="14"/>
        <v>3880</v>
      </c>
      <c r="J93" t="str" cm="1">
        <f t="array" aca="1" ref="J93" ca="1">INDEX(sheet2!$C$2:$C$6, RANDBETWEEN(1, 5))</f>
        <v>Leadership Development</v>
      </c>
      <c r="K93" t="str">
        <f t="shared" ca="1" si="15"/>
        <v>Completed</v>
      </c>
      <c r="L93">
        <v>260</v>
      </c>
      <c r="M93">
        <f t="shared" ca="1" si="16"/>
        <v>3</v>
      </c>
      <c r="N93" t="str">
        <f t="shared" ca="1" si="17"/>
        <v>Female</v>
      </c>
      <c r="O93" s="6">
        <f t="shared" ca="1" si="18"/>
        <v>2233</v>
      </c>
      <c r="P93">
        <f ca="1">Table1[[#This Row],[Hire Date]]-Table1[[#This Row],[Job Posting Date]]</f>
        <v>60</v>
      </c>
      <c r="Q93" s="7">
        <f ca="1">Table1[[#This Row],[Join Date]]-Table1[[#This Row],[Hire Date]]</f>
        <v>13</v>
      </c>
      <c r="R93" s="8">
        <f ca="1">(IF(Table1[[#This Row],[Status]]="Exited",Table1[[#This Row],[Exit Date]]-Table1[[#This Row],[Join Date]],TODAY()-Table1[[#This Row],[Join Date]]))/30</f>
        <v>17.166666666666668</v>
      </c>
      <c r="S93">
        <f ca="1">Table1[[#This Row],[Hire Date]]-Table1[[#This Row],[Job Posting Date]]</f>
        <v>60</v>
      </c>
      <c r="T93" s="7">
        <f ca="1">Table1[[#This Row],[Time to onboard]]/Table1[[#This Row],[Time to Fill]]*100</f>
        <v>21.666666666666668</v>
      </c>
      <c r="U93" s="8">
        <f ca="1">Table1[[#This Row],[Time to onboard]]/Table1[[#This Row],[Time to Fill]]*100</f>
        <v>21.666666666666668</v>
      </c>
      <c r="V93">
        <f ca="1">Table1[[#This Row],[Join Date]]-Table1[[#This Row],[Job Posting Date]]</f>
        <v>73</v>
      </c>
      <c r="W93">
        <f t="shared" ca="1" si="19"/>
        <v>113</v>
      </c>
      <c r="X93" s="8">
        <f ca="1">Table1[[#This Row],[Absentee Days]]/Table1[[#This Row],[Total Work Days]]*100</f>
        <v>1.153846153846154</v>
      </c>
      <c r="Y93">
        <f ca="1">YEAR(Table1[[#This Row],[Join Date]])</f>
        <v>2022</v>
      </c>
      <c r="Z93">
        <f ca="1">IF(Table1[[#This Row],[Status]]="Active",1,0)</f>
        <v>0</v>
      </c>
      <c r="AA93">
        <f ca="1">IF(Table1[[#This Row],[Status]]="Exited",Table1[[#This Row],[Recruitment Cost]]+Table1[[#This Row],[Onboarding cost]]+Table1[[#This Row],[Training Cost]],0)</f>
        <v>6226</v>
      </c>
    </row>
    <row r="94" spans="1:27">
      <c r="A94" t="str">
        <f t="shared" si="12"/>
        <v>E093</v>
      </c>
      <c r="B94" t="str" cm="1">
        <f t="array" aca="1" ref="B94" ca="1">INDEX(sheet2!$A$2:$A$6, RANDBETWEEN(1, 5))</f>
        <v>IT</v>
      </c>
      <c r="C94" t="str">
        <f ca="1">_xlfn.XLOOKUP(Table1[[#This Row],[Department]],sheet2!$A$2:$A$6,sheet2!$B$2:$B$6,_xleta.NA,0)</f>
        <v>Software Engineer</v>
      </c>
      <c r="D94" s="1">
        <f t="shared" ca="1" si="13"/>
        <v>43275</v>
      </c>
      <c r="E94" s="1">
        <f ca="1">Table1[[#This Row],[Job Posting Date]]+ RANDBETWEEN(15, 90)</f>
        <v>43324</v>
      </c>
      <c r="F94" s="1">
        <f ca="1">Table1[[#This Row],[Hire Date]]+ RANDBETWEEN(1, 15)</f>
        <v>43328</v>
      </c>
      <c r="G94" s="1" t="str">
        <f ca="1">IF(RAND() &lt; 0.5,  Table1[[#This Row],[Join Date]]+ RANDBETWEEN(30, TODAY()- Table1[[#This Row],[Join Date]]), "-")</f>
        <v>-</v>
      </c>
      <c r="H94" t="str">
        <f ca="1">IF(Table1[[#This Row],[Exit Date]]= "-", "Active", "Exited")</f>
        <v>Active</v>
      </c>
      <c r="I94" s="5">
        <f t="shared" ca="1" si="14"/>
        <v>4729</v>
      </c>
      <c r="J94" t="str" cm="1">
        <f t="array" aca="1" ref="J94" ca="1">INDEX(sheet2!$C$2:$C$6, RANDBETWEEN(1, 5))</f>
        <v>Advanced Excel Skills </v>
      </c>
      <c r="K94" t="str">
        <f t="shared" ca="1" si="15"/>
        <v>Not Completed</v>
      </c>
      <c r="L94">
        <v>260</v>
      </c>
      <c r="M94">
        <f t="shared" ca="1" si="16"/>
        <v>8</v>
      </c>
      <c r="N94" t="str">
        <f t="shared" ca="1" si="17"/>
        <v>Female</v>
      </c>
      <c r="O94" s="6">
        <f t="shared" ca="1" si="18"/>
        <v>1991</v>
      </c>
      <c r="P94">
        <f ca="1">Table1[[#This Row],[Hire Date]]-Table1[[#This Row],[Job Posting Date]]</f>
        <v>49</v>
      </c>
      <c r="Q94" s="7">
        <f ca="1">Table1[[#This Row],[Join Date]]-Table1[[#This Row],[Hire Date]]</f>
        <v>4</v>
      </c>
      <c r="R94" s="8">
        <f ca="1">(IF(Table1[[#This Row],[Status]]="Exited",Table1[[#This Row],[Exit Date]]-Table1[[#This Row],[Join Date]],TODAY()-Table1[[#This Row],[Join Date]]))/30</f>
        <v>77.833333333333329</v>
      </c>
      <c r="S94">
        <f ca="1">Table1[[#This Row],[Hire Date]]-Table1[[#This Row],[Job Posting Date]]</f>
        <v>49</v>
      </c>
      <c r="T94" s="7">
        <f ca="1">Table1[[#This Row],[Time to onboard]]/Table1[[#This Row],[Time to Fill]]*100</f>
        <v>8.1632653061224492</v>
      </c>
      <c r="U94" s="8">
        <f ca="1">Table1[[#This Row],[Time to onboard]]/Table1[[#This Row],[Time to Fill]]*100</f>
        <v>8.1632653061224492</v>
      </c>
      <c r="V94">
        <f ca="1">Table1[[#This Row],[Join Date]]-Table1[[#This Row],[Job Posting Date]]</f>
        <v>53</v>
      </c>
      <c r="W94">
        <f t="shared" ca="1" si="19"/>
        <v>143</v>
      </c>
      <c r="X94" s="8">
        <f ca="1">Table1[[#This Row],[Absentee Days]]/Table1[[#This Row],[Total Work Days]]*100</f>
        <v>3.0769230769230771</v>
      </c>
      <c r="Y94">
        <f ca="1">YEAR(Table1[[#This Row],[Join Date]])</f>
        <v>2018</v>
      </c>
      <c r="Z94">
        <f ca="1">IF(Table1[[#This Row],[Status]]="Active",1,0)</f>
        <v>1</v>
      </c>
      <c r="AA94">
        <f ca="1">IF(Table1[[#This Row],[Status]]="Exited",Table1[[#This Row],[Recruitment Cost]]+Table1[[#This Row],[Onboarding cost]]+Table1[[#This Row],[Training Cost]],0)</f>
        <v>0</v>
      </c>
    </row>
    <row r="95" spans="1:27">
      <c r="A95" t="str">
        <f t="shared" si="12"/>
        <v>E094</v>
      </c>
      <c r="B95" t="str" cm="1">
        <f t="array" aca="1" ref="B95" ca="1">INDEX(sheet2!$A$2:$A$6, RANDBETWEEN(1, 5))</f>
        <v>Analytics</v>
      </c>
      <c r="C95" t="str">
        <f ca="1">_xlfn.XLOOKUP(Table1[[#This Row],[Department]],sheet2!$A$2:$A$6,sheet2!$B$2:$B$6,_xleta.NA,0)</f>
        <v>Data Analyst</v>
      </c>
      <c r="D95" s="1">
        <f t="shared" ca="1" si="13"/>
        <v>44661</v>
      </c>
      <c r="E95" s="1">
        <f ca="1">Table1[[#This Row],[Job Posting Date]]+ RANDBETWEEN(15, 90)</f>
        <v>44687</v>
      </c>
      <c r="F95" s="1">
        <f ca="1">Table1[[#This Row],[Hire Date]]+ RANDBETWEEN(1, 15)</f>
        <v>44694</v>
      </c>
      <c r="G95" s="1">
        <f ca="1">IF(RAND() &lt; 0.5,  Table1[[#This Row],[Join Date]]+ RANDBETWEEN(30, TODAY()- Table1[[#This Row],[Join Date]]), "-")</f>
        <v>45014</v>
      </c>
      <c r="H95" t="str">
        <f ca="1">IF(Table1[[#This Row],[Exit Date]]= "-", "Active", "Exited")</f>
        <v>Exited</v>
      </c>
      <c r="I95" s="5">
        <f t="shared" ca="1" si="14"/>
        <v>3468</v>
      </c>
      <c r="J95" t="str" cm="1">
        <f t="array" aca="1" ref="J95" ca="1">INDEX(sheet2!$C$2:$C$6, RANDBETWEEN(1, 5))</f>
        <v>Communication Skills</v>
      </c>
      <c r="K95" t="str">
        <f t="shared" ca="1" si="15"/>
        <v>Completed</v>
      </c>
      <c r="L95">
        <v>260</v>
      </c>
      <c r="M95">
        <f t="shared" ca="1" si="16"/>
        <v>8</v>
      </c>
      <c r="N95" t="str">
        <f t="shared" ca="1" si="17"/>
        <v>Other</v>
      </c>
      <c r="O95" s="6">
        <f t="shared" ca="1" si="18"/>
        <v>1394</v>
      </c>
      <c r="P95">
        <f ca="1">Table1[[#This Row],[Hire Date]]-Table1[[#This Row],[Job Posting Date]]</f>
        <v>26</v>
      </c>
      <c r="Q95" s="7">
        <f ca="1">Table1[[#This Row],[Join Date]]-Table1[[#This Row],[Hire Date]]</f>
        <v>7</v>
      </c>
      <c r="R95" s="8">
        <f ca="1">(IF(Table1[[#This Row],[Status]]="Exited",Table1[[#This Row],[Exit Date]]-Table1[[#This Row],[Join Date]],TODAY()-Table1[[#This Row],[Join Date]]))/30</f>
        <v>10.666666666666666</v>
      </c>
      <c r="S95">
        <f ca="1">Table1[[#This Row],[Hire Date]]-Table1[[#This Row],[Job Posting Date]]</f>
        <v>26</v>
      </c>
      <c r="T95" s="7">
        <f ca="1">Table1[[#This Row],[Time to onboard]]/Table1[[#This Row],[Time to Fill]]*100</f>
        <v>26.923076923076923</v>
      </c>
      <c r="U95" s="8">
        <f ca="1">Table1[[#This Row],[Time to onboard]]/Table1[[#This Row],[Time to Fill]]*100</f>
        <v>26.923076923076923</v>
      </c>
      <c r="V95">
        <f ca="1">Table1[[#This Row],[Join Date]]-Table1[[#This Row],[Job Posting Date]]</f>
        <v>33</v>
      </c>
      <c r="W95">
        <f t="shared" ca="1" si="19"/>
        <v>166</v>
      </c>
      <c r="X95" s="8">
        <f ca="1">Table1[[#This Row],[Absentee Days]]/Table1[[#This Row],[Total Work Days]]*100</f>
        <v>3.0769230769230771</v>
      </c>
      <c r="Y95">
        <f ca="1">YEAR(Table1[[#This Row],[Join Date]])</f>
        <v>2022</v>
      </c>
      <c r="Z95">
        <f ca="1">IF(Table1[[#This Row],[Status]]="Active",1,0)</f>
        <v>0</v>
      </c>
      <c r="AA95">
        <f ca="1">IF(Table1[[#This Row],[Status]]="Exited",Table1[[#This Row],[Recruitment Cost]]+Table1[[#This Row],[Onboarding cost]]+Table1[[#This Row],[Training Cost]],0)</f>
        <v>5028</v>
      </c>
    </row>
    <row r="96" spans="1:27">
      <c r="A96" t="str">
        <f t="shared" si="12"/>
        <v>E095</v>
      </c>
      <c r="B96" t="str" cm="1">
        <f t="array" aca="1" ref="B96" ca="1">INDEX(sheet2!$A$2:$A$6, RANDBETWEEN(1, 5))</f>
        <v>HR</v>
      </c>
      <c r="C96" t="str">
        <f ca="1">_xlfn.XLOOKUP(Table1[[#This Row],[Department]],sheet2!$A$2:$A$6,sheet2!$B$2:$B$6,_xleta.NA,0)</f>
        <v>HR Manager</v>
      </c>
      <c r="D96" s="1">
        <f t="shared" ca="1" si="13"/>
        <v>43420</v>
      </c>
      <c r="E96" s="1">
        <f ca="1">Table1[[#This Row],[Job Posting Date]]+ RANDBETWEEN(15, 90)</f>
        <v>43453</v>
      </c>
      <c r="F96" s="1">
        <f ca="1">Table1[[#This Row],[Hire Date]]+ RANDBETWEEN(1, 15)</f>
        <v>43467</v>
      </c>
      <c r="G96" s="1" t="str">
        <f ca="1">IF(RAND() &lt; 0.5,  Table1[[#This Row],[Join Date]]+ RANDBETWEEN(30, TODAY()- Table1[[#This Row],[Join Date]]), "-")</f>
        <v>-</v>
      </c>
      <c r="H96" t="str">
        <f ca="1">IF(Table1[[#This Row],[Exit Date]]= "-", "Active", "Exited")</f>
        <v>Active</v>
      </c>
      <c r="I96" s="5">
        <f t="shared" ca="1" si="14"/>
        <v>1790</v>
      </c>
      <c r="J96" t="str" cm="1">
        <f t="array" aca="1" ref="J96" ca="1">INDEX(sheet2!$C$2:$C$6, RANDBETWEEN(1, 5))</f>
        <v>Communication Skills</v>
      </c>
      <c r="K96" t="str">
        <f t="shared" ca="1" si="15"/>
        <v>Completed</v>
      </c>
      <c r="L96">
        <v>260</v>
      </c>
      <c r="M96">
        <f t="shared" ca="1" si="16"/>
        <v>14</v>
      </c>
      <c r="N96" t="str">
        <f t="shared" ca="1" si="17"/>
        <v>Male</v>
      </c>
      <c r="O96" s="6">
        <f t="shared" ca="1" si="18"/>
        <v>2236</v>
      </c>
      <c r="P96">
        <f ca="1">Table1[[#This Row],[Hire Date]]-Table1[[#This Row],[Job Posting Date]]</f>
        <v>33</v>
      </c>
      <c r="Q96" s="7">
        <f ca="1">Table1[[#This Row],[Join Date]]-Table1[[#This Row],[Hire Date]]</f>
        <v>14</v>
      </c>
      <c r="R96" s="8">
        <f ca="1">(IF(Table1[[#This Row],[Status]]="Exited",Table1[[#This Row],[Exit Date]]-Table1[[#This Row],[Join Date]],TODAY()-Table1[[#This Row],[Join Date]]))/30</f>
        <v>73.2</v>
      </c>
      <c r="S96">
        <f ca="1">Table1[[#This Row],[Hire Date]]-Table1[[#This Row],[Job Posting Date]]</f>
        <v>33</v>
      </c>
      <c r="T96" s="7">
        <f ca="1">Table1[[#This Row],[Time to onboard]]/Table1[[#This Row],[Time to Fill]]*100</f>
        <v>42.424242424242422</v>
      </c>
      <c r="U96" s="8">
        <f ca="1">Table1[[#This Row],[Time to onboard]]/Table1[[#This Row],[Time to Fill]]*100</f>
        <v>42.424242424242422</v>
      </c>
      <c r="V96">
        <f ca="1">Table1[[#This Row],[Join Date]]-Table1[[#This Row],[Job Posting Date]]</f>
        <v>47</v>
      </c>
      <c r="W96">
        <f t="shared" ca="1" si="19"/>
        <v>165</v>
      </c>
      <c r="X96" s="8">
        <f ca="1">Table1[[#This Row],[Absentee Days]]/Table1[[#This Row],[Total Work Days]]*100</f>
        <v>5.384615384615385</v>
      </c>
      <c r="Y96">
        <f ca="1">YEAR(Table1[[#This Row],[Join Date]])</f>
        <v>2019</v>
      </c>
      <c r="Z96">
        <f ca="1">IF(Table1[[#This Row],[Status]]="Active",1,0)</f>
        <v>1</v>
      </c>
      <c r="AA96">
        <f ca="1">IF(Table1[[#This Row],[Status]]="Exited",Table1[[#This Row],[Recruitment Cost]]+Table1[[#This Row],[Onboarding cost]]+Table1[[#This Row],[Training Cost]],0)</f>
        <v>0</v>
      </c>
    </row>
    <row r="97" spans="1:27">
      <c r="A97" t="str">
        <f t="shared" si="12"/>
        <v>E096</v>
      </c>
      <c r="B97" t="str" cm="1">
        <f t="array" aca="1" ref="B97" ca="1">INDEX(sheet2!$A$2:$A$6, RANDBETWEEN(1, 5))</f>
        <v>HR</v>
      </c>
      <c r="C97" t="str">
        <f ca="1">_xlfn.XLOOKUP(Table1[[#This Row],[Department]],sheet2!$A$2:$A$6,sheet2!$B$2:$B$6,_xleta.NA,0)</f>
        <v>HR Manager</v>
      </c>
      <c r="D97" s="1">
        <f t="shared" ca="1" si="13"/>
        <v>44653</v>
      </c>
      <c r="E97" s="1">
        <f ca="1">Table1[[#This Row],[Job Posting Date]]+ RANDBETWEEN(15, 90)</f>
        <v>44678</v>
      </c>
      <c r="F97" s="1">
        <f ca="1">Table1[[#This Row],[Hire Date]]+ RANDBETWEEN(1, 15)</f>
        <v>44685</v>
      </c>
      <c r="G97" s="1">
        <f ca="1">IF(RAND() &lt; 0.5,  Table1[[#This Row],[Join Date]]+ RANDBETWEEN(30, TODAY()- Table1[[#This Row],[Join Date]]), "-")</f>
        <v>45467</v>
      </c>
      <c r="H97" t="str">
        <f ca="1">IF(Table1[[#This Row],[Exit Date]]= "-", "Active", "Exited")</f>
        <v>Exited</v>
      </c>
      <c r="I97" s="5">
        <f t="shared" ca="1" si="14"/>
        <v>3742</v>
      </c>
      <c r="J97" t="str" cm="1">
        <f t="array" aca="1" ref="J97" ca="1">INDEX(sheet2!$C$2:$C$6, RANDBETWEEN(1, 5))</f>
        <v>Advanced Excel Skills </v>
      </c>
      <c r="K97" t="str">
        <f t="shared" ca="1" si="15"/>
        <v>Completed</v>
      </c>
      <c r="L97">
        <v>260</v>
      </c>
      <c r="M97">
        <f t="shared" ca="1" si="16"/>
        <v>12</v>
      </c>
      <c r="N97" t="str">
        <f t="shared" ca="1" si="17"/>
        <v>Male</v>
      </c>
      <c r="O97" s="6">
        <f t="shared" ca="1" si="18"/>
        <v>1771</v>
      </c>
      <c r="P97">
        <f ca="1">Table1[[#This Row],[Hire Date]]-Table1[[#This Row],[Job Posting Date]]</f>
        <v>25</v>
      </c>
      <c r="Q97" s="7">
        <f ca="1">Table1[[#This Row],[Join Date]]-Table1[[#This Row],[Hire Date]]</f>
        <v>7</v>
      </c>
      <c r="R97" s="8">
        <f ca="1">(IF(Table1[[#This Row],[Status]]="Exited",Table1[[#This Row],[Exit Date]]-Table1[[#This Row],[Join Date]],TODAY()-Table1[[#This Row],[Join Date]]))/30</f>
        <v>26.066666666666666</v>
      </c>
      <c r="S97">
        <f ca="1">Table1[[#This Row],[Hire Date]]-Table1[[#This Row],[Job Posting Date]]</f>
        <v>25</v>
      </c>
      <c r="T97" s="7">
        <f ca="1">Table1[[#This Row],[Time to onboard]]/Table1[[#This Row],[Time to Fill]]*100</f>
        <v>28.000000000000004</v>
      </c>
      <c r="U97" s="8">
        <f ca="1">Table1[[#This Row],[Time to onboard]]/Table1[[#This Row],[Time to Fill]]*100</f>
        <v>28.000000000000004</v>
      </c>
      <c r="V97">
        <f ca="1">Table1[[#This Row],[Join Date]]-Table1[[#This Row],[Job Posting Date]]</f>
        <v>32</v>
      </c>
      <c r="W97">
        <f t="shared" ca="1" si="19"/>
        <v>171</v>
      </c>
      <c r="X97" s="8">
        <f ca="1">Table1[[#This Row],[Absentee Days]]/Table1[[#This Row],[Total Work Days]]*100</f>
        <v>4.6153846153846159</v>
      </c>
      <c r="Y97">
        <f ca="1">YEAR(Table1[[#This Row],[Join Date]])</f>
        <v>2022</v>
      </c>
      <c r="Z97">
        <f ca="1">IF(Table1[[#This Row],[Status]]="Active",1,0)</f>
        <v>0</v>
      </c>
      <c r="AA97">
        <f ca="1">IF(Table1[[#This Row],[Status]]="Exited",Table1[[#This Row],[Recruitment Cost]]+Table1[[#This Row],[Onboarding cost]]+Table1[[#This Row],[Training Cost]],0)</f>
        <v>5684</v>
      </c>
    </row>
    <row r="98" spans="1:27">
      <c r="A98" t="str">
        <f t="shared" si="12"/>
        <v>E097</v>
      </c>
      <c r="B98" t="str" cm="1">
        <f t="array" aca="1" ref="B98" ca="1">INDEX(sheet2!$A$2:$A$6, RANDBETWEEN(1, 5))</f>
        <v>Analytics</v>
      </c>
      <c r="C98" t="str">
        <f ca="1">_xlfn.XLOOKUP(Table1[[#This Row],[Department]],sheet2!$A$2:$A$6,sheet2!$B$2:$B$6,_xleta.NA,0)</f>
        <v>Data Analyst</v>
      </c>
      <c r="D98" s="1">
        <f t="shared" ca="1" si="13"/>
        <v>43913</v>
      </c>
      <c r="E98" s="1">
        <f ca="1">Table1[[#This Row],[Job Posting Date]]+ RANDBETWEEN(15, 90)</f>
        <v>43938</v>
      </c>
      <c r="F98" s="1">
        <f ca="1">Table1[[#This Row],[Hire Date]]+ RANDBETWEEN(1, 15)</f>
        <v>43946</v>
      </c>
      <c r="G98" s="1">
        <f ca="1">IF(RAND() &lt; 0.5,  Table1[[#This Row],[Join Date]]+ RANDBETWEEN(30, TODAY()- Table1[[#This Row],[Join Date]]), "-")</f>
        <v>44979</v>
      </c>
      <c r="H98" t="str">
        <f ca="1">IF(Table1[[#This Row],[Exit Date]]= "-", "Active", "Exited")</f>
        <v>Exited</v>
      </c>
      <c r="I98" s="5">
        <f t="shared" ca="1" si="14"/>
        <v>4181</v>
      </c>
      <c r="J98" t="str" cm="1">
        <f t="array" aca="1" ref="J98" ca="1">INDEX(sheet2!$C$2:$C$6, RANDBETWEEN(1, 5))</f>
        <v>Ethics and Responsibilities</v>
      </c>
      <c r="K98" t="str">
        <f t="shared" ca="1" si="15"/>
        <v>Not Completed</v>
      </c>
      <c r="L98">
        <v>260</v>
      </c>
      <c r="M98">
        <f t="shared" ca="1" si="16"/>
        <v>8</v>
      </c>
      <c r="N98" t="str">
        <f t="shared" ca="1" si="17"/>
        <v>Other</v>
      </c>
      <c r="O98" s="6">
        <f t="shared" ca="1" si="18"/>
        <v>1866</v>
      </c>
      <c r="P98">
        <f ca="1">Table1[[#This Row],[Hire Date]]-Table1[[#This Row],[Job Posting Date]]</f>
        <v>25</v>
      </c>
      <c r="Q98" s="7">
        <f ca="1">Table1[[#This Row],[Join Date]]-Table1[[#This Row],[Hire Date]]</f>
        <v>8</v>
      </c>
      <c r="R98" s="8">
        <f ca="1">(IF(Table1[[#This Row],[Status]]="Exited",Table1[[#This Row],[Exit Date]]-Table1[[#This Row],[Join Date]],TODAY()-Table1[[#This Row],[Join Date]]))/30</f>
        <v>34.43333333333333</v>
      </c>
      <c r="S98">
        <f ca="1">Table1[[#This Row],[Hire Date]]-Table1[[#This Row],[Job Posting Date]]</f>
        <v>25</v>
      </c>
      <c r="T98" s="7">
        <f ca="1">Table1[[#This Row],[Time to onboard]]/Table1[[#This Row],[Time to Fill]]*100</f>
        <v>32</v>
      </c>
      <c r="U98" s="8">
        <f ca="1">Table1[[#This Row],[Time to onboard]]/Table1[[#This Row],[Time to Fill]]*100</f>
        <v>32</v>
      </c>
      <c r="V98">
        <f ca="1">Table1[[#This Row],[Join Date]]-Table1[[#This Row],[Job Posting Date]]</f>
        <v>33</v>
      </c>
      <c r="W98">
        <f t="shared" ca="1" si="19"/>
        <v>156</v>
      </c>
      <c r="X98" s="8">
        <f ca="1">Table1[[#This Row],[Absentee Days]]/Table1[[#This Row],[Total Work Days]]*100</f>
        <v>3.0769230769230771</v>
      </c>
      <c r="Y98">
        <f ca="1">YEAR(Table1[[#This Row],[Join Date]])</f>
        <v>2020</v>
      </c>
      <c r="Z98">
        <f ca="1">IF(Table1[[#This Row],[Status]]="Active",1,0)</f>
        <v>0</v>
      </c>
      <c r="AA98">
        <f ca="1">IF(Table1[[#This Row],[Status]]="Exited",Table1[[#This Row],[Recruitment Cost]]+Table1[[#This Row],[Onboarding cost]]+Table1[[#This Row],[Training Cost]],0)</f>
        <v>6203</v>
      </c>
    </row>
    <row r="99" spans="1:27">
      <c r="A99" t="str">
        <f t="shared" si="12"/>
        <v>E098</v>
      </c>
      <c r="B99" t="str" cm="1">
        <f t="array" aca="1" ref="B99" ca="1">INDEX(sheet2!$A$2:$A$6, RANDBETWEEN(1, 5))</f>
        <v>IT</v>
      </c>
      <c r="C99" t="str">
        <f ca="1">_xlfn.XLOOKUP(Table1[[#This Row],[Department]],sheet2!$A$2:$A$6,sheet2!$B$2:$B$6,_xleta.NA,0)</f>
        <v>Software Engineer</v>
      </c>
      <c r="D99" s="1">
        <f t="shared" ca="1" si="13"/>
        <v>44485</v>
      </c>
      <c r="E99" s="1">
        <f ca="1">Table1[[#This Row],[Job Posting Date]]+ RANDBETWEEN(15, 90)</f>
        <v>44503</v>
      </c>
      <c r="F99" s="1">
        <f ca="1">Table1[[#This Row],[Hire Date]]+ RANDBETWEEN(1, 15)</f>
        <v>44507</v>
      </c>
      <c r="G99" s="1" t="str">
        <f ca="1">IF(RAND() &lt; 0.5,  Table1[[#This Row],[Join Date]]+ RANDBETWEEN(30, TODAY()- Table1[[#This Row],[Join Date]]), "-")</f>
        <v>-</v>
      </c>
      <c r="H99" t="str">
        <f ca="1">IF(Table1[[#This Row],[Exit Date]]= "-", "Active", "Exited")</f>
        <v>Active</v>
      </c>
      <c r="I99" s="5">
        <f t="shared" ca="1" si="14"/>
        <v>4603</v>
      </c>
      <c r="J99" t="str" cm="1">
        <f t="array" aca="1" ref="J99" ca="1">INDEX(sheet2!$C$2:$C$6, RANDBETWEEN(1, 5))</f>
        <v>Advanced Excel Skills </v>
      </c>
      <c r="K99" t="str">
        <f t="shared" ca="1" si="15"/>
        <v>Completed</v>
      </c>
      <c r="L99">
        <v>260</v>
      </c>
      <c r="M99">
        <f t="shared" ca="1" si="16"/>
        <v>13</v>
      </c>
      <c r="N99" t="str">
        <f t="shared" ca="1" si="17"/>
        <v>Other</v>
      </c>
      <c r="O99" s="6">
        <f t="shared" ca="1" si="18"/>
        <v>1914</v>
      </c>
      <c r="P99">
        <f ca="1">Table1[[#This Row],[Hire Date]]-Table1[[#This Row],[Job Posting Date]]</f>
        <v>18</v>
      </c>
      <c r="Q99" s="7">
        <f ca="1">Table1[[#This Row],[Join Date]]-Table1[[#This Row],[Hire Date]]</f>
        <v>4</v>
      </c>
      <c r="R99" s="8">
        <f ca="1">(IF(Table1[[#This Row],[Status]]="Exited",Table1[[#This Row],[Exit Date]]-Table1[[#This Row],[Join Date]],TODAY()-Table1[[#This Row],[Join Date]]))/30</f>
        <v>38.533333333333331</v>
      </c>
      <c r="S99">
        <f ca="1">Table1[[#This Row],[Hire Date]]-Table1[[#This Row],[Job Posting Date]]</f>
        <v>18</v>
      </c>
      <c r="T99" s="7">
        <f ca="1">Table1[[#This Row],[Time to onboard]]/Table1[[#This Row],[Time to Fill]]*100</f>
        <v>22.222222222222221</v>
      </c>
      <c r="U99" s="8">
        <f ca="1">Table1[[#This Row],[Time to onboard]]/Table1[[#This Row],[Time to Fill]]*100</f>
        <v>22.222222222222221</v>
      </c>
      <c r="V99">
        <f ca="1">Table1[[#This Row],[Join Date]]-Table1[[#This Row],[Job Posting Date]]</f>
        <v>22</v>
      </c>
      <c r="W99">
        <f t="shared" ca="1" si="19"/>
        <v>117</v>
      </c>
      <c r="X99" s="8">
        <f ca="1">Table1[[#This Row],[Absentee Days]]/Table1[[#This Row],[Total Work Days]]*100</f>
        <v>5</v>
      </c>
      <c r="Y99">
        <f ca="1">YEAR(Table1[[#This Row],[Join Date]])</f>
        <v>2021</v>
      </c>
      <c r="Z99">
        <f ca="1">IF(Table1[[#This Row],[Status]]="Active",1,0)</f>
        <v>1</v>
      </c>
      <c r="AA99">
        <f ca="1">IF(Table1[[#This Row],[Status]]="Exited",Table1[[#This Row],[Recruitment Cost]]+Table1[[#This Row],[Onboarding cost]]+Table1[[#This Row],[Training Cost]],0)</f>
        <v>0</v>
      </c>
    </row>
    <row r="100" spans="1:27">
      <c r="A100" t="str">
        <f t="shared" si="12"/>
        <v>E099</v>
      </c>
      <c r="B100" t="str" cm="1">
        <f t="array" aca="1" ref="B100" ca="1">INDEX(sheet2!$A$2:$A$6, RANDBETWEEN(1, 5))</f>
        <v>Sales</v>
      </c>
      <c r="C100" t="str">
        <f ca="1">_xlfn.XLOOKUP(Table1[[#This Row],[Department]],sheet2!$A$2:$A$6,sheet2!$B$2:$B$6,_xleta.NA,0)</f>
        <v>Marketing Manager</v>
      </c>
      <c r="D100" s="1">
        <f t="shared" ca="1" si="13"/>
        <v>44417</v>
      </c>
      <c r="E100" s="1">
        <f ca="1">Table1[[#This Row],[Job Posting Date]]+ RANDBETWEEN(15, 90)</f>
        <v>44506</v>
      </c>
      <c r="F100" s="1">
        <f ca="1">Table1[[#This Row],[Hire Date]]+ RANDBETWEEN(1, 15)</f>
        <v>44514</v>
      </c>
      <c r="G100" s="1">
        <f ca="1">IF(RAND() &lt; 0.5,  Table1[[#This Row],[Join Date]]+ RANDBETWEEN(30, TODAY()- Table1[[#This Row],[Join Date]]), "-")</f>
        <v>45430</v>
      </c>
      <c r="H100" t="str">
        <f ca="1">IF(Table1[[#This Row],[Exit Date]]= "-", "Active", "Exited")</f>
        <v>Exited</v>
      </c>
      <c r="I100" s="5">
        <f t="shared" ca="1" si="14"/>
        <v>2506</v>
      </c>
      <c r="J100" t="str" cm="1">
        <f t="array" aca="1" ref="J100" ca="1">INDEX(sheet2!$C$2:$C$6, RANDBETWEEN(1, 5))</f>
        <v>Conflict Resolution</v>
      </c>
      <c r="K100" t="str">
        <f t="shared" ca="1" si="15"/>
        <v>Completed</v>
      </c>
      <c r="L100">
        <v>260</v>
      </c>
      <c r="M100">
        <f t="shared" ca="1" si="16"/>
        <v>16</v>
      </c>
      <c r="N100" t="str">
        <f t="shared" ca="1" si="17"/>
        <v>Female</v>
      </c>
      <c r="O100" s="6">
        <f t="shared" ca="1" si="18"/>
        <v>1887</v>
      </c>
      <c r="P100">
        <f ca="1">Table1[[#This Row],[Hire Date]]-Table1[[#This Row],[Job Posting Date]]</f>
        <v>89</v>
      </c>
      <c r="Q100" s="7">
        <f ca="1">Table1[[#This Row],[Join Date]]-Table1[[#This Row],[Hire Date]]</f>
        <v>8</v>
      </c>
      <c r="R100" s="8">
        <f ca="1">(IF(Table1[[#This Row],[Status]]="Exited",Table1[[#This Row],[Exit Date]]-Table1[[#This Row],[Join Date]],TODAY()-Table1[[#This Row],[Join Date]]))/30</f>
        <v>30.533333333333335</v>
      </c>
      <c r="S100">
        <f ca="1">Table1[[#This Row],[Hire Date]]-Table1[[#This Row],[Job Posting Date]]</f>
        <v>89</v>
      </c>
      <c r="T100" s="7">
        <f ca="1">Table1[[#This Row],[Time to onboard]]/Table1[[#This Row],[Time to Fill]]*100</f>
        <v>8.9887640449438209</v>
      </c>
      <c r="U100" s="8">
        <f ca="1">Table1[[#This Row],[Time to onboard]]/Table1[[#This Row],[Time to Fill]]*100</f>
        <v>8.9887640449438209</v>
      </c>
      <c r="V100">
        <f ca="1">Table1[[#This Row],[Join Date]]-Table1[[#This Row],[Job Posting Date]]</f>
        <v>97</v>
      </c>
      <c r="W100">
        <f t="shared" ca="1" si="19"/>
        <v>159</v>
      </c>
      <c r="X100" s="8">
        <f ca="1">Table1[[#This Row],[Absentee Days]]/Table1[[#This Row],[Total Work Days]]*100</f>
        <v>6.1538461538461542</v>
      </c>
      <c r="Y100">
        <f ca="1">YEAR(Table1[[#This Row],[Join Date]])</f>
        <v>2021</v>
      </c>
      <c r="Z100">
        <f ca="1">IF(Table1[[#This Row],[Status]]="Active",1,0)</f>
        <v>0</v>
      </c>
      <c r="AA100">
        <f ca="1">IF(Table1[[#This Row],[Status]]="Exited",Table1[[#This Row],[Recruitment Cost]]+Table1[[#This Row],[Onboarding cost]]+Table1[[#This Row],[Training Cost]],0)</f>
        <v>4552</v>
      </c>
    </row>
    <row r="101" spans="1:27">
      <c r="A101" t="str">
        <f t="shared" si="12"/>
        <v>E100</v>
      </c>
      <c r="B101" t="str" cm="1">
        <f t="array" aca="1" ref="B101" ca="1">INDEX(sheet2!$A$2:$A$6, RANDBETWEEN(1, 5))</f>
        <v>Analytics</v>
      </c>
      <c r="C101" t="str">
        <f ca="1">_xlfn.XLOOKUP(Table1[[#This Row],[Department]],sheet2!$A$2:$A$6,sheet2!$B$2:$B$6,_xleta.NA,0)</f>
        <v>Data Analyst</v>
      </c>
      <c r="D101" s="1">
        <f t="shared" ca="1" si="13"/>
        <v>43346</v>
      </c>
      <c r="E101" s="1">
        <f ca="1">Table1[[#This Row],[Job Posting Date]]+ RANDBETWEEN(15, 90)</f>
        <v>43387</v>
      </c>
      <c r="F101" s="1">
        <f ca="1">Table1[[#This Row],[Hire Date]]+ RANDBETWEEN(1, 15)</f>
        <v>43395</v>
      </c>
      <c r="G101" s="1" t="str">
        <f ca="1">IF(RAND() &lt; 0.5,  Table1[[#This Row],[Join Date]]+ RANDBETWEEN(30, TODAY()- Table1[[#This Row],[Join Date]]), "-")</f>
        <v>-</v>
      </c>
      <c r="H101" t="str">
        <f ca="1">IF(Table1[[#This Row],[Exit Date]]= "-", "Active", "Exited")</f>
        <v>Active</v>
      </c>
      <c r="I101" s="5">
        <f t="shared" ca="1" si="14"/>
        <v>2598</v>
      </c>
      <c r="J101" t="str" cm="1">
        <f t="array" aca="1" ref="J101" ca="1">INDEX(sheet2!$C$2:$C$6, RANDBETWEEN(1, 5))</f>
        <v>Conflict Resolution</v>
      </c>
      <c r="K101" t="str">
        <f t="shared" ca="1" si="15"/>
        <v>Completed</v>
      </c>
      <c r="L101">
        <v>260</v>
      </c>
      <c r="M101">
        <f t="shared" ca="1" si="16"/>
        <v>13</v>
      </c>
      <c r="N101" t="str">
        <f t="shared" ca="1" si="17"/>
        <v>Female</v>
      </c>
      <c r="O101" s="6">
        <f t="shared" ca="1" si="18"/>
        <v>1269</v>
      </c>
      <c r="P101">
        <f ca="1">Table1[[#This Row],[Hire Date]]-Table1[[#This Row],[Job Posting Date]]</f>
        <v>41</v>
      </c>
      <c r="Q101" s="7">
        <f ca="1">Table1[[#This Row],[Join Date]]-Table1[[#This Row],[Hire Date]]</f>
        <v>8</v>
      </c>
      <c r="R101" s="8">
        <f ca="1">(IF(Table1[[#This Row],[Status]]="Exited",Table1[[#This Row],[Exit Date]]-Table1[[#This Row],[Join Date]],TODAY()-Table1[[#This Row],[Join Date]]))/30</f>
        <v>75.599999999999994</v>
      </c>
      <c r="S101">
        <f ca="1">Table1[[#This Row],[Hire Date]]-Table1[[#This Row],[Job Posting Date]]</f>
        <v>41</v>
      </c>
      <c r="T101" s="7">
        <f ca="1">Table1[[#This Row],[Time to onboard]]/Table1[[#This Row],[Time to Fill]]*100</f>
        <v>19.512195121951219</v>
      </c>
      <c r="U101" s="8">
        <f ca="1">Table1[[#This Row],[Time to onboard]]/Table1[[#This Row],[Time to Fill]]*100</f>
        <v>19.512195121951219</v>
      </c>
      <c r="V101">
        <f ca="1">Table1[[#This Row],[Join Date]]-Table1[[#This Row],[Job Posting Date]]</f>
        <v>49</v>
      </c>
      <c r="W101">
        <f t="shared" ca="1" si="19"/>
        <v>199</v>
      </c>
      <c r="X101" s="8">
        <f ca="1">Table1[[#This Row],[Absentee Days]]/Table1[[#This Row],[Total Work Days]]*100</f>
        <v>5</v>
      </c>
      <c r="Y101">
        <f ca="1">YEAR(Table1[[#This Row],[Join Date]])</f>
        <v>2018</v>
      </c>
      <c r="Z101">
        <f ca="1">IF(Table1[[#This Row],[Status]]="Active",1,0)</f>
        <v>1</v>
      </c>
      <c r="AA101">
        <f ca="1">IF(Table1[[#This Row],[Status]]="Exited",Table1[[#This Row],[Recruitment Cost]]+Table1[[#This Row],[Onboarding cost]]+Table1[[#This Row],[Training Cost]],0)</f>
        <v>0</v>
      </c>
    </row>
    <row r="102" spans="1:27">
      <c r="A102" t="str">
        <f t="shared" si="12"/>
        <v>E101</v>
      </c>
      <c r="B102" t="str" cm="1">
        <f t="array" aca="1" ref="B102" ca="1">INDEX(sheet2!$A$2:$A$6, RANDBETWEEN(1, 5))</f>
        <v>Sales</v>
      </c>
      <c r="C102" t="str">
        <f ca="1">_xlfn.XLOOKUP(Table1[[#This Row],[Department]],sheet2!$A$2:$A$6,sheet2!$B$2:$B$6,_xleta.NA,0)</f>
        <v>Marketing Manager</v>
      </c>
      <c r="D102" s="1">
        <f t="shared" ref="D102:D165" ca="1" si="20">DATE(RANDBETWEEN(2018, 2022), RANDBETWEEN(1, 12), RANDBETWEEN(1, 28))</f>
        <v>44337</v>
      </c>
      <c r="E102" s="1">
        <f ca="1">Table1[[#This Row],[Job Posting Date]]+ RANDBETWEEN(15, 90)</f>
        <v>44409</v>
      </c>
      <c r="F102" s="1">
        <f ca="1">Table1[[#This Row],[Hire Date]]+ RANDBETWEEN(1, 15)</f>
        <v>44413</v>
      </c>
      <c r="G102" s="1" t="str">
        <f ca="1">IF(RAND() &lt; 0.5,  Table1[[#This Row],[Join Date]]+ RANDBETWEEN(30, TODAY()- Table1[[#This Row],[Join Date]]), "-")</f>
        <v>-</v>
      </c>
      <c r="H102" t="str">
        <f ca="1">IF(Table1[[#This Row],[Exit Date]]= "-", "Active", "Exited")</f>
        <v>Active</v>
      </c>
      <c r="I102" s="5">
        <f t="shared" ref="I102:I165" ca="1" si="21">RANDBETWEEN(1500, 5000)</f>
        <v>3213</v>
      </c>
      <c r="J102" t="str" cm="1">
        <f t="array" aca="1" ref="J102" ca="1">INDEX(sheet2!$C$2:$C$6, RANDBETWEEN(1, 5))</f>
        <v>Advanced Excel Skills </v>
      </c>
      <c r="K102" t="str">
        <f t="shared" ref="K102:K165" ca="1" si="22">IF(RAND() &lt; 0.7, "Completed", "Not Completed")</f>
        <v>Completed</v>
      </c>
      <c r="L102">
        <v>260</v>
      </c>
      <c r="M102">
        <f t="shared" ca="1" si="16"/>
        <v>1</v>
      </c>
      <c r="N102" t="str">
        <f t="shared" ca="1" si="17"/>
        <v>Female</v>
      </c>
      <c r="O102" s="6">
        <f t="shared" ca="1" si="18"/>
        <v>1278</v>
      </c>
      <c r="P102">
        <f ca="1">Table1[[#This Row],[Hire Date]]-Table1[[#This Row],[Job Posting Date]]</f>
        <v>72</v>
      </c>
      <c r="Q102" s="7">
        <f ca="1">Table1[[#This Row],[Join Date]]-Table1[[#This Row],[Hire Date]]</f>
        <v>4</v>
      </c>
      <c r="R102" s="8">
        <f ca="1">(IF(Table1[[#This Row],[Status]]="Exited",Table1[[#This Row],[Exit Date]]-Table1[[#This Row],[Join Date]],TODAY()-Table1[[#This Row],[Join Date]]))/30</f>
        <v>41.666666666666664</v>
      </c>
      <c r="S102">
        <f ca="1">Table1[[#This Row],[Hire Date]]-Table1[[#This Row],[Job Posting Date]]</f>
        <v>72</v>
      </c>
      <c r="T102" s="7">
        <f ca="1">Table1[[#This Row],[Time to onboard]]/Table1[[#This Row],[Time to Fill]]*100</f>
        <v>5.5555555555555554</v>
      </c>
      <c r="U102" s="8">
        <f ca="1">Table1[[#This Row],[Time to onboard]]/Table1[[#This Row],[Time to Fill]]*100</f>
        <v>5.5555555555555554</v>
      </c>
      <c r="V102">
        <f ca="1">Table1[[#This Row],[Join Date]]-Table1[[#This Row],[Job Posting Date]]</f>
        <v>76</v>
      </c>
      <c r="W102">
        <f t="shared" ca="1" si="19"/>
        <v>161</v>
      </c>
      <c r="X102" s="8">
        <f ca="1">Table1[[#This Row],[Absentee Days]]/Table1[[#This Row],[Total Work Days]]*100</f>
        <v>0.38461538461538464</v>
      </c>
      <c r="Y102">
        <f ca="1">YEAR(Table1[[#This Row],[Join Date]])</f>
        <v>2021</v>
      </c>
      <c r="Z102">
        <f ca="1">IF(Table1[[#This Row],[Status]]="Active",1,0)</f>
        <v>1</v>
      </c>
      <c r="AA102">
        <f ca="1">IF(Table1[[#This Row],[Status]]="Exited",Table1[[#This Row],[Recruitment Cost]]+Table1[[#This Row],[Onboarding cost]]+Table1[[#This Row],[Training Cost]],0)</f>
        <v>0</v>
      </c>
    </row>
    <row r="103" spans="1:27">
      <c r="A103" t="str">
        <f t="shared" si="12"/>
        <v>E102</v>
      </c>
      <c r="B103" t="str" cm="1">
        <f t="array" aca="1" ref="B103" ca="1">INDEX(sheet2!$A$2:$A$6, RANDBETWEEN(1, 5))</f>
        <v>HR</v>
      </c>
      <c r="C103" t="str">
        <f ca="1">_xlfn.XLOOKUP(Table1[[#This Row],[Department]],sheet2!$A$2:$A$6,sheet2!$B$2:$B$6,_xleta.NA,0)</f>
        <v>HR Manager</v>
      </c>
      <c r="D103" s="1">
        <f t="shared" ca="1" si="20"/>
        <v>44446</v>
      </c>
      <c r="E103" s="1">
        <f ca="1">Table1[[#This Row],[Job Posting Date]]+ RANDBETWEEN(15, 90)</f>
        <v>44495</v>
      </c>
      <c r="F103" s="1">
        <f ca="1">Table1[[#This Row],[Hire Date]]+ RANDBETWEEN(1, 15)</f>
        <v>44502</v>
      </c>
      <c r="G103" s="1" t="str">
        <f ca="1">IF(RAND() &lt; 0.5,  Table1[[#This Row],[Join Date]]+ RANDBETWEEN(30, TODAY()- Table1[[#This Row],[Join Date]]), "-")</f>
        <v>-</v>
      </c>
      <c r="H103" t="str">
        <f ca="1">IF(Table1[[#This Row],[Exit Date]]= "-", "Active", "Exited")</f>
        <v>Active</v>
      </c>
      <c r="I103" s="5">
        <f t="shared" ca="1" si="21"/>
        <v>4410</v>
      </c>
      <c r="J103" t="str" cm="1">
        <f t="array" aca="1" ref="J103" ca="1">INDEX(sheet2!$C$2:$C$6, RANDBETWEEN(1, 5))</f>
        <v>Advanced Excel Skills </v>
      </c>
      <c r="K103" t="str">
        <f t="shared" ca="1" si="22"/>
        <v>Completed</v>
      </c>
      <c r="L103">
        <v>260</v>
      </c>
      <c r="M103">
        <f t="shared" ca="1" si="16"/>
        <v>15</v>
      </c>
      <c r="N103" t="str">
        <f t="shared" ca="1" si="17"/>
        <v>Female</v>
      </c>
      <c r="O103" s="6">
        <f t="shared" ca="1" si="18"/>
        <v>2160</v>
      </c>
      <c r="P103">
        <f ca="1">Table1[[#This Row],[Hire Date]]-Table1[[#This Row],[Job Posting Date]]</f>
        <v>49</v>
      </c>
      <c r="Q103" s="7">
        <f ca="1">Table1[[#This Row],[Join Date]]-Table1[[#This Row],[Hire Date]]</f>
        <v>7</v>
      </c>
      <c r="R103" s="8">
        <f ca="1">(IF(Table1[[#This Row],[Status]]="Exited",Table1[[#This Row],[Exit Date]]-Table1[[#This Row],[Join Date]],TODAY()-Table1[[#This Row],[Join Date]]))/30</f>
        <v>38.700000000000003</v>
      </c>
      <c r="S103">
        <f ca="1">Table1[[#This Row],[Hire Date]]-Table1[[#This Row],[Job Posting Date]]</f>
        <v>49</v>
      </c>
      <c r="T103" s="7">
        <f ca="1">Table1[[#This Row],[Time to onboard]]/Table1[[#This Row],[Time to Fill]]*100</f>
        <v>14.285714285714285</v>
      </c>
      <c r="U103" s="8">
        <f ca="1">Table1[[#This Row],[Time to onboard]]/Table1[[#This Row],[Time to Fill]]*100</f>
        <v>14.285714285714285</v>
      </c>
      <c r="V103">
        <f ca="1">Table1[[#This Row],[Join Date]]-Table1[[#This Row],[Job Posting Date]]</f>
        <v>56</v>
      </c>
      <c r="W103">
        <f t="shared" ca="1" si="19"/>
        <v>169</v>
      </c>
      <c r="X103" s="8">
        <f ca="1">Table1[[#This Row],[Absentee Days]]/Table1[[#This Row],[Total Work Days]]*100</f>
        <v>5.7692307692307692</v>
      </c>
      <c r="Y103">
        <f ca="1">YEAR(Table1[[#This Row],[Join Date]])</f>
        <v>2021</v>
      </c>
      <c r="Z103">
        <f ca="1">IF(Table1[[#This Row],[Status]]="Active",1,0)</f>
        <v>1</v>
      </c>
      <c r="AA103">
        <f ca="1">IF(Table1[[#This Row],[Status]]="Exited",Table1[[#This Row],[Recruitment Cost]]+Table1[[#This Row],[Onboarding cost]]+Table1[[#This Row],[Training Cost]],0)</f>
        <v>0</v>
      </c>
    </row>
    <row r="104" spans="1:27">
      <c r="A104" t="str">
        <f t="shared" si="12"/>
        <v>E103</v>
      </c>
      <c r="B104" t="str" cm="1">
        <f t="array" aca="1" ref="B104" ca="1">INDEX(sheet2!$A$2:$A$6, RANDBETWEEN(1, 5))</f>
        <v>HR</v>
      </c>
      <c r="C104" t="str">
        <f ca="1">_xlfn.XLOOKUP(Table1[[#This Row],[Department]],sheet2!$A$2:$A$6,sheet2!$B$2:$B$6,_xleta.NA,0)</f>
        <v>HR Manager</v>
      </c>
      <c r="D104" s="1">
        <f t="shared" ca="1" si="20"/>
        <v>44659</v>
      </c>
      <c r="E104" s="1">
        <f ca="1">Table1[[#This Row],[Job Posting Date]]+ RANDBETWEEN(15, 90)</f>
        <v>44723</v>
      </c>
      <c r="F104" s="1">
        <f ca="1">Table1[[#This Row],[Hire Date]]+ RANDBETWEEN(1, 15)</f>
        <v>44734</v>
      </c>
      <c r="G104" s="1">
        <f ca="1">IF(RAND() &lt; 0.5,  Table1[[#This Row],[Join Date]]+ RANDBETWEEN(30, TODAY()- Table1[[#This Row],[Join Date]]), "-")</f>
        <v>44814</v>
      </c>
      <c r="H104" t="str">
        <f ca="1">IF(Table1[[#This Row],[Exit Date]]= "-", "Active", "Exited")</f>
        <v>Exited</v>
      </c>
      <c r="I104" s="5">
        <f t="shared" ca="1" si="21"/>
        <v>2178</v>
      </c>
      <c r="J104" t="str" cm="1">
        <f t="array" aca="1" ref="J104" ca="1">INDEX(sheet2!$C$2:$C$6, RANDBETWEEN(1, 5))</f>
        <v>Conflict Resolution</v>
      </c>
      <c r="K104" t="str">
        <f t="shared" ca="1" si="22"/>
        <v>Not Completed</v>
      </c>
      <c r="L104">
        <v>260</v>
      </c>
      <c r="M104">
        <f t="shared" ca="1" si="16"/>
        <v>7</v>
      </c>
      <c r="N104" t="str">
        <f t="shared" ca="1" si="17"/>
        <v>Male</v>
      </c>
      <c r="O104" s="6">
        <f t="shared" ca="1" si="18"/>
        <v>1218</v>
      </c>
      <c r="P104">
        <f ca="1">Table1[[#This Row],[Hire Date]]-Table1[[#This Row],[Job Posting Date]]</f>
        <v>64</v>
      </c>
      <c r="Q104" s="7">
        <f ca="1">Table1[[#This Row],[Join Date]]-Table1[[#This Row],[Hire Date]]</f>
        <v>11</v>
      </c>
      <c r="R104" s="8">
        <f ca="1">(IF(Table1[[#This Row],[Status]]="Exited",Table1[[#This Row],[Exit Date]]-Table1[[#This Row],[Join Date]],TODAY()-Table1[[#This Row],[Join Date]]))/30</f>
        <v>2.6666666666666665</v>
      </c>
      <c r="S104">
        <f ca="1">Table1[[#This Row],[Hire Date]]-Table1[[#This Row],[Job Posting Date]]</f>
        <v>64</v>
      </c>
      <c r="T104" s="7">
        <f ca="1">Table1[[#This Row],[Time to onboard]]/Table1[[#This Row],[Time to Fill]]*100</f>
        <v>17.1875</v>
      </c>
      <c r="U104" s="8">
        <f ca="1">Table1[[#This Row],[Time to onboard]]/Table1[[#This Row],[Time to Fill]]*100</f>
        <v>17.1875</v>
      </c>
      <c r="V104">
        <f ca="1">Table1[[#This Row],[Join Date]]-Table1[[#This Row],[Job Posting Date]]</f>
        <v>75</v>
      </c>
      <c r="W104">
        <f t="shared" ca="1" si="19"/>
        <v>186</v>
      </c>
      <c r="X104" s="8">
        <f ca="1">Table1[[#This Row],[Absentee Days]]/Table1[[#This Row],[Total Work Days]]*100</f>
        <v>2.6923076923076925</v>
      </c>
      <c r="Y104">
        <f ca="1">YEAR(Table1[[#This Row],[Join Date]])</f>
        <v>2022</v>
      </c>
      <c r="Z104">
        <f ca="1">IF(Table1[[#This Row],[Status]]="Active",1,0)</f>
        <v>0</v>
      </c>
      <c r="AA104">
        <f ca="1">IF(Table1[[#This Row],[Status]]="Exited",Table1[[#This Row],[Recruitment Cost]]+Table1[[#This Row],[Onboarding cost]]+Table1[[#This Row],[Training Cost]],0)</f>
        <v>3582</v>
      </c>
    </row>
    <row r="105" spans="1:27">
      <c r="A105" t="str">
        <f t="shared" si="12"/>
        <v>E104</v>
      </c>
      <c r="B105" t="str" cm="1">
        <f t="array" aca="1" ref="B105" ca="1">INDEX(sheet2!$A$2:$A$6, RANDBETWEEN(1, 5))</f>
        <v>Sales</v>
      </c>
      <c r="C105" t="str">
        <f ca="1">_xlfn.XLOOKUP(Table1[[#This Row],[Department]],sheet2!$A$2:$A$6,sheet2!$B$2:$B$6,_xleta.NA,0)</f>
        <v>Marketing Manager</v>
      </c>
      <c r="D105" s="1">
        <f t="shared" ca="1" si="20"/>
        <v>43114</v>
      </c>
      <c r="E105" s="1">
        <f ca="1">Table1[[#This Row],[Job Posting Date]]+ RANDBETWEEN(15, 90)</f>
        <v>43152</v>
      </c>
      <c r="F105" s="1">
        <f ca="1">Table1[[#This Row],[Hire Date]]+ RANDBETWEEN(1, 15)</f>
        <v>43161</v>
      </c>
      <c r="G105" s="1">
        <f ca="1">IF(RAND() &lt; 0.5,  Table1[[#This Row],[Join Date]]+ RANDBETWEEN(30, TODAY()- Table1[[#This Row],[Join Date]]), "-")</f>
        <v>43748</v>
      </c>
      <c r="H105" t="str">
        <f ca="1">IF(Table1[[#This Row],[Exit Date]]= "-", "Active", "Exited")</f>
        <v>Exited</v>
      </c>
      <c r="I105" s="5">
        <f t="shared" ca="1" si="21"/>
        <v>4886</v>
      </c>
      <c r="J105" t="str" cm="1">
        <f t="array" aca="1" ref="J105" ca="1">INDEX(sheet2!$C$2:$C$6, RANDBETWEEN(1, 5))</f>
        <v>Ethics and Responsibilities</v>
      </c>
      <c r="K105" t="str">
        <f t="shared" ca="1" si="22"/>
        <v>Completed</v>
      </c>
      <c r="L105">
        <v>260</v>
      </c>
      <c r="M105">
        <f t="shared" ca="1" si="16"/>
        <v>13</v>
      </c>
      <c r="N105" t="str">
        <f t="shared" ca="1" si="17"/>
        <v>Other</v>
      </c>
      <c r="O105" s="6">
        <f t="shared" ca="1" si="18"/>
        <v>2435</v>
      </c>
      <c r="P105">
        <f ca="1">Table1[[#This Row],[Hire Date]]-Table1[[#This Row],[Job Posting Date]]</f>
        <v>38</v>
      </c>
      <c r="Q105" s="7">
        <f ca="1">Table1[[#This Row],[Join Date]]-Table1[[#This Row],[Hire Date]]</f>
        <v>9</v>
      </c>
      <c r="R105" s="8">
        <f ca="1">(IF(Table1[[#This Row],[Status]]="Exited",Table1[[#This Row],[Exit Date]]-Table1[[#This Row],[Join Date]],TODAY()-Table1[[#This Row],[Join Date]]))/30</f>
        <v>19.566666666666666</v>
      </c>
      <c r="S105">
        <f ca="1">Table1[[#This Row],[Hire Date]]-Table1[[#This Row],[Job Posting Date]]</f>
        <v>38</v>
      </c>
      <c r="T105" s="7">
        <f ca="1">Table1[[#This Row],[Time to onboard]]/Table1[[#This Row],[Time to Fill]]*100</f>
        <v>23.684210526315788</v>
      </c>
      <c r="U105" s="8">
        <f ca="1">Table1[[#This Row],[Time to onboard]]/Table1[[#This Row],[Time to Fill]]*100</f>
        <v>23.684210526315788</v>
      </c>
      <c r="V105">
        <f ca="1">Table1[[#This Row],[Join Date]]-Table1[[#This Row],[Job Posting Date]]</f>
        <v>47</v>
      </c>
      <c r="W105">
        <f t="shared" ca="1" si="19"/>
        <v>193</v>
      </c>
      <c r="X105" s="8">
        <f ca="1">Table1[[#This Row],[Absentee Days]]/Table1[[#This Row],[Total Work Days]]*100</f>
        <v>5</v>
      </c>
      <c r="Y105">
        <f ca="1">YEAR(Table1[[#This Row],[Join Date]])</f>
        <v>2018</v>
      </c>
      <c r="Z105">
        <f ca="1">IF(Table1[[#This Row],[Status]]="Active",1,0)</f>
        <v>0</v>
      </c>
      <c r="AA105">
        <f ca="1">IF(Table1[[#This Row],[Status]]="Exited",Table1[[#This Row],[Recruitment Cost]]+Table1[[#This Row],[Onboarding cost]]+Table1[[#This Row],[Training Cost]],0)</f>
        <v>7514</v>
      </c>
    </row>
    <row r="106" spans="1:27">
      <c r="A106" t="str">
        <f t="shared" si="12"/>
        <v>E105</v>
      </c>
      <c r="B106" t="str" cm="1">
        <f t="array" aca="1" ref="B106" ca="1">INDEX(sheet2!$A$2:$A$6, RANDBETWEEN(1, 5))</f>
        <v>HR</v>
      </c>
      <c r="C106" t="str">
        <f ca="1">_xlfn.XLOOKUP(Table1[[#This Row],[Department]],sheet2!$A$2:$A$6,sheet2!$B$2:$B$6,_xleta.NA,0)</f>
        <v>HR Manager</v>
      </c>
      <c r="D106" s="1">
        <f t="shared" ca="1" si="20"/>
        <v>44766</v>
      </c>
      <c r="E106" s="1">
        <f ca="1">Table1[[#This Row],[Job Posting Date]]+ RANDBETWEEN(15, 90)</f>
        <v>44828</v>
      </c>
      <c r="F106" s="1">
        <f ca="1">Table1[[#This Row],[Hire Date]]+ RANDBETWEEN(1, 15)</f>
        <v>44842</v>
      </c>
      <c r="G106" s="1">
        <f ca="1">IF(RAND() &lt; 0.5,  Table1[[#This Row],[Join Date]]+ RANDBETWEEN(30, TODAY()- Table1[[#This Row],[Join Date]]), "-")</f>
        <v>45362</v>
      </c>
      <c r="H106" t="str">
        <f ca="1">IF(Table1[[#This Row],[Exit Date]]= "-", "Active", "Exited")</f>
        <v>Exited</v>
      </c>
      <c r="I106" s="5">
        <f t="shared" ca="1" si="21"/>
        <v>2959</v>
      </c>
      <c r="J106" t="str" cm="1">
        <f t="array" aca="1" ref="J106" ca="1">INDEX(sheet2!$C$2:$C$6, RANDBETWEEN(1, 5))</f>
        <v>Communication Skills</v>
      </c>
      <c r="K106" t="str">
        <f t="shared" ca="1" si="22"/>
        <v>Completed</v>
      </c>
      <c r="L106">
        <v>260</v>
      </c>
      <c r="M106">
        <f t="shared" ca="1" si="16"/>
        <v>16</v>
      </c>
      <c r="N106" t="str">
        <f t="shared" ca="1" si="17"/>
        <v>Other</v>
      </c>
      <c r="O106" s="6">
        <f t="shared" ca="1" si="18"/>
        <v>1994</v>
      </c>
      <c r="P106">
        <f ca="1">Table1[[#This Row],[Hire Date]]-Table1[[#This Row],[Job Posting Date]]</f>
        <v>62</v>
      </c>
      <c r="Q106" s="7">
        <f ca="1">Table1[[#This Row],[Join Date]]-Table1[[#This Row],[Hire Date]]</f>
        <v>14</v>
      </c>
      <c r="R106" s="8">
        <f ca="1">(IF(Table1[[#This Row],[Status]]="Exited",Table1[[#This Row],[Exit Date]]-Table1[[#This Row],[Join Date]],TODAY()-Table1[[#This Row],[Join Date]]))/30</f>
        <v>17.333333333333332</v>
      </c>
      <c r="S106">
        <f ca="1">Table1[[#This Row],[Hire Date]]-Table1[[#This Row],[Job Posting Date]]</f>
        <v>62</v>
      </c>
      <c r="T106" s="7">
        <f ca="1">Table1[[#This Row],[Time to onboard]]/Table1[[#This Row],[Time to Fill]]*100</f>
        <v>22.58064516129032</v>
      </c>
      <c r="U106" s="8">
        <f ca="1">Table1[[#This Row],[Time to onboard]]/Table1[[#This Row],[Time to Fill]]*100</f>
        <v>22.58064516129032</v>
      </c>
      <c r="V106">
        <f ca="1">Table1[[#This Row],[Join Date]]-Table1[[#This Row],[Job Posting Date]]</f>
        <v>76</v>
      </c>
      <c r="W106">
        <f t="shared" ca="1" si="19"/>
        <v>117</v>
      </c>
      <c r="X106" s="8">
        <f ca="1">Table1[[#This Row],[Absentee Days]]/Table1[[#This Row],[Total Work Days]]*100</f>
        <v>6.1538461538461542</v>
      </c>
      <c r="Y106">
        <f ca="1">YEAR(Table1[[#This Row],[Join Date]])</f>
        <v>2022</v>
      </c>
      <c r="Z106">
        <f ca="1">IF(Table1[[#This Row],[Status]]="Active",1,0)</f>
        <v>0</v>
      </c>
      <c r="AA106">
        <f ca="1">IF(Table1[[#This Row],[Status]]="Exited",Table1[[#This Row],[Recruitment Cost]]+Table1[[#This Row],[Onboarding cost]]+Table1[[#This Row],[Training Cost]],0)</f>
        <v>5070</v>
      </c>
    </row>
    <row r="107" spans="1:27">
      <c r="A107" t="str">
        <f t="shared" si="12"/>
        <v>E106</v>
      </c>
      <c r="B107" t="str" cm="1">
        <f t="array" aca="1" ref="B107" ca="1">INDEX(sheet2!$A$2:$A$6, RANDBETWEEN(1, 5))</f>
        <v>Finance</v>
      </c>
      <c r="C107" t="str">
        <f ca="1">_xlfn.XLOOKUP(Table1[[#This Row],[Department]],sheet2!$A$2:$A$6,sheet2!$B$2:$B$6,_xleta.NA,0)</f>
        <v>Finance Manager</v>
      </c>
      <c r="D107" s="1">
        <f t="shared" ca="1" si="20"/>
        <v>44015</v>
      </c>
      <c r="E107" s="1">
        <f ca="1">Table1[[#This Row],[Job Posting Date]]+ RANDBETWEEN(15, 90)</f>
        <v>44094</v>
      </c>
      <c r="F107" s="1">
        <f ca="1">Table1[[#This Row],[Hire Date]]+ RANDBETWEEN(1, 15)</f>
        <v>44099</v>
      </c>
      <c r="G107" s="1">
        <f ca="1">IF(RAND() &lt; 0.5,  Table1[[#This Row],[Join Date]]+ RANDBETWEEN(30, TODAY()- Table1[[#This Row],[Join Date]]), "-")</f>
        <v>44334</v>
      </c>
      <c r="H107" t="str">
        <f ca="1">IF(Table1[[#This Row],[Exit Date]]= "-", "Active", "Exited")</f>
        <v>Exited</v>
      </c>
      <c r="I107" s="5">
        <f t="shared" ca="1" si="21"/>
        <v>4787</v>
      </c>
      <c r="J107" t="str" cm="1">
        <f t="array" aca="1" ref="J107" ca="1">INDEX(sheet2!$C$2:$C$6, RANDBETWEEN(1, 5))</f>
        <v>Communication Skills</v>
      </c>
      <c r="K107" t="str">
        <f t="shared" ca="1" si="22"/>
        <v>Completed</v>
      </c>
      <c r="L107">
        <v>260</v>
      </c>
      <c r="M107">
        <f t="shared" ca="1" si="16"/>
        <v>9</v>
      </c>
      <c r="N107" t="str">
        <f t="shared" ca="1" si="17"/>
        <v>Female</v>
      </c>
      <c r="O107" s="6">
        <f t="shared" ca="1" si="18"/>
        <v>1991</v>
      </c>
      <c r="P107">
        <f ca="1">Table1[[#This Row],[Hire Date]]-Table1[[#This Row],[Job Posting Date]]</f>
        <v>79</v>
      </c>
      <c r="Q107" s="7">
        <f ca="1">Table1[[#This Row],[Join Date]]-Table1[[#This Row],[Hire Date]]</f>
        <v>5</v>
      </c>
      <c r="R107" s="8">
        <f ca="1">(IF(Table1[[#This Row],[Status]]="Exited",Table1[[#This Row],[Exit Date]]-Table1[[#This Row],[Join Date]],TODAY()-Table1[[#This Row],[Join Date]]))/30</f>
        <v>7.833333333333333</v>
      </c>
      <c r="S107">
        <f ca="1">Table1[[#This Row],[Hire Date]]-Table1[[#This Row],[Job Posting Date]]</f>
        <v>79</v>
      </c>
      <c r="T107" s="7">
        <f ca="1">Table1[[#This Row],[Time to onboard]]/Table1[[#This Row],[Time to Fill]]*100</f>
        <v>6.3291139240506329</v>
      </c>
      <c r="U107" s="8">
        <f ca="1">Table1[[#This Row],[Time to onboard]]/Table1[[#This Row],[Time to Fill]]*100</f>
        <v>6.3291139240506329</v>
      </c>
      <c r="V107">
        <f ca="1">Table1[[#This Row],[Join Date]]-Table1[[#This Row],[Job Posting Date]]</f>
        <v>84</v>
      </c>
      <c r="W107">
        <f t="shared" ca="1" si="19"/>
        <v>172</v>
      </c>
      <c r="X107" s="8">
        <f ca="1">Table1[[#This Row],[Absentee Days]]/Table1[[#This Row],[Total Work Days]]*100</f>
        <v>3.4615384615384617</v>
      </c>
      <c r="Y107">
        <f ca="1">YEAR(Table1[[#This Row],[Join Date]])</f>
        <v>2020</v>
      </c>
      <c r="Z107">
        <f ca="1">IF(Table1[[#This Row],[Status]]="Active",1,0)</f>
        <v>0</v>
      </c>
      <c r="AA107">
        <f ca="1">IF(Table1[[#This Row],[Status]]="Exited",Table1[[#This Row],[Recruitment Cost]]+Table1[[#This Row],[Onboarding cost]]+Table1[[#This Row],[Training Cost]],0)</f>
        <v>6950</v>
      </c>
    </row>
    <row r="108" spans="1:27">
      <c r="A108" t="str">
        <f t="shared" si="12"/>
        <v>E107</v>
      </c>
      <c r="B108" t="str" cm="1">
        <f t="array" aca="1" ref="B108" ca="1">INDEX(sheet2!$A$2:$A$6, RANDBETWEEN(1, 5))</f>
        <v>Finance</v>
      </c>
      <c r="C108" t="str">
        <f ca="1">_xlfn.XLOOKUP(Table1[[#This Row],[Department]],sheet2!$A$2:$A$6,sheet2!$B$2:$B$6,_xleta.NA,0)</f>
        <v>Finance Manager</v>
      </c>
      <c r="D108" s="1">
        <f t="shared" ca="1" si="20"/>
        <v>44655</v>
      </c>
      <c r="E108" s="1">
        <f ca="1">Table1[[#This Row],[Job Posting Date]]+ RANDBETWEEN(15, 90)</f>
        <v>44688</v>
      </c>
      <c r="F108" s="1">
        <f ca="1">Table1[[#This Row],[Hire Date]]+ RANDBETWEEN(1, 15)</f>
        <v>44695</v>
      </c>
      <c r="G108" s="1" t="str">
        <f ca="1">IF(RAND() &lt; 0.5,  Table1[[#This Row],[Join Date]]+ RANDBETWEEN(30, TODAY()- Table1[[#This Row],[Join Date]]), "-")</f>
        <v>-</v>
      </c>
      <c r="H108" t="str">
        <f ca="1">IF(Table1[[#This Row],[Exit Date]]= "-", "Active", "Exited")</f>
        <v>Active</v>
      </c>
      <c r="I108" s="5">
        <f t="shared" ca="1" si="21"/>
        <v>2777</v>
      </c>
      <c r="J108" t="str" cm="1">
        <f t="array" aca="1" ref="J108" ca="1">INDEX(sheet2!$C$2:$C$6, RANDBETWEEN(1, 5))</f>
        <v>Advanced Excel Skills </v>
      </c>
      <c r="K108" t="str">
        <f t="shared" ca="1" si="22"/>
        <v>Completed</v>
      </c>
      <c r="L108">
        <v>260</v>
      </c>
      <c r="M108">
        <f t="shared" ca="1" si="16"/>
        <v>6</v>
      </c>
      <c r="N108" t="str">
        <f t="shared" ca="1" si="17"/>
        <v>Male</v>
      </c>
      <c r="O108" s="6">
        <f t="shared" ca="1" si="18"/>
        <v>1806</v>
      </c>
      <c r="P108">
        <f ca="1">Table1[[#This Row],[Hire Date]]-Table1[[#This Row],[Job Posting Date]]</f>
        <v>33</v>
      </c>
      <c r="Q108" s="7">
        <f ca="1">Table1[[#This Row],[Join Date]]-Table1[[#This Row],[Hire Date]]</f>
        <v>7</v>
      </c>
      <c r="R108" s="8">
        <f ca="1">(IF(Table1[[#This Row],[Status]]="Exited",Table1[[#This Row],[Exit Date]]-Table1[[#This Row],[Join Date]],TODAY()-Table1[[#This Row],[Join Date]]))/30</f>
        <v>32.266666666666666</v>
      </c>
      <c r="S108">
        <f ca="1">Table1[[#This Row],[Hire Date]]-Table1[[#This Row],[Job Posting Date]]</f>
        <v>33</v>
      </c>
      <c r="T108" s="7">
        <f ca="1">Table1[[#This Row],[Time to onboard]]/Table1[[#This Row],[Time to Fill]]*100</f>
        <v>21.212121212121211</v>
      </c>
      <c r="U108" s="8">
        <f ca="1">Table1[[#This Row],[Time to onboard]]/Table1[[#This Row],[Time to Fill]]*100</f>
        <v>21.212121212121211</v>
      </c>
      <c r="V108">
        <f ca="1">Table1[[#This Row],[Join Date]]-Table1[[#This Row],[Job Posting Date]]</f>
        <v>40</v>
      </c>
      <c r="W108">
        <f t="shared" ca="1" si="19"/>
        <v>145</v>
      </c>
      <c r="X108" s="8">
        <f ca="1">Table1[[#This Row],[Absentee Days]]/Table1[[#This Row],[Total Work Days]]*100</f>
        <v>2.3076923076923079</v>
      </c>
      <c r="Y108">
        <f ca="1">YEAR(Table1[[#This Row],[Join Date]])</f>
        <v>2022</v>
      </c>
      <c r="Z108">
        <f ca="1">IF(Table1[[#This Row],[Status]]="Active",1,0)</f>
        <v>1</v>
      </c>
      <c r="AA108">
        <f ca="1">IF(Table1[[#This Row],[Status]]="Exited",Table1[[#This Row],[Recruitment Cost]]+Table1[[#This Row],[Onboarding cost]]+Table1[[#This Row],[Training Cost]],0)</f>
        <v>0</v>
      </c>
    </row>
    <row r="109" spans="1:27">
      <c r="A109" t="str">
        <f t="shared" si="12"/>
        <v>E108</v>
      </c>
      <c r="B109" t="str" cm="1">
        <f t="array" aca="1" ref="B109" ca="1">INDEX(sheet2!$A$2:$A$6, RANDBETWEEN(1, 5))</f>
        <v>Sales</v>
      </c>
      <c r="C109" t="str">
        <f ca="1">_xlfn.XLOOKUP(Table1[[#This Row],[Department]],sheet2!$A$2:$A$6,sheet2!$B$2:$B$6,_xleta.NA,0)</f>
        <v>Marketing Manager</v>
      </c>
      <c r="D109" s="1">
        <f t="shared" ca="1" si="20"/>
        <v>43278</v>
      </c>
      <c r="E109" s="1">
        <f ca="1">Table1[[#This Row],[Job Posting Date]]+ RANDBETWEEN(15, 90)</f>
        <v>43349</v>
      </c>
      <c r="F109" s="1">
        <f ca="1">Table1[[#This Row],[Hire Date]]+ RANDBETWEEN(1, 15)</f>
        <v>43357</v>
      </c>
      <c r="G109" s="1" t="str">
        <f ca="1">IF(RAND() &lt; 0.5,  Table1[[#This Row],[Join Date]]+ RANDBETWEEN(30, TODAY()- Table1[[#This Row],[Join Date]]), "-")</f>
        <v>-</v>
      </c>
      <c r="H109" t="str">
        <f ca="1">IF(Table1[[#This Row],[Exit Date]]= "-", "Active", "Exited")</f>
        <v>Active</v>
      </c>
      <c r="I109" s="5">
        <f t="shared" ca="1" si="21"/>
        <v>3646</v>
      </c>
      <c r="J109" t="str" cm="1">
        <f t="array" aca="1" ref="J109" ca="1">INDEX(sheet2!$C$2:$C$6, RANDBETWEEN(1, 5))</f>
        <v>Advanced Excel Skills </v>
      </c>
      <c r="K109" t="str">
        <f t="shared" ca="1" si="22"/>
        <v>Completed</v>
      </c>
      <c r="L109">
        <v>260</v>
      </c>
      <c r="M109">
        <f t="shared" ca="1" si="16"/>
        <v>18</v>
      </c>
      <c r="N109" t="str">
        <f t="shared" ca="1" si="17"/>
        <v>Other</v>
      </c>
      <c r="O109" s="6">
        <f t="shared" ca="1" si="18"/>
        <v>2397</v>
      </c>
      <c r="P109">
        <f ca="1">Table1[[#This Row],[Hire Date]]-Table1[[#This Row],[Job Posting Date]]</f>
        <v>71</v>
      </c>
      <c r="Q109" s="7">
        <f ca="1">Table1[[#This Row],[Join Date]]-Table1[[#This Row],[Hire Date]]</f>
        <v>8</v>
      </c>
      <c r="R109" s="8">
        <f ca="1">(IF(Table1[[#This Row],[Status]]="Exited",Table1[[#This Row],[Exit Date]]-Table1[[#This Row],[Join Date]],TODAY()-Table1[[#This Row],[Join Date]]))/30</f>
        <v>76.86666666666666</v>
      </c>
      <c r="S109">
        <f ca="1">Table1[[#This Row],[Hire Date]]-Table1[[#This Row],[Job Posting Date]]</f>
        <v>71</v>
      </c>
      <c r="T109" s="7">
        <f ca="1">Table1[[#This Row],[Time to onboard]]/Table1[[#This Row],[Time to Fill]]*100</f>
        <v>11.267605633802818</v>
      </c>
      <c r="U109" s="8">
        <f ca="1">Table1[[#This Row],[Time to onboard]]/Table1[[#This Row],[Time to Fill]]*100</f>
        <v>11.267605633802818</v>
      </c>
      <c r="V109">
        <f ca="1">Table1[[#This Row],[Join Date]]-Table1[[#This Row],[Job Posting Date]]</f>
        <v>79</v>
      </c>
      <c r="W109">
        <f t="shared" ca="1" si="19"/>
        <v>150</v>
      </c>
      <c r="X109" s="8">
        <f ca="1">Table1[[#This Row],[Absentee Days]]/Table1[[#This Row],[Total Work Days]]*100</f>
        <v>6.9230769230769234</v>
      </c>
      <c r="Y109">
        <f ca="1">YEAR(Table1[[#This Row],[Join Date]])</f>
        <v>2018</v>
      </c>
      <c r="Z109">
        <f ca="1">IF(Table1[[#This Row],[Status]]="Active",1,0)</f>
        <v>1</v>
      </c>
      <c r="AA109">
        <f ca="1">IF(Table1[[#This Row],[Status]]="Exited",Table1[[#This Row],[Recruitment Cost]]+Table1[[#This Row],[Onboarding cost]]+Table1[[#This Row],[Training Cost]],0)</f>
        <v>0</v>
      </c>
    </row>
    <row r="110" spans="1:27">
      <c r="A110" t="str">
        <f t="shared" si="12"/>
        <v>E109</v>
      </c>
      <c r="B110" t="str" cm="1">
        <f t="array" aca="1" ref="B110" ca="1">INDEX(sheet2!$A$2:$A$6, RANDBETWEEN(1, 5))</f>
        <v>Analytics</v>
      </c>
      <c r="C110" t="str">
        <f ca="1">_xlfn.XLOOKUP(Table1[[#This Row],[Department]],sheet2!$A$2:$A$6,sheet2!$B$2:$B$6,_xleta.NA,0)</f>
        <v>Data Analyst</v>
      </c>
      <c r="D110" s="1">
        <f t="shared" ca="1" si="20"/>
        <v>43128</v>
      </c>
      <c r="E110" s="1">
        <f ca="1">Table1[[#This Row],[Job Posting Date]]+ RANDBETWEEN(15, 90)</f>
        <v>43178</v>
      </c>
      <c r="F110" s="1">
        <f ca="1">Table1[[#This Row],[Hire Date]]+ RANDBETWEEN(1, 15)</f>
        <v>43183</v>
      </c>
      <c r="G110" s="1">
        <f ca="1">IF(RAND() &lt; 0.5,  Table1[[#This Row],[Join Date]]+ RANDBETWEEN(30, TODAY()- Table1[[#This Row],[Join Date]]), "-")</f>
        <v>43936</v>
      </c>
      <c r="H110" t="str">
        <f ca="1">IF(Table1[[#This Row],[Exit Date]]= "-", "Active", "Exited")</f>
        <v>Exited</v>
      </c>
      <c r="I110" s="5">
        <f t="shared" ca="1" si="21"/>
        <v>3069</v>
      </c>
      <c r="J110" t="str" cm="1">
        <f t="array" aca="1" ref="J110" ca="1">INDEX(sheet2!$C$2:$C$6, RANDBETWEEN(1, 5))</f>
        <v>Communication Skills</v>
      </c>
      <c r="K110" t="str">
        <f t="shared" ca="1" si="22"/>
        <v>Completed</v>
      </c>
      <c r="L110">
        <v>260</v>
      </c>
      <c r="M110">
        <f t="shared" ca="1" si="16"/>
        <v>16</v>
      </c>
      <c r="N110" t="str">
        <f t="shared" ca="1" si="17"/>
        <v>Female</v>
      </c>
      <c r="O110" s="6">
        <f t="shared" ca="1" si="18"/>
        <v>1662</v>
      </c>
      <c r="P110">
        <f ca="1">Table1[[#This Row],[Hire Date]]-Table1[[#This Row],[Job Posting Date]]</f>
        <v>50</v>
      </c>
      <c r="Q110" s="7">
        <f ca="1">Table1[[#This Row],[Join Date]]-Table1[[#This Row],[Hire Date]]</f>
        <v>5</v>
      </c>
      <c r="R110" s="8">
        <f ca="1">(IF(Table1[[#This Row],[Status]]="Exited",Table1[[#This Row],[Exit Date]]-Table1[[#This Row],[Join Date]],TODAY()-Table1[[#This Row],[Join Date]]))/30</f>
        <v>25.1</v>
      </c>
      <c r="S110">
        <f ca="1">Table1[[#This Row],[Hire Date]]-Table1[[#This Row],[Job Posting Date]]</f>
        <v>50</v>
      </c>
      <c r="T110" s="7">
        <f ca="1">Table1[[#This Row],[Time to onboard]]/Table1[[#This Row],[Time to Fill]]*100</f>
        <v>10</v>
      </c>
      <c r="U110" s="8">
        <f ca="1">Table1[[#This Row],[Time to onboard]]/Table1[[#This Row],[Time to Fill]]*100</f>
        <v>10</v>
      </c>
      <c r="V110">
        <f ca="1">Table1[[#This Row],[Join Date]]-Table1[[#This Row],[Job Posting Date]]</f>
        <v>55</v>
      </c>
      <c r="W110">
        <f t="shared" ca="1" si="19"/>
        <v>167</v>
      </c>
      <c r="X110" s="8">
        <f ca="1">Table1[[#This Row],[Absentee Days]]/Table1[[#This Row],[Total Work Days]]*100</f>
        <v>6.1538461538461542</v>
      </c>
      <c r="Y110">
        <f ca="1">YEAR(Table1[[#This Row],[Join Date]])</f>
        <v>2018</v>
      </c>
      <c r="Z110">
        <f ca="1">IF(Table1[[#This Row],[Status]]="Active",1,0)</f>
        <v>0</v>
      </c>
      <c r="AA110">
        <f ca="1">IF(Table1[[#This Row],[Status]]="Exited",Table1[[#This Row],[Recruitment Cost]]+Table1[[#This Row],[Onboarding cost]]+Table1[[#This Row],[Training Cost]],0)</f>
        <v>4898</v>
      </c>
    </row>
    <row r="111" spans="1:27">
      <c r="A111" t="str">
        <f t="shared" si="12"/>
        <v>E110</v>
      </c>
      <c r="B111" t="str" cm="1">
        <f t="array" aca="1" ref="B111" ca="1">INDEX(sheet2!$A$2:$A$6, RANDBETWEEN(1, 5))</f>
        <v>Sales</v>
      </c>
      <c r="C111" t="str">
        <f ca="1">_xlfn.XLOOKUP(Table1[[#This Row],[Department]],sheet2!$A$2:$A$6,sheet2!$B$2:$B$6,_xleta.NA,0)</f>
        <v>Marketing Manager</v>
      </c>
      <c r="D111" s="1">
        <f t="shared" ca="1" si="20"/>
        <v>43282</v>
      </c>
      <c r="E111" s="1">
        <f ca="1">Table1[[#This Row],[Job Posting Date]]+ RANDBETWEEN(15, 90)</f>
        <v>43369</v>
      </c>
      <c r="F111" s="1">
        <f ca="1">Table1[[#This Row],[Hire Date]]+ RANDBETWEEN(1, 15)</f>
        <v>43370</v>
      </c>
      <c r="G111" s="1">
        <f ca="1">IF(RAND() &lt; 0.5,  Table1[[#This Row],[Join Date]]+ RANDBETWEEN(30, TODAY()- Table1[[#This Row],[Join Date]]), "-")</f>
        <v>44431</v>
      </c>
      <c r="H111" t="str">
        <f ca="1">IF(Table1[[#This Row],[Exit Date]]= "-", "Active", "Exited")</f>
        <v>Exited</v>
      </c>
      <c r="I111" s="5">
        <f t="shared" ca="1" si="21"/>
        <v>3776</v>
      </c>
      <c r="J111" t="str" cm="1">
        <f t="array" aca="1" ref="J111" ca="1">INDEX(sheet2!$C$2:$C$6, RANDBETWEEN(1, 5))</f>
        <v>Conflict Resolution</v>
      </c>
      <c r="K111" t="str">
        <f t="shared" ca="1" si="22"/>
        <v>Completed</v>
      </c>
      <c r="L111">
        <v>260</v>
      </c>
      <c r="M111">
        <f t="shared" ca="1" si="16"/>
        <v>10</v>
      </c>
      <c r="N111" t="str">
        <f t="shared" ca="1" si="17"/>
        <v>Male</v>
      </c>
      <c r="O111" s="6">
        <f t="shared" ca="1" si="18"/>
        <v>1432</v>
      </c>
      <c r="P111">
        <f ca="1">Table1[[#This Row],[Hire Date]]-Table1[[#This Row],[Job Posting Date]]</f>
        <v>87</v>
      </c>
      <c r="Q111" s="7">
        <f ca="1">Table1[[#This Row],[Join Date]]-Table1[[#This Row],[Hire Date]]</f>
        <v>1</v>
      </c>
      <c r="R111" s="8">
        <f ca="1">(IF(Table1[[#This Row],[Status]]="Exited",Table1[[#This Row],[Exit Date]]-Table1[[#This Row],[Join Date]],TODAY()-Table1[[#This Row],[Join Date]]))/30</f>
        <v>35.366666666666667</v>
      </c>
      <c r="S111">
        <f ca="1">Table1[[#This Row],[Hire Date]]-Table1[[#This Row],[Job Posting Date]]</f>
        <v>87</v>
      </c>
      <c r="T111" s="7">
        <f ca="1">Table1[[#This Row],[Time to onboard]]/Table1[[#This Row],[Time to Fill]]*100</f>
        <v>1.1494252873563218</v>
      </c>
      <c r="U111" s="8">
        <f ca="1">Table1[[#This Row],[Time to onboard]]/Table1[[#This Row],[Time to Fill]]*100</f>
        <v>1.1494252873563218</v>
      </c>
      <c r="V111">
        <f ca="1">Table1[[#This Row],[Join Date]]-Table1[[#This Row],[Job Posting Date]]</f>
        <v>88</v>
      </c>
      <c r="W111">
        <f t="shared" ca="1" si="19"/>
        <v>154</v>
      </c>
      <c r="X111" s="8">
        <f ca="1">Table1[[#This Row],[Absentee Days]]/Table1[[#This Row],[Total Work Days]]*100</f>
        <v>3.8461538461538463</v>
      </c>
      <c r="Y111">
        <f ca="1">YEAR(Table1[[#This Row],[Join Date]])</f>
        <v>2018</v>
      </c>
      <c r="Z111">
        <f ca="1">IF(Table1[[#This Row],[Status]]="Active",1,0)</f>
        <v>0</v>
      </c>
      <c r="AA111">
        <f ca="1">IF(Table1[[#This Row],[Status]]="Exited",Table1[[#This Row],[Recruitment Cost]]+Table1[[#This Row],[Onboarding cost]]+Table1[[#This Row],[Training Cost]],0)</f>
        <v>5362</v>
      </c>
    </row>
    <row r="112" spans="1:27">
      <c r="A112" t="str">
        <f t="shared" si="12"/>
        <v>E111</v>
      </c>
      <c r="B112" t="str" cm="1">
        <f t="array" aca="1" ref="B112" ca="1">INDEX(sheet2!$A$2:$A$6, RANDBETWEEN(1, 5))</f>
        <v>HR</v>
      </c>
      <c r="C112" t="str">
        <f ca="1">_xlfn.XLOOKUP(Table1[[#This Row],[Department]],sheet2!$A$2:$A$6,sheet2!$B$2:$B$6,_xleta.NA,0)</f>
        <v>HR Manager</v>
      </c>
      <c r="D112" s="1">
        <f t="shared" ca="1" si="20"/>
        <v>44544</v>
      </c>
      <c r="E112" s="1">
        <f ca="1">Table1[[#This Row],[Job Posting Date]]+ RANDBETWEEN(15, 90)</f>
        <v>44568</v>
      </c>
      <c r="F112" s="1">
        <f ca="1">Table1[[#This Row],[Hire Date]]+ RANDBETWEEN(1, 15)</f>
        <v>44574</v>
      </c>
      <c r="G112" s="1" t="str">
        <f ca="1">IF(RAND() &lt; 0.5,  Table1[[#This Row],[Join Date]]+ RANDBETWEEN(30, TODAY()- Table1[[#This Row],[Join Date]]), "-")</f>
        <v>-</v>
      </c>
      <c r="H112" t="str">
        <f ca="1">IF(Table1[[#This Row],[Exit Date]]= "-", "Active", "Exited")</f>
        <v>Active</v>
      </c>
      <c r="I112" s="5">
        <f t="shared" ca="1" si="21"/>
        <v>4419</v>
      </c>
      <c r="J112" t="str" cm="1">
        <f t="array" aca="1" ref="J112" ca="1">INDEX(sheet2!$C$2:$C$6, RANDBETWEEN(1, 5))</f>
        <v>Conflict Resolution</v>
      </c>
      <c r="K112" t="str">
        <f t="shared" ca="1" si="22"/>
        <v>Completed</v>
      </c>
      <c r="L112">
        <v>260</v>
      </c>
      <c r="M112">
        <f t="shared" ca="1" si="16"/>
        <v>15</v>
      </c>
      <c r="N112" t="str">
        <f t="shared" ca="1" si="17"/>
        <v>Other</v>
      </c>
      <c r="O112" s="6">
        <f t="shared" ca="1" si="18"/>
        <v>1733</v>
      </c>
      <c r="P112">
        <f ca="1">Table1[[#This Row],[Hire Date]]-Table1[[#This Row],[Job Posting Date]]</f>
        <v>24</v>
      </c>
      <c r="Q112" s="7">
        <f ca="1">Table1[[#This Row],[Join Date]]-Table1[[#This Row],[Hire Date]]</f>
        <v>6</v>
      </c>
      <c r="R112" s="8">
        <f ca="1">(IF(Table1[[#This Row],[Status]]="Exited",Table1[[#This Row],[Exit Date]]-Table1[[#This Row],[Join Date]],TODAY()-Table1[[#This Row],[Join Date]]))/30</f>
        <v>36.299999999999997</v>
      </c>
      <c r="S112">
        <f ca="1">Table1[[#This Row],[Hire Date]]-Table1[[#This Row],[Job Posting Date]]</f>
        <v>24</v>
      </c>
      <c r="T112" s="7">
        <f ca="1">Table1[[#This Row],[Time to onboard]]/Table1[[#This Row],[Time to Fill]]*100</f>
        <v>25</v>
      </c>
      <c r="U112" s="8">
        <f ca="1">Table1[[#This Row],[Time to onboard]]/Table1[[#This Row],[Time to Fill]]*100</f>
        <v>25</v>
      </c>
      <c r="V112">
        <f ca="1">Table1[[#This Row],[Join Date]]-Table1[[#This Row],[Job Posting Date]]</f>
        <v>30</v>
      </c>
      <c r="W112">
        <f t="shared" ca="1" si="19"/>
        <v>138</v>
      </c>
      <c r="X112" s="8">
        <f ca="1">Table1[[#This Row],[Absentee Days]]/Table1[[#This Row],[Total Work Days]]*100</f>
        <v>5.7692307692307692</v>
      </c>
      <c r="Y112">
        <f ca="1">YEAR(Table1[[#This Row],[Join Date]])</f>
        <v>2022</v>
      </c>
      <c r="Z112">
        <f ca="1">IF(Table1[[#This Row],[Status]]="Active",1,0)</f>
        <v>1</v>
      </c>
      <c r="AA112">
        <f ca="1">IF(Table1[[#This Row],[Status]]="Exited",Table1[[#This Row],[Recruitment Cost]]+Table1[[#This Row],[Onboarding cost]]+Table1[[#This Row],[Training Cost]],0)</f>
        <v>0</v>
      </c>
    </row>
    <row r="113" spans="1:27">
      <c r="A113" t="str">
        <f t="shared" si="12"/>
        <v>E112</v>
      </c>
      <c r="B113" t="str" cm="1">
        <f t="array" aca="1" ref="B113" ca="1">INDEX(sheet2!$A$2:$A$6, RANDBETWEEN(1, 5))</f>
        <v>HR</v>
      </c>
      <c r="C113" t="str">
        <f ca="1">_xlfn.XLOOKUP(Table1[[#This Row],[Department]],sheet2!$A$2:$A$6,sheet2!$B$2:$B$6,_xleta.NA,0)</f>
        <v>HR Manager</v>
      </c>
      <c r="D113" s="1">
        <f t="shared" ca="1" si="20"/>
        <v>44306</v>
      </c>
      <c r="E113" s="1">
        <f ca="1">Table1[[#This Row],[Job Posting Date]]+ RANDBETWEEN(15, 90)</f>
        <v>44361</v>
      </c>
      <c r="F113" s="1">
        <f ca="1">Table1[[#This Row],[Hire Date]]+ RANDBETWEEN(1, 15)</f>
        <v>44365</v>
      </c>
      <c r="G113" s="1" t="str">
        <f ca="1">IF(RAND() &lt; 0.5,  Table1[[#This Row],[Join Date]]+ RANDBETWEEN(30, TODAY()- Table1[[#This Row],[Join Date]]), "-")</f>
        <v>-</v>
      </c>
      <c r="H113" t="str">
        <f ca="1">IF(Table1[[#This Row],[Exit Date]]= "-", "Active", "Exited")</f>
        <v>Active</v>
      </c>
      <c r="I113" s="5">
        <f t="shared" ca="1" si="21"/>
        <v>4660</v>
      </c>
      <c r="J113" t="str" cm="1">
        <f t="array" aca="1" ref="J113" ca="1">INDEX(sheet2!$C$2:$C$6, RANDBETWEEN(1, 5))</f>
        <v>Ethics and Responsibilities</v>
      </c>
      <c r="K113" t="str">
        <f t="shared" ca="1" si="22"/>
        <v>Completed</v>
      </c>
      <c r="L113">
        <v>260</v>
      </c>
      <c r="M113">
        <f t="shared" ca="1" si="16"/>
        <v>12</v>
      </c>
      <c r="N113" t="str">
        <f t="shared" ca="1" si="17"/>
        <v>Male</v>
      </c>
      <c r="O113" s="6">
        <f t="shared" ca="1" si="18"/>
        <v>1919</v>
      </c>
      <c r="P113">
        <f ca="1">Table1[[#This Row],[Hire Date]]-Table1[[#This Row],[Job Posting Date]]</f>
        <v>55</v>
      </c>
      <c r="Q113" s="7">
        <f ca="1">Table1[[#This Row],[Join Date]]-Table1[[#This Row],[Hire Date]]</f>
        <v>4</v>
      </c>
      <c r="R113" s="8">
        <f ca="1">(IF(Table1[[#This Row],[Status]]="Exited",Table1[[#This Row],[Exit Date]]-Table1[[#This Row],[Join Date]],TODAY()-Table1[[#This Row],[Join Date]]))/30</f>
        <v>43.266666666666666</v>
      </c>
      <c r="S113">
        <f ca="1">Table1[[#This Row],[Hire Date]]-Table1[[#This Row],[Job Posting Date]]</f>
        <v>55</v>
      </c>
      <c r="T113" s="7">
        <f ca="1">Table1[[#This Row],[Time to onboard]]/Table1[[#This Row],[Time to Fill]]*100</f>
        <v>7.2727272727272725</v>
      </c>
      <c r="U113" s="8">
        <f ca="1">Table1[[#This Row],[Time to onboard]]/Table1[[#This Row],[Time to Fill]]*100</f>
        <v>7.2727272727272725</v>
      </c>
      <c r="V113">
        <f ca="1">Table1[[#This Row],[Join Date]]-Table1[[#This Row],[Job Posting Date]]</f>
        <v>59</v>
      </c>
      <c r="W113">
        <f t="shared" ca="1" si="19"/>
        <v>200</v>
      </c>
      <c r="X113" s="8">
        <f ca="1">Table1[[#This Row],[Absentee Days]]/Table1[[#This Row],[Total Work Days]]*100</f>
        <v>4.6153846153846159</v>
      </c>
      <c r="Y113">
        <f ca="1">YEAR(Table1[[#This Row],[Join Date]])</f>
        <v>2021</v>
      </c>
      <c r="Z113">
        <f ca="1">IF(Table1[[#This Row],[Status]]="Active",1,0)</f>
        <v>1</v>
      </c>
      <c r="AA113">
        <f ca="1">IF(Table1[[#This Row],[Status]]="Exited",Table1[[#This Row],[Recruitment Cost]]+Table1[[#This Row],[Onboarding cost]]+Table1[[#This Row],[Training Cost]],0)</f>
        <v>0</v>
      </c>
    </row>
    <row r="114" spans="1:27">
      <c r="A114" t="str">
        <f t="shared" si="12"/>
        <v>E113</v>
      </c>
      <c r="B114" t="str" cm="1">
        <f t="array" aca="1" ref="B114" ca="1">INDEX(sheet2!$A$2:$A$6, RANDBETWEEN(1, 5))</f>
        <v>HR</v>
      </c>
      <c r="C114" t="str">
        <f ca="1">_xlfn.XLOOKUP(Table1[[#This Row],[Department]],sheet2!$A$2:$A$6,sheet2!$B$2:$B$6,_xleta.NA,0)</f>
        <v>HR Manager</v>
      </c>
      <c r="D114" s="1">
        <f t="shared" ca="1" si="20"/>
        <v>43154</v>
      </c>
      <c r="E114" s="1">
        <f ca="1">Table1[[#This Row],[Job Posting Date]]+ RANDBETWEEN(15, 90)</f>
        <v>43239</v>
      </c>
      <c r="F114" s="1">
        <f ca="1">Table1[[#This Row],[Hire Date]]+ RANDBETWEEN(1, 15)</f>
        <v>43244</v>
      </c>
      <c r="G114" s="1">
        <f ca="1">IF(RAND() &lt; 0.5,  Table1[[#This Row],[Join Date]]+ RANDBETWEEN(30, TODAY()- Table1[[#This Row],[Join Date]]), "-")</f>
        <v>44350</v>
      </c>
      <c r="H114" t="str">
        <f ca="1">IF(Table1[[#This Row],[Exit Date]]= "-", "Active", "Exited")</f>
        <v>Exited</v>
      </c>
      <c r="I114" s="5">
        <f t="shared" ca="1" si="21"/>
        <v>2593</v>
      </c>
      <c r="J114" t="str" cm="1">
        <f t="array" aca="1" ref="J114" ca="1">INDEX(sheet2!$C$2:$C$6, RANDBETWEEN(1, 5))</f>
        <v>Ethics and Responsibilities</v>
      </c>
      <c r="K114" t="str">
        <f t="shared" ca="1" si="22"/>
        <v>Completed</v>
      </c>
      <c r="L114">
        <v>260</v>
      </c>
      <c r="M114">
        <f t="shared" ca="1" si="16"/>
        <v>6</v>
      </c>
      <c r="N114" t="str">
        <f t="shared" ca="1" si="17"/>
        <v>Male</v>
      </c>
      <c r="O114" s="6">
        <f t="shared" ca="1" si="18"/>
        <v>1944</v>
      </c>
      <c r="P114">
        <f ca="1">Table1[[#This Row],[Hire Date]]-Table1[[#This Row],[Job Posting Date]]</f>
        <v>85</v>
      </c>
      <c r="Q114" s="7">
        <f ca="1">Table1[[#This Row],[Join Date]]-Table1[[#This Row],[Hire Date]]</f>
        <v>5</v>
      </c>
      <c r="R114" s="8">
        <f ca="1">(IF(Table1[[#This Row],[Status]]="Exited",Table1[[#This Row],[Exit Date]]-Table1[[#This Row],[Join Date]],TODAY()-Table1[[#This Row],[Join Date]]))/30</f>
        <v>36.866666666666667</v>
      </c>
      <c r="S114">
        <f ca="1">Table1[[#This Row],[Hire Date]]-Table1[[#This Row],[Job Posting Date]]</f>
        <v>85</v>
      </c>
      <c r="T114" s="7">
        <f ca="1">Table1[[#This Row],[Time to onboard]]/Table1[[#This Row],[Time to Fill]]*100</f>
        <v>5.8823529411764701</v>
      </c>
      <c r="U114" s="8">
        <f ca="1">Table1[[#This Row],[Time to onboard]]/Table1[[#This Row],[Time to Fill]]*100</f>
        <v>5.8823529411764701</v>
      </c>
      <c r="V114">
        <f ca="1">Table1[[#This Row],[Join Date]]-Table1[[#This Row],[Job Posting Date]]</f>
        <v>90</v>
      </c>
      <c r="W114">
        <f t="shared" ca="1" si="19"/>
        <v>111</v>
      </c>
      <c r="X114" s="8">
        <f ca="1">Table1[[#This Row],[Absentee Days]]/Table1[[#This Row],[Total Work Days]]*100</f>
        <v>2.3076923076923079</v>
      </c>
      <c r="Y114">
        <f ca="1">YEAR(Table1[[#This Row],[Join Date]])</f>
        <v>2018</v>
      </c>
      <c r="Z114">
        <f ca="1">IF(Table1[[#This Row],[Status]]="Active",1,0)</f>
        <v>0</v>
      </c>
      <c r="AA114">
        <f ca="1">IF(Table1[[#This Row],[Status]]="Exited",Table1[[#This Row],[Recruitment Cost]]+Table1[[#This Row],[Onboarding cost]]+Table1[[#This Row],[Training Cost]],0)</f>
        <v>4648</v>
      </c>
    </row>
    <row r="115" spans="1:27">
      <c r="A115" t="str">
        <f t="shared" si="12"/>
        <v>E114</v>
      </c>
      <c r="B115" t="str" cm="1">
        <f t="array" aca="1" ref="B115" ca="1">INDEX(sheet2!$A$2:$A$6, RANDBETWEEN(1, 5))</f>
        <v>Finance</v>
      </c>
      <c r="C115" t="str">
        <f ca="1">_xlfn.XLOOKUP(Table1[[#This Row],[Department]],sheet2!$A$2:$A$6,sheet2!$B$2:$B$6,_xleta.NA,0)</f>
        <v>Finance Manager</v>
      </c>
      <c r="D115" s="1">
        <f t="shared" ca="1" si="20"/>
        <v>44040</v>
      </c>
      <c r="E115" s="1">
        <f ca="1">Table1[[#This Row],[Job Posting Date]]+ RANDBETWEEN(15, 90)</f>
        <v>44085</v>
      </c>
      <c r="F115" s="1">
        <f ca="1">Table1[[#This Row],[Hire Date]]+ RANDBETWEEN(1, 15)</f>
        <v>44093</v>
      </c>
      <c r="G115" s="1">
        <f ca="1">IF(RAND() &lt; 0.5,  Table1[[#This Row],[Join Date]]+ RANDBETWEEN(30, TODAY()- Table1[[#This Row],[Join Date]]), "-")</f>
        <v>45618</v>
      </c>
      <c r="H115" t="str">
        <f ca="1">IF(Table1[[#This Row],[Exit Date]]= "-", "Active", "Exited")</f>
        <v>Exited</v>
      </c>
      <c r="I115" s="5">
        <f t="shared" ca="1" si="21"/>
        <v>3342</v>
      </c>
      <c r="J115" t="str" cm="1">
        <f t="array" aca="1" ref="J115" ca="1">INDEX(sheet2!$C$2:$C$6, RANDBETWEEN(1, 5))</f>
        <v>Conflict Resolution</v>
      </c>
      <c r="K115" t="str">
        <f t="shared" ca="1" si="22"/>
        <v>Completed</v>
      </c>
      <c r="L115">
        <v>260</v>
      </c>
      <c r="M115">
        <f t="shared" ca="1" si="16"/>
        <v>11</v>
      </c>
      <c r="N115" t="str">
        <f t="shared" ca="1" si="17"/>
        <v>Male</v>
      </c>
      <c r="O115" s="6">
        <f t="shared" ca="1" si="18"/>
        <v>1274</v>
      </c>
      <c r="P115">
        <f ca="1">Table1[[#This Row],[Hire Date]]-Table1[[#This Row],[Job Posting Date]]</f>
        <v>45</v>
      </c>
      <c r="Q115" s="7">
        <f ca="1">Table1[[#This Row],[Join Date]]-Table1[[#This Row],[Hire Date]]</f>
        <v>8</v>
      </c>
      <c r="R115" s="8">
        <f ca="1">(IF(Table1[[#This Row],[Status]]="Exited",Table1[[#This Row],[Exit Date]]-Table1[[#This Row],[Join Date]],TODAY()-Table1[[#This Row],[Join Date]]))/30</f>
        <v>50.833333333333336</v>
      </c>
      <c r="S115">
        <f ca="1">Table1[[#This Row],[Hire Date]]-Table1[[#This Row],[Job Posting Date]]</f>
        <v>45</v>
      </c>
      <c r="T115" s="7">
        <f ca="1">Table1[[#This Row],[Time to onboard]]/Table1[[#This Row],[Time to Fill]]*100</f>
        <v>17.777777777777779</v>
      </c>
      <c r="U115" s="8">
        <f ca="1">Table1[[#This Row],[Time to onboard]]/Table1[[#This Row],[Time to Fill]]*100</f>
        <v>17.777777777777779</v>
      </c>
      <c r="V115">
        <f ca="1">Table1[[#This Row],[Join Date]]-Table1[[#This Row],[Job Posting Date]]</f>
        <v>53</v>
      </c>
      <c r="W115">
        <f t="shared" ca="1" si="19"/>
        <v>116</v>
      </c>
      <c r="X115" s="8">
        <f ca="1">Table1[[#This Row],[Absentee Days]]/Table1[[#This Row],[Total Work Days]]*100</f>
        <v>4.2307692307692308</v>
      </c>
      <c r="Y115">
        <f ca="1">YEAR(Table1[[#This Row],[Join Date]])</f>
        <v>2020</v>
      </c>
      <c r="Z115">
        <f ca="1">IF(Table1[[#This Row],[Status]]="Active",1,0)</f>
        <v>0</v>
      </c>
      <c r="AA115">
        <f ca="1">IF(Table1[[#This Row],[Status]]="Exited",Table1[[#This Row],[Recruitment Cost]]+Table1[[#This Row],[Onboarding cost]]+Table1[[#This Row],[Training Cost]],0)</f>
        <v>4732</v>
      </c>
    </row>
    <row r="116" spans="1:27">
      <c r="A116" t="str">
        <f t="shared" si="12"/>
        <v>E115</v>
      </c>
      <c r="B116" t="str" cm="1">
        <f t="array" aca="1" ref="B116" ca="1">INDEX(sheet2!$A$2:$A$6, RANDBETWEEN(1, 5))</f>
        <v>HR</v>
      </c>
      <c r="C116" t="str">
        <f ca="1">_xlfn.XLOOKUP(Table1[[#This Row],[Department]],sheet2!$A$2:$A$6,sheet2!$B$2:$B$6,_xleta.NA,0)</f>
        <v>HR Manager</v>
      </c>
      <c r="D116" s="1">
        <f t="shared" ca="1" si="20"/>
        <v>44230</v>
      </c>
      <c r="E116" s="1">
        <f ca="1">Table1[[#This Row],[Job Posting Date]]+ RANDBETWEEN(15, 90)</f>
        <v>44299</v>
      </c>
      <c r="F116" s="1">
        <f ca="1">Table1[[#This Row],[Hire Date]]+ RANDBETWEEN(1, 15)</f>
        <v>44308</v>
      </c>
      <c r="G116" s="1" t="str">
        <f ca="1">IF(RAND() &lt; 0.5,  Table1[[#This Row],[Join Date]]+ RANDBETWEEN(30, TODAY()- Table1[[#This Row],[Join Date]]), "-")</f>
        <v>-</v>
      </c>
      <c r="H116" t="str">
        <f ca="1">IF(Table1[[#This Row],[Exit Date]]= "-", "Active", "Exited")</f>
        <v>Active</v>
      </c>
      <c r="I116" s="5">
        <f t="shared" ca="1" si="21"/>
        <v>4953</v>
      </c>
      <c r="J116" t="str" cm="1">
        <f t="array" aca="1" ref="J116" ca="1">INDEX(sheet2!$C$2:$C$6, RANDBETWEEN(1, 5))</f>
        <v>Leadership Development</v>
      </c>
      <c r="K116" t="str">
        <f t="shared" ca="1" si="22"/>
        <v>Completed</v>
      </c>
      <c r="L116">
        <v>260</v>
      </c>
      <c r="M116">
        <f t="shared" ca="1" si="16"/>
        <v>7</v>
      </c>
      <c r="N116" t="str">
        <f t="shared" ca="1" si="17"/>
        <v>Female</v>
      </c>
      <c r="O116" s="6">
        <f t="shared" ca="1" si="18"/>
        <v>1230</v>
      </c>
      <c r="P116">
        <f ca="1">Table1[[#This Row],[Hire Date]]-Table1[[#This Row],[Job Posting Date]]</f>
        <v>69</v>
      </c>
      <c r="Q116" s="7">
        <f ca="1">Table1[[#This Row],[Join Date]]-Table1[[#This Row],[Hire Date]]</f>
        <v>9</v>
      </c>
      <c r="R116" s="8">
        <f ca="1">(IF(Table1[[#This Row],[Status]]="Exited",Table1[[#This Row],[Exit Date]]-Table1[[#This Row],[Join Date]],TODAY()-Table1[[#This Row],[Join Date]]))/30</f>
        <v>45.166666666666664</v>
      </c>
      <c r="S116">
        <f ca="1">Table1[[#This Row],[Hire Date]]-Table1[[#This Row],[Job Posting Date]]</f>
        <v>69</v>
      </c>
      <c r="T116" s="7">
        <f ca="1">Table1[[#This Row],[Time to onboard]]/Table1[[#This Row],[Time to Fill]]*100</f>
        <v>13.043478260869565</v>
      </c>
      <c r="U116" s="8">
        <f ca="1">Table1[[#This Row],[Time to onboard]]/Table1[[#This Row],[Time to Fill]]*100</f>
        <v>13.043478260869565</v>
      </c>
      <c r="V116">
        <f ca="1">Table1[[#This Row],[Join Date]]-Table1[[#This Row],[Job Posting Date]]</f>
        <v>78</v>
      </c>
      <c r="W116">
        <f t="shared" ca="1" si="19"/>
        <v>138</v>
      </c>
      <c r="X116" s="8">
        <f ca="1">Table1[[#This Row],[Absentee Days]]/Table1[[#This Row],[Total Work Days]]*100</f>
        <v>2.6923076923076925</v>
      </c>
      <c r="Y116">
        <f ca="1">YEAR(Table1[[#This Row],[Join Date]])</f>
        <v>2021</v>
      </c>
      <c r="Z116">
        <f ca="1">IF(Table1[[#This Row],[Status]]="Active",1,0)</f>
        <v>1</v>
      </c>
      <c r="AA116">
        <f ca="1">IF(Table1[[#This Row],[Status]]="Exited",Table1[[#This Row],[Recruitment Cost]]+Table1[[#This Row],[Onboarding cost]]+Table1[[#This Row],[Training Cost]],0)</f>
        <v>0</v>
      </c>
    </row>
    <row r="117" spans="1:27">
      <c r="A117" t="str">
        <f t="shared" si="12"/>
        <v>E116</v>
      </c>
      <c r="B117" t="str" cm="1">
        <f t="array" aca="1" ref="B117" ca="1">INDEX(sheet2!$A$2:$A$6, RANDBETWEEN(1, 5))</f>
        <v>HR</v>
      </c>
      <c r="C117" t="str">
        <f ca="1">_xlfn.XLOOKUP(Table1[[#This Row],[Department]],sheet2!$A$2:$A$6,sheet2!$B$2:$B$6,_xleta.NA,0)</f>
        <v>HR Manager</v>
      </c>
      <c r="D117" s="1">
        <f t="shared" ca="1" si="20"/>
        <v>43730</v>
      </c>
      <c r="E117" s="1">
        <f ca="1">Table1[[#This Row],[Job Posting Date]]+ RANDBETWEEN(15, 90)</f>
        <v>43788</v>
      </c>
      <c r="F117" s="1">
        <f ca="1">Table1[[#This Row],[Hire Date]]+ RANDBETWEEN(1, 15)</f>
        <v>43796</v>
      </c>
      <c r="G117" s="1" t="str">
        <f ca="1">IF(RAND() &lt; 0.5,  Table1[[#This Row],[Join Date]]+ RANDBETWEEN(30, TODAY()- Table1[[#This Row],[Join Date]]), "-")</f>
        <v>-</v>
      </c>
      <c r="H117" t="str">
        <f ca="1">IF(Table1[[#This Row],[Exit Date]]= "-", "Active", "Exited")</f>
        <v>Active</v>
      </c>
      <c r="I117" s="5">
        <f t="shared" ca="1" si="21"/>
        <v>4508</v>
      </c>
      <c r="J117" t="str" cm="1">
        <f t="array" aca="1" ref="J117" ca="1">INDEX(sheet2!$C$2:$C$6, RANDBETWEEN(1, 5))</f>
        <v>Conflict Resolution</v>
      </c>
      <c r="K117" t="str">
        <f t="shared" ca="1" si="22"/>
        <v>Completed</v>
      </c>
      <c r="L117">
        <v>260</v>
      </c>
      <c r="M117">
        <f t="shared" ca="1" si="16"/>
        <v>7</v>
      </c>
      <c r="N117" t="str">
        <f t="shared" ca="1" si="17"/>
        <v>Other</v>
      </c>
      <c r="O117" s="6">
        <f t="shared" ca="1" si="18"/>
        <v>1460</v>
      </c>
      <c r="P117">
        <f ca="1">Table1[[#This Row],[Hire Date]]-Table1[[#This Row],[Job Posting Date]]</f>
        <v>58</v>
      </c>
      <c r="Q117" s="7">
        <f ca="1">Table1[[#This Row],[Join Date]]-Table1[[#This Row],[Hire Date]]</f>
        <v>8</v>
      </c>
      <c r="R117" s="8">
        <f ca="1">(IF(Table1[[#This Row],[Status]]="Exited",Table1[[#This Row],[Exit Date]]-Table1[[#This Row],[Join Date]],TODAY()-Table1[[#This Row],[Join Date]]))/30</f>
        <v>62.233333333333334</v>
      </c>
      <c r="S117">
        <f ca="1">Table1[[#This Row],[Hire Date]]-Table1[[#This Row],[Job Posting Date]]</f>
        <v>58</v>
      </c>
      <c r="T117" s="7">
        <f ca="1">Table1[[#This Row],[Time to onboard]]/Table1[[#This Row],[Time to Fill]]*100</f>
        <v>13.793103448275861</v>
      </c>
      <c r="U117" s="8">
        <f ca="1">Table1[[#This Row],[Time to onboard]]/Table1[[#This Row],[Time to Fill]]*100</f>
        <v>13.793103448275861</v>
      </c>
      <c r="V117">
        <f ca="1">Table1[[#This Row],[Join Date]]-Table1[[#This Row],[Job Posting Date]]</f>
        <v>66</v>
      </c>
      <c r="W117">
        <f t="shared" ca="1" si="19"/>
        <v>140</v>
      </c>
      <c r="X117" s="8">
        <f ca="1">Table1[[#This Row],[Absentee Days]]/Table1[[#This Row],[Total Work Days]]*100</f>
        <v>2.6923076923076925</v>
      </c>
      <c r="Y117">
        <f ca="1">YEAR(Table1[[#This Row],[Join Date]])</f>
        <v>2019</v>
      </c>
      <c r="Z117">
        <f ca="1">IF(Table1[[#This Row],[Status]]="Active",1,0)</f>
        <v>1</v>
      </c>
      <c r="AA117">
        <f ca="1">IF(Table1[[#This Row],[Status]]="Exited",Table1[[#This Row],[Recruitment Cost]]+Table1[[#This Row],[Onboarding cost]]+Table1[[#This Row],[Training Cost]],0)</f>
        <v>0</v>
      </c>
    </row>
    <row r="118" spans="1:27">
      <c r="A118" t="str">
        <f t="shared" si="12"/>
        <v>E117</v>
      </c>
      <c r="B118" t="str" cm="1">
        <f t="array" aca="1" ref="B118" ca="1">INDEX(sheet2!$A$2:$A$6, RANDBETWEEN(1, 5))</f>
        <v>Analytics</v>
      </c>
      <c r="C118" t="str">
        <f ca="1">_xlfn.XLOOKUP(Table1[[#This Row],[Department]],sheet2!$A$2:$A$6,sheet2!$B$2:$B$6,_xleta.NA,0)</f>
        <v>Data Analyst</v>
      </c>
      <c r="D118" s="1">
        <f t="shared" ca="1" si="20"/>
        <v>44724</v>
      </c>
      <c r="E118" s="1">
        <f ca="1">Table1[[#This Row],[Job Posting Date]]+ RANDBETWEEN(15, 90)</f>
        <v>44810</v>
      </c>
      <c r="F118" s="1">
        <f ca="1">Table1[[#This Row],[Hire Date]]+ RANDBETWEEN(1, 15)</f>
        <v>44817</v>
      </c>
      <c r="G118" s="1" t="str">
        <f ca="1">IF(RAND() &lt; 0.5,  Table1[[#This Row],[Join Date]]+ RANDBETWEEN(30, TODAY()- Table1[[#This Row],[Join Date]]), "-")</f>
        <v>-</v>
      </c>
      <c r="H118" t="str">
        <f ca="1">IF(Table1[[#This Row],[Exit Date]]= "-", "Active", "Exited")</f>
        <v>Active</v>
      </c>
      <c r="I118" s="5">
        <f t="shared" ca="1" si="21"/>
        <v>2087</v>
      </c>
      <c r="J118" t="str" cm="1">
        <f t="array" aca="1" ref="J118" ca="1">INDEX(sheet2!$C$2:$C$6, RANDBETWEEN(1, 5))</f>
        <v>Ethics and Responsibilities</v>
      </c>
      <c r="K118" t="str">
        <f t="shared" ca="1" si="22"/>
        <v>Completed</v>
      </c>
      <c r="L118">
        <v>260</v>
      </c>
      <c r="M118">
        <f t="shared" ca="1" si="16"/>
        <v>6</v>
      </c>
      <c r="N118" t="str">
        <f t="shared" ca="1" si="17"/>
        <v>Other</v>
      </c>
      <c r="O118" s="6">
        <f t="shared" ca="1" si="18"/>
        <v>2287</v>
      </c>
      <c r="P118">
        <f ca="1">Table1[[#This Row],[Hire Date]]-Table1[[#This Row],[Job Posting Date]]</f>
        <v>86</v>
      </c>
      <c r="Q118" s="7">
        <f ca="1">Table1[[#This Row],[Join Date]]-Table1[[#This Row],[Hire Date]]</f>
        <v>7</v>
      </c>
      <c r="R118" s="8">
        <f ca="1">(IF(Table1[[#This Row],[Status]]="Exited",Table1[[#This Row],[Exit Date]]-Table1[[#This Row],[Join Date]],TODAY()-Table1[[#This Row],[Join Date]]))/30</f>
        <v>28.2</v>
      </c>
      <c r="S118">
        <f ca="1">Table1[[#This Row],[Hire Date]]-Table1[[#This Row],[Job Posting Date]]</f>
        <v>86</v>
      </c>
      <c r="T118" s="7">
        <f ca="1">Table1[[#This Row],[Time to onboard]]/Table1[[#This Row],[Time to Fill]]*100</f>
        <v>8.1395348837209305</v>
      </c>
      <c r="U118" s="8">
        <f ca="1">Table1[[#This Row],[Time to onboard]]/Table1[[#This Row],[Time to Fill]]*100</f>
        <v>8.1395348837209305</v>
      </c>
      <c r="V118">
        <f ca="1">Table1[[#This Row],[Join Date]]-Table1[[#This Row],[Job Posting Date]]</f>
        <v>93</v>
      </c>
      <c r="W118">
        <f t="shared" ca="1" si="19"/>
        <v>190</v>
      </c>
      <c r="X118" s="8">
        <f ca="1">Table1[[#This Row],[Absentee Days]]/Table1[[#This Row],[Total Work Days]]*100</f>
        <v>2.3076923076923079</v>
      </c>
      <c r="Y118">
        <f ca="1">YEAR(Table1[[#This Row],[Join Date]])</f>
        <v>2022</v>
      </c>
      <c r="Z118">
        <f ca="1">IF(Table1[[#This Row],[Status]]="Active",1,0)</f>
        <v>1</v>
      </c>
      <c r="AA118">
        <f ca="1">IF(Table1[[#This Row],[Status]]="Exited",Table1[[#This Row],[Recruitment Cost]]+Table1[[#This Row],[Onboarding cost]]+Table1[[#This Row],[Training Cost]],0)</f>
        <v>0</v>
      </c>
    </row>
    <row r="119" spans="1:27">
      <c r="A119" t="str">
        <f t="shared" si="12"/>
        <v>E118</v>
      </c>
      <c r="B119" t="str" cm="1">
        <f t="array" aca="1" ref="B119" ca="1">INDEX(sheet2!$A$2:$A$6, RANDBETWEEN(1, 5))</f>
        <v>Sales</v>
      </c>
      <c r="C119" t="str">
        <f ca="1">_xlfn.XLOOKUP(Table1[[#This Row],[Department]],sheet2!$A$2:$A$6,sheet2!$B$2:$B$6,_xleta.NA,0)</f>
        <v>Marketing Manager</v>
      </c>
      <c r="D119" s="1">
        <f t="shared" ca="1" si="20"/>
        <v>44320</v>
      </c>
      <c r="E119" s="1">
        <f ca="1">Table1[[#This Row],[Job Posting Date]]+ RANDBETWEEN(15, 90)</f>
        <v>44392</v>
      </c>
      <c r="F119" s="1">
        <f ca="1">Table1[[#This Row],[Hire Date]]+ RANDBETWEEN(1, 15)</f>
        <v>44398</v>
      </c>
      <c r="G119" s="1">
        <f ca="1">IF(RAND() &lt; 0.5,  Table1[[#This Row],[Join Date]]+ RANDBETWEEN(30, TODAY()- Table1[[#This Row],[Join Date]]), "-")</f>
        <v>44717</v>
      </c>
      <c r="H119" t="str">
        <f ca="1">IF(Table1[[#This Row],[Exit Date]]= "-", "Active", "Exited")</f>
        <v>Exited</v>
      </c>
      <c r="I119" s="5">
        <f t="shared" ca="1" si="21"/>
        <v>2139</v>
      </c>
      <c r="J119" t="str" cm="1">
        <f t="array" aca="1" ref="J119" ca="1">INDEX(sheet2!$C$2:$C$6, RANDBETWEEN(1, 5))</f>
        <v>Conflict Resolution</v>
      </c>
      <c r="K119" t="str">
        <f t="shared" ca="1" si="22"/>
        <v>Completed</v>
      </c>
      <c r="L119">
        <v>260</v>
      </c>
      <c r="M119">
        <f t="shared" ca="1" si="16"/>
        <v>10</v>
      </c>
      <c r="N119" t="str">
        <f t="shared" ca="1" si="17"/>
        <v>Male</v>
      </c>
      <c r="O119" s="6">
        <f t="shared" ca="1" si="18"/>
        <v>1980</v>
      </c>
      <c r="P119">
        <f ca="1">Table1[[#This Row],[Hire Date]]-Table1[[#This Row],[Job Posting Date]]</f>
        <v>72</v>
      </c>
      <c r="Q119" s="7">
        <f ca="1">Table1[[#This Row],[Join Date]]-Table1[[#This Row],[Hire Date]]</f>
        <v>6</v>
      </c>
      <c r="R119" s="8">
        <f ca="1">(IF(Table1[[#This Row],[Status]]="Exited",Table1[[#This Row],[Exit Date]]-Table1[[#This Row],[Join Date]],TODAY()-Table1[[#This Row],[Join Date]]))/30</f>
        <v>10.633333333333333</v>
      </c>
      <c r="S119">
        <f ca="1">Table1[[#This Row],[Hire Date]]-Table1[[#This Row],[Job Posting Date]]</f>
        <v>72</v>
      </c>
      <c r="T119" s="7">
        <f ca="1">Table1[[#This Row],[Time to onboard]]/Table1[[#This Row],[Time to Fill]]*100</f>
        <v>8.3333333333333321</v>
      </c>
      <c r="U119" s="8">
        <f ca="1">Table1[[#This Row],[Time to onboard]]/Table1[[#This Row],[Time to Fill]]*100</f>
        <v>8.3333333333333321</v>
      </c>
      <c r="V119">
        <f ca="1">Table1[[#This Row],[Join Date]]-Table1[[#This Row],[Job Posting Date]]</f>
        <v>78</v>
      </c>
      <c r="W119">
        <f t="shared" ca="1" si="19"/>
        <v>115</v>
      </c>
      <c r="X119" s="8">
        <f ca="1">Table1[[#This Row],[Absentee Days]]/Table1[[#This Row],[Total Work Days]]*100</f>
        <v>3.8461538461538463</v>
      </c>
      <c r="Y119">
        <f ca="1">YEAR(Table1[[#This Row],[Join Date]])</f>
        <v>2021</v>
      </c>
      <c r="Z119">
        <f ca="1">IF(Table1[[#This Row],[Status]]="Active",1,0)</f>
        <v>0</v>
      </c>
      <c r="AA119">
        <f ca="1">IF(Table1[[#This Row],[Status]]="Exited",Table1[[#This Row],[Recruitment Cost]]+Table1[[#This Row],[Onboarding cost]]+Table1[[#This Row],[Training Cost]],0)</f>
        <v>4234</v>
      </c>
    </row>
    <row r="120" spans="1:27">
      <c r="A120" t="str">
        <f t="shared" si="12"/>
        <v>E119</v>
      </c>
      <c r="B120" t="str" cm="1">
        <f t="array" aca="1" ref="B120" ca="1">INDEX(sheet2!$A$2:$A$6, RANDBETWEEN(1, 5))</f>
        <v>HR</v>
      </c>
      <c r="C120" t="str">
        <f ca="1">_xlfn.XLOOKUP(Table1[[#This Row],[Department]],sheet2!$A$2:$A$6,sheet2!$B$2:$B$6,_xleta.NA,0)</f>
        <v>HR Manager</v>
      </c>
      <c r="D120" s="1">
        <f t="shared" ca="1" si="20"/>
        <v>44705</v>
      </c>
      <c r="E120" s="1">
        <f ca="1">Table1[[#This Row],[Job Posting Date]]+ RANDBETWEEN(15, 90)</f>
        <v>44781</v>
      </c>
      <c r="F120" s="1">
        <f ca="1">Table1[[#This Row],[Hire Date]]+ RANDBETWEEN(1, 15)</f>
        <v>44788</v>
      </c>
      <c r="G120" s="1">
        <f ca="1">IF(RAND() &lt; 0.5,  Table1[[#This Row],[Join Date]]+ RANDBETWEEN(30, TODAY()- Table1[[#This Row],[Join Date]]), "-")</f>
        <v>45478</v>
      </c>
      <c r="H120" t="str">
        <f ca="1">IF(Table1[[#This Row],[Exit Date]]= "-", "Active", "Exited")</f>
        <v>Exited</v>
      </c>
      <c r="I120" s="5">
        <f t="shared" ca="1" si="21"/>
        <v>1892</v>
      </c>
      <c r="J120" t="str" cm="1">
        <f t="array" aca="1" ref="J120" ca="1">INDEX(sheet2!$C$2:$C$6, RANDBETWEEN(1, 5))</f>
        <v>Communication Skills</v>
      </c>
      <c r="K120" t="str">
        <f t="shared" ca="1" si="22"/>
        <v>Completed</v>
      </c>
      <c r="L120">
        <v>260</v>
      </c>
      <c r="M120">
        <f t="shared" ca="1" si="16"/>
        <v>9</v>
      </c>
      <c r="N120" t="str">
        <f t="shared" ca="1" si="17"/>
        <v>Male</v>
      </c>
      <c r="O120" s="6">
        <f t="shared" ca="1" si="18"/>
        <v>1691</v>
      </c>
      <c r="P120">
        <f ca="1">Table1[[#This Row],[Hire Date]]-Table1[[#This Row],[Job Posting Date]]</f>
        <v>76</v>
      </c>
      <c r="Q120" s="7">
        <f ca="1">Table1[[#This Row],[Join Date]]-Table1[[#This Row],[Hire Date]]</f>
        <v>7</v>
      </c>
      <c r="R120" s="8">
        <f ca="1">(IF(Table1[[#This Row],[Status]]="Exited",Table1[[#This Row],[Exit Date]]-Table1[[#This Row],[Join Date]],TODAY()-Table1[[#This Row],[Join Date]]))/30</f>
        <v>23</v>
      </c>
      <c r="S120">
        <f ca="1">Table1[[#This Row],[Hire Date]]-Table1[[#This Row],[Job Posting Date]]</f>
        <v>76</v>
      </c>
      <c r="T120" s="7">
        <f ca="1">Table1[[#This Row],[Time to onboard]]/Table1[[#This Row],[Time to Fill]]*100</f>
        <v>9.2105263157894726</v>
      </c>
      <c r="U120" s="8">
        <f ca="1">Table1[[#This Row],[Time to onboard]]/Table1[[#This Row],[Time to Fill]]*100</f>
        <v>9.2105263157894726</v>
      </c>
      <c r="V120">
        <f ca="1">Table1[[#This Row],[Join Date]]-Table1[[#This Row],[Job Posting Date]]</f>
        <v>83</v>
      </c>
      <c r="W120">
        <f t="shared" ca="1" si="19"/>
        <v>145</v>
      </c>
      <c r="X120" s="8">
        <f ca="1">Table1[[#This Row],[Absentee Days]]/Table1[[#This Row],[Total Work Days]]*100</f>
        <v>3.4615384615384617</v>
      </c>
      <c r="Y120">
        <f ca="1">YEAR(Table1[[#This Row],[Join Date]])</f>
        <v>2022</v>
      </c>
      <c r="Z120">
        <f ca="1">IF(Table1[[#This Row],[Status]]="Active",1,0)</f>
        <v>0</v>
      </c>
      <c r="AA120">
        <f ca="1">IF(Table1[[#This Row],[Status]]="Exited",Table1[[#This Row],[Recruitment Cost]]+Table1[[#This Row],[Onboarding cost]]+Table1[[#This Row],[Training Cost]],0)</f>
        <v>3728</v>
      </c>
    </row>
    <row r="121" spans="1:27">
      <c r="A121" t="str">
        <f t="shared" si="12"/>
        <v>E120</v>
      </c>
      <c r="B121" t="str" cm="1">
        <f t="array" aca="1" ref="B121" ca="1">INDEX(sheet2!$A$2:$A$6, RANDBETWEEN(1, 5))</f>
        <v>Analytics</v>
      </c>
      <c r="C121" t="str">
        <f ca="1">_xlfn.XLOOKUP(Table1[[#This Row],[Department]],sheet2!$A$2:$A$6,sheet2!$B$2:$B$6,_xleta.NA,0)</f>
        <v>Data Analyst</v>
      </c>
      <c r="D121" s="1">
        <f t="shared" ca="1" si="20"/>
        <v>44490</v>
      </c>
      <c r="E121" s="1">
        <f ca="1">Table1[[#This Row],[Job Posting Date]]+ RANDBETWEEN(15, 90)</f>
        <v>44521</v>
      </c>
      <c r="F121" s="1">
        <f ca="1">Table1[[#This Row],[Hire Date]]+ RANDBETWEEN(1, 15)</f>
        <v>44523</v>
      </c>
      <c r="G121" s="1">
        <f ca="1">IF(RAND() &lt; 0.5,  Table1[[#This Row],[Join Date]]+ RANDBETWEEN(30, TODAY()- Table1[[#This Row],[Join Date]]), "-")</f>
        <v>45122</v>
      </c>
      <c r="H121" t="str">
        <f ca="1">IF(Table1[[#This Row],[Exit Date]]= "-", "Active", "Exited")</f>
        <v>Exited</v>
      </c>
      <c r="I121" s="5">
        <f t="shared" ca="1" si="21"/>
        <v>2615</v>
      </c>
      <c r="J121" t="str" cm="1">
        <f t="array" aca="1" ref="J121" ca="1">INDEX(sheet2!$C$2:$C$6, RANDBETWEEN(1, 5))</f>
        <v>Communication Skills</v>
      </c>
      <c r="K121" t="str">
        <f t="shared" ca="1" si="22"/>
        <v>Not Completed</v>
      </c>
      <c r="L121">
        <v>260</v>
      </c>
      <c r="M121">
        <f t="shared" ca="1" si="16"/>
        <v>14</v>
      </c>
      <c r="N121" t="str">
        <f t="shared" ca="1" si="17"/>
        <v>Female</v>
      </c>
      <c r="O121" s="6">
        <f t="shared" ca="1" si="18"/>
        <v>1653</v>
      </c>
      <c r="P121">
        <f ca="1">Table1[[#This Row],[Hire Date]]-Table1[[#This Row],[Job Posting Date]]</f>
        <v>31</v>
      </c>
      <c r="Q121" s="7">
        <f ca="1">Table1[[#This Row],[Join Date]]-Table1[[#This Row],[Hire Date]]</f>
        <v>2</v>
      </c>
      <c r="R121" s="8">
        <f ca="1">(IF(Table1[[#This Row],[Status]]="Exited",Table1[[#This Row],[Exit Date]]-Table1[[#This Row],[Join Date]],TODAY()-Table1[[#This Row],[Join Date]]))/30</f>
        <v>19.966666666666665</v>
      </c>
      <c r="S121">
        <f ca="1">Table1[[#This Row],[Hire Date]]-Table1[[#This Row],[Job Posting Date]]</f>
        <v>31</v>
      </c>
      <c r="T121" s="7">
        <f ca="1">Table1[[#This Row],[Time to onboard]]/Table1[[#This Row],[Time to Fill]]*100</f>
        <v>6.4516129032258061</v>
      </c>
      <c r="U121" s="8">
        <f ca="1">Table1[[#This Row],[Time to onboard]]/Table1[[#This Row],[Time to Fill]]*100</f>
        <v>6.4516129032258061</v>
      </c>
      <c r="V121">
        <f ca="1">Table1[[#This Row],[Join Date]]-Table1[[#This Row],[Job Posting Date]]</f>
        <v>33</v>
      </c>
      <c r="W121">
        <f t="shared" ca="1" si="19"/>
        <v>141</v>
      </c>
      <c r="X121" s="8">
        <f ca="1">Table1[[#This Row],[Absentee Days]]/Table1[[#This Row],[Total Work Days]]*100</f>
        <v>5.384615384615385</v>
      </c>
      <c r="Y121">
        <f ca="1">YEAR(Table1[[#This Row],[Join Date]])</f>
        <v>2021</v>
      </c>
      <c r="Z121">
        <f ca="1">IF(Table1[[#This Row],[Status]]="Active",1,0)</f>
        <v>0</v>
      </c>
      <c r="AA121">
        <f ca="1">IF(Table1[[#This Row],[Status]]="Exited",Table1[[#This Row],[Recruitment Cost]]+Table1[[#This Row],[Onboarding cost]]+Table1[[#This Row],[Training Cost]],0)</f>
        <v>4409</v>
      </c>
    </row>
    <row r="122" spans="1:27">
      <c r="A122" t="str">
        <f t="shared" si="12"/>
        <v>E121</v>
      </c>
      <c r="B122" t="str" cm="1">
        <f t="array" aca="1" ref="B122" ca="1">INDEX(sheet2!$A$2:$A$6, RANDBETWEEN(1, 5))</f>
        <v>Sales</v>
      </c>
      <c r="C122" t="str">
        <f ca="1">_xlfn.XLOOKUP(Table1[[#This Row],[Department]],sheet2!$A$2:$A$6,sheet2!$B$2:$B$6,_xleta.NA,0)</f>
        <v>Marketing Manager</v>
      </c>
      <c r="D122" s="1">
        <f t="shared" ca="1" si="20"/>
        <v>43819</v>
      </c>
      <c r="E122" s="1">
        <f ca="1">Table1[[#This Row],[Job Posting Date]]+ RANDBETWEEN(15, 90)</f>
        <v>43860</v>
      </c>
      <c r="F122" s="1">
        <f ca="1">Table1[[#This Row],[Hire Date]]+ RANDBETWEEN(1, 15)</f>
        <v>43869</v>
      </c>
      <c r="G122" s="1">
        <f ca="1">IF(RAND() &lt; 0.5,  Table1[[#This Row],[Join Date]]+ RANDBETWEEN(30, TODAY()- Table1[[#This Row],[Join Date]]), "-")</f>
        <v>45103</v>
      </c>
      <c r="H122" t="str">
        <f ca="1">IF(Table1[[#This Row],[Exit Date]]= "-", "Active", "Exited")</f>
        <v>Exited</v>
      </c>
      <c r="I122" s="5">
        <f t="shared" ca="1" si="21"/>
        <v>4960</v>
      </c>
      <c r="J122" t="str" cm="1">
        <f t="array" aca="1" ref="J122" ca="1">INDEX(sheet2!$C$2:$C$6, RANDBETWEEN(1, 5))</f>
        <v>Conflict Resolution</v>
      </c>
      <c r="K122" t="str">
        <f t="shared" ca="1" si="22"/>
        <v>Not Completed</v>
      </c>
      <c r="L122">
        <v>260</v>
      </c>
      <c r="M122">
        <f t="shared" ca="1" si="16"/>
        <v>20</v>
      </c>
      <c r="N122" t="str">
        <f t="shared" ca="1" si="17"/>
        <v>Other</v>
      </c>
      <c r="O122" s="6">
        <f t="shared" ca="1" si="18"/>
        <v>1701</v>
      </c>
      <c r="P122">
        <f ca="1">Table1[[#This Row],[Hire Date]]-Table1[[#This Row],[Job Posting Date]]</f>
        <v>41</v>
      </c>
      <c r="Q122" s="7">
        <f ca="1">Table1[[#This Row],[Join Date]]-Table1[[#This Row],[Hire Date]]</f>
        <v>9</v>
      </c>
      <c r="R122" s="8">
        <f ca="1">(IF(Table1[[#This Row],[Status]]="Exited",Table1[[#This Row],[Exit Date]]-Table1[[#This Row],[Join Date]],TODAY()-Table1[[#This Row],[Join Date]]))/30</f>
        <v>41.133333333333333</v>
      </c>
      <c r="S122">
        <f ca="1">Table1[[#This Row],[Hire Date]]-Table1[[#This Row],[Job Posting Date]]</f>
        <v>41</v>
      </c>
      <c r="T122" s="7">
        <f ca="1">Table1[[#This Row],[Time to onboard]]/Table1[[#This Row],[Time to Fill]]*100</f>
        <v>21.951219512195124</v>
      </c>
      <c r="U122" s="8">
        <f ca="1">Table1[[#This Row],[Time to onboard]]/Table1[[#This Row],[Time to Fill]]*100</f>
        <v>21.951219512195124</v>
      </c>
      <c r="V122">
        <f ca="1">Table1[[#This Row],[Join Date]]-Table1[[#This Row],[Job Posting Date]]</f>
        <v>50</v>
      </c>
      <c r="W122">
        <f t="shared" ca="1" si="19"/>
        <v>172</v>
      </c>
      <c r="X122" s="8">
        <f ca="1">Table1[[#This Row],[Absentee Days]]/Table1[[#This Row],[Total Work Days]]*100</f>
        <v>7.6923076923076925</v>
      </c>
      <c r="Y122">
        <f ca="1">YEAR(Table1[[#This Row],[Join Date]])</f>
        <v>2020</v>
      </c>
      <c r="Z122">
        <f ca="1">IF(Table1[[#This Row],[Status]]="Active",1,0)</f>
        <v>0</v>
      </c>
      <c r="AA122">
        <f ca="1">IF(Table1[[#This Row],[Status]]="Exited",Table1[[#This Row],[Recruitment Cost]]+Table1[[#This Row],[Onboarding cost]]+Table1[[#This Row],[Training Cost]],0)</f>
        <v>6833</v>
      </c>
    </row>
    <row r="123" spans="1:27">
      <c r="A123" t="str">
        <f t="shared" si="12"/>
        <v>E122</v>
      </c>
      <c r="B123" t="str" cm="1">
        <f t="array" aca="1" ref="B123" ca="1">INDEX(sheet2!$A$2:$A$6, RANDBETWEEN(1, 5))</f>
        <v>IT</v>
      </c>
      <c r="C123" t="str">
        <f ca="1">_xlfn.XLOOKUP(Table1[[#This Row],[Department]],sheet2!$A$2:$A$6,sheet2!$B$2:$B$6,_xleta.NA,0)</f>
        <v>Software Engineer</v>
      </c>
      <c r="D123" s="1">
        <f t="shared" ca="1" si="20"/>
        <v>43563</v>
      </c>
      <c r="E123" s="1">
        <f ca="1">Table1[[#This Row],[Job Posting Date]]+ RANDBETWEEN(15, 90)</f>
        <v>43598</v>
      </c>
      <c r="F123" s="1">
        <f ca="1">Table1[[#This Row],[Hire Date]]+ RANDBETWEEN(1, 15)</f>
        <v>43608</v>
      </c>
      <c r="G123" s="1" t="str">
        <f ca="1">IF(RAND() &lt; 0.5,  Table1[[#This Row],[Join Date]]+ RANDBETWEEN(30, TODAY()- Table1[[#This Row],[Join Date]]), "-")</f>
        <v>-</v>
      </c>
      <c r="H123" t="str">
        <f ca="1">IF(Table1[[#This Row],[Exit Date]]= "-", "Active", "Exited")</f>
        <v>Active</v>
      </c>
      <c r="I123" s="5">
        <f t="shared" ca="1" si="21"/>
        <v>2236</v>
      </c>
      <c r="J123" t="str" cm="1">
        <f t="array" aca="1" ref="J123" ca="1">INDEX(sheet2!$C$2:$C$6, RANDBETWEEN(1, 5))</f>
        <v>Communication Skills</v>
      </c>
      <c r="K123" t="str">
        <f t="shared" ca="1" si="22"/>
        <v>Not Completed</v>
      </c>
      <c r="L123">
        <v>260</v>
      </c>
      <c r="M123">
        <f t="shared" ca="1" si="16"/>
        <v>9</v>
      </c>
      <c r="N123" t="str">
        <f t="shared" ca="1" si="17"/>
        <v>Other</v>
      </c>
      <c r="O123" s="6">
        <f t="shared" ca="1" si="18"/>
        <v>1655</v>
      </c>
      <c r="P123">
        <f ca="1">Table1[[#This Row],[Hire Date]]-Table1[[#This Row],[Job Posting Date]]</f>
        <v>35</v>
      </c>
      <c r="Q123" s="7">
        <f ca="1">Table1[[#This Row],[Join Date]]-Table1[[#This Row],[Hire Date]]</f>
        <v>10</v>
      </c>
      <c r="R123" s="8">
        <f ca="1">(IF(Table1[[#This Row],[Status]]="Exited",Table1[[#This Row],[Exit Date]]-Table1[[#This Row],[Join Date]],TODAY()-Table1[[#This Row],[Join Date]]))/30</f>
        <v>68.5</v>
      </c>
      <c r="S123">
        <f ca="1">Table1[[#This Row],[Hire Date]]-Table1[[#This Row],[Job Posting Date]]</f>
        <v>35</v>
      </c>
      <c r="T123" s="7">
        <f ca="1">Table1[[#This Row],[Time to onboard]]/Table1[[#This Row],[Time to Fill]]*100</f>
        <v>28.571428571428569</v>
      </c>
      <c r="U123" s="8">
        <f ca="1">Table1[[#This Row],[Time to onboard]]/Table1[[#This Row],[Time to Fill]]*100</f>
        <v>28.571428571428569</v>
      </c>
      <c r="V123">
        <f ca="1">Table1[[#This Row],[Join Date]]-Table1[[#This Row],[Job Posting Date]]</f>
        <v>45</v>
      </c>
      <c r="W123">
        <f t="shared" ca="1" si="19"/>
        <v>118</v>
      </c>
      <c r="X123" s="8">
        <f ca="1">Table1[[#This Row],[Absentee Days]]/Table1[[#This Row],[Total Work Days]]*100</f>
        <v>3.4615384615384617</v>
      </c>
      <c r="Y123">
        <f ca="1">YEAR(Table1[[#This Row],[Join Date]])</f>
        <v>2019</v>
      </c>
      <c r="Z123">
        <f ca="1">IF(Table1[[#This Row],[Status]]="Active",1,0)</f>
        <v>1</v>
      </c>
      <c r="AA123">
        <f ca="1">IF(Table1[[#This Row],[Status]]="Exited",Table1[[#This Row],[Recruitment Cost]]+Table1[[#This Row],[Onboarding cost]]+Table1[[#This Row],[Training Cost]],0)</f>
        <v>0</v>
      </c>
    </row>
    <row r="124" spans="1:27">
      <c r="A124" t="str">
        <f t="shared" si="12"/>
        <v>E123</v>
      </c>
      <c r="B124" t="str" cm="1">
        <f t="array" aca="1" ref="B124" ca="1">INDEX(sheet2!$A$2:$A$6, RANDBETWEEN(1, 5))</f>
        <v>Sales</v>
      </c>
      <c r="C124" t="str">
        <f ca="1">_xlfn.XLOOKUP(Table1[[#This Row],[Department]],sheet2!$A$2:$A$6,sheet2!$B$2:$B$6,_xleta.NA,0)</f>
        <v>Marketing Manager</v>
      </c>
      <c r="D124" s="1">
        <f t="shared" ca="1" si="20"/>
        <v>44117</v>
      </c>
      <c r="E124" s="1">
        <f ca="1">Table1[[#This Row],[Job Posting Date]]+ RANDBETWEEN(15, 90)</f>
        <v>44146</v>
      </c>
      <c r="F124" s="1">
        <f ca="1">Table1[[#This Row],[Hire Date]]+ RANDBETWEEN(1, 15)</f>
        <v>44161</v>
      </c>
      <c r="G124" s="1" t="str">
        <f ca="1">IF(RAND() &lt; 0.5,  Table1[[#This Row],[Join Date]]+ RANDBETWEEN(30, TODAY()- Table1[[#This Row],[Join Date]]), "-")</f>
        <v>-</v>
      </c>
      <c r="H124" t="str">
        <f ca="1">IF(Table1[[#This Row],[Exit Date]]= "-", "Active", "Exited")</f>
        <v>Active</v>
      </c>
      <c r="I124" s="5">
        <f t="shared" ca="1" si="21"/>
        <v>3210</v>
      </c>
      <c r="J124" t="str" cm="1">
        <f t="array" aca="1" ref="J124" ca="1">INDEX(sheet2!$C$2:$C$6, RANDBETWEEN(1, 5))</f>
        <v>Ethics and Responsibilities</v>
      </c>
      <c r="K124" t="str">
        <f t="shared" ca="1" si="22"/>
        <v>Completed</v>
      </c>
      <c r="L124">
        <v>260</v>
      </c>
      <c r="M124">
        <f t="shared" ca="1" si="16"/>
        <v>3</v>
      </c>
      <c r="N124" t="str">
        <f t="shared" ca="1" si="17"/>
        <v>Other</v>
      </c>
      <c r="O124" s="6">
        <f t="shared" ca="1" si="18"/>
        <v>2143</v>
      </c>
      <c r="P124">
        <f ca="1">Table1[[#This Row],[Hire Date]]-Table1[[#This Row],[Job Posting Date]]</f>
        <v>29</v>
      </c>
      <c r="Q124" s="7">
        <f ca="1">Table1[[#This Row],[Join Date]]-Table1[[#This Row],[Hire Date]]</f>
        <v>15</v>
      </c>
      <c r="R124" s="8">
        <f ca="1">(IF(Table1[[#This Row],[Status]]="Exited",Table1[[#This Row],[Exit Date]]-Table1[[#This Row],[Join Date]],TODAY()-Table1[[#This Row],[Join Date]]))/30</f>
        <v>50.06666666666667</v>
      </c>
      <c r="S124">
        <f ca="1">Table1[[#This Row],[Hire Date]]-Table1[[#This Row],[Job Posting Date]]</f>
        <v>29</v>
      </c>
      <c r="T124" s="7">
        <f ca="1">Table1[[#This Row],[Time to onboard]]/Table1[[#This Row],[Time to Fill]]*100</f>
        <v>51.724137931034484</v>
      </c>
      <c r="U124" s="8">
        <f ca="1">Table1[[#This Row],[Time to onboard]]/Table1[[#This Row],[Time to Fill]]*100</f>
        <v>51.724137931034484</v>
      </c>
      <c r="V124">
        <f ca="1">Table1[[#This Row],[Join Date]]-Table1[[#This Row],[Job Posting Date]]</f>
        <v>44</v>
      </c>
      <c r="W124">
        <f t="shared" ca="1" si="19"/>
        <v>123</v>
      </c>
      <c r="X124" s="8">
        <f ca="1">Table1[[#This Row],[Absentee Days]]/Table1[[#This Row],[Total Work Days]]*100</f>
        <v>1.153846153846154</v>
      </c>
      <c r="Y124">
        <f ca="1">YEAR(Table1[[#This Row],[Join Date]])</f>
        <v>2020</v>
      </c>
      <c r="Z124">
        <f ca="1">IF(Table1[[#This Row],[Status]]="Active",1,0)</f>
        <v>1</v>
      </c>
      <c r="AA124">
        <f ca="1">IF(Table1[[#This Row],[Status]]="Exited",Table1[[#This Row],[Recruitment Cost]]+Table1[[#This Row],[Onboarding cost]]+Table1[[#This Row],[Training Cost]],0)</f>
        <v>0</v>
      </c>
    </row>
    <row r="125" spans="1:27">
      <c r="A125" t="str">
        <f t="shared" si="12"/>
        <v>E124</v>
      </c>
      <c r="B125" t="str" cm="1">
        <f t="array" aca="1" ref="B125" ca="1">INDEX(sheet2!$A$2:$A$6, RANDBETWEEN(1, 5))</f>
        <v>IT</v>
      </c>
      <c r="C125" t="str">
        <f ca="1">_xlfn.XLOOKUP(Table1[[#This Row],[Department]],sheet2!$A$2:$A$6,sheet2!$B$2:$B$6,_xleta.NA,0)</f>
        <v>Software Engineer</v>
      </c>
      <c r="D125" s="1">
        <f t="shared" ca="1" si="20"/>
        <v>43854</v>
      </c>
      <c r="E125" s="1">
        <f ca="1">Table1[[#This Row],[Job Posting Date]]+ RANDBETWEEN(15, 90)</f>
        <v>43892</v>
      </c>
      <c r="F125" s="1">
        <f ca="1">Table1[[#This Row],[Hire Date]]+ RANDBETWEEN(1, 15)</f>
        <v>43897</v>
      </c>
      <c r="G125" s="1" t="str">
        <f ca="1">IF(RAND() &lt; 0.5,  Table1[[#This Row],[Join Date]]+ RANDBETWEEN(30, TODAY()- Table1[[#This Row],[Join Date]]), "-")</f>
        <v>-</v>
      </c>
      <c r="H125" t="str">
        <f ca="1">IF(Table1[[#This Row],[Exit Date]]= "-", "Active", "Exited")</f>
        <v>Active</v>
      </c>
      <c r="I125" s="5">
        <f t="shared" ca="1" si="21"/>
        <v>2863</v>
      </c>
      <c r="J125" t="str" cm="1">
        <f t="array" aca="1" ref="J125" ca="1">INDEX(sheet2!$C$2:$C$6, RANDBETWEEN(1, 5))</f>
        <v>Communication Skills</v>
      </c>
      <c r="K125" t="str">
        <f t="shared" ca="1" si="22"/>
        <v>Completed</v>
      </c>
      <c r="L125">
        <v>260</v>
      </c>
      <c r="M125">
        <f t="shared" ca="1" si="16"/>
        <v>15</v>
      </c>
      <c r="N125" t="str">
        <f t="shared" ca="1" si="17"/>
        <v>Other</v>
      </c>
      <c r="O125" s="6">
        <f t="shared" ca="1" si="18"/>
        <v>1286</v>
      </c>
      <c r="P125">
        <f ca="1">Table1[[#This Row],[Hire Date]]-Table1[[#This Row],[Job Posting Date]]</f>
        <v>38</v>
      </c>
      <c r="Q125" s="7">
        <f ca="1">Table1[[#This Row],[Join Date]]-Table1[[#This Row],[Hire Date]]</f>
        <v>5</v>
      </c>
      <c r="R125" s="8">
        <f ca="1">(IF(Table1[[#This Row],[Status]]="Exited",Table1[[#This Row],[Exit Date]]-Table1[[#This Row],[Join Date]],TODAY()-Table1[[#This Row],[Join Date]]))/30</f>
        <v>58.866666666666667</v>
      </c>
      <c r="S125">
        <f ca="1">Table1[[#This Row],[Hire Date]]-Table1[[#This Row],[Job Posting Date]]</f>
        <v>38</v>
      </c>
      <c r="T125" s="7">
        <f ca="1">Table1[[#This Row],[Time to onboard]]/Table1[[#This Row],[Time to Fill]]*100</f>
        <v>13.157894736842104</v>
      </c>
      <c r="U125" s="8">
        <f ca="1">Table1[[#This Row],[Time to onboard]]/Table1[[#This Row],[Time to Fill]]*100</f>
        <v>13.157894736842104</v>
      </c>
      <c r="V125">
        <f ca="1">Table1[[#This Row],[Join Date]]-Table1[[#This Row],[Job Posting Date]]</f>
        <v>43</v>
      </c>
      <c r="W125">
        <f t="shared" ca="1" si="19"/>
        <v>174</v>
      </c>
      <c r="X125" s="8">
        <f ca="1">Table1[[#This Row],[Absentee Days]]/Table1[[#This Row],[Total Work Days]]*100</f>
        <v>5.7692307692307692</v>
      </c>
      <c r="Y125">
        <f ca="1">YEAR(Table1[[#This Row],[Join Date]])</f>
        <v>2020</v>
      </c>
      <c r="Z125">
        <f ca="1">IF(Table1[[#This Row],[Status]]="Active",1,0)</f>
        <v>1</v>
      </c>
      <c r="AA125">
        <f ca="1">IF(Table1[[#This Row],[Status]]="Exited",Table1[[#This Row],[Recruitment Cost]]+Table1[[#This Row],[Onboarding cost]]+Table1[[#This Row],[Training Cost]],0)</f>
        <v>0</v>
      </c>
    </row>
    <row r="126" spans="1:27">
      <c r="A126" t="str">
        <f t="shared" si="12"/>
        <v>E125</v>
      </c>
      <c r="B126" t="str" cm="1">
        <f t="array" aca="1" ref="B126" ca="1">INDEX(sheet2!$A$2:$A$6, RANDBETWEEN(1, 5))</f>
        <v>IT</v>
      </c>
      <c r="C126" t="str">
        <f ca="1">_xlfn.XLOOKUP(Table1[[#This Row],[Department]],sheet2!$A$2:$A$6,sheet2!$B$2:$B$6,_xleta.NA,0)</f>
        <v>Software Engineer</v>
      </c>
      <c r="D126" s="1">
        <f t="shared" ca="1" si="20"/>
        <v>43441</v>
      </c>
      <c r="E126" s="1">
        <f ca="1">Table1[[#This Row],[Job Posting Date]]+ RANDBETWEEN(15, 90)</f>
        <v>43497</v>
      </c>
      <c r="F126" s="1">
        <f ca="1">Table1[[#This Row],[Hire Date]]+ RANDBETWEEN(1, 15)</f>
        <v>43499</v>
      </c>
      <c r="G126" s="1">
        <f ca="1">IF(RAND() &lt; 0.5,  Table1[[#This Row],[Join Date]]+ RANDBETWEEN(30, TODAY()- Table1[[#This Row],[Join Date]]), "-")</f>
        <v>44885</v>
      </c>
      <c r="H126" t="str">
        <f ca="1">IF(Table1[[#This Row],[Exit Date]]= "-", "Active", "Exited")</f>
        <v>Exited</v>
      </c>
      <c r="I126" s="5">
        <f t="shared" ca="1" si="21"/>
        <v>2511</v>
      </c>
      <c r="J126" t="str" cm="1">
        <f t="array" aca="1" ref="J126" ca="1">INDEX(sheet2!$C$2:$C$6, RANDBETWEEN(1, 5))</f>
        <v>Leadership Development</v>
      </c>
      <c r="K126" t="str">
        <f t="shared" ca="1" si="22"/>
        <v>Not Completed</v>
      </c>
      <c r="L126">
        <v>260</v>
      </c>
      <c r="M126">
        <f t="shared" ca="1" si="16"/>
        <v>7</v>
      </c>
      <c r="N126" t="str">
        <f t="shared" ca="1" si="17"/>
        <v>Female</v>
      </c>
      <c r="O126" s="6">
        <f t="shared" ca="1" si="18"/>
        <v>1440</v>
      </c>
      <c r="P126">
        <f ca="1">Table1[[#This Row],[Hire Date]]-Table1[[#This Row],[Job Posting Date]]</f>
        <v>56</v>
      </c>
      <c r="Q126" s="7">
        <f ca="1">Table1[[#This Row],[Join Date]]-Table1[[#This Row],[Hire Date]]</f>
        <v>2</v>
      </c>
      <c r="R126" s="8">
        <f ca="1">(IF(Table1[[#This Row],[Status]]="Exited",Table1[[#This Row],[Exit Date]]-Table1[[#This Row],[Join Date]],TODAY()-Table1[[#This Row],[Join Date]]))/30</f>
        <v>46.2</v>
      </c>
      <c r="S126">
        <f ca="1">Table1[[#This Row],[Hire Date]]-Table1[[#This Row],[Job Posting Date]]</f>
        <v>56</v>
      </c>
      <c r="T126" s="7">
        <f ca="1">Table1[[#This Row],[Time to onboard]]/Table1[[#This Row],[Time to Fill]]*100</f>
        <v>3.5714285714285712</v>
      </c>
      <c r="U126" s="8">
        <f ca="1">Table1[[#This Row],[Time to onboard]]/Table1[[#This Row],[Time to Fill]]*100</f>
        <v>3.5714285714285712</v>
      </c>
      <c r="V126">
        <f ca="1">Table1[[#This Row],[Join Date]]-Table1[[#This Row],[Job Posting Date]]</f>
        <v>58</v>
      </c>
      <c r="W126">
        <f t="shared" ca="1" si="19"/>
        <v>120</v>
      </c>
      <c r="X126" s="8">
        <f ca="1">Table1[[#This Row],[Absentee Days]]/Table1[[#This Row],[Total Work Days]]*100</f>
        <v>2.6923076923076925</v>
      </c>
      <c r="Y126">
        <f ca="1">YEAR(Table1[[#This Row],[Join Date]])</f>
        <v>2019</v>
      </c>
      <c r="Z126">
        <f ca="1">IF(Table1[[#This Row],[Status]]="Active",1,0)</f>
        <v>0</v>
      </c>
      <c r="AA126">
        <f ca="1">IF(Table1[[#This Row],[Status]]="Exited",Table1[[#This Row],[Recruitment Cost]]+Table1[[#This Row],[Onboarding cost]]+Table1[[#This Row],[Training Cost]],0)</f>
        <v>4071</v>
      </c>
    </row>
    <row r="127" spans="1:27">
      <c r="A127" t="str">
        <f t="shared" si="12"/>
        <v>E126</v>
      </c>
      <c r="B127" t="str" cm="1">
        <f t="array" aca="1" ref="B127" ca="1">INDEX(sheet2!$A$2:$A$6, RANDBETWEEN(1, 5))</f>
        <v>Analytics</v>
      </c>
      <c r="C127" t="str">
        <f ca="1">_xlfn.XLOOKUP(Table1[[#This Row],[Department]],sheet2!$A$2:$A$6,sheet2!$B$2:$B$6,_xleta.NA,0)</f>
        <v>Data Analyst</v>
      </c>
      <c r="D127" s="1">
        <f t="shared" ca="1" si="20"/>
        <v>44053</v>
      </c>
      <c r="E127" s="1">
        <f ca="1">Table1[[#This Row],[Job Posting Date]]+ RANDBETWEEN(15, 90)</f>
        <v>44078</v>
      </c>
      <c r="F127" s="1">
        <f ca="1">Table1[[#This Row],[Hire Date]]+ RANDBETWEEN(1, 15)</f>
        <v>44079</v>
      </c>
      <c r="G127" s="1">
        <f ca="1">IF(RAND() &lt; 0.5,  Table1[[#This Row],[Join Date]]+ RANDBETWEEN(30, TODAY()- Table1[[#This Row],[Join Date]]), "-")</f>
        <v>44583</v>
      </c>
      <c r="H127" t="str">
        <f ca="1">IF(Table1[[#This Row],[Exit Date]]= "-", "Active", "Exited")</f>
        <v>Exited</v>
      </c>
      <c r="I127" s="5">
        <f t="shared" ca="1" si="21"/>
        <v>3151</v>
      </c>
      <c r="J127" t="str" cm="1">
        <f t="array" aca="1" ref="J127" ca="1">INDEX(sheet2!$C$2:$C$6, RANDBETWEEN(1, 5))</f>
        <v>Conflict Resolution</v>
      </c>
      <c r="K127" t="str">
        <f t="shared" ca="1" si="22"/>
        <v>Completed</v>
      </c>
      <c r="L127">
        <v>260</v>
      </c>
      <c r="M127">
        <f t="shared" ca="1" si="16"/>
        <v>12</v>
      </c>
      <c r="N127" t="str">
        <f t="shared" ca="1" si="17"/>
        <v>Female</v>
      </c>
      <c r="O127" s="6">
        <f t="shared" ca="1" si="18"/>
        <v>2308</v>
      </c>
      <c r="P127">
        <f ca="1">Table1[[#This Row],[Hire Date]]-Table1[[#This Row],[Job Posting Date]]</f>
        <v>25</v>
      </c>
      <c r="Q127" s="7">
        <f ca="1">Table1[[#This Row],[Join Date]]-Table1[[#This Row],[Hire Date]]</f>
        <v>1</v>
      </c>
      <c r="R127" s="8">
        <f ca="1">(IF(Table1[[#This Row],[Status]]="Exited",Table1[[#This Row],[Exit Date]]-Table1[[#This Row],[Join Date]],TODAY()-Table1[[#This Row],[Join Date]]))/30</f>
        <v>16.8</v>
      </c>
      <c r="S127">
        <f ca="1">Table1[[#This Row],[Hire Date]]-Table1[[#This Row],[Job Posting Date]]</f>
        <v>25</v>
      </c>
      <c r="T127" s="7">
        <f ca="1">Table1[[#This Row],[Time to onboard]]/Table1[[#This Row],[Time to Fill]]*100</f>
        <v>4</v>
      </c>
      <c r="U127" s="8">
        <f ca="1">Table1[[#This Row],[Time to onboard]]/Table1[[#This Row],[Time to Fill]]*100</f>
        <v>4</v>
      </c>
      <c r="V127">
        <f ca="1">Table1[[#This Row],[Join Date]]-Table1[[#This Row],[Job Posting Date]]</f>
        <v>26</v>
      </c>
      <c r="W127">
        <f t="shared" ca="1" si="19"/>
        <v>162</v>
      </c>
      <c r="X127" s="8">
        <f ca="1">Table1[[#This Row],[Absentee Days]]/Table1[[#This Row],[Total Work Days]]*100</f>
        <v>4.6153846153846159</v>
      </c>
      <c r="Y127">
        <f ca="1">YEAR(Table1[[#This Row],[Join Date]])</f>
        <v>2020</v>
      </c>
      <c r="Z127">
        <f ca="1">IF(Table1[[#This Row],[Status]]="Active",1,0)</f>
        <v>0</v>
      </c>
      <c r="AA127">
        <f ca="1">IF(Table1[[#This Row],[Status]]="Exited",Table1[[#This Row],[Recruitment Cost]]+Table1[[#This Row],[Onboarding cost]]+Table1[[#This Row],[Training Cost]],0)</f>
        <v>5621</v>
      </c>
    </row>
    <row r="128" spans="1:27">
      <c r="A128" t="str">
        <f t="shared" si="12"/>
        <v>E127</v>
      </c>
      <c r="B128" t="str" cm="1">
        <f t="array" aca="1" ref="B128" ca="1">INDEX(sheet2!$A$2:$A$6, RANDBETWEEN(1, 5))</f>
        <v>IT</v>
      </c>
      <c r="C128" t="str">
        <f ca="1">_xlfn.XLOOKUP(Table1[[#This Row],[Department]],sheet2!$A$2:$A$6,sheet2!$B$2:$B$6,_xleta.NA,0)</f>
        <v>Software Engineer</v>
      </c>
      <c r="D128" s="1">
        <f t="shared" ca="1" si="20"/>
        <v>43665</v>
      </c>
      <c r="E128" s="1">
        <f ca="1">Table1[[#This Row],[Job Posting Date]]+ RANDBETWEEN(15, 90)</f>
        <v>43729</v>
      </c>
      <c r="F128" s="1">
        <f ca="1">Table1[[#This Row],[Hire Date]]+ RANDBETWEEN(1, 15)</f>
        <v>43736</v>
      </c>
      <c r="G128" s="1" t="str">
        <f ca="1">IF(RAND() &lt; 0.5,  Table1[[#This Row],[Join Date]]+ RANDBETWEEN(30, TODAY()- Table1[[#This Row],[Join Date]]), "-")</f>
        <v>-</v>
      </c>
      <c r="H128" t="str">
        <f ca="1">IF(Table1[[#This Row],[Exit Date]]= "-", "Active", "Exited")</f>
        <v>Active</v>
      </c>
      <c r="I128" s="5">
        <f t="shared" ca="1" si="21"/>
        <v>3708</v>
      </c>
      <c r="J128" t="str" cm="1">
        <f t="array" aca="1" ref="J128" ca="1">INDEX(sheet2!$C$2:$C$6, RANDBETWEEN(1, 5))</f>
        <v>Advanced Excel Skills </v>
      </c>
      <c r="K128" t="str">
        <f t="shared" ca="1" si="22"/>
        <v>Completed</v>
      </c>
      <c r="L128">
        <v>260</v>
      </c>
      <c r="M128">
        <f t="shared" ca="1" si="16"/>
        <v>4</v>
      </c>
      <c r="N128" t="str">
        <f t="shared" ca="1" si="17"/>
        <v>Male</v>
      </c>
      <c r="O128" s="6">
        <f t="shared" ca="1" si="18"/>
        <v>1752</v>
      </c>
      <c r="P128">
        <f ca="1">Table1[[#This Row],[Hire Date]]-Table1[[#This Row],[Job Posting Date]]</f>
        <v>64</v>
      </c>
      <c r="Q128" s="7">
        <f ca="1">Table1[[#This Row],[Join Date]]-Table1[[#This Row],[Hire Date]]</f>
        <v>7</v>
      </c>
      <c r="R128" s="8">
        <f ca="1">(IF(Table1[[#This Row],[Status]]="Exited",Table1[[#This Row],[Exit Date]]-Table1[[#This Row],[Join Date]],TODAY()-Table1[[#This Row],[Join Date]]))/30</f>
        <v>64.233333333333334</v>
      </c>
      <c r="S128">
        <f ca="1">Table1[[#This Row],[Hire Date]]-Table1[[#This Row],[Job Posting Date]]</f>
        <v>64</v>
      </c>
      <c r="T128" s="7">
        <f ca="1">Table1[[#This Row],[Time to onboard]]/Table1[[#This Row],[Time to Fill]]*100</f>
        <v>10.9375</v>
      </c>
      <c r="U128" s="8">
        <f ca="1">Table1[[#This Row],[Time to onboard]]/Table1[[#This Row],[Time to Fill]]*100</f>
        <v>10.9375</v>
      </c>
      <c r="V128">
        <f ca="1">Table1[[#This Row],[Join Date]]-Table1[[#This Row],[Job Posting Date]]</f>
        <v>71</v>
      </c>
      <c r="W128">
        <f t="shared" ca="1" si="19"/>
        <v>114</v>
      </c>
      <c r="X128" s="8">
        <f ca="1">Table1[[#This Row],[Absentee Days]]/Table1[[#This Row],[Total Work Days]]*100</f>
        <v>1.5384615384615385</v>
      </c>
      <c r="Y128">
        <f ca="1">YEAR(Table1[[#This Row],[Join Date]])</f>
        <v>2019</v>
      </c>
      <c r="Z128">
        <f ca="1">IF(Table1[[#This Row],[Status]]="Active",1,0)</f>
        <v>1</v>
      </c>
      <c r="AA128">
        <f ca="1">IF(Table1[[#This Row],[Status]]="Exited",Table1[[#This Row],[Recruitment Cost]]+Table1[[#This Row],[Onboarding cost]]+Table1[[#This Row],[Training Cost]],0)</f>
        <v>0</v>
      </c>
    </row>
    <row r="129" spans="1:27">
      <c r="A129" t="str">
        <f t="shared" si="12"/>
        <v>E128</v>
      </c>
      <c r="B129" t="str" cm="1">
        <f t="array" aca="1" ref="B129" ca="1">INDEX(sheet2!$A$2:$A$6, RANDBETWEEN(1, 5))</f>
        <v>HR</v>
      </c>
      <c r="C129" t="str">
        <f ca="1">_xlfn.XLOOKUP(Table1[[#This Row],[Department]],sheet2!$A$2:$A$6,sheet2!$B$2:$B$6,_xleta.NA,0)</f>
        <v>HR Manager</v>
      </c>
      <c r="D129" s="1">
        <f t="shared" ca="1" si="20"/>
        <v>44818</v>
      </c>
      <c r="E129" s="1">
        <f ca="1">Table1[[#This Row],[Job Posting Date]]+ RANDBETWEEN(15, 90)</f>
        <v>44871</v>
      </c>
      <c r="F129" s="1">
        <f ca="1">Table1[[#This Row],[Hire Date]]+ RANDBETWEEN(1, 15)</f>
        <v>44872</v>
      </c>
      <c r="G129" s="1" t="str">
        <f ca="1">IF(RAND() &lt; 0.5,  Table1[[#This Row],[Join Date]]+ RANDBETWEEN(30, TODAY()- Table1[[#This Row],[Join Date]]), "-")</f>
        <v>-</v>
      </c>
      <c r="H129" t="str">
        <f ca="1">IF(Table1[[#This Row],[Exit Date]]= "-", "Active", "Exited")</f>
        <v>Active</v>
      </c>
      <c r="I129" s="5">
        <f t="shared" ca="1" si="21"/>
        <v>4589</v>
      </c>
      <c r="J129" t="str" cm="1">
        <f t="array" aca="1" ref="J129" ca="1">INDEX(sheet2!$C$2:$C$6, RANDBETWEEN(1, 5))</f>
        <v>Conflict Resolution</v>
      </c>
      <c r="K129" t="str">
        <f t="shared" ca="1" si="22"/>
        <v>Completed</v>
      </c>
      <c r="L129">
        <v>260</v>
      </c>
      <c r="M129">
        <f t="shared" ca="1" si="16"/>
        <v>0</v>
      </c>
      <c r="N129" t="str">
        <f t="shared" ca="1" si="17"/>
        <v>Other</v>
      </c>
      <c r="O129" s="6">
        <f t="shared" ca="1" si="18"/>
        <v>2263</v>
      </c>
      <c r="P129">
        <f ca="1">Table1[[#This Row],[Hire Date]]-Table1[[#This Row],[Job Posting Date]]</f>
        <v>53</v>
      </c>
      <c r="Q129" s="7">
        <f ca="1">Table1[[#This Row],[Join Date]]-Table1[[#This Row],[Hire Date]]</f>
        <v>1</v>
      </c>
      <c r="R129" s="8">
        <f ca="1">(IF(Table1[[#This Row],[Status]]="Exited",Table1[[#This Row],[Exit Date]]-Table1[[#This Row],[Join Date]],TODAY()-Table1[[#This Row],[Join Date]]))/30</f>
        <v>26.366666666666667</v>
      </c>
      <c r="S129">
        <f ca="1">Table1[[#This Row],[Hire Date]]-Table1[[#This Row],[Job Posting Date]]</f>
        <v>53</v>
      </c>
      <c r="T129" s="7">
        <f ca="1">Table1[[#This Row],[Time to onboard]]/Table1[[#This Row],[Time to Fill]]*100</f>
        <v>1.8867924528301887</v>
      </c>
      <c r="U129" s="8">
        <f ca="1">Table1[[#This Row],[Time to onboard]]/Table1[[#This Row],[Time to Fill]]*100</f>
        <v>1.8867924528301887</v>
      </c>
      <c r="V129">
        <f ca="1">Table1[[#This Row],[Join Date]]-Table1[[#This Row],[Job Posting Date]]</f>
        <v>54</v>
      </c>
      <c r="W129">
        <f t="shared" ca="1" si="19"/>
        <v>112</v>
      </c>
      <c r="X129" s="8">
        <f ca="1">Table1[[#This Row],[Absentee Days]]/Table1[[#This Row],[Total Work Days]]*100</f>
        <v>0</v>
      </c>
      <c r="Y129">
        <f ca="1">YEAR(Table1[[#This Row],[Join Date]])</f>
        <v>2022</v>
      </c>
      <c r="Z129">
        <f ca="1">IF(Table1[[#This Row],[Status]]="Active",1,0)</f>
        <v>1</v>
      </c>
      <c r="AA129">
        <f ca="1">IF(Table1[[#This Row],[Status]]="Exited",Table1[[#This Row],[Recruitment Cost]]+Table1[[#This Row],[Onboarding cost]]+Table1[[#This Row],[Training Cost]],0)</f>
        <v>0</v>
      </c>
    </row>
    <row r="130" spans="1:27">
      <c r="A130" t="str">
        <f t="shared" ref="A130:A193" si="23">"E" &amp; TEXT(ROW(A129), "000")</f>
        <v>E129</v>
      </c>
      <c r="B130" t="str" cm="1">
        <f t="array" aca="1" ref="B130" ca="1">INDEX(sheet2!$A$2:$A$6, RANDBETWEEN(1, 5))</f>
        <v>HR</v>
      </c>
      <c r="C130" t="str">
        <f ca="1">_xlfn.XLOOKUP(Table1[[#This Row],[Department]],sheet2!$A$2:$A$6,sheet2!$B$2:$B$6,_xleta.NA,0)</f>
        <v>HR Manager</v>
      </c>
      <c r="D130" s="1">
        <f t="shared" ca="1" si="20"/>
        <v>44123</v>
      </c>
      <c r="E130" s="1">
        <f ca="1">Table1[[#This Row],[Job Posting Date]]+ RANDBETWEEN(15, 90)</f>
        <v>44195</v>
      </c>
      <c r="F130" s="1">
        <f ca="1">Table1[[#This Row],[Hire Date]]+ RANDBETWEEN(1, 15)</f>
        <v>44205</v>
      </c>
      <c r="G130" s="1">
        <f ca="1">IF(RAND() &lt; 0.5,  Table1[[#This Row],[Join Date]]+ RANDBETWEEN(30, TODAY()- Table1[[#This Row],[Join Date]]), "-")</f>
        <v>44895</v>
      </c>
      <c r="H130" t="str">
        <f ca="1">IF(Table1[[#This Row],[Exit Date]]= "-", "Active", "Exited")</f>
        <v>Exited</v>
      </c>
      <c r="I130" s="5">
        <f t="shared" ca="1" si="21"/>
        <v>3672</v>
      </c>
      <c r="J130" t="str" cm="1">
        <f t="array" aca="1" ref="J130" ca="1">INDEX(sheet2!$C$2:$C$6, RANDBETWEEN(1, 5))</f>
        <v>Communication Skills</v>
      </c>
      <c r="K130" t="str">
        <f t="shared" ca="1" si="22"/>
        <v>Completed</v>
      </c>
      <c r="L130">
        <v>260</v>
      </c>
      <c r="M130">
        <f t="shared" ref="M130:M193" ca="1" si="24">RANDBETWEEN(0, 20)</f>
        <v>17</v>
      </c>
      <c r="N130" t="str">
        <f t="shared" ref="N130:N193" ca="1" si="25">CHOOSE(RANDBETWEEN(1, 3), "Male", "Female", "Other")</f>
        <v>Male</v>
      </c>
      <c r="O130" s="6">
        <f t="shared" ref="O130:O193" ca="1" si="26">RANDBETWEEN(1200, 2500)</f>
        <v>1264</v>
      </c>
      <c r="P130">
        <f ca="1">Table1[[#This Row],[Hire Date]]-Table1[[#This Row],[Job Posting Date]]</f>
        <v>72</v>
      </c>
      <c r="Q130" s="7">
        <f ca="1">Table1[[#This Row],[Join Date]]-Table1[[#This Row],[Hire Date]]</f>
        <v>10</v>
      </c>
      <c r="R130" s="8">
        <f ca="1">(IF(Table1[[#This Row],[Status]]="Exited",Table1[[#This Row],[Exit Date]]-Table1[[#This Row],[Join Date]],TODAY()-Table1[[#This Row],[Join Date]]))/30</f>
        <v>23</v>
      </c>
      <c r="S130">
        <f ca="1">Table1[[#This Row],[Hire Date]]-Table1[[#This Row],[Job Posting Date]]</f>
        <v>72</v>
      </c>
      <c r="T130" s="7">
        <f ca="1">Table1[[#This Row],[Time to onboard]]/Table1[[#This Row],[Time to Fill]]*100</f>
        <v>13.888888888888889</v>
      </c>
      <c r="U130" s="8">
        <f ca="1">Table1[[#This Row],[Time to onboard]]/Table1[[#This Row],[Time to Fill]]*100</f>
        <v>13.888888888888889</v>
      </c>
      <c r="V130">
        <f ca="1">Table1[[#This Row],[Join Date]]-Table1[[#This Row],[Job Posting Date]]</f>
        <v>82</v>
      </c>
      <c r="W130">
        <f t="shared" ref="W130:W193" ca="1" si="27">RANDBETWEEN(100,200)</f>
        <v>189</v>
      </c>
      <c r="X130" s="8">
        <f ca="1">Table1[[#This Row],[Absentee Days]]/Table1[[#This Row],[Total Work Days]]*100</f>
        <v>6.5384615384615392</v>
      </c>
      <c r="Y130">
        <f ca="1">YEAR(Table1[[#This Row],[Join Date]])</f>
        <v>2021</v>
      </c>
      <c r="Z130">
        <f ca="1">IF(Table1[[#This Row],[Status]]="Active",1,0)</f>
        <v>0</v>
      </c>
      <c r="AA130">
        <f ca="1">IF(Table1[[#This Row],[Status]]="Exited",Table1[[#This Row],[Recruitment Cost]]+Table1[[#This Row],[Onboarding cost]]+Table1[[#This Row],[Training Cost]],0)</f>
        <v>5125</v>
      </c>
    </row>
    <row r="131" spans="1:27">
      <c r="A131" t="str">
        <f t="shared" si="23"/>
        <v>E130</v>
      </c>
      <c r="B131" t="str" cm="1">
        <f t="array" aca="1" ref="B131" ca="1">INDEX(sheet2!$A$2:$A$6, RANDBETWEEN(1, 5))</f>
        <v>Analytics</v>
      </c>
      <c r="C131" t="str">
        <f ca="1">_xlfn.XLOOKUP(Table1[[#This Row],[Department]],sheet2!$A$2:$A$6,sheet2!$B$2:$B$6,_xleta.NA,0)</f>
        <v>Data Analyst</v>
      </c>
      <c r="D131" s="1">
        <f t="shared" ca="1" si="20"/>
        <v>44585</v>
      </c>
      <c r="E131" s="1">
        <f ca="1">Table1[[#This Row],[Job Posting Date]]+ RANDBETWEEN(15, 90)</f>
        <v>44613</v>
      </c>
      <c r="F131" s="1">
        <f ca="1">Table1[[#This Row],[Hire Date]]+ RANDBETWEEN(1, 15)</f>
        <v>44619</v>
      </c>
      <c r="G131" s="1">
        <f ca="1">IF(RAND() &lt; 0.5,  Table1[[#This Row],[Join Date]]+ RANDBETWEEN(30, TODAY()- Table1[[#This Row],[Join Date]]), "-")</f>
        <v>45019</v>
      </c>
      <c r="H131" t="str">
        <f ca="1">IF(Table1[[#This Row],[Exit Date]]= "-", "Active", "Exited")</f>
        <v>Exited</v>
      </c>
      <c r="I131" s="5">
        <f t="shared" ca="1" si="21"/>
        <v>3617</v>
      </c>
      <c r="J131" t="str" cm="1">
        <f t="array" aca="1" ref="J131" ca="1">INDEX(sheet2!$C$2:$C$6, RANDBETWEEN(1, 5))</f>
        <v>Ethics and Responsibilities</v>
      </c>
      <c r="K131" t="str">
        <f t="shared" ca="1" si="22"/>
        <v>Completed</v>
      </c>
      <c r="L131">
        <v>260</v>
      </c>
      <c r="M131">
        <f t="shared" ca="1" si="24"/>
        <v>18</v>
      </c>
      <c r="N131" t="str">
        <f t="shared" ca="1" si="25"/>
        <v>Male</v>
      </c>
      <c r="O131" s="6">
        <f t="shared" ca="1" si="26"/>
        <v>2008</v>
      </c>
      <c r="P131">
        <f ca="1">Table1[[#This Row],[Hire Date]]-Table1[[#This Row],[Job Posting Date]]</f>
        <v>28</v>
      </c>
      <c r="Q131" s="7">
        <f ca="1">Table1[[#This Row],[Join Date]]-Table1[[#This Row],[Hire Date]]</f>
        <v>6</v>
      </c>
      <c r="R131" s="8">
        <f ca="1">(IF(Table1[[#This Row],[Status]]="Exited",Table1[[#This Row],[Exit Date]]-Table1[[#This Row],[Join Date]],TODAY()-Table1[[#This Row],[Join Date]]))/30</f>
        <v>13.333333333333334</v>
      </c>
      <c r="S131">
        <f ca="1">Table1[[#This Row],[Hire Date]]-Table1[[#This Row],[Job Posting Date]]</f>
        <v>28</v>
      </c>
      <c r="T131" s="7">
        <f ca="1">Table1[[#This Row],[Time to onboard]]/Table1[[#This Row],[Time to Fill]]*100</f>
        <v>21.428571428571427</v>
      </c>
      <c r="U131" s="8">
        <f ca="1">Table1[[#This Row],[Time to onboard]]/Table1[[#This Row],[Time to Fill]]*100</f>
        <v>21.428571428571427</v>
      </c>
      <c r="V131">
        <f ca="1">Table1[[#This Row],[Join Date]]-Table1[[#This Row],[Job Posting Date]]</f>
        <v>34</v>
      </c>
      <c r="W131">
        <f t="shared" ca="1" si="27"/>
        <v>116</v>
      </c>
      <c r="X131" s="8">
        <f ca="1">Table1[[#This Row],[Absentee Days]]/Table1[[#This Row],[Total Work Days]]*100</f>
        <v>6.9230769230769234</v>
      </c>
      <c r="Y131">
        <f ca="1">YEAR(Table1[[#This Row],[Join Date]])</f>
        <v>2022</v>
      </c>
      <c r="Z131">
        <f ca="1">IF(Table1[[#This Row],[Status]]="Active",1,0)</f>
        <v>0</v>
      </c>
      <c r="AA131">
        <f ca="1">IF(Table1[[#This Row],[Status]]="Exited",Table1[[#This Row],[Recruitment Cost]]+Table1[[#This Row],[Onboarding cost]]+Table1[[#This Row],[Training Cost]],0)</f>
        <v>5741</v>
      </c>
    </row>
    <row r="132" spans="1:27">
      <c r="A132" t="str">
        <f t="shared" si="23"/>
        <v>E131</v>
      </c>
      <c r="B132" t="str" cm="1">
        <f t="array" aca="1" ref="B132" ca="1">INDEX(sheet2!$A$2:$A$6, RANDBETWEEN(1, 5))</f>
        <v>HR</v>
      </c>
      <c r="C132" t="str">
        <f ca="1">_xlfn.XLOOKUP(Table1[[#This Row],[Department]],sheet2!$A$2:$A$6,sheet2!$B$2:$B$6,_xleta.NA,0)</f>
        <v>HR Manager</v>
      </c>
      <c r="D132" s="1">
        <f t="shared" ca="1" si="20"/>
        <v>43683</v>
      </c>
      <c r="E132" s="1">
        <f ca="1">Table1[[#This Row],[Job Posting Date]]+ RANDBETWEEN(15, 90)</f>
        <v>43760</v>
      </c>
      <c r="F132" s="1">
        <f ca="1">Table1[[#This Row],[Hire Date]]+ RANDBETWEEN(1, 15)</f>
        <v>43770</v>
      </c>
      <c r="G132" s="1" t="str">
        <f ca="1">IF(RAND() &lt; 0.5,  Table1[[#This Row],[Join Date]]+ RANDBETWEEN(30, TODAY()- Table1[[#This Row],[Join Date]]), "-")</f>
        <v>-</v>
      </c>
      <c r="H132" t="str">
        <f ca="1">IF(Table1[[#This Row],[Exit Date]]= "-", "Active", "Exited")</f>
        <v>Active</v>
      </c>
      <c r="I132" s="5">
        <f t="shared" ca="1" si="21"/>
        <v>2187</v>
      </c>
      <c r="J132" t="str" cm="1">
        <f t="array" aca="1" ref="J132" ca="1">INDEX(sheet2!$C$2:$C$6, RANDBETWEEN(1, 5))</f>
        <v>Advanced Excel Skills </v>
      </c>
      <c r="K132" t="str">
        <f t="shared" ca="1" si="22"/>
        <v>Completed</v>
      </c>
      <c r="L132">
        <v>260</v>
      </c>
      <c r="M132">
        <f t="shared" ca="1" si="24"/>
        <v>15</v>
      </c>
      <c r="N132" t="str">
        <f t="shared" ca="1" si="25"/>
        <v>Other</v>
      </c>
      <c r="O132" s="6">
        <f t="shared" ca="1" si="26"/>
        <v>2183</v>
      </c>
      <c r="P132">
        <f ca="1">Table1[[#This Row],[Hire Date]]-Table1[[#This Row],[Job Posting Date]]</f>
        <v>77</v>
      </c>
      <c r="Q132" s="7">
        <f ca="1">Table1[[#This Row],[Join Date]]-Table1[[#This Row],[Hire Date]]</f>
        <v>10</v>
      </c>
      <c r="R132" s="8">
        <f ca="1">(IF(Table1[[#This Row],[Status]]="Exited",Table1[[#This Row],[Exit Date]]-Table1[[#This Row],[Join Date]],TODAY()-Table1[[#This Row],[Join Date]]))/30</f>
        <v>63.1</v>
      </c>
      <c r="S132">
        <f ca="1">Table1[[#This Row],[Hire Date]]-Table1[[#This Row],[Job Posting Date]]</f>
        <v>77</v>
      </c>
      <c r="T132" s="7">
        <f ca="1">Table1[[#This Row],[Time to onboard]]/Table1[[#This Row],[Time to Fill]]*100</f>
        <v>12.987012987012985</v>
      </c>
      <c r="U132" s="8">
        <f ca="1">Table1[[#This Row],[Time to onboard]]/Table1[[#This Row],[Time to Fill]]*100</f>
        <v>12.987012987012985</v>
      </c>
      <c r="V132">
        <f ca="1">Table1[[#This Row],[Join Date]]-Table1[[#This Row],[Job Posting Date]]</f>
        <v>87</v>
      </c>
      <c r="W132">
        <f t="shared" ca="1" si="27"/>
        <v>135</v>
      </c>
      <c r="X132" s="8">
        <f ca="1">Table1[[#This Row],[Absentee Days]]/Table1[[#This Row],[Total Work Days]]*100</f>
        <v>5.7692307692307692</v>
      </c>
      <c r="Y132">
        <f ca="1">YEAR(Table1[[#This Row],[Join Date]])</f>
        <v>2019</v>
      </c>
      <c r="Z132">
        <f ca="1">IF(Table1[[#This Row],[Status]]="Active",1,0)</f>
        <v>1</v>
      </c>
      <c r="AA132">
        <f ca="1">IF(Table1[[#This Row],[Status]]="Exited",Table1[[#This Row],[Recruitment Cost]]+Table1[[#This Row],[Onboarding cost]]+Table1[[#This Row],[Training Cost]],0)</f>
        <v>0</v>
      </c>
    </row>
    <row r="133" spans="1:27">
      <c r="A133" t="str">
        <f t="shared" si="23"/>
        <v>E132</v>
      </c>
      <c r="B133" t="str" cm="1">
        <f t="array" aca="1" ref="B133" ca="1">INDEX(sheet2!$A$2:$A$6, RANDBETWEEN(1, 5))</f>
        <v>IT</v>
      </c>
      <c r="C133" t="str">
        <f ca="1">_xlfn.XLOOKUP(Table1[[#This Row],[Department]],sheet2!$A$2:$A$6,sheet2!$B$2:$B$6,_xleta.NA,0)</f>
        <v>Software Engineer</v>
      </c>
      <c r="D133" s="1">
        <f t="shared" ca="1" si="20"/>
        <v>43856</v>
      </c>
      <c r="E133" s="1">
        <f ca="1">Table1[[#This Row],[Job Posting Date]]+ RANDBETWEEN(15, 90)</f>
        <v>43945</v>
      </c>
      <c r="F133" s="1">
        <f ca="1">Table1[[#This Row],[Hire Date]]+ RANDBETWEEN(1, 15)</f>
        <v>43955</v>
      </c>
      <c r="G133" s="1" t="str">
        <f ca="1">IF(RAND() &lt; 0.5,  Table1[[#This Row],[Join Date]]+ RANDBETWEEN(30, TODAY()- Table1[[#This Row],[Join Date]]), "-")</f>
        <v>-</v>
      </c>
      <c r="H133" t="str">
        <f ca="1">IF(Table1[[#This Row],[Exit Date]]= "-", "Active", "Exited")</f>
        <v>Active</v>
      </c>
      <c r="I133" s="5">
        <f t="shared" ca="1" si="21"/>
        <v>4186</v>
      </c>
      <c r="J133" t="str" cm="1">
        <f t="array" aca="1" ref="J133" ca="1">INDEX(sheet2!$C$2:$C$6, RANDBETWEEN(1, 5))</f>
        <v>Advanced Excel Skills </v>
      </c>
      <c r="K133" t="str">
        <f t="shared" ca="1" si="22"/>
        <v>Not Completed</v>
      </c>
      <c r="L133">
        <v>260</v>
      </c>
      <c r="M133">
        <f t="shared" ca="1" si="24"/>
        <v>6</v>
      </c>
      <c r="N133" t="str">
        <f t="shared" ca="1" si="25"/>
        <v>Male</v>
      </c>
      <c r="O133" s="6">
        <f t="shared" ca="1" si="26"/>
        <v>1693</v>
      </c>
      <c r="P133">
        <f ca="1">Table1[[#This Row],[Hire Date]]-Table1[[#This Row],[Job Posting Date]]</f>
        <v>89</v>
      </c>
      <c r="Q133" s="7">
        <f ca="1">Table1[[#This Row],[Join Date]]-Table1[[#This Row],[Hire Date]]</f>
        <v>10</v>
      </c>
      <c r="R133" s="8">
        <f ca="1">(IF(Table1[[#This Row],[Status]]="Exited",Table1[[#This Row],[Exit Date]]-Table1[[#This Row],[Join Date]],TODAY()-Table1[[#This Row],[Join Date]]))/30</f>
        <v>56.93333333333333</v>
      </c>
      <c r="S133">
        <f ca="1">Table1[[#This Row],[Hire Date]]-Table1[[#This Row],[Job Posting Date]]</f>
        <v>89</v>
      </c>
      <c r="T133" s="7">
        <f ca="1">Table1[[#This Row],[Time to onboard]]/Table1[[#This Row],[Time to Fill]]*100</f>
        <v>11.235955056179774</v>
      </c>
      <c r="U133" s="8">
        <f ca="1">Table1[[#This Row],[Time to onboard]]/Table1[[#This Row],[Time to Fill]]*100</f>
        <v>11.235955056179774</v>
      </c>
      <c r="V133">
        <f ca="1">Table1[[#This Row],[Join Date]]-Table1[[#This Row],[Job Posting Date]]</f>
        <v>99</v>
      </c>
      <c r="W133">
        <f t="shared" ca="1" si="27"/>
        <v>167</v>
      </c>
      <c r="X133" s="8">
        <f ca="1">Table1[[#This Row],[Absentee Days]]/Table1[[#This Row],[Total Work Days]]*100</f>
        <v>2.3076923076923079</v>
      </c>
      <c r="Y133">
        <f ca="1">YEAR(Table1[[#This Row],[Join Date]])</f>
        <v>2020</v>
      </c>
      <c r="Z133">
        <f ca="1">IF(Table1[[#This Row],[Status]]="Active",1,0)</f>
        <v>1</v>
      </c>
      <c r="AA133">
        <f ca="1">IF(Table1[[#This Row],[Status]]="Exited",Table1[[#This Row],[Recruitment Cost]]+Table1[[#This Row],[Onboarding cost]]+Table1[[#This Row],[Training Cost]],0)</f>
        <v>0</v>
      </c>
    </row>
    <row r="134" spans="1:27">
      <c r="A134" t="str">
        <f t="shared" si="23"/>
        <v>E133</v>
      </c>
      <c r="B134" t="str" cm="1">
        <f t="array" aca="1" ref="B134" ca="1">INDEX(sheet2!$A$2:$A$6, RANDBETWEEN(1, 5))</f>
        <v>Sales</v>
      </c>
      <c r="C134" t="str">
        <f ca="1">_xlfn.XLOOKUP(Table1[[#This Row],[Department]],sheet2!$A$2:$A$6,sheet2!$B$2:$B$6,_xleta.NA,0)</f>
        <v>Marketing Manager</v>
      </c>
      <c r="D134" s="1">
        <f t="shared" ca="1" si="20"/>
        <v>43621</v>
      </c>
      <c r="E134" s="1">
        <f ca="1">Table1[[#This Row],[Job Posting Date]]+ RANDBETWEEN(15, 90)</f>
        <v>43688</v>
      </c>
      <c r="F134" s="1">
        <f ca="1">Table1[[#This Row],[Hire Date]]+ RANDBETWEEN(1, 15)</f>
        <v>43698</v>
      </c>
      <c r="G134" s="1">
        <f ca="1">IF(RAND() &lt; 0.5,  Table1[[#This Row],[Join Date]]+ RANDBETWEEN(30, TODAY()- Table1[[#This Row],[Join Date]]), "-")</f>
        <v>45045</v>
      </c>
      <c r="H134" t="str">
        <f ca="1">IF(Table1[[#This Row],[Exit Date]]= "-", "Active", "Exited")</f>
        <v>Exited</v>
      </c>
      <c r="I134" s="5">
        <f t="shared" ca="1" si="21"/>
        <v>2835</v>
      </c>
      <c r="J134" t="str" cm="1">
        <f t="array" aca="1" ref="J134" ca="1">INDEX(sheet2!$C$2:$C$6, RANDBETWEEN(1, 5))</f>
        <v>Advanced Excel Skills </v>
      </c>
      <c r="K134" t="str">
        <f t="shared" ca="1" si="22"/>
        <v>Not Completed</v>
      </c>
      <c r="L134">
        <v>260</v>
      </c>
      <c r="M134">
        <f t="shared" ca="1" si="24"/>
        <v>11</v>
      </c>
      <c r="N134" t="str">
        <f t="shared" ca="1" si="25"/>
        <v>Female</v>
      </c>
      <c r="O134" s="6">
        <f t="shared" ca="1" si="26"/>
        <v>1558</v>
      </c>
      <c r="P134">
        <f ca="1">Table1[[#This Row],[Hire Date]]-Table1[[#This Row],[Job Posting Date]]</f>
        <v>67</v>
      </c>
      <c r="Q134" s="7">
        <f ca="1">Table1[[#This Row],[Join Date]]-Table1[[#This Row],[Hire Date]]</f>
        <v>10</v>
      </c>
      <c r="R134" s="8">
        <f ca="1">(IF(Table1[[#This Row],[Status]]="Exited",Table1[[#This Row],[Exit Date]]-Table1[[#This Row],[Join Date]],TODAY()-Table1[[#This Row],[Join Date]]))/30</f>
        <v>44.9</v>
      </c>
      <c r="S134">
        <f ca="1">Table1[[#This Row],[Hire Date]]-Table1[[#This Row],[Job Posting Date]]</f>
        <v>67</v>
      </c>
      <c r="T134" s="7">
        <f ca="1">Table1[[#This Row],[Time to onboard]]/Table1[[#This Row],[Time to Fill]]*100</f>
        <v>14.925373134328357</v>
      </c>
      <c r="U134" s="8">
        <f ca="1">Table1[[#This Row],[Time to onboard]]/Table1[[#This Row],[Time to Fill]]*100</f>
        <v>14.925373134328357</v>
      </c>
      <c r="V134">
        <f ca="1">Table1[[#This Row],[Join Date]]-Table1[[#This Row],[Job Posting Date]]</f>
        <v>77</v>
      </c>
      <c r="W134">
        <f t="shared" ca="1" si="27"/>
        <v>145</v>
      </c>
      <c r="X134" s="8">
        <f ca="1">Table1[[#This Row],[Absentee Days]]/Table1[[#This Row],[Total Work Days]]*100</f>
        <v>4.2307692307692308</v>
      </c>
      <c r="Y134">
        <f ca="1">YEAR(Table1[[#This Row],[Join Date]])</f>
        <v>2019</v>
      </c>
      <c r="Z134">
        <f ca="1">IF(Table1[[#This Row],[Status]]="Active",1,0)</f>
        <v>0</v>
      </c>
      <c r="AA134">
        <f ca="1">IF(Table1[[#This Row],[Status]]="Exited",Table1[[#This Row],[Recruitment Cost]]+Table1[[#This Row],[Onboarding cost]]+Table1[[#This Row],[Training Cost]],0)</f>
        <v>4538</v>
      </c>
    </row>
    <row r="135" spans="1:27">
      <c r="A135" t="str">
        <f t="shared" si="23"/>
        <v>E134</v>
      </c>
      <c r="B135" t="str" cm="1">
        <f t="array" aca="1" ref="B135" ca="1">INDEX(sheet2!$A$2:$A$6, RANDBETWEEN(1, 5))</f>
        <v>IT</v>
      </c>
      <c r="C135" t="str">
        <f ca="1">_xlfn.XLOOKUP(Table1[[#This Row],[Department]],sheet2!$A$2:$A$6,sheet2!$B$2:$B$6,_xleta.NA,0)</f>
        <v>Software Engineer</v>
      </c>
      <c r="D135" s="1">
        <f t="shared" ca="1" si="20"/>
        <v>43241</v>
      </c>
      <c r="E135" s="1">
        <f ca="1">Table1[[#This Row],[Job Posting Date]]+ RANDBETWEEN(15, 90)</f>
        <v>43307</v>
      </c>
      <c r="F135" s="1">
        <f ca="1">Table1[[#This Row],[Hire Date]]+ RANDBETWEEN(1, 15)</f>
        <v>43322</v>
      </c>
      <c r="G135" s="1">
        <f ca="1">IF(RAND() &lt; 0.5,  Table1[[#This Row],[Join Date]]+ RANDBETWEEN(30, TODAY()- Table1[[#This Row],[Join Date]]), "-")</f>
        <v>43912</v>
      </c>
      <c r="H135" t="str">
        <f ca="1">IF(Table1[[#This Row],[Exit Date]]= "-", "Active", "Exited")</f>
        <v>Exited</v>
      </c>
      <c r="I135" s="5">
        <f t="shared" ca="1" si="21"/>
        <v>4846</v>
      </c>
      <c r="J135" t="str" cm="1">
        <f t="array" aca="1" ref="J135" ca="1">INDEX(sheet2!$C$2:$C$6, RANDBETWEEN(1, 5))</f>
        <v>Advanced Excel Skills </v>
      </c>
      <c r="K135" t="str">
        <f t="shared" ca="1" si="22"/>
        <v>Completed</v>
      </c>
      <c r="L135">
        <v>260</v>
      </c>
      <c r="M135">
        <f t="shared" ca="1" si="24"/>
        <v>14</v>
      </c>
      <c r="N135" t="str">
        <f t="shared" ca="1" si="25"/>
        <v>Other</v>
      </c>
      <c r="O135" s="6">
        <f t="shared" ca="1" si="26"/>
        <v>1545</v>
      </c>
      <c r="P135">
        <f ca="1">Table1[[#This Row],[Hire Date]]-Table1[[#This Row],[Job Posting Date]]</f>
        <v>66</v>
      </c>
      <c r="Q135" s="7">
        <f ca="1">Table1[[#This Row],[Join Date]]-Table1[[#This Row],[Hire Date]]</f>
        <v>15</v>
      </c>
      <c r="R135" s="8">
        <f ca="1">(IF(Table1[[#This Row],[Status]]="Exited",Table1[[#This Row],[Exit Date]]-Table1[[#This Row],[Join Date]],TODAY()-Table1[[#This Row],[Join Date]]))/30</f>
        <v>19.666666666666668</v>
      </c>
      <c r="S135">
        <f ca="1">Table1[[#This Row],[Hire Date]]-Table1[[#This Row],[Job Posting Date]]</f>
        <v>66</v>
      </c>
      <c r="T135" s="7">
        <f ca="1">Table1[[#This Row],[Time to onboard]]/Table1[[#This Row],[Time to Fill]]*100</f>
        <v>22.727272727272727</v>
      </c>
      <c r="U135" s="8">
        <f ca="1">Table1[[#This Row],[Time to onboard]]/Table1[[#This Row],[Time to Fill]]*100</f>
        <v>22.727272727272727</v>
      </c>
      <c r="V135">
        <f ca="1">Table1[[#This Row],[Join Date]]-Table1[[#This Row],[Job Posting Date]]</f>
        <v>81</v>
      </c>
      <c r="W135">
        <f t="shared" ca="1" si="27"/>
        <v>163</v>
      </c>
      <c r="X135" s="8">
        <f ca="1">Table1[[#This Row],[Absentee Days]]/Table1[[#This Row],[Total Work Days]]*100</f>
        <v>5.384615384615385</v>
      </c>
      <c r="Y135">
        <f ca="1">YEAR(Table1[[#This Row],[Join Date]])</f>
        <v>2018</v>
      </c>
      <c r="Z135">
        <f ca="1">IF(Table1[[#This Row],[Status]]="Active",1,0)</f>
        <v>0</v>
      </c>
      <c r="AA135">
        <f ca="1">IF(Table1[[#This Row],[Status]]="Exited",Table1[[#This Row],[Recruitment Cost]]+Table1[[#This Row],[Onboarding cost]]+Table1[[#This Row],[Training Cost]],0)</f>
        <v>6554</v>
      </c>
    </row>
    <row r="136" spans="1:27">
      <c r="A136" t="str">
        <f t="shared" si="23"/>
        <v>E135</v>
      </c>
      <c r="B136" t="str" cm="1">
        <f t="array" aca="1" ref="B136" ca="1">INDEX(sheet2!$A$2:$A$6, RANDBETWEEN(1, 5))</f>
        <v>Sales</v>
      </c>
      <c r="C136" t="str">
        <f ca="1">_xlfn.XLOOKUP(Table1[[#This Row],[Department]],sheet2!$A$2:$A$6,sheet2!$B$2:$B$6,_xleta.NA,0)</f>
        <v>Marketing Manager</v>
      </c>
      <c r="D136" s="1">
        <f t="shared" ca="1" si="20"/>
        <v>44282</v>
      </c>
      <c r="E136" s="1">
        <f ca="1">Table1[[#This Row],[Job Posting Date]]+ RANDBETWEEN(15, 90)</f>
        <v>44323</v>
      </c>
      <c r="F136" s="1">
        <f ca="1">Table1[[#This Row],[Hire Date]]+ RANDBETWEEN(1, 15)</f>
        <v>44331</v>
      </c>
      <c r="G136" s="1">
        <f ca="1">IF(RAND() &lt; 0.5,  Table1[[#This Row],[Join Date]]+ RANDBETWEEN(30, TODAY()- Table1[[#This Row],[Join Date]]), "-")</f>
        <v>44767</v>
      </c>
      <c r="H136" t="str">
        <f ca="1">IF(Table1[[#This Row],[Exit Date]]= "-", "Active", "Exited")</f>
        <v>Exited</v>
      </c>
      <c r="I136" s="5">
        <f t="shared" ca="1" si="21"/>
        <v>4931</v>
      </c>
      <c r="J136" t="str" cm="1">
        <f t="array" aca="1" ref="J136" ca="1">INDEX(sheet2!$C$2:$C$6, RANDBETWEEN(1, 5))</f>
        <v>Conflict Resolution</v>
      </c>
      <c r="K136" t="str">
        <f t="shared" ca="1" si="22"/>
        <v>Completed</v>
      </c>
      <c r="L136">
        <v>260</v>
      </c>
      <c r="M136">
        <f t="shared" ca="1" si="24"/>
        <v>2</v>
      </c>
      <c r="N136" t="str">
        <f t="shared" ca="1" si="25"/>
        <v>Female</v>
      </c>
      <c r="O136" s="6">
        <f t="shared" ca="1" si="26"/>
        <v>2022</v>
      </c>
      <c r="P136">
        <f ca="1">Table1[[#This Row],[Hire Date]]-Table1[[#This Row],[Job Posting Date]]</f>
        <v>41</v>
      </c>
      <c r="Q136" s="7">
        <f ca="1">Table1[[#This Row],[Join Date]]-Table1[[#This Row],[Hire Date]]</f>
        <v>8</v>
      </c>
      <c r="R136" s="8">
        <f ca="1">(IF(Table1[[#This Row],[Status]]="Exited",Table1[[#This Row],[Exit Date]]-Table1[[#This Row],[Join Date]],TODAY()-Table1[[#This Row],[Join Date]]))/30</f>
        <v>14.533333333333333</v>
      </c>
      <c r="S136">
        <f ca="1">Table1[[#This Row],[Hire Date]]-Table1[[#This Row],[Job Posting Date]]</f>
        <v>41</v>
      </c>
      <c r="T136" s="7">
        <f ca="1">Table1[[#This Row],[Time to onboard]]/Table1[[#This Row],[Time to Fill]]*100</f>
        <v>19.512195121951219</v>
      </c>
      <c r="U136" s="8">
        <f ca="1">Table1[[#This Row],[Time to onboard]]/Table1[[#This Row],[Time to Fill]]*100</f>
        <v>19.512195121951219</v>
      </c>
      <c r="V136">
        <f ca="1">Table1[[#This Row],[Join Date]]-Table1[[#This Row],[Job Posting Date]]</f>
        <v>49</v>
      </c>
      <c r="W136">
        <f t="shared" ca="1" si="27"/>
        <v>123</v>
      </c>
      <c r="X136" s="8">
        <f ca="1">Table1[[#This Row],[Absentee Days]]/Table1[[#This Row],[Total Work Days]]*100</f>
        <v>0.76923076923076927</v>
      </c>
      <c r="Y136">
        <f ca="1">YEAR(Table1[[#This Row],[Join Date]])</f>
        <v>2021</v>
      </c>
      <c r="Z136">
        <f ca="1">IF(Table1[[#This Row],[Status]]="Active",1,0)</f>
        <v>0</v>
      </c>
      <c r="AA136">
        <f ca="1">IF(Table1[[#This Row],[Status]]="Exited",Table1[[#This Row],[Recruitment Cost]]+Table1[[#This Row],[Onboarding cost]]+Table1[[#This Row],[Training Cost]],0)</f>
        <v>7076</v>
      </c>
    </row>
    <row r="137" spans="1:27">
      <c r="A137" t="str">
        <f t="shared" si="23"/>
        <v>E136</v>
      </c>
      <c r="B137" t="str" cm="1">
        <f t="array" aca="1" ref="B137" ca="1">INDEX(sheet2!$A$2:$A$6, RANDBETWEEN(1, 5))</f>
        <v>Finance</v>
      </c>
      <c r="C137" t="str">
        <f ca="1">_xlfn.XLOOKUP(Table1[[#This Row],[Department]],sheet2!$A$2:$A$6,sheet2!$B$2:$B$6,_xleta.NA,0)</f>
        <v>Finance Manager</v>
      </c>
      <c r="D137" s="1">
        <f t="shared" ca="1" si="20"/>
        <v>44788</v>
      </c>
      <c r="E137" s="1">
        <f ca="1">Table1[[#This Row],[Job Posting Date]]+ RANDBETWEEN(15, 90)</f>
        <v>44832</v>
      </c>
      <c r="F137" s="1">
        <f ca="1">Table1[[#This Row],[Hire Date]]+ RANDBETWEEN(1, 15)</f>
        <v>44845</v>
      </c>
      <c r="G137" s="1">
        <f ca="1">IF(RAND() &lt; 0.5,  Table1[[#This Row],[Join Date]]+ RANDBETWEEN(30, TODAY()- Table1[[#This Row],[Join Date]]), "-")</f>
        <v>45133</v>
      </c>
      <c r="H137" t="str">
        <f ca="1">IF(Table1[[#This Row],[Exit Date]]= "-", "Active", "Exited")</f>
        <v>Exited</v>
      </c>
      <c r="I137" s="5">
        <f t="shared" ca="1" si="21"/>
        <v>3903</v>
      </c>
      <c r="J137" t="str" cm="1">
        <f t="array" aca="1" ref="J137" ca="1">INDEX(sheet2!$C$2:$C$6, RANDBETWEEN(1, 5))</f>
        <v>Ethics and Responsibilities</v>
      </c>
      <c r="K137" t="str">
        <f t="shared" ca="1" si="22"/>
        <v>Completed</v>
      </c>
      <c r="L137">
        <v>260</v>
      </c>
      <c r="M137">
        <f t="shared" ca="1" si="24"/>
        <v>14</v>
      </c>
      <c r="N137" t="str">
        <f t="shared" ca="1" si="25"/>
        <v>Other</v>
      </c>
      <c r="O137" s="6">
        <f t="shared" ca="1" si="26"/>
        <v>2261</v>
      </c>
      <c r="P137">
        <f ca="1">Table1[[#This Row],[Hire Date]]-Table1[[#This Row],[Job Posting Date]]</f>
        <v>44</v>
      </c>
      <c r="Q137" s="7">
        <f ca="1">Table1[[#This Row],[Join Date]]-Table1[[#This Row],[Hire Date]]</f>
        <v>13</v>
      </c>
      <c r="R137" s="8">
        <f ca="1">(IF(Table1[[#This Row],[Status]]="Exited",Table1[[#This Row],[Exit Date]]-Table1[[#This Row],[Join Date]],TODAY()-Table1[[#This Row],[Join Date]]))/30</f>
        <v>9.6</v>
      </c>
      <c r="S137">
        <f ca="1">Table1[[#This Row],[Hire Date]]-Table1[[#This Row],[Job Posting Date]]</f>
        <v>44</v>
      </c>
      <c r="T137" s="7">
        <f ca="1">Table1[[#This Row],[Time to onboard]]/Table1[[#This Row],[Time to Fill]]*100</f>
        <v>29.545454545454547</v>
      </c>
      <c r="U137" s="8">
        <f ca="1">Table1[[#This Row],[Time to onboard]]/Table1[[#This Row],[Time to Fill]]*100</f>
        <v>29.545454545454547</v>
      </c>
      <c r="V137">
        <f ca="1">Table1[[#This Row],[Join Date]]-Table1[[#This Row],[Job Posting Date]]</f>
        <v>57</v>
      </c>
      <c r="W137">
        <f t="shared" ca="1" si="27"/>
        <v>184</v>
      </c>
      <c r="X137" s="8">
        <f ca="1">Table1[[#This Row],[Absentee Days]]/Table1[[#This Row],[Total Work Days]]*100</f>
        <v>5.384615384615385</v>
      </c>
      <c r="Y137">
        <f ca="1">YEAR(Table1[[#This Row],[Join Date]])</f>
        <v>2022</v>
      </c>
      <c r="Z137">
        <f ca="1">IF(Table1[[#This Row],[Status]]="Active",1,0)</f>
        <v>0</v>
      </c>
      <c r="AA137">
        <f ca="1">IF(Table1[[#This Row],[Status]]="Exited",Table1[[#This Row],[Recruitment Cost]]+Table1[[#This Row],[Onboarding cost]]+Table1[[#This Row],[Training Cost]],0)</f>
        <v>6348</v>
      </c>
    </row>
    <row r="138" spans="1:27">
      <c r="A138" t="str">
        <f t="shared" si="23"/>
        <v>E137</v>
      </c>
      <c r="B138" t="str" cm="1">
        <f t="array" aca="1" ref="B138" ca="1">INDEX(sheet2!$A$2:$A$6, RANDBETWEEN(1, 5))</f>
        <v>Analytics</v>
      </c>
      <c r="C138" t="str">
        <f ca="1">_xlfn.XLOOKUP(Table1[[#This Row],[Department]],sheet2!$A$2:$A$6,sheet2!$B$2:$B$6,_xleta.NA,0)</f>
        <v>Data Analyst</v>
      </c>
      <c r="D138" s="1">
        <f t="shared" ca="1" si="20"/>
        <v>43652</v>
      </c>
      <c r="E138" s="1">
        <f ca="1">Table1[[#This Row],[Job Posting Date]]+ RANDBETWEEN(15, 90)</f>
        <v>43697</v>
      </c>
      <c r="F138" s="1">
        <f ca="1">Table1[[#This Row],[Hire Date]]+ RANDBETWEEN(1, 15)</f>
        <v>43711</v>
      </c>
      <c r="G138" s="1" t="str">
        <f ca="1">IF(RAND() &lt; 0.5,  Table1[[#This Row],[Join Date]]+ RANDBETWEEN(30, TODAY()- Table1[[#This Row],[Join Date]]), "-")</f>
        <v>-</v>
      </c>
      <c r="H138" t="str">
        <f ca="1">IF(Table1[[#This Row],[Exit Date]]= "-", "Active", "Exited")</f>
        <v>Active</v>
      </c>
      <c r="I138" s="5">
        <f t="shared" ca="1" si="21"/>
        <v>3750</v>
      </c>
      <c r="J138" t="str" cm="1">
        <f t="array" aca="1" ref="J138" ca="1">INDEX(sheet2!$C$2:$C$6, RANDBETWEEN(1, 5))</f>
        <v>Leadership Development</v>
      </c>
      <c r="K138" t="str">
        <f t="shared" ca="1" si="22"/>
        <v>Not Completed</v>
      </c>
      <c r="L138">
        <v>260</v>
      </c>
      <c r="M138">
        <f t="shared" ca="1" si="24"/>
        <v>9</v>
      </c>
      <c r="N138" t="str">
        <f t="shared" ca="1" si="25"/>
        <v>Male</v>
      </c>
      <c r="O138" s="6">
        <f t="shared" ca="1" si="26"/>
        <v>2461</v>
      </c>
      <c r="P138">
        <f ca="1">Table1[[#This Row],[Hire Date]]-Table1[[#This Row],[Job Posting Date]]</f>
        <v>45</v>
      </c>
      <c r="Q138" s="7">
        <f ca="1">Table1[[#This Row],[Join Date]]-Table1[[#This Row],[Hire Date]]</f>
        <v>14</v>
      </c>
      <c r="R138" s="8">
        <f ca="1">(IF(Table1[[#This Row],[Status]]="Exited",Table1[[#This Row],[Exit Date]]-Table1[[#This Row],[Join Date]],TODAY()-Table1[[#This Row],[Join Date]]))/30</f>
        <v>65.066666666666663</v>
      </c>
      <c r="S138">
        <f ca="1">Table1[[#This Row],[Hire Date]]-Table1[[#This Row],[Job Posting Date]]</f>
        <v>45</v>
      </c>
      <c r="T138" s="7">
        <f ca="1">Table1[[#This Row],[Time to onboard]]/Table1[[#This Row],[Time to Fill]]*100</f>
        <v>31.111111111111111</v>
      </c>
      <c r="U138" s="8">
        <f ca="1">Table1[[#This Row],[Time to onboard]]/Table1[[#This Row],[Time to Fill]]*100</f>
        <v>31.111111111111111</v>
      </c>
      <c r="V138">
        <f ca="1">Table1[[#This Row],[Join Date]]-Table1[[#This Row],[Job Posting Date]]</f>
        <v>59</v>
      </c>
      <c r="W138">
        <f t="shared" ca="1" si="27"/>
        <v>195</v>
      </c>
      <c r="X138" s="8">
        <f ca="1">Table1[[#This Row],[Absentee Days]]/Table1[[#This Row],[Total Work Days]]*100</f>
        <v>3.4615384615384617</v>
      </c>
      <c r="Y138">
        <f ca="1">YEAR(Table1[[#This Row],[Join Date]])</f>
        <v>2019</v>
      </c>
      <c r="Z138">
        <f ca="1">IF(Table1[[#This Row],[Status]]="Active",1,0)</f>
        <v>1</v>
      </c>
      <c r="AA138">
        <f ca="1">IF(Table1[[#This Row],[Status]]="Exited",Table1[[#This Row],[Recruitment Cost]]+Table1[[#This Row],[Onboarding cost]]+Table1[[#This Row],[Training Cost]],0)</f>
        <v>0</v>
      </c>
    </row>
    <row r="139" spans="1:27">
      <c r="A139" t="str">
        <f t="shared" si="23"/>
        <v>E138</v>
      </c>
      <c r="B139" t="str" cm="1">
        <f t="array" aca="1" ref="B139" ca="1">INDEX(sheet2!$A$2:$A$6, RANDBETWEEN(1, 5))</f>
        <v>Finance</v>
      </c>
      <c r="C139" t="str">
        <f ca="1">_xlfn.XLOOKUP(Table1[[#This Row],[Department]],sheet2!$A$2:$A$6,sheet2!$B$2:$B$6,_xleta.NA,0)</f>
        <v>Finance Manager</v>
      </c>
      <c r="D139" s="1">
        <f t="shared" ca="1" si="20"/>
        <v>44430</v>
      </c>
      <c r="E139" s="1">
        <f ca="1">Table1[[#This Row],[Job Posting Date]]+ RANDBETWEEN(15, 90)</f>
        <v>44494</v>
      </c>
      <c r="F139" s="1">
        <f ca="1">Table1[[#This Row],[Hire Date]]+ RANDBETWEEN(1, 15)</f>
        <v>44500</v>
      </c>
      <c r="G139" s="1" t="str">
        <f ca="1">IF(RAND() &lt; 0.5,  Table1[[#This Row],[Join Date]]+ RANDBETWEEN(30, TODAY()- Table1[[#This Row],[Join Date]]), "-")</f>
        <v>-</v>
      </c>
      <c r="H139" t="str">
        <f ca="1">IF(Table1[[#This Row],[Exit Date]]= "-", "Active", "Exited")</f>
        <v>Active</v>
      </c>
      <c r="I139" s="5">
        <f t="shared" ca="1" si="21"/>
        <v>4153</v>
      </c>
      <c r="J139" t="str" cm="1">
        <f t="array" aca="1" ref="J139" ca="1">INDEX(sheet2!$C$2:$C$6, RANDBETWEEN(1, 5))</f>
        <v>Ethics and Responsibilities</v>
      </c>
      <c r="K139" t="str">
        <f t="shared" ca="1" si="22"/>
        <v>Not Completed</v>
      </c>
      <c r="L139">
        <v>260</v>
      </c>
      <c r="M139">
        <f t="shared" ca="1" si="24"/>
        <v>9</v>
      </c>
      <c r="N139" t="str">
        <f t="shared" ca="1" si="25"/>
        <v>Female</v>
      </c>
      <c r="O139" s="6">
        <f t="shared" ca="1" si="26"/>
        <v>1454</v>
      </c>
      <c r="P139">
        <f ca="1">Table1[[#This Row],[Hire Date]]-Table1[[#This Row],[Job Posting Date]]</f>
        <v>64</v>
      </c>
      <c r="Q139" s="7">
        <f ca="1">Table1[[#This Row],[Join Date]]-Table1[[#This Row],[Hire Date]]</f>
        <v>6</v>
      </c>
      <c r="R139" s="8">
        <f ca="1">(IF(Table1[[#This Row],[Status]]="Exited",Table1[[#This Row],[Exit Date]]-Table1[[#This Row],[Join Date]],TODAY()-Table1[[#This Row],[Join Date]]))/30</f>
        <v>38.766666666666666</v>
      </c>
      <c r="S139">
        <f ca="1">Table1[[#This Row],[Hire Date]]-Table1[[#This Row],[Job Posting Date]]</f>
        <v>64</v>
      </c>
      <c r="T139" s="7">
        <f ca="1">Table1[[#This Row],[Time to onboard]]/Table1[[#This Row],[Time to Fill]]*100</f>
        <v>9.375</v>
      </c>
      <c r="U139" s="8">
        <f ca="1">Table1[[#This Row],[Time to onboard]]/Table1[[#This Row],[Time to Fill]]*100</f>
        <v>9.375</v>
      </c>
      <c r="V139">
        <f ca="1">Table1[[#This Row],[Join Date]]-Table1[[#This Row],[Job Posting Date]]</f>
        <v>70</v>
      </c>
      <c r="W139">
        <f t="shared" ca="1" si="27"/>
        <v>141</v>
      </c>
      <c r="X139" s="8">
        <f ca="1">Table1[[#This Row],[Absentee Days]]/Table1[[#This Row],[Total Work Days]]*100</f>
        <v>3.4615384615384617</v>
      </c>
      <c r="Y139">
        <f ca="1">YEAR(Table1[[#This Row],[Join Date]])</f>
        <v>2021</v>
      </c>
      <c r="Z139">
        <f ca="1">IF(Table1[[#This Row],[Status]]="Active",1,0)</f>
        <v>1</v>
      </c>
      <c r="AA139">
        <f ca="1">IF(Table1[[#This Row],[Status]]="Exited",Table1[[#This Row],[Recruitment Cost]]+Table1[[#This Row],[Onboarding cost]]+Table1[[#This Row],[Training Cost]],0)</f>
        <v>0</v>
      </c>
    </row>
    <row r="140" spans="1:27">
      <c r="A140" t="str">
        <f t="shared" si="23"/>
        <v>E139</v>
      </c>
      <c r="B140" t="str" cm="1">
        <f t="array" aca="1" ref="B140" ca="1">INDEX(sheet2!$A$2:$A$6, RANDBETWEEN(1, 5))</f>
        <v>Analytics</v>
      </c>
      <c r="C140" t="str">
        <f ca="1">_xlfn.XLOOKUP(Table1[[#This Row],[Department]],sheet2!$A$2:$A$6,sheet2!$B$2:$B$6,_xleta.NA,0)</f>
        <v>Data Analyst</v>
      </c>
      <c r="D140" s="1">
        <f t="shared" ca="1" si="20"/>
        <v>44198</v>
      </c>
      <c r="E140" s="1">
        <f ca="1">Table1[[#This Row],[Job Posting Date]]+ RANDBETWEEN(15, 90)</f>
        <v>44288</v>
      </c>
      <c r="F140" s="1">
        <f ca="1">Table1[[#This Row],[Hire Date]]+ RANDBETWEEN(1, 15)</f>
        <v>44294</v>
      </c>
      <c r="G140" s="1" t="str">
        <f ca="1">IF(RAND() &lt; 0.5,  Table1[[#This Row],[Join Date]]+ RANDBETWEEN(30, TODAY()- Table1[[#This Row],[Join Date]]), "-")</f>
        <v>-</v>
      </c>
      <c r="H140" t="str">
        <f ca="1">IF(Table1[[#This Row],[Exit Date]]= "-", "Active", "Exited")</f>
        <v>Active</v>
      </c>
      <c r="I140" s="5">
        <f t="shared" ca="1" si="21"/>
        <v>4068</v>
      </c>
      <c r="J140" t="str" cm="1">
        <f t="array" aca="1" ref="J140" ca="1">INDEX(sheet2!$C$2:$C$6, RANDBETWEEN(1, 5))</f>
        <v>Communication Skills</v>
      </c>
      <c r="K140" t="str">
        <f t="shared" ca="1" si="22"/>
        <v>Completed</v>
      </c>
      <c r="L140">
        <v>260</v>
      </c>
      <c r="M140">
        <f t="shared" ca="1" si="24"/>
        <v>12</v>
      </c>
      <c r="N140" t="str">
        <f t="shared" ca="1" si="25"/>
        <v>Female</v>
      </c>
      <c r="O140" s="6">
        <f t="shared" ca="1" si="26"/>
        <v>1893</v>
      </c>
      <c r="P140">
        <f ca="1">Table1[[#This Row],[Hire Date]]-Table1[[#This Row],[Job Posting Date]]</f>
        <v>90</v>
      </c>
      <c r="Q140" s="7">
        <f ca="1">Table1[[#This Row],[Join Date]]-Table1[[#This Row],[Hire Date]]</f>
        <v>6</v>
      </c>
      <c r="R140" s="8">
        <f ca="1">(IF(Table1[[#This Row],[Status]]="Exited",Table1[[#This Row],[Exit Date]]-Table1[[#This Row],[Join Date]],TODAY()-Table1[[#This Row],[Join Date]]))/30</f>
        <v>45.633333333333333</v>
      </c>
      <c r="S140">
        <f ca="1">Table1[[#This Row],[Hire Date]]-Table1[[#This Row],[Job Posting Date]]</f>
        <v>90</v>
      </c>
      <c r="T140" s="7">
        <f ca="1">Table1[[#This Row],[Time to onboard]]/Table1[[#This Row],[Time to Fill]]*100</f>
        <v>6.666666666666667</v>
      </c>
      <c r="U140" s="8">
        <f ca="1">Table1[[#This Row],[Time to onboard]]/Table1[[#This Row],[Time to Fill]]*100</f>
        <v>6.666666666666667</v>
      </c>
      <c r="V140">
        <f ca="1">Table1[[#This Row],[Join Date]]-Table1[[#This Row],[Job Posting Date]]</f>
        <v>96</v>
      </c>
      <c r="W140">
        <f t="shared" ca="1" si="27"/>
        <v>121</v>
      </c>
      <c r="X140" s="8">
        <f ca="1">Table1[[#This Row],[Absentee Days]]/Table1[[#This Row],[Total Work Days]]*100</f>
        <v>4.6153846153846159</v>
      </c>
      <c r="Y140">
        <f ca="1">YEAR(Table1[[#This Row],[Join Date]])</f>
        <v>2021</v>
      </c>
      <c r="Z140">
        <f ca="1">IF(Table1[[#This Row],[Status]]="Active",1,0)</f>
        <v>1</v>
      </c>
      <c r="AA140">
        <f ca="1">IF(Table1[[#This Row],[Status]]="Exited",Table1[[#This Row],[Recruitment Cost]]+Table1[[#This Row],[Onboarding cost]]+Table1[[#This Row],[Training Cost]],0)</f>
        <v>0</v>
      </c>
    </row>
    <row r="141" spans="1:27">
      <c r="A141" t="str">
        <f t="shared" si="23"/>
        <v>E140</v>
      </c>
      <c r="B141" t="str" cm="1">
        <f t="array" aca="1" ref="B141" ca="1">INDEX(sheet2!$A$2:$A$6, RANDBETWEEN(1, 5))</f>
        <v>HR</v>
      </c>
      <c r="C141" t="str">
        <f ca="1">_xlfn.XLOOKUP(Table1[[#This Row],[Department]],sheet2!$A$2:$A$6,sheet2!$B$2:$B$6,_xleta.NA,0)</f>
        <v>HR Manager</v>
      </c>
      <c r="D141" s="1">
        <f t="shared" ca="1" si="20"/>
        <v>43685</v>
      </c>
      <c r="E141" s="1">
        <f ca="1">Table1[[#This Row],[Job Posting Date]]+ RANDBETWEEN(15, 90)</f>
        <v>43703</v>
      </c>
      <c r="F141" s="1">
        <f ca="1">Table1[[#This Row],[Hire Date]]+ RANDBETWEEN(1, 15)</f>
        <v>43713</v>
      </c>
      <c r="G141" s="1">
        <f ca="1">IF(RAND() &lt; 0.5,  Table1[[#This Row],[Join Date]]+ RANDBETWEEN(30, TODAY()- Table1[[#This Row],[Join Date]]), "-")</f>
        <v>44066</v>
      </c>
      <c r="H141" t="str">
        <f ca="1">IF(Table1[[#This Row],[Exit Date]]= "-", "Active", "Exited")</f>
        <v>Exited</v>
      </c>
      <c r="I141" s="5">
        <f t="shared" ca="1" si="21"/>
        <v>3544</v>
      </c>
      <c r="J141" t="str" cm="1">
        <f t="array" aca="1" ref="J141" ca="1">INDEX(sheet2!$C$2:$C$6, RANDBETWEEN(1, 5))</f>
        <v>Ethics and Responsibilities</v>
      </c>
      <c r="K141" t="str">
        <f t="shared" ca="1" si="22"/>
        <v>Completed</v>
      </c>
      <c r="L141">
        <v>260</v>
      </c>
      <c r="M141">
        <f t="shared" ca="1" si="24"/>
        <v>4</v>
      </c>
      <c r="N141" t="str">
        <f t="shared" ca="1" si="25"/>
        <v>Other</v>
      </c>
      <c r="O141" s="6">
        <f t="shared" ca="1" si="26"/>
        <v>1304</v>
      </c>
      <c r="P141">
        <f ca="1">Table1[[#This Row],[Hire Date]]-Table1[[#This Row],[Job Posting Date]]</f>
        <v>18</v>
      </c>
      <c r="Q141" s="7">
        <f ca="1">Table1[[#This Row],[Join Date]]-Table1[[#This Row],[Hire Date]]</f>
        <v>10</v>
      </c>
      <c r="R141" s="8">
        <f ca="1">(IF(Table1[[#This Row],[Status]]="Exited",Table1[[#This Row],[Exit Date]]-Table1[[#This Row],[Join Date]],TODAY()-Table1[[#This Row],[Join Date]]))/30</f>
        <v>11.766666666666667</v>
      </c>
      <c r="S141">
        <f ca="1">Table1[[#This Row],[Hire Date]]-Table1[[#This Row],[Job Posting Date]]</f>
        <v>18</v>
      </c>
      <c r="T141" s="7">
        <f ca="1">Table1[[#This Row],[Time to onboard]]/Table1[[#This Row],[Time to Fill]]*100</f>
        <v>55.555555555555557</v>
      </c>
      <c r="U141" s="8">
        <f ca="1">Table1[[#This Row],[Time to onboard]]/Table1[[#This Row],[Time to Fill]]*100</f>
        <v>55.555555555555557</v>
      </c>
      <c r="V141">
        <f ca="1">Table1[[#This Row],[Join Date]]-Table1[[#This Row],[Job Posting Date]]</f>
        <v>28</v>
      </c>
      <c r="W141">
        <f t="shared" ca="1" si="27"/>
        <v>160</v>
      </c>
      <c r="X141" s="8">
        <f ca="1">Table1[[#This Row],[Absentee Days]]/Table1[[#This Row],[Total Work Days]]*100</f>
        <v>1.5384615384615385</v>
      </c>
      <c r="Y141">
        <f ca="1">YEAR(Table1[[#This Row],[Join Date]])</f>
        <v>2019</v>
      </c>
      <c r="Z141">
        <f ca="1">IF(Table1[[#This Row],[Status]]="Active",1,0)</f>
        <v>0</v>
      </c>
      <c r="AA141">
        <f ca="1">IF(Table1[[#This Row],[Status]]="Exited",Table1[[#This Row],[Recruitment Cost]]+Table1[[#This Row],[Onboarding cost]]+Table1[[#This Row],[Training Cost]],0)</f>
        <v>5008</v>
      </c>
    </row>
    <row r="142" spans="1:27">
      <c r="A142" t="str">
        <f t="shared" si="23"/>
        <v>E141</v>
      </c>
      <c r="B142" t="str" cm="1">
        <f t="array" aca="1" ref="B142" ca="1">INDEX(sheet2!$A$2:$A$6, RANDBETWEEN(1, 5))</f>
        <v>HR</v>
      </c>
      <c r="C142" t="str">
        <f ca="1">_xlfn.XLOOKUP(Table1[[#This Row],[Department]],sheet2!$A$2:$A$6,sheet2!$B$2:$B$6,_xleta.NA,0)</f>
        <v>HR Manager</v>
      </c>
      <c r="D142" s="1">
        <f t="shared" ca="1" si="20"/>
        <v>43970</v>
      </c>
      <c r="E142" s="1">
        <f ca="1">Table1[[#This Row],[Job Posting Date]]+ RANDBETWEEN(15, 90)</f>
        <v>44058</v>
      </c>
      <c r="F142" s="1">
        <f ca="1">Table1[[#This Row],[Hire Date]]+ RANDBETWEEN(1, 15)</f>
        <v>44065</v>
      </c>
      <c r="G142" s="1">
        <f ca="1">IF(RAND() &lt; 0.5,  Table1[[#This Row],[Join Date]]+ RANDBETWEEN(30, TODAY()- Table1[[#This Row],[Join Date]]), "-")</f>
        <v>44384</v>
      </c>
      <c r="H142" t="str">
        <f ca="1">IF(Table1[[#This Row],[Exit Date]]= "-", "Active", "Exited")</f>
        <v>Exited</v>
      </c>
      <c r="I142" s="5">
        <f t="shared" ca="1" si="21"/>
        <v>2731</v>
      </c>
      <c r="J142" t="str" cm="1">
        <f t="array" aca="1" ref="J142" ca="1">INDEX(sheet2!$C$2:$C$6, RANDBETWEEN(1, 5))</f>
        <v>Ethics and Responsibilities</v>
      </c>
      <c r="K142" t="str">
        <f t="shared" ca="1" si="22"/>
        <v>Not Completed</v>
      </c>
      <c r="L142">
        <v>260</v>
      </c>
      <c r="M142">
        <f t="shared" ca="1" si="24"/>
        <v>3</v>
      </c>
      <c r="N142" t="str">
        <f t="shared" ca="1" si="25"/>
        <v>Female</v>
      </c>
      <c r="O142" s="6">
        <f t="shared" ca="1" si="26"/>
        <v>1208</v>
      </c>
      <c r="P142">
        <f ca="1">Table1[[#This Row],[Hire Date]]-Table1[[#This Row],[Job Posting Date]]</f>
        <v>88</v>
      </c>
      <c r="Q142" s="7">
        <f ca="1">Table1[[#This Row],[Join Date]]-Table1[[#This Row],[Hire Date]]</f>
        <v>7</v>
      </c>
      <c r="R142" s="8">
        <f ca="1">(IF(Table1[[#This Row],[Status]]="Exited",Table1[[#This Row],[Exit Date]]-Table1[[#This Row],[Join Date]],TODAY()-Table1[[#This Row],[Join Date]]))/30</f>
        <v>10.633333333333333</v>
      </c>
      <c r="S142">
        <f ca="1">Table1[[#This Row],[Hire Date]]-Table1[[#This Row],[Job Posting Date]]</f>
        <v>88</v>
      </c>
      <c r="T142" s="7">
        <f ca="1">Table1[[#This Row],[Time to onboard]]/Table1[[#This Row],[Time to Fill]]*100</f>
        <v>7.9545454545454541</v>
      </c>
      <c r="U142" s="8">
        <f ca="1">Table1[[#This Row],[Time to onboard]]/Table1[[#This Row],[Time to Fill]]*100</f>
        <v>7.9545454545454541</v>
      </c>
      <c r="V142">
        <f ca="1">Table1[[#This Row],[Join Date]]-Table1[[#This Row],[Job Posting Date]]</f>
        <v>95</v>
      </c>
      <c r="W142">
        <f t="shared" ca="1" si="27"/>
        <v>105</v>
      </c>
      <c r="X142" s="8">
        <f ca="1">Table1[[#This Row],[Absentee Days]]/Table1[[#This Row],[Total Work Days]]*100</f>
        <v>1.153846153846154</v>
      </c>
      <c r="Y142">
        <f ca="1">YEAR(Table1[[#This Row],[Join Date]])</f>
        <v>2020</v>
      </c>
      <c r="Z142">
        <f ca="1">IF(Table1[[#This Row],[Status]]="Active",1,0)</f>
        <v>0</v>
      </c>
      <c r="AA142">
        <f ca="1">IF(Table1[[#This Row],[Status]]="Exited",Table1[[#This Row],[Recruitment Cost]]+Table1[[#This Row],[Onboarding cost]]+Table1[[#This Row],[Training Cost]],0)</f>
        <v>4044</v>
      </c>
    </row>
    <row r="143" spans="1:27">
      <c r="A143" t="str">
        <f t="shared" si="23"/>
        <v>E142</v>
      </c>
      <c r="B143" t="str" cm="1">
        <f t="array" aca="1" ref="B143" ca="1">INDEX(sheet2!$A$2:$A$6, RANDBETWEEN(1, 5))</f>
        <v>Sales</v>
      </c>
      <c r="C143" t="str">
        <f ca="1">_xlfn.XLOOKUP(Table1[[#This Row],[Department]],sheet2!$A$2:$A$6,sheet2!$B$2:$B$6,_xleta.NA,0)</f>
        <v>Marketing Manager</v>
      </c>
      <c r="D143" s="1">
        <f t="shared" ca="1" si="20"/>
        <v>43772</v>
      </c>
      <c r="E143" s="1">
        <f ca="1">Table1[[#This Row],[Job Posting Date]]+ RANDBETWEEN(15, 90)</f>
        <v>43852</v>
      </c>
      <c r="F143" s="1">
        <f ca="1">Table1[[#This Row],[Hire Date]]+ RANDBETWEEN(1, 15)</f>
        <v>43866</v>
      </c>
      <c r="G143" s="1" t="str">
        <f ca="1">IF(RAND() &lt; 0.5,  Table1[[#This Row],[Join Date]]+ RANDBETWEEN(30, TODAY()- Table1[[#This Row],[Join Date]]), "-")</f>
        <v>-</v>
      </c>
      <c r="H143" t="str">
        <f ca="1">IF(Table1[[#This Row],[Exit Date]]= "-", "Active", "Exited")</f>
        <v>Active</v>
      </c>
      <c r="I143" s="5">
        <f t="shared" ca="1" si="21"/>
        <v>1604</v>
      </c>
      <c r="J143" t="str" cm="1">
        <f t="array" aca="1" ref="J143" ca="1">INDEX(sheet2!$C$2:$C$6, RANDBETWEEN(1, 5))</f>
        <v>Communication Skills</v>
      </c>
      <c r="K143" t="str">
        <f t="shared" ca="1" si="22"/>
        <v>Completed</v>
      </c>
      <c r="L143">
        <v>260</v>
      </c>
      <c r="M143">
        <f t="shared" ca="1" si="24"/>
        <v>14</v>
      </c>
      <c r="N143" t="str">
        <f t="shared" ca="1" si="25"/>
        <v>Female</v>
      </c>
      <c r="O143" s="6">
        <f t="shared" ca="1" si="26"/>
        <v>2204</v>
      </c>
      <c r="P143">
        <f ca="1">Table1[[#This Row],[Hire Date]]-Table1[[#This Row],[Job Posting Date]]</f>
        <v>80</v>
      </c>
      <c r="Q143" s="7">
        <f ca="1">Table1[[#This Row],[Join Date]]-Table1[[#This Row],[Hire Date]]</f>
        <v>14</v>
      </c>
      <c r="R143" s="8">
        <f ca="1">(IF(Table1[[#This Row],[Status]]="Exited",Table1[[#This Row],[Exit Date]]-Table1[[#This Row],[Join Date]],TODAY()-Table1[[#This Row],[Join Date]]))/30</f>
        <v>59.9</v>
      </c>
      <c r="S143">
        <f ca="1">Table1[[#This Row],[Hire Date]]-Table1[[#This Row],[Job Posting Date]]</f>
        <v>80</v>
      </c>
      <c r="T143" s="7">
        <f ca="1">Table1[[#This Row],[Time to onboard]]/Table1[[#This Row],[Time to Fill]]*100</f>
        <v>17.5</v>
      </c>
      <c r="U143" s="8">
        <f ca="1">Table1[[#This Row],[Time to onboard]]/Table1[[#This Row],[Time to Fill]]*100</f>
        <v>17.5</v>
      </c>
      <c r="V143">
        <f ca="1">Table1[[#This Row],[Join Date]]-Table1[[#This Row],[Job Posting Date]]</f>
        <v>94</v>
      </c>
      <c r="W143">
        <f t="shared" ca="1" si="27"/>
        <v>135</v>
      </c>
      <c r="X143" s="8">
        <f ca="1">Table1[[#This Row],[Absentee Days]]/Table1[[#This Row],[Total Work Days]]*100</f>
        <v>5.384615384615385</v>
      </c>
      <c r="Y143">
        <f ca="1">YEAR(Table1[[#This Row],[Join Date]])</f>
        <v>2020</v>
      </c>
      <c r="Z143">
        <f ca="1">IF(Table1[[#This Row],[Status]]="Active",1,0)</f>
        <v>1</v>
      </c>
      <c r="AA143">
        <f ca="1">IF(Table1[[#This Row],[Status]]="Exited",Table1[[#This Row],[Recruitment Cost]]+Table1[[#This Row],[Onboarding cost]]+Table1[[#This Row],[Training Cost]],0)</f>
        <v>0</v>
      </c>
    </row>
    <row r="144" spans="1:27">
      <c r="A144" t="str">
        <f t="shared" si="23"/>
        <v>E143</v>
      </c>
      <c r="B144" t="str" cm="1">
        <f t="array" aca="1" ref="B144" ca="1">INDEX(sheet2!$A$2:$A$6, RANDBETWEEN(1, 5))</f>
        <v>HR</v>
      </c>
      <c r="C144" t="str">
        <f ca="1">_xlfn.XLOOKUP(Table1[[#This Row],[Department]],sheet2!$A$2:$A$6,sheet2!$B$2:$B$6,_xleta.NA,0)</f>
        <v>HR Manager</v>
      </c>
      <c r="D144" s="1">
        <f t="shared" ca="1" si="20"/>
        <v>43845</v>
      </c>
      <c r="E144" s="1">
        <f ca="1">Table1[[#This Row],[Job Posting Date]]+ RANDBETWEEN(15, 90)</f>
        <v>43887</v>
      </c>
      <c r="F144" s="1">
        <f ca="1">Table1[[#This Row],[Hire Date]]+ RANDBETWEEN(1, 15)</f>
        <v>43899</v>
      </c>
      <c r="G144" s="1" t="str">
        <f ca="1">IF(RAND() &lt; 0.5,  Table1[[#This Row],[Join Date]]+ RANDBETWEEN(30, TODAY()- Table1[[#This Row],[Join Date]]), "-")</f>
        <v>-</v>
      </c>
      <c r="H144" t="str">
        <f ca="1">IF(Table1[[#This Row],[Exit Date]]= "-", "Active", "Exited")</f>
        <v>Active</v>
      </c>
      <c r="I144" s="5">
        <f t="shared" ca="1" si="21"/>
        <v>3454</v>
      </c>
      <c r="J144" t="str" cm="1">
        <f t="array" aca="1" ref="J144" ca="1">INDEX(sheet2!$C$2:$C$6, RANDBETWEEN(1, 5))</f>
        <v>Leadership Development</v>
      </c>
      <c r="K144" t="str">
        <f t="shared" ca="1" si="22"/>
        <v>Not Completed</v>
      </c>
      <c r="L144">
        <v>260</v>
      </c>
      <c r="M144">
        <f t="shared" ca="1" si="24"/>
        <v>0</v>
      </c>
      <c r="N144" t="str">
        <f t="shared" ca="1" si="25"/>
        <v>Other</v>
      </c>
      <c r="O144" s="6">
        <f t="shared" ca="1" si="26"/>
        <v>1911</v>
      </c>
      <c r="P144">
        <f ca="1">Table1[[#This Row],[Hire Date]]-Table1[[#This Row],[Job Posting Date]]</f>
        <v>42</v>
      </c>
      <c r="Q144" s="7">
        <f ca="1">Table1[[#This Row],[Join Date]]-Table1[[#This Row],[Hire Date]]</f>
        <v>12</v>
      </c>
      <c r="R144" s="8">
        <f ca="1">(IF(Table1[[#This Row],[Status]]="Exited",Table1[[#This Row],[Exit Date]]-Table1[[#This Row],[Join Date]],TODAY()-Table1[[#This Row],[Join Date]]))/30</f>
        <v>58.8</v>
      </c>
      <c r="S144">
        <f ca="1">Table1[[#This Row],[Hire Date]]-Table1[[#This Row],[Job Posting Date]]</f>
        <v>42</v>
      </c>
      <c r="T144" s="7">
        <f ca="1">Table1[[#This Row],[Time to onboard]]/Table1[[#This Row],[Time to Fill]]*100</f>
        <v>28.571428571428569</v>
      </c>
      <c r="U144" s="8">
        <f ca="1">Table1[[#This Row],[Time to onboard]]/Table1[[#This Row],[Time to Fill]]*100</f>
        <v>28.571428571428569</v>
      </c>
      <c r="V144">
        <f ca="1">Table1[[#This Row],[Join Date]]-Table1[[#This Row],[Job Posting Date]]</f>
        <v>54</v>
      </c>
      <c r="W144">
        <f t="shared" ca="1" si="27"/>
        <v>185</v>
      </c>
      <c r="X144" s="8">
        <f ca="1">Table1[[#This Row],[Absentee Days]]/Table1[[#This Row],[Total Work Days]]*100</f>
        <v>0</v>
      </c>
      <c r="Y144">
        <f ca="1">YEAR(Table1[[#This Row],[Join Date]])</f>
        <v>2020</v>
      </c>
      <c r="Z144">
        <f ca="1">IF(Table1[[#This Row],[Status]]="Active",1,0)</f>
        <v>1</v>
      </c>
      <c r="AA144">
        <f ca="1">IF(Table1[[#This Row],[Status]]="Exited",Table1[[#This Row],[Recruitment Cost]]+Table1[[#This Row],[Onboarding cost]]+Table1[[#This Row],[Training Cost]],0)</f>
        <v>0</v>
      </c>
    </row>
    <row r="145" spans="1:27">
      <c r="A145" t="str">
        <f t="shared" si="23"/>
        <v>E144</v>
      </c>
      <c r="B145" t="str" cm="1">
        <f t="array" aca="1" ref="B145" ca="1">INDEX(sheet2!$A$2:$A$6, RANDBETWEEN(1, 5))</f>
        <v>HR</v>
      </c>
      <c r="C145" t="str">
        <f ca="1">_xlfn.XLOOKUP(Table1[[#This Row],[Department]],sheet2!$A$2:$A$6,sheet2!$B$2:$B$6,_xleta.NA,0)</f>
        <v>HR Manager</v>
      </c>
      <c r="D145" s="1">
        <f t="shared" ca="1" si="20"/>
        <v>43161</v>
      </c>
      <c r="E145" s="1">
        <f ca="1">Table1[[#This Row],[Job Posting Date]]+ RANDBETWEEN(15, 90)</f>
        <v>43215</v>
      </c>
      <c r="F145" s="1">
        <f ca="1">Table1[[#This Row],[Hire Date]]+ RANDBETWEEN(1, 15)</f>
        <v>43224</v>
      </c>
      <c r="G145" s="1">
        <f ca="1">IF(RAND() &lt; 0.5,  Table1[[#This Row],[Join Date]]+ RANDBETWEEN(30, TODAY()- Table1[[#This Row],[Join Date]]), "-")</f>
        <v>43256</v>
      </c>
      <c r="H145" t="str">
        <f ca="1">IF(Table1[[#This Row],[Exit Date]]= "-", "Active", "Exited")</f>
        <v>Exited</v>
      </c>
      <c r="I145" s="5">
        <f t="shared" ca="1" si="21"/>
        <v>1752</v>
      </c>
      <c r="J145" t="str" cm="1">
        <f t="array" aca="1" ref="J145" ca="1">INDEX(sheet2!$C$2:$C$6, RANDBETWEEN(1, 5))</f>
        <v>Advanced Excel Skills </v>
      </c>
      <c r="K145" t="str">
        <f t="shared" ca="1" si="22"/>
        <v>Completed</v>
      </c>
      <c r="L145">
        <v>260</v>
      </c>
      <c r="M145">
        <f t="shared" ca="1" si="24"/>
        <v>13</v>
      </c>
      <c r="N145" t="str">
        <f t="shared" ca="1" si="25"/>
        <v>Other</v>
      </c>
      <c r="O145" s="6">
        <f t="shared" ca="1" si="26"/>
        <v>1946</v>
      </c>
      <c r="P145">
        <f ca="1">Table1[[#This Row],[Hire Date]]-Table1[[#This Row],[Job Posting Date]]</f>
        <v>54</v>
      </c>
      <c r="Q145" s="7">
        <f ca="1">Table1[[#This Row],[Join Date]]-Table1[[#This Row],[Hire Date]]</f>
        <v>9</v>
      </c>
      <c r="R145" s="8">
        <f ca="1">(IF(Table1[[#This Row],[Status]]="Exited",Table1[[#This Row],[Exit Date]]-Table1[[#This Row],[Join Date]],TODAY()-Table1[[#This Row],[Join Date]]))/30</f>
        <v>1.0666666666666667</v>
      </c>
      <c r="S145">
        <f ca="1">Table1[[#This Row],[Hire Date]]-Table1[[#This Row],[Job Posting Date]]</f>
        <v>54</v>
      </c>
      <c r="T145" s="7">
        <f ca="1">Table1[[#This Row],[Time to onboard]]/Table1[[#This Row],[Time to Fill]]*100</f>
        <v>16.666666666666664</v>
      </c>
      <c r="U145" s="8">
        <f ca="1">Table1[[#This Row],[Time to onboard]]/Table1[[#This Row],[Time to Fill]]*100</f>
        <v>16.666666666666664</v>
      </c>
      <c r="V145">
        <f ca="1">Table1[[#This Row],[Join Date]]-Table1[[#This Row],[Job Posting Date]]</f>
        <v>63</v>
      </c>
      <c r="W145">
        <f t="shared" ca="1" si="27"/>
        <v>116</v>
      </c>
      <c r="X145" s="8">
        <f ca="1">Table1[[#This Row],[Absentee Days]]/Table1[[#This Row],[Total Work Days]]*100</f>
        <v>5</v>
      </c>
      <c r="Y145">
        <f ca="1">YEAR(Table1[[#This Row],[Join Date]])</f>
        <v>2018</v>
      </c>
      <c r="Z145">
        <f ca="1">IF(Table1[[#This Row],[Status]]="Active",1,0)</f>
        <v>0</v>
      </c>
      <c r="AA145">
        <f ca="1">IF(Table1[[#This Row],[Status]]="Exited",Table1[[#This Row],[Recruitment Cost]]+Table1[[#This Row],[Onboarding cost]]+Table1[[#This Row],[Training Cost]],0)</f>
        <v>3814</v>
      </c>
    </row>
    <row r="146" spans="1:27">
      <c r="A146" t="str">
        <f t="shared" si="23"/>
        <v>E145</v>
      </c>
      <c r="B146" t="str" cm="1">
        <f t="array" aca="1" ref="B146" ca="1">INDEX(sheet2!$A$2:$A$6, RANDBETWEEN(1, 5))</f>
        <v>IT</v>
      </c>
      <c r="C146" t="str">
        <f ca="1">_xlfn.XLOOKUP(Table1[[#This Row],[Department]],sheet2!$A$2:$A$6,sheet2!$B$2:$B$6,_xleta.NA,0)</f>
        <v>Software Engineer</v>
      </c>
      <c r="D146" s="1">
        <f t="shared" ca="1" si="20"/>
        <v>44185</v>
      </c>
      <c r="E146" s="1">
        <f ca="1">Table1[[#This Row],[Job Posting Date]]+ RANDBETWEEN(15, 90)</f>
        <v>44214</v>
      </c>
      <c r="F146" s="1">
        <f ca="1">Table1[[#This Row],[Hire Date]]+ RANDBETWEEN(1, 15)</f>
        <v>44223</v>
      </c>
      <c r="G146" s="1">
        <f ca="1">IF(RAND() &lt; 0.5,  Table1[[#This Row],[Join Date]]+ RANDBETWEEN(30, TODAY()- Table1[[#This Row],[Join Date]]), "-")</f>
        <v>45111</v>
      </c>
      <c r="H146" t="str">
        <f ca="1">IF(Table1[[#This Row],[Exit Date]]= "-", "Active", "Exited")</f>
        <v>Exited</v>
      </c>
      <c r="I146" s="5">
        <f t="shared" ca="1" si="21"/>
        <v>2597</v>
      </c>
      <c r="J146" t="str" cm="1">
        <f t="array" aca="1" ref="J146" ca="1">INDEX(sheet2!$C$2:$C$6, RANDBETWEEN(1, 5))</f>
        <v>Communication Skills</v>
      </c>
      <c r="K146" t="str">
        <f t="shared" ca="1" si="22"/>
        <v>Not Completed</v>
      </c>
      <c r="L146">
        <v>260</v>
      </c>
      <c r="M146">
        <f t="shared" ca="1" si="24"/>
        <v>20</v>
      </c>
      <c r="N146" t="str">
        <f t="shared" ca="1" si="25"/>
        <v>Other</v>
      </c>
      <c r="O146" s="6">
        <f t="shared" ca="1" si="26"/>
        <v>1775</v>
      </c>
      <c r="P146">
        <f ca="1">Table1[[#This Row],[Hire Date]]-Table1[[#This Row],[Job Posting Date]]</f>
        <v>29</v>
      </c>
      <c r="Q146" s="7">
        <f ca="1">Table1[[#This Row],[Join Date]]-Table1[[#This Row],[Hire Date]]</f>
        <v>9</v>
      </c>
      <c r="R146" s="8">
        <f ca="1">(IF(Table1[[#This Row],[Status]]="Exited",Table1[[#This Row],[Exit Date]]-Table1[[#This Row],[Join Date]],TODAY()-Table1[[#This Row],[Join Date]]))/30</f>
        <v>29.6</v>
      </c>
      <c r="S146">
        <f ca="1">Table1[[#This Row],[Hire Date]]-Table1[[#This Row],[Job Posting Date]]</f>
        <v>29</v>
      </c>
      <c r="T146" s="7">
        <f ca="1">Table1[[#This Row],[Time to onboard]]/Table1[[#This Row],[Time to Fill]]*100</f>
        <v>31.03448275862069</v>
      </c>
      <c r="U146" s="8">
        <f ca="1">Table1[[#This Row],[Time to onboard]]/Table1[[#This Row],[Time to Fill]]*100</f>
        <v>31.03448275862069</v>
      </c>
      <c r="V146">
        <f ca="1">Table1[[#This Row],[Join Date]]-Table1[[#This Row],[Job Posting Date]]</f>
        <v>38</v>
      </c>
      <c r="W146">
        <f t="shared" ca="1" si="27"/>
        <v>196</v>
      </c>
      <c r="X146" s="8">
        <f ca="1">Table1[[#This Row],[Absentee Days]]/Table1[[#This Row],[Total Work Days]]*100</f>
        <v>7.6923076923076925</v>
      </c>
      <c r="Y146">
        <f ca="1">YEAR(Table1[[#This Row],[Join Date]])</f>
        <v>2021</v>
      </c>
      <c r="Z146">
        <f ca="1">IF(Table1[[#This Row],[Status]]="Active",1,0)</f>
        <v>0</v>
      </c>
      <c r="AA146">
        <f ca="1">IF(Table1[[#This Row],[Status]]="Exited",Table1[[#This Row],[Recruitment Cost]]+Table1[[#This Row],[Onboarding cost]]+Table1[[#This Row],[Training Cost]],0)</f>
        <v>4568</v>
      </c>
    </row>
    <row r="147" spans="1:27">
      <c r="A147" t="str">
        <f t="shared" si="23"/>
        <v>E146</v>
      </c>
      <c r="B147" t="str" cm="1">
        <f t="array" aca="1" ref="B147" ca="1">INDEX(sheet2!$A$2:$A$6, RANDBETWEEN(1, 5))</f>
        <v>Finance</v>
      </c>
      <c r="C147" t="str">
        <f ca="1">_xlfn.XLOOKUP(Table1[[#This Row],[Department]],sheet2!$A$2:$A$6,sheet2!$B$2:$B$6,_xleta.NA,0)</f>
        <v>Finance Manager</v>
      </c>
      <c r="D147" s="1">
        <f t="shared" ca="1" si="20"/>
        <v>43432</v>
      </c>
      <c r="E147" s="1">
        <f ca="1">Table1[[#This Row],[Job Posting Date]]+ RANDBETWEEN(15, 90)</f>
        <v>43502</v>
      </c>
      <c r="F147" s="1">
        <f ca="1">Table1[[#This Row],[Hire Date]]+ RANDBETWEEN(1, 15)</f>
        <v>43508</v>
      </c>
      <c r="G147" s="1" t="str">
        <f ca="1">IF(RAND() &lt; 0.5,  Table1[[#This Row],[Join Date]]+ RANDBETWEEN(30, TODAY()- Table1[[#This Row],[Join Date]]), "-")</f>
        <v>-</v>
      </c>
      <c r="H147" t="str">
        <f ca="1">IF(Table1[[#This Row],[Exit Date]]= "-", "Active", "Exited")</f>
        <v>Active</v>
      </c>
      <c r="I147" s="5">
        <f t="shared" ca="1" si="21"/>
        <v>4133</v>
      </c>
      <c r="J147" t="str" cm="1">
        <f t="array" aca="1" ref="J147" ca="1">INDEX(sheet2!$C$2:$C$6, RANDBETWEEN(1, 5))</f>
        <v>Advanced Excel Skills </v>
      </c>
      <c r="K147" t="str">
        <f t="shared" ca="1" si="22"/>
        <v>Completed</v>
      </c>
      <c r="L147">
        <v>260</v>
      </c>
      <c r="M147">
        <f t="shared" ca="1" si="24"/>
        <v>3</v>
      </c>
      <c r="N147" t="str">
        <f t="shared" ca="1" si="25"/>
        <v>Other</v>
      </c>
      <c r="O147" s="6">
        <f t="shared" ca="1" si="26"/>
        <v>1993</v>
      </c>
      <c r="P147">
        <f ca="1">Table1[[#This Row],[Hire Date]]-Table1[[#This Row],[Job Posting Date]]</f>
        <v>70</v>
      </c>
      <c r="Q147" s="7">
        <f ca="1">Table1[[#This Row],[Join Date]]-Table1[[#This Row],[Hire Date]]</f>
        <v>6</v>
      </c>
      <c r="R147" s="8">
        <f ca="1">(IF(Table1[[#This Row],[Status]]="Exited",Table1[[#This Row],[Exit Date]]-Table1[[#This Row],[Join Date]],TODAY()-Table1[[#This Row],[Join Date]]))/30</f>
        <v>71.833333333333329</v>
      </c>
      <c r="S147">
        <f ca="1">Table1[[#This Row],[Hire Date]]-Table1[[#This Row],[Job Posting Date]]</f>
        <v>70</v>
      </c>
      <c r="T147" s="7">
        <f ca="1">Table1[[#This Row],[Time to onboard]]/Table1[[#This Row],[Time to Fill]]*100</f>
        <v>8.5714285714285712</v>
      </c>
      <c r="U147" s="8">
        <f ca="1">Table1[[#This Row],[Time to onboard]]/Table1[[#This Row],[Time to Fill]]*100</f>
        <v>8.5714285714285712</v>
      </c>
      <c r="V147">
        <f ca="1">Table1[[#This Row],[Join Date]]-Table1[[#This Row],[Job Posting Date]]</f>
        <v>76</v>
      </c>
      <c r="W147">
        <f t="shared" ca="1" si="27"/>
        <v>174</v>
      </c>
      <c r="X147" s="8">
        <f ca="1">Table1[[#This Row],[Absentee Days]]/Table1[[#This Row],[Total Work Days]]*100</f>
        <v>1.153846153846154</v>
      </c>
      <c r="Y147">
        <f ca="1">YEAR(Table1[[#This Row],[Join Date]])</f>
        <v>2019</v>
      </c>
      <c r="Z147">
        <f ca="1">IF(Table1[[#This Row],[Status]]="Active",1,0)</f>
        <v>1</v>
      </c>
      <c r="AA147">
        <f ca="1">IF(Table1[[#This Row],[Status]]="Exited",Table1[[#This Row],[Recruitment Cost]]+Table1[[#This Row],[Onboarding cost]]+Table1[[#This Row],[Training Cost]],0)</f>
        <v>0</v>
      </c>
    </row>
    <row r="148" spans="1:27">
      <c r="A148" t="str">
        <f t="shared" si="23"/>
        <v>E147</v>
      </c>
      <c r="B148" t="str" cm="1">
        <f t="array" aca="1" ref="B148" ca="1">INDEX(sheet2!$A$2:$A$6, RANDBETWEEN(1, 5))</f>
        <v>Sales</v>
      </c>
      <c r="C148" t="str">
        <f ca="1">_xlfn.XLOOKUP(Table1[[#This Row],[Department]],sheet2!$A$2:$A$6,sheet2!$B$2:$B$6,_xleta.NA,0)</f>
        <v>Marketing Manager</v>
      </c>
      <c r="D148" s="1">
        <f t="shared" ca="1" si="20"/>
        <v>43122</v>
      </c>
      <c r="E148" s="1">
        <f ca="1">Table1[[#This Row],[Job Posting Date]]+ RANDBETWEEN(15, 90)</f>
        <v>43163</v>
      </c>
      <c r="F148" s="1">
        <f ca="1">Table1[[#This Row],[Hire Date]]+ RANDBETWEEN(1, 15)</f>
        <v>43171</v>
      </c>
      <c r="G148" s="1">
        <f ca="1">IF(RAND() &lt; 0.5,  Table1[[#This Row],[Join Date]]+ RANDBETWEEN(30, TODAY()- Table1[[#This Row],[Join Date]]), "-")</f>
        <v>43437</v>
      </c>
      <c r="H148" t="str">
        <f ca="1">IF(Table1[[#This Row],[Exit Date]]= "-", "Active", "Exited")</f>
        <v>Exited</v>
      </c>
      <c r="I148" s="5">
        <f t="shared" ca="1" si="21"/>
        <v>1977</v>
      </c>
      <c r="J148" t="str" cm="1">
        <f t="array" aca="1" ref="J148" ca="1">INDEX(sheet2!$C$2:$C$6, RANDBETWEEN(1, 5))</f>
        <v>Ethics and Responsibilities</v>
      </c>
      <c r="K148" t="str">
        <f t="shared" ca="1" si="22"/>
        <v>Completed</v>
      </c>
      <c r="L148">
        <v>260</v>
      </c>
      <c r="M148">
        <f t="shared" ca="1" si="24"/>
        <v>18</v>
      </c>
      <c r="N148" t="str">
        <f t="shared" ca="1" si="25"/>
        <v>Female</v>
      </c>
      <c r="O148" s="6">
        <f t="shared" ca="1" si="26"/>
        <v>1602</v>
      </c>
      <c r="P148">
        <f ca="1">Table1[[#This Row],[Hire Date]]-Table1[[#This Row],[Job Posting Date]]</f>
        <v>41</v>
      </c>
      <c r="Q148" s="7">
        <f ca="1">Table1[[#This Row],[Join Date]]-Table1[[#This Row],[Hire Date]]</f>
        <v>8</v>
      </c>
      <c r="R148" s="8">
        <f ca="1">(IF(Table1[[#This Row],[Status]]="Exited",Table1[[#This Row],[Exit Date]]-Table1[[#This Row],[Join Date]],TODAY()-Table1[[#This Row],[Join Date]]))/30</f>
        <v>8.8666666666666671</v>
      </c>
      <c r="S148">
        <f ca="1">Table1[[#This Row],[Hire Date]]-Table1[[#This Row],[Job Posting Date]]</f>
        <v>41</v>
      </c>
      <c r="T148" s="7">
        <f ca="1">Table1[[#This Row],[Time to onboard]]/Table1[[#This Row],[Time to Fill]]*100</f>
        <v>19.512195121951219</v>
      </c>
      <c r="U148" s="8">
        <f ca="1">Table1[[#This Row],[Time to onboard]]/Table1[[#This Row],[Time to Fill]]*100</f>
        <v>19.512195121951219</v>
      </c>
      <c r="V148">
        <f ca="1">Table1[[#This Row],[Join Date]]-Table1[[#This Row],[Job Posting Date]]</f>
        <v>49</v>
      </c>
      <c r="W148">
        <f t="shared" ca="1" si="27"/>
        <v>170</v>
      </c>
      <c r="X148" s="8">
        <f ca="1">Table1[[#This Row],[Absentee Days]]/Table1[[#This Row],[Total Work Days]]*100</f>
        <v>6.9230769230769234</v>
      </c>
      <c r="Y148">
        <f ca="1">YEAR(Table1[[#This Row],[Join Date]])</f>
        <v>2018</v>
      </c>
      <c r="Z148">
        <f ca="1">IF(Table1[[#This Row],[Status]]="Active",1,0)</f>
        <v>0</v>
      </c>
      <c r="AA148">
        <f ca="1">IF(Table1[[#This Row],[Status]]="Exited",Table1[[#This Row],[Recruitment Cost]]+Table1[[#This Row],[Onboarding cost]]+Table1[[#This Row],[Training Cost]],0)</f>
        <v>3749</v>
      </c>
    </row>
    <row r="149" spans="1:27">
      <c r="A149" t="str">
        <f t="shared" si="23"/>
        <v>E148</v>
      </c>
      <c r="B149" t="str" cm="1">
        <f t="array" aca="1" ref="B149" ca="1">INDEX(sheet2!$A$2:$A$6, RANDBETWEEN(1, 5))</f>
        <v>Sales</v>
      </c>
      <c r="C149" t="str">
        <f ca="1">_xlfn.XLOOKUP(Table1[[#This Row],[Department]],sheet2!$A$2:$A$6,sheet2!$B$2:$B$6,_xleta.NA,0)</f>
        <v>Marketing Manager</v>
      </c>
      <c r="D149" s="1">
        <f t="shared" ca="1" si="20"/>
        <v>43731</v>
      </c>
      <c r="E149" s="1">
        <f ca="1">Table1[[#This Row],[Job Posting Date]]+ RANDBETWEEN(15, 90)</f>
        <v>43778</v>
      </c>
      <c r="F149" s="1">
        <f ca="1">Table1[[#This Row],[Hire Date]]+ RANDBETWEEN(1, 15)</f>
        <v>43793</v>
      </c>
      <c r="G149" s="1">
        <f ca="1">IF(RAND() &lt; 0.5,  Table1[[#This Row],[Join Date]]+ RANDBETWEEN(30, TODAY()- Table1[[#This Row],[Join Date]]), "-")</f>
        <v>44895</v>
      </c>
      <c r="H149" t="str">
        <f ca="1">IF(Table1[[#This Row],[Exit Date]]= "-", "Active", "Exited")</f>
        <v>Exited</v>
      </c>
      <c r="I149" s="5">
        <f t="shared" ca="1" si="21"/>
        <v>4636</v>
      </c>
      <c r="J149" t="str" cm="1">
        <f t="array" aca="1" ref="J149" ca="1">INDEX(sheet2!$C$2:$C$6, RANDBETWEEN(1, 5))</f>
        <v>Advanced Excel Skills </v>
      </c>
      <c r="K149" t="str">
        <f t="shared" ca="1" si="22"/>
        <v>Completed</v>
      </c>
      <c r="L149">
        <v>260</v>
      </c>
      <c r="M149">
        <f t="shared" ca="1" si="24"/>
        <v>11</v>
      </c>
      <c r="N149" t="str">
        <f t="shared" ca="1" si="25"/>
        <v>Female</v>
      </c>
      <c r="O149" s="6">
        <f t="shared" ca="1" si="26"/>
        <v>2249</v>
      </c>
      <c r="P149">
        <f ca="1">Table1[[#This Row],[Hire Date]]-Table1[[#This Row],[Job Posting Date]]</f>
        <v>47</v>
      </c>
      <c r="Q149" s="7">
        <f ca="1">Table1[[#This Row],[Join Date]]-Table1[[#This Row],[Hire Date]]</f>
        <v>15</v>
      </c>
      <c r="R149" s="8">
        <f ca="1">(IF(Table1[[#This Row],[Status]]="Exited",Table1[[#This Row],[Exit Date]]-Table1[[#This Row],[Join Date]],TODAY()-Table1[[#This Row],[Join Date]]))/30</f>
        <v>36.733333333333334</v>
      </c>
      <c r="S149">
        <f ca="1">Table1[[#This Row],[Hire Date]]-Table1[[#This Row],[Job Posting Date]]</f>
        <v>47</v>
      </c>
      <c r="T149" s="7">
        <f ca="1">Table1[[#This Row],[Time to onboard]]/Table1[[#This Row],[Time to Fill]]*100</f>
        <v>31.914893617021278</v>
      </c>
      <c r="U149" s="8">
        <f ca="1">Table1[[#This Row],[Time to onboard]]/Table1[[#This Row],[Time to Fill]]*100</f>
        <v>31.914893617021278</v>
      </c>
      <c r="V149">
        <f ca="1">Table1[[#This Row],[Join Date]]-Table1[[#This Row],[Job Posting Date]]</f>
        <v>62</v>
      </c>
      <c r="W149">
        <f t="shared" ca="1" si="27"/>
        <v>169</v>
      </c>
      <c r="X149" s="8">
        <f ca="1">Table1[[#This Row],[Absentee Days]]/Table1[[#This Row],[Total Work Days]]*100</f>
        <v>4.2307692307692308</v>
      </c>
      <c r="Y149">
        <f ca="1">YEAR(Table1[[#This Row],[Join Date]])</f>
        <v>2019</v>
      </c>
      <c r="Z149">
        <f ca="1">IF(Table1[[#This Row],[Status]]="Active",1,0)</f>
        <v>0</v>
      </c>
      <c r="AA149">
        <f ca="1">IF(Table1[[#This Row],[Status]]="Exited",Table1[[#This Row],[Recruitment Cost]]+Table1[[#This Row],[Onboarding cost]]+Table1[[#This Row],[Training Cost]],0)</f>
        <v>7054</v>
      </c>
    </row>
    <row r="150" spans="1:27">
      <c r="A150" t="str">
        <f t="shared" si="23"/>
        <v>E149</v>
      </c>
      <c r="B150" t="str" cm="1">
        <f t="array" aca="1" ref="B150" ca="1">INDEX(sheet2!$A$2:$A$6, RANDBETWEEN(1, 5))</f>
        <v>Finance</v>
      </c>
      <c r="C150" t="str">
        <f ca="1">_xlfn.XLOOKUP(Table1[[#This Row],[Department]],sheet2!$A$2:$A$6,sheet2!$B$2:$B$6,_xleta.NA,0)</f>
        <v>Finance Manager</v>
      </c>
      <c r="D150" s="1">
        <f t="shared" ca="1" si="20"/>
        <v>43580</v>
      </c>
      <c r="E150" s="1">
        <f ca="1">Table1[[#This Row],[Job Posting Date]]+ RANDBETWEEN(15, 90)</f>
        <v>43622</v>
      </c>
      <c r="F150" s="1">
        <f ca="1">Table1[[#This Row],[Hire Date]]+ RANDBETWEEN(1, 15)</f>
        <v>43624</v>
      </c>
      <c r="G150" s="1">
        <f ca="1">IF(RAND() &lt; 0.5,  Table1[[#This Row],[Join Date]]+ RANDBETWEEN(30, TODAY()- Table1[[#This Row],[Join Date]]), "-")</f>
        <v>45368</v>
      </c>
      <c r="H150" t="str">
        <f ca="1">IF(Table1[[#This Row],[Exit Date]]= "-", "Active", "Exited")</f>
        <v>Exited</v>
      </c>
      <c r="I150" s="5">
        <f t="shared" ca="1" si="21"/>
        <v>4462</v>
      </c>
      <c r="J150" t="str" cm="1">
        <f t="array" aca="1" ref="J150" ca="1">INDEX(sheet2!$C$2:$C$6, RANDBETWEEN(1, 5))</f>
        <v>Leadership Development</v>
      </c>
      <c r="K150" t="str">
        <f t="shared" ca="1" si="22"/>
        <v>Not Completed</v>
      </c>
      <c r="L150">
        <v>260</v>
      </c>
      <c r="M150">
        <f t="shared" ca="1" si="24"/>
        <v>10</v>
      </c>
      <c r="N150" t="str">
        <f t="shared" ca="1" si="25"/>
        <v>Male</v>
      </c>
      <c r="O150" s="6">
        <f t="shared" ca="1" si="26"/>
        <v>1404</v>
      </c>
      <c r="P150">
        <f ca="1">Table1[[#This Row],[Hire Date]]-Table1[[#This Row],[Job Posting Date]]</f>
        <v>42</v>
      </c>
      <c r="Q150" s="7">
        <f ca="1">Table1[[#This Row],[Join Date]]-Table1[[#This Row],[Hire Date]]</f>
        <v>2</v>
      </c>
      <c r="R150" s="8">
        <f ca="1">(IF(Table1[[#This Row],[Status]]="Exited",Table1[[#This Row],[Exit Date]]-Table1[[#This Row],[Join Date]],TODAY()-Table1[[#This Row],[Join Date]]))/30</f>
        <v>58.133333333333333</v>
      </c>
      <c r="S150">
        <f ca="1">Table1[[#This Row],[Hire Date]]-Table1[[#This Row],[Job Posting Date]]</f>
        <v>42</v>
      </c>
      <c r="T150" s="7">
        <f ca="1">Table1[[#This Row],[Time to onboard]]/Table1[[#This Row],[Time to Fill]]*100</f>
        <v>4.7619047619047619</v>
      </c>
      <c r="U150" s="8">
        <f ca="1">Table1[[#This Row],[Time to onboard]]/Table1[[#This Row],[Time to Fill]]*100</f>
        <v>4.7619047619047619</v>
      </c>
      <c r="V150">
        <f ca="1">Table1[[#This Row],[Join Date]]-Table1[[#This Row],[Job Posting Date]]</f>
        <v>44</v>
      </c>
      <c r="W150">
        <f t="shared" ca="1" si="27"/>
        <v>199</v>
      </c>
      <c r="X150" s="8">
        <f ca="1">Table1[[#This Row],[Absentee Days]]/Table1[[#This Row],[Total Work Days]]*100</f>
        <v>3.8461538461538463</v>
      </c>
      <c r="Y150">
        <f ca="1">YEAR(Table1[[#This Row],[Join Date]])</f>
        <v>2019</v>
      </c>
      <c r="Z150">
        <f ca="1">IF(Table1[[#This Row],[Status]]="Active",1,0)</f>
        <v>0</v>
      </c>
      <c r="AA150">
        <f ca="1">IF(Table1[[#This Row],[Status]]="Exited",Table1[[#This Row],[Recruitment Cost]]+Table1[[#This Row],[Onboarding cost]]+Table1[[#This Row],[Training Cost]],0)</f>
        <v>6065</v>
      </c>
    </row>
    <row r="151" spans="1:27">
      <c r="A151" t="str">
        <f t="shared" si="23"/>
        <v>E150</v>
      </c>
      <c r="B151" t="str" cm="1">
        <f t="array" aca="1" ref="B151" ca="1">INDEX(sheet2!$A$2:$A$6, RANDBETWEEN(1, 5))</f>
        <v>IT</v>
      </c>
      <c r="C151" t="str">
        <f ca="1">_xlfn.XLOOKUP(Table1[[#This Row],[Department]],sheet2!$A$2:$A$6,sheet2!$B$2:$B$6,_xleta.NA,0)</f>
        <v>Software Engineer</v>
      </c>
      <c r="D151" s="1">
        <f t="shared" ca="1" si="20"/>
        <v>44859</v>
      </c>
      <c r="E151" s="1">
        <f ca="1">Table1[[#This Row],[Job Posting Date]]+ RANDBETWEEN(15, 90)</f>
        <v>44912</v>
      </c>
      <c r="F151" s="1">
        <f ca="1">Table1[[#This Row],[Hire Date]]+ RANDBETWEEN(1, 15)</f>
        <v>44927</v>
      </c>
      <c r="G151" s="1">
        <f ca="1">IF(RAND() &lt; 0.5,  Table1[[#This Row],[Join Date]]+ RANDBETWEEN(30, TODAY()- Table1[[#This Row],[Join Date]]), "-")</f>
        <v>45567</v>
      </c>
      <c r="H151" t="str">
        <f ca="1">IF(Table1[[#This Row],[Exit Date]]= "-", "Active", "Exited")</f>
        <v>Exited</v>
      </c>
      <c r="I151" s="5">
        <f t="shared" ca="1" si="21"/>
        <v>4647</v>
      </c>
      <c r="J151" t="str" cm="1">
        <f t="array" aca="1" ref="J151" ca="1">INDEX(sheet2!$C$2:$C$6, RANDBETWEEN(1, 5))</f>
        <v>Communication Skills</v>
      </c>
      <c r="K151" t="str">
        <f t="shared" ca="1" si="22"/>
        <v>Completed</v>
      </c>
      <c r="L151">
        <v>260</v>
      </c>
      <c r="M151">
        <f t="shared" ca="1" si="24"/>
        <v>7</v>
      </c>
      <c r="N151" t="str">
        <f t="shared" ca="1" si="25"/>
        <v>Male</v>
      </c>
      <c r="O151" s="6">
        <f t="shared" ca="1" si="26"/>
        <v>1744</v>
      </c>
      <c r="P151">
        <f ca="1">Table1[[#This Row],[Hire Date]]-Table1[[#This Row],[Job Posting Date]]</f>
        <v>53</v>
      </c>
      <c r="Q151" s="7">
        <f ca="1">Table1[[#This Row],[Join Date]]-Table1[[#This Row],[Hire Date]]</f>
        <v>15</v>
      </c>
      <c r="R151" s="8">
        <f ca="1">(IF(Table1[[#This Row],[Status]]="Exited",Table1[[#This Row],[Exit Date]]-Table1[[#This Row],[Join Date]],TODAY()-Table1[[#This Row],[Join Date]]))/30</f>
        <v>21.333333333333332</v>
      </c>
      <c r="S151">
        <f ca="1">Table1[[#This Row],[Hire Date]]-Table1[[#This Row],[Job Posting Date]]</f>
        <v>53</v>
      </c>
      <c r="T151" s="7">
        <f ca="1">Table1[[#This Row],[Time to onboard]]/Table1[[#This Row],[Time to Fill]]*100</f>
        <v>28.30188679245283</v>
      </c>
      <c r="U151" s="8">
        <f ca="1">Table1[[#This Row],[Time to onboard]]/Table1[[#This Row],[Time to Fill]]*100</f>
        <v>28.30188679245283</v>
      </c>
      <c r="V151">
        <f ca="1">Table1[[#This Row],[Join Date]]-Table1[[#This Row],[Job Posting Date]]</f>
        <v>68</v>
      </c>
      <c r="W151">
        <f t="shared" ca="1" si="27"/>
        <v>194</v>
      </c>
      <c r="X151" s="8">
        <f ca="1">Table1[[#This Row],[Absentee Days]]/Table1[[#This Row],[Total Work Days]]*100</f>
        <v>2.6923076923076925</v>
      </c>
      <c r="Y151">
        <f ca="1">YEAR(Table1[[#This Row],[Join Date]])</f>
        <v>2023</v>
      </c>
      <c r="Z151">
        <f ca="1">IF(Table1[[#This Row],[Status]]="Active",1,0)</f>
        <v>0</v>
      </c>
      <c r="AA151">
        <f ca="1">IF(Table1[[#This Row],[Status]]="Exited",Table1[[#This Row],[Recruitment Cost]]+Table1[[#This Row],[Onboarding cost]]+Table1[[#This Row],[Training Cost]],0)</f>
        <v>6585</v>
      </c>
    </row>
    <row r="152" spans="1:27">
      <c r="A152" t="str">
        <f t="shared" si="23"/>
        <v>E151</v>
      </c>
      <c r="B152" t="str" cm="1">
        <f t="array" aca="1" ref="B152" ca="1">INDEX(sheet2!$A$2:$A$6, RANDBETWEEN(1, 5))</f>
        <v>HR</v>
      </c>
      <c r="C152" t="str">
        <f ca="1">_xlfn.XLOOKUP(Table1[[#This Row],[Department]],sheet2!$A$2:$A$6,sheet2!$B$2:$B$6,_xleta.NA,0)</f>
        <v>HR Manager</v>
      </c>
      <c r="D152" s="1">
        <f t="shared" ca="1" si="20"/>
        <v>43200</v>
      </c>
      <c r="E152" s="1">
        <f ca="1">Table1[[#This Row],[Job Posting Date]]+ RANDBETWEEN(15, 90)</f>
        <v>43248</v>
      </c>
      <c r="F152" s="1">
        <f ca="1">Table1[[#This Row],[Hire Date]]+ RANDBETWEEN(1, 15)</f>
        <v>43259</v>
      </c>
      <c r="G152" s="1">
        <f ca="1">IF(RAND() &lt; 0.5,  Table1[[#This Row],[Join Date]]+ RANDBETWEEN(30, TODAY()- Table1[[#This Row],[Join Date]]), "-")</f>
        <v>44168</v>
      </c>
      <c r="H152" t="str">
        <f ca="1">IF(Table1[[#This Row],[Exit Date]]= "-", "Active", "Exited")</f>
        <v>Exited</v>
      </c>
      <c r="I152" s="5">
        <f t="shared" ca="1" si="21"/>
        <v>3591</v>
      </c>
      <c r="J152" t="str" cm="1">
        <f t="array" aca="1" ref="J152" ca="1">INDEX(sheet2!$C$2:$C$6, RANDBETWEEN(1, 5))</f>
        <v>Advanced Excel Skills </v>
      </c>
      <c r="K152" t="str">
        <f t="shared" ca="1" si="22"/>
        <v>Completed</v>
      </c>
      <c r="L152">
        <v>260</v>
      </c>
      <c r="M152">
        <f t="shared" ca="1" si="24"/>
        <v>20</v>
      </c>
      <c r="N152" t="str">
        <f t="shared" ca="1" si="25"/>
        <v>Other</v>
      </c>
      <c r="O152" s="6">
        <f t="shared" ca="1" si="26"/>
        <v>2424</v>
      </c>
      <c r="P152">
        <f ca="1">Table1[[#This Row],[Hire Date]]-Table1[[#This Row],[Job Posting Date]]</f>
        <v>48</v>
      </c>
      <c r="Q152" s="7">
        <f ca="1">Table1[[#This Row],[Join Date]]-Table1[[#This Row],[Hire Date]]</f>
        <v>11</v>
      </c>
      <c r="R152" s="8">
        <f ca="1">(IF(Table1[[#This Row],[Status]]="Exited",Table1[[#This Row],[Exit Date]]-Table1[[#This Row],[Join Date]],TODAY()-Table1[[#This Row],[Join Date]]))/30</f>
        <v>30.3</v>
      </c>
      <c r="S152">
        <f ca="1">Table1[[#This Row],[Hire Date]]-Table1[[#This Row],[Job Posting Date]]</f>
        <v>48</v>
      </c>
      <c r="T152" s="7">
        <f ca="1">Table1[[#This Row],[Time to onboard]]/Table1[[#This Row],[Time to Fill]]*100</f>
        <v>22.916666666666664</v>
      </c>
      <c r="U152" s="8">
        <f ca="1">Table1[[#This Row],[Time to onboard]]/Table1[[#This Row],[Time to Fill]]*100</f>
        <v>22.916666666666664</v>
      </c>
      <c r="V152">
        <f ca="1">Table1[[#This Row],[Join Date]]-Table1[[#This Row],[Job Posting Date]]</f>
        <v>59</v>
      </c>
      <c r="W152">
        <f t="shared" ca="1" si="27"/>
        <v>122</v>
      </c>
      <c r="X152" s="8">
        <f ca="1">Table1[[#This Row],[Absentee Days]]/Table1[[#This Row],[Total Work Days]]*100</f>
        <v>7.6923076923076925</v>
      </c>
      <c r="Y152">
        <f ca="1">YEAR(Table1[[#This Row],[Join Date]])</f>
        <v>2018</v>
      </c>
      <c r="Z152">
        <f ca="1">IF(Table1[[#This Row],[Status]]="Active",1,0)</f>
        <v>0</v>
      </c>
      <c r="AA152">
        <f ca="1">IF(Table1[[#This Row],[Status]]="Exited",Table1[[#This Row],[Recruitment Cost]]+Table1[[#This Row],[Onboarding cost]]+Table1[[#This Row],[Training Cost]],0)</f>
        <v>6137</v>
      </c>
    </row>
    <row r="153" spans="1:27">
      <c r="A153" t="str">
        <f t="shared" si="23"/>
        <v>E152</v>
      </c>
      <c r="B153" t="str" cm="1">
        <f t="array" aca="1" ref="B153" ca="1">INDEX(sheet2!$A$2:$A$6, RANDBETWEEN(1, 5))</f>
        <v>Analytics</v>
      </c>
      <c r="C153" t="str">
        <f ca="1">_xlfn.XLOOKUP(Table1[[#This Row],[Department]],sheet2!$A$2:$A$6,sheet2!$B$2:$B$6,_xleta.NA,0)</f>
        <v>Data Analyst</v>
      </c>
      <c r="D153" s="1">
        <f t="shared" ca="1" si="20"/>
        <v>43458</v>
      </c>
      <c r="E153" s="1">
        <f ca="1">Table1[[#This Row],[Job Posting Date]]+ RANDBETWEEN(15, 90)</f>
        <v>43493</v>
      </c>
      <c r="F153" s="1">
        <f ca="1">Table1[[#This Row],[Hire Date]]+ RANDBETWEEN(1, 15)</f>
        <v>43504</v>
      </c>
      <c r="G153" s="1" t="str">
        <f ca="1">IF(RAND() &lt; 0.5,  Table1[[#This Row],[Join Date]]+ RANDBETWEEN(30, TODAY()- Table1[[#This Row],[Join Date]]), "-")</f>
        <v>-</v>
      </c>
      <c r="H153" t="str">
        <f ca="1">IF(Table1[[#This Row],[Exit Date]]= "-", "Active", "Exited")</f>
        <v>Active</v>
      </c>
      <c r="I153" s="5">
        <f t="shared" ca="1" si="21"/>
        <v>1595</v>
      </c>
      <c r="J153" t="str" cm="1">
        <f t="array" aca="1" ref="J153" ca="1">INDEX(sheet2!$C$2:$C$6, RANDBETWEEN(1, 5))</f>
        <v>Conflict Resolution</v>
      </c>
      <c r="K153" t="str">
        <f t="shared" ca="1" si="22"/>
        <v>Completed</v>
      </c>
      <c r="L153">
        <v>260</v>
      </c>
      <c r="M153">
        <f t="shared" ca="1" si="24"/>
        <v>5</v>
      </c>
      <c r="N153" t="str">
        <f t="shared" ca="1" si="25"/>
        <v>Female</v>
      </c>
      <c r="O153" s="6">
        <f t="shared" ca="1" si="26"/>
        <v>2195</v>
      </c>
      <c r="P153">
        <f ca="1">Table1[[#This Row],[Hire Date]]-Table1[[#This Row],[Job Posting Date]]</f>
        <v>35</v>
      </c>
      <c r="Q153" s="7">
        <f ca="1">Table1[[#This Row],[Join Date]]-Table1[[#This Row],[Hire Date]]</f>
        <v>11</v>
      </c>
      <c r="R153" s="8">
        <f ca="1">(IF(Table1[[#This Row],[Status]]="Exited",Table1[[#This Row],[Exit Date]]-Table1[[#This Row],[Join Date]],TODAY()-Table1[[#This Row],[Join Date]]))/30</f>
        <v>71.966666666666669</v>
      </c>
      <c r="S153">
        <f ca="1">Table1[[#This Row],[Hire Date]]-Table1[[#This Row],[Job Posting Date]]</f>
        <v>35</v>
      </c>
      <c r="T153" s="7">
        <f ca="1">Table1[[#This Row],[Time to onboard]]/Table1[[#This Row],[Time to Fill]]*100</f>
        <v>31.428571428571427</v>
      </c>
      <c r="U153" s="8">
        <f ca="1">Table1[[#This Row],[Time to onboard]]/Table1[[#This Row],[Time to Fill]]*100</f>
        <v>31.428571428571427</v>
      </c>
      <c r="V153">
        <f ca="1">Table1[[#This Row],[Join Date]]-Table1[[#This Row],[Job Posting Date]]</f>
        <v>46</v>
      </c>
      <c r="W153">
        <f t="shared" ca="1" si="27"/>
        <v>140</v>
      </c>
      <c r="X153" s="8">
        <f ca="1">Table1[[#This Row],[Absentee Days]]/Table1[[#This Row],[Total Work Days]]*100</f>
        <v>1.9230769230769231</v>
      </c>
      <c r="Y153">
        <f ca="1">YEAR(Table1[[#This Row],[Join Date]])</f>
        <v>2019</v>
      </c>
      <c r="Z153">
        <f ca="1">IF(Table1[[#This Row],[Status]]="Active",1,0)</f>
        <v>1</v>
      </c>
      <c r="AA153">
        <f ca="1">IF(Table1[[#This Row],[Status]]="Exited",Table1[[#This Row],[Recruitment Cost]]+Table1[[#This Row],[Onboarding cost]]+Table1[[#This Row],[Training Cost]],0)</f>
        <v>0</v>
      </c>
    </row>
    <row r="154" spans="1:27">
      <c r="A154" t="str">
        <f t="shared" si="23"/>
        <v>E153</v>
      </c>
      <c r="B154" t="str" cm="1">
        <f t="array" aca="1" ref="B154" ca="1">INDEX(sheet2!$A$2:$A$6, RANDBETWEEN(1, 5))</f>
        <v>Sales</v>
      </c>
      <c r="C154" t="str">
        <f ca="1">_xlfn.XLOOKUP(Table1[[#This Row],[Department]],sheet2!$A$2:$A$6,sheet2!$B$2:$B$6,_xleta.NA,0)</f>
        <v>Marketing Manager</v>
      </c>
      <c r="D154" s="1">
        <f t="shared" ca="1" si="20"/>
        <v>44601</v>
      </c>
      <c r="E154" s="1">
        <f ca="1">Table1[[#This Row],[Job Posting Date]]+ RANDBETWEEN(15, 90)</f>
        <v>44645</v>
      </c>
      <c r="F154" s="1">
        <f ca="1">Table1[[#This Row],[Hire Date]]+ RANDBETWEEN(1, 15)</f>
        <v>44658</v>
      </c>
      <c r="G154" s="1" t="str">
        <f ca="1">IF(RAND() &lt; 0.5,  Table1[[#This Row],[Join Date]]+ RANDBETWEEN(30, TODAY()- Table1[[#This Row],[Join Date]]), "-")</f>
        <v>-</v>
      </c>
      <c r="H154" t="str">
        <f ca="1">IF(Table1[[#This Row],[Exit Date]]= "-", "Active", "Exited")</f>
        <v>Active</v>
      </c>
      <c r="I154" s="5">
        <f t="shared" ca="1" si="21"/>
        <v>3960</v>
      </c>
      <c r="J154" t="str" cm="1">
        <f t="array" aca="1" ref="J154" ca="1">INDEX(sheet2!$C$2:$C$6, RANDBETWEEN(1, 5))</f>
        <v>Conflict Resolution</v>
      </c>
      <c r="K154" t="str">
        <f t="shared" ca="1" si="22"/>
        <v>Not Completed</v>
      </c>
      <c r="L154">
        <v>260</v>
      </c>
      <c r="M154">
        <f t="shared" ca="1" si="24"/>
        <v>7</v>
      </c>
      <c r="N154" t="str">
        <f t="shared" ca="1" si="25"/>
        <v>Female</v>
      </c>
      <c r="O154" s="6">
        <f t="shared" ca="1" si="26"/>
        <v>1248</v>
      </c>
      <c r="P154">
        <f ca="1">Table1[[#This Row],[Hire Date]]-Table1[[#This Row],[Job Posting Date]]</f>
        <v>44</v>
      </c>
      <c r="Q154" s="7">
        <f ca="1">Table1[[#This Row],[Join Date]]-Table1[[#This Row],[Hire Date]]</f>
        <v>13</v>
      </c>
      <c r="R154" s="8">
        <f ca="1">(IF(Table1[[#This Row],[Status]]="Exited",Table1[[#This Row],[Exit Date]]-Table1[[#This Row],[Join Date]],TODAY()-Table1[[#This Row],[Join Date]]))/30</f>
        <v>33.5</v>
      </c>
      <c r="S154">
        <f ca="1">Table1[[#This Row],[Hire Date]]-Table1[[#This Row],[Job Posting Date]]</f>
        <v>44</v>
      </c>
      <c r="T154" s="7">
        <f ca="1">Table1[[#This Row],[Time to onboard]]/Table1[[#This Row],[Time to Fill]]*100</f>
        <v>29.545454545454547</v>
      </c>
      <c r="U154" s="8">
        <f ca="1">Table1[[#This Row],[Time to onboard]]/Table1[[#This Row],[Time to Fill]]*100</f>
        <v>29.545454545454547</v>
      </c>
      <c r="V154">
        <f ca="1">Table1[[#This Row],[Join Date]]-Table1[[#This Row],[Job Posting Date]]</f>
        <v>57</v>
      </c>
      <c r="W154">
        <f t="shared" ca="1" si="27"/>
        <v>127</v>
      </c>
      <c r="X154" s="8">
        <f ca="1">Table1[[#This Row],[Absentee Days]]/Table1[[#This Row],[Total Work Days]]*100</f>
        <v>2.6923076923076925</v>
      </c>
      <c r="Y154">
        <f ca="1">YEAR(Table1[[#This Row],[Join Date]])</f>
        <v>2022</v>
      </c>
      <c r="Z154">
        <f ca="1">IF(Table1[[#This Row],[Status]]="Active",1,0)</f>
        <v>1</v>
      </c>
      <c r="AA154">
        <f ca="1">IF(Table1[[#This Row],[Status]]="Exited",Table1[[#This Row],[Recruitment Cost]]+Table1[[#This Row],[Onboarding cost]]+Table1[[#This Row],[Training Cost]],0)</f>
        <v>0</v>
      </c>
    </row>
    <row r="155" spans="1:27">
      <c r="A155" t="str">
        <f t="shared" si="23"/>
        <v>E154</v>
      </c>
      <c r="B155" t="str" cm="1">
        <f t="array" aca="1" ref="B155" ca="1">INDEX(sheet2!$A$2:$A$6, RANDBETWEEN(1, 5))</f>
        <v>IT</v>
      </c>
      <c r="C155" t="str">
        <f ca="1">_xlfn.XLOOKUP(Table1[[#This Row],[Department]],sheet2!$A$2:$A$6,sheet2!$B$2:$B$6,_xleta.NA,0)</f>
        <v>Software Engineer</v>
      </c>
      <c r="D155" s="1">
        <f t="shared" ca="1" si="20"/>
        <v>44255</v>
      </c>
      <c r="E155" s="1">
        <f ca="1">Table1[[#This Row],[Job Posting Date]]+ RANDBETWEEN(15, 90)</f>
        <v>44292</v>
      </c>
      <c r="F155" s="1">
        <f ca="1">Table1[[#This Row],[Hire Date]]+ RANDBETWEEN(1, 15)</f>
        <v>44296</v>
      </c>
      <c r="G155" s="1">
        <f ca="1">IF(RAND() &lt; 0.5,  Table1[[#This Row],[Join Date]]+ RANDBETWEEN(30, TODAY()- Table1[[#This Row],[Join Date]]), "-")</f>
        <v>45332</v>
      </c>
      <c r="H155" t="str">
        <f ca="1">IF(Table1[[#This Row],[Exit Date]]= "-", "Active", "Exited")</f>
        <v>Exited</v>
      </c>
      <c r="I155" s="5">
        <f t="shared" ca="1" si="21"/>
        <v>3095</v>
      </c>
      <c r="J155" t="str" cm="1">
        <f t="array" aca="1" ref="J155" ca="1">INDEX(sheet2!$C$2:$C$6, RANDBETWEEN(1, 5))</f>
        <v>Communication Skills</v>
      </c>
      <c r="K155" t="str">
        <f t="shared" ca="1" si="22"/>
        <v>Completed</v>
      </c>
      <c r="L155">
        <v>260</v>
      </c>
      <c r="M155">
        <f t="shared" ca="1" si="24"/>
        <v>12</v>
      </c>
      <c r="N155" t="str">
        <f t="shared" ca="1" si="25"/>
        <v>Female</v>
      </c>
      <c r="O155" s="6">
        <f t="shared" ca="1" si="26"/>
        <v>2228</v>
      </c>
      <c r="P155">
        <f ca="1">Table1[[#This Row],[Hire Date]]-Table1[[#This Row],[Job Posting Date]]</f>
        <v>37</v>
      </c>
      <c r="Q155" s="7">
        <f ca="1">Table1[[#This Row],[Join Date]]-Table1[[#This Row],[Hire Date]]</f>
        <v>4</v>
      </c>
      <c r="R155" s="8">
        <f ca="1">(IF(Table1[[#This Row],[Status]]="Exited",Table1[[#This Row],[Exit Date]]-Table1[[#This Row],[Join Date]],TODAY()-Table1[[#This Row],[Join Date]]))/30</f>
        <v>34.533333333333331</v>
      </c>
      <c r="S155">
        <f ca="1">Table1[[#This Row],[Hire Date]]-Table1[[#This Row],[Job Posting Date]]</f>
        <v>37</v>
      </c>
      <c r="T155" s="7">
        <f ca="1">Table1[[#This Row],[Time to onboard]]/Table1[[#This Row],[Time to Fill]]*100</f>
        <v>10.810810810810811</v>
      </c>
      <c r="U155" s="8">
        <f ca="1">Table1[[#This Row],[Time to onboard]]/Table1[[#This Row],[Time to Fill]]*100</f>
        <v>10.810810810810811</v>
      </c>
      <c r="V155">
        <f ca="1">Table1[[#This Row],[Join Date]]-Table1[[#This Row],[Job Posting Date]]</f>
        <v>41</v>
      </c>
      <c r="W155">
        <f t="shared" ca="1" si="27"/>
        <v>123</v>
      </c>
      <c r="X155" s="8">
        <f ca="1">Table1[[#This Row],[Absentee Days]]/Table1[[#This Row],[Total Work Days]]*100</f>
        <v>4.6153846153846159</v>
      </c>
      <c r="Y155">
        <f ca="1">YEAR(Table1[[#This Row],[Join Date]])</f>
        <v>2021</v>
      </c>
      <c r="Z155">
        <f ca="1">IF(Table1[[#This Row],[Status]]="Active",1,0)</f>
        <v>0</v>
      </c>
      <c r="AA155">
        <f ca="1">IF(Table1[[#This Row],[Status]]="Exited",Table1[[#This Row],[Recruitment Cost]]+Table1[[#This Row],[Onboarding cost]]+Table1[[#This Row],[Training Cost]],0)</f>
        <v>5446</v>
      </c>
    </row>
    <row r="156" spans="1:27">
      <c r="A156" t="str">
        <f t="shared" si="23"/>
        <v>E155</v>
      </c>
      <c r="B156" t="str" cm="1">
        <f t="array" aca="1" ref="B156" ca="1">INDEX(sheet2!$A$2:$A$6, RANDBETWEEN(1, 5))</f>
        <v>IT</v>
      </c>
      <c r="C156" t="str">
        <f ca="1">_xlfn.XLOOKUP(Table1[[#This Row],[Department]],sheet2!$A$2:$A$6,sheet2!$B$2:$B$6,_xleta.NA,0)</f>
        <v>Software Engineer</v>
      </c>
      <c r="D156" s="1">
        <f t="shared" ca="1" si="20"/>
        <v>43945</v>
      </c>
      <c r="E156" s="1">
        <f ca="1">Table1[[#This Row],[Job Posting Date]]+ RANDBETWEEN(15, 90)</f>
        <v>43999</v>
      </c>
      <c r="F156" s="1">
        <f ca="1">Table1[[#This Row],[Hire Date]]+ RANDBETWEEN(1, 15)</f>
        <v>44004</v>
      </c>
      <c r="G156" s="1" t="str">
        <f ca="1">IF(RAND() &lt; 0.5,  Table1[[#This Row],[Join Date]]+ RANDBETWEEN(30, TODAY()- Table1[[#This Row],[Join Date]]), "-")</f>
        <v>-</v>
      </c>
      <c r="H156" t="str">
        <f ca="1">IF(Table1[[#This Row],[Exit Date]]= "-", "Active", "Exited")</f>
        <v>Active</v>
      </c>
      <c r="I156" s="5">
        <f t="shared" ca="1" si="21"/>
        <v>2636</v>
      </c>
      <c r="J156" t="str" cm="1">
        <f t="array" aca="1" ref="J156" ca="1">INDEX(sheet2!$C$2:$C$6, RANDBETWEEN(1, 5))</f>
        <v>Communication Skills</v>
      </c>
      <c r="K156" t="str">
        <f t="shared" ca="1" si="22"/>
        <v>Not Completed</v>
      </c>
      <c r="L156">
        <v>260</v>
      </c>
      <c r="M156">
        <f t="shared" ca="1" si="24"/>
        <v>20</v>
      </c>
      <c r="N156" t="str">
        <f t="shared" ca="1" si="25"/>
        <v>Male</v>
      </c>
      <c r="O156" s="6">
        <f t="shared" ca="1" si="26"/>
        <v>1766</v>
      </c>
      <c r="P156">
        <f ca="1">Table1[[#This Row],[Hire Date]]-Table1[[#This Row],[Job Posting Date]]</f>
        <v>54</v>
      </c>
      <c r="Q156" s="7">
        <f ca="1">Table1[[#This Row],[Join Date]]-Table1[[#This Row],[Hire Date]]</f>
        <v>5</v>
      </c>
      <c r="R156" s="8">
        <f ca="1">(IF(Table1[[#This Row],[Status]]="Exited",Table1[[#This Row],[Exit Date]]-Table1[[#This Row],[Join Date]],TODAY()-Table1[[#This Row],[Join Date]]))/30</f>
        <v>55.3</v>
      </c>
      <c r="S156">
        <f ca="1">Table1[[#This Row],[Hire Date]]-Table1[[#This Row],[Job Posting Date]]</f>
        <v>54</v>
      </c>
      <c r="T156" s="7">
        <f ca="1">Table1[[#This Row],[Time to onboard]]/Table1[[#This Row],[Time to Fill]]*100</f>
        <v>9.2592592592592595</v>
      </c>
      <c r="U156" s="8">
        <f ca="1">Table1[[#This Row],[Time to onboard]]/Table1[[#This Row],[Time to Fill]]*100</f>
        <v>9.2592592592592595</v>
      </c>
      <c r="V156">
        <f ca="1">Table1[[#This Row],[Join Date]]-Table1[[#This Row],[Job Posting Date]]</f>
        <v>59</v>
      </c>
      <c r="W156">
        <f t="shared" ca="1" si="27"/>
        <v>155</v>
      </c>
      <c r="X156" s="8">
        <f ca="1">Table1[[#This Row],[Absentee Days]]/Table1[[#This Row],[Total Work Days]]*100</f>
        <v>7.6923076923076925</v>
      </c>
      <c r="Y156">
        <f ca="1">YEAR(Table1[[#This Row],[Join Date]])</f>
        <v>2020</v>
      </c>
      <c r="Z156">
        <f ca="1">IF(Table1[[#This Row],[Status]]="Active",1,0)</f>
        <v>1</v>
      </c>
      <c r="AA156">
        <f ca="1">IF(Table1[[#This Row],[Status]]="Exited",Table1[[#This Row],[Recruitment Cost]]+Table1[[#This Row],[Onboarding cost]]+Table1[[#This Row],[Training Cost]],0)</f>
        <v>0</v>
      </c>
    </row>
    <row r="157" spans="1:27">
      <c r="A157" t="str">
        <f t="shared" si="23"/>
        <v>E156</v>
      </c>
      <c r="B157" t="str" cm="1">
        <f t="array" aca="1" ref="B157" ca="1">INDEX(sheet2!$A$2:$A$6, RANDBETWEEN(1, 5))</f>
        <v>Analytics</v>
      </c>
      <c r="C157" t="str">
        <f ca="1">_xlfn.XLOOKUP(Table1[[#This Row],[Department]],sheet2!$A$2:$A$6,sheet2!$B$2:$B$6,_xleta.NA,0)</f>
        <v>Data Analyst</v>
      </c>
      <c r="D157" s="1">
        <f t="shared" ca="1" si="20"/>
        <v>44476</v>
      </c>
      <c r="E157" s="1">
        <f ca="1">Table1[[#This Row],[Job Posting Date]]+ RANDBETWEEN(15, 90)</f>
        <v>44498</v>
      </c>
      <c r="F157" s="1">
        <f ca="1">Table1[[#This Row],[Hire Date]]+ RANDBETWEEN(1, 15)</f>
        <v>44507</v>
      </c>
      <c r="G157" s="1">
        <f ca="1">IF(RAND() &lt; 0.5,  Table1[[#This Row],[Join Date]]+ RANDBETWEEN(30, TODAY()- Table1[[#This Row],[Join Date]]), "-")</f>
        <v>44570</v>
      </c>
      <c r="H157" t="str">
        <f ca="1">IF(Table1[[#This Row],[Exit Date]]= "-", "Active", "Exited")</f>
        <v>Exited</v>
      </c>
      <c r="I157" s="5">
        <f t="shared" ca="1" si="21"/>
        <v>3970</v>
      </c>
      <c r="J157" t="str" cm="1">
        <f t="array" aca="1" ref="J157" ca="1">INDEX(sheet2!$C$2:$C$6, RANDBETWEEN(1, 5))</f>
        <v>Ethics and Responsibilities</v>
      </c>
      <c r="K157" t="str">
        <f t="shared" ca="1" si="22"/>
        <v>Completed</v>
      </c>
      <c r="L157">
        <v>260</v>
      </c>
      <c r="M157">
        <f t="shared" ca="1" si="24"/>
        <v>7</v>
      </c>
      <c r="N157" t="str">
        <f t="shared" ca="1" si="25"/>
        <v>Male</v>
      </c>
      <c r="O157" s="6">
        <f t="shared" ca="1" si="26"/>
        <v>1552</v>
      </c>
      <c r="P157">
        <f ca="1">Table1[[#This Row],[Hire Date]]-Table1[[#This Row],[Job Posting Date]]</f>
        <v>22</v>
      </c>
      <c r="Q157" s="7">
        <f ca="1">Table1[[#This Row],[Join Date]]-Table1[[#This Row],[Hire Date]]</f>
        <v>9</v>
      </c>
      <c r="R157" s="8">
        <f ca="1">(IF(Table1[[#This Row],[Status]]="Exited",Table1[[#This Row],[Exit Date]]-Table1[[#This Row],[Join Date]],TODAY()-Table1[[#This Row],[Join Date]]))/30</f>
        <v>2.1</v>
      </c>
      <c r="S157">
        <f ca="1">Table1[[#This Row],[Hire Date]]-Table1[[#This Row],[Job Posting Date]]</f>
        <v>22</v>
      </c>
      <c r="T157" s="7">
        <f ca="1">Table1[[#This Row],[Time to onboard]]/Table1[[#This Row],[Time to Fill]]*100</f>
        <v>40.909090909090914</v>
      </c>
      <c r="U157" s="8">
        <f ca="1">Table1[[#This Row],[Time to onboard]]/Table1[[#This Row],[Time to Fill]]*100</f>
        <v>40.909090909090914</v>
      </c>
      <c r="V157">
        <f ca="1">Table1[[#This Row],[Join Date]]-Table1[[#This Row],[Job Posting Date]]</f>
        <v>31</v>
      </c>
      <c r="W157">
        <f t="shared" ca="1" si="27"/>
        <v>200</v>
      </c>
      <c r="X157" s="8">
        <f ca="1">Table1[[#This Row],[Absentee Days]]/Table1[[#This Row],[Total Work Days]]*100</f>
        <v>2.6923076923076925</v>
      </c>
      <c r="Y157">
        <f ca="1">YEAR(Table1[[#This Row],[Join Date]])</f>
        <v>2021</v>
      </c>
      <c r="Z157">
        <f ca="1">IF(Table1[[#This Row],[Status]]="Active",1,0)</f>
        <v>0</v>
      </c>
      <c r="AA157">
        <f ca="1">IF(Table1[[#This Row],[Status]]="Exited",Table1[[#This Row],[Recruitment Cost]]+Table1[[#This Row],[Onboarding cost]]+Table1[[#This Row],[Training Cost]],0)</f>
        <v>5722</v>
      </c>
    </row>
    <row r="158" spans="1:27">
      <c r="A158" t="str">
        <f t="shared" si="23"/>
        <v>E157</v>
      </c>
      <c r="B158" t="str" cm="1">
        <f t="array" aca="1" ref="B158" ca="1">INDEX(sheet2!$A$2:$A$6, RANDBETWEEN(1, 5))</f>
        <v>IT</v>
      </c>
      <c r="C158" t="str">
        <f ca="1">_xlfn.XLOOKUP(Table1[[#This Row],[Department]],sheet2!$A$2:$A$6,sheet2!$B$2:$B$6,_xleta.NA,0)</f>
        <v>Software Engineer</v>
      </c>
      <c r="D158" s="1">
        <f t="shared" ca="1" si="20"/>
        <v>44314</v>
      </c>
      <c r="E158" s="1">
        <f ca="1">Table1[[#This Row],[Job Posting Date]]+ RANDBETWEEN(15, 90)</f>
        <v>44343</v>
      </c>
      <c r="F158" s="1">
        <f ca="1">Table1[[#This Row],[Hire Date]]+ RANDBETWEEN(1, 15)</f>
        <v>44353</v>
      </c>
      <c r="G158" s="1" t="str">
        <f ca="1">IF(RAND() &lt; 0.5,  Table1[[#This Row],[Join Date]]+ RANDBETWEEN(30, TODAY()- Table1[[#This Row],[Join Date]]), "-")</f>
        <v>-</v>
      </c>
      <c r="H158" t="str">
        <f ca="1">IF(Table1[[#This Row],[Exit Date]]= "-", "Active", "Exited")</f>
        <v>Active</v>
      </c>
      <c r="I158" s="5">
        <f t="shared" ca="1" si="21"/>
        <v>4558</v>
      </c>
      <c r="J158" t="str" cm="1">
        <f t="array" aca="1" ref="J158" ca="1">INDEX(sheet2!$C$2:$C$6, RANDBETWEEN(1, 5))</f>
        <v>Conflict Resolution</v>
      </c>
      <c r="K158" t="str">
        <f t="shared" ca="1" si="22"/>
        <v>Completed</v>
      </c>
      <c r="L158">
        <v>260</v>
      </c>
      <c r="M158">
        <f t="shared" ca="1" si="24"/>
        <v>0</v>
      </c>
      <c r="N158" t="str">
        <f t="shared" ca="1" si="25"/>
        <v>Male</v>
      </c>
      <c r="O158" s="6">
        <f t="shared" ca="1" si="26"/>
        <v>2065</v>
      </c>
      <c r="P158">
        <f ca="1">Table1[[#This Row],[Hire Date]]-Table1[[#This Row],[Job Posting Date]]</f>
        <v>29</v>
      </c>
      <c r="Q158" s="7">
        <f ca="1">Table1[[#This Row],[Join Date]]-Table1[[#This Row],[Hire Date]]</f>
        <v>10</v>
      </c>
      <c r="R158" s="8">
        <f ca="1">(IF(Table1[[#This Row],[Status]]="Exited",Table1[[#This Row],[Exit Date]]-Table1[[#This Row],[Join Date]],TODAY()-Table1[[#This Row],[Join Date]]))/30</f>
        <v>43.666666666666664</v>
      </c>
      <c r="S158">
        <f ca="1">Table1[[#This Row],[Hire Date]]-Table1[[#This Row],[Job Posting Date]]</f>
        <v>29</v>
      </c>
      <c r="T158" s="7">
        <f ca="1">Table1[[#This Row],[Time to onboard]]/Table1[[#This Row],[Time to Fill]]*100</f>
        <v>34.482758620689658</v>
      </c>
      <c r="U158" s="8">
        <f ca="1">Table1[[#This Row],[Time to onboard]]/Table1[[#This Row],[Time to Fill]]*100</f>
        <v>34.482758620689658</v>
      </c>
      <c r="V158">
        <f ca="1">Table1[[#This Row],[Join Date]]-Table1[[#This Row],[Job Posting Date]]</f>
        <v>39</v>
      </c>
      <c r="W158">
        <f t="shared" ca="1" si="27"/>
        <v>189</v>
      </c>
      <c r="X158" s="8">
        <f ca="1">Table1[[#This Row],[Absentee Days]]/Table1[[#This Row],[Total Work Days]]*100</f>
        <v>0</v>
      </c>
      <c r="Y158">
        <f ca="1">YEAR(Table1[[#This Row],[Join Date]])</f>
        <v>2021</v>
      </c>
      <c r="Z158">
        <f ca="1">IF(Table1[[#This Row],[Status]]="Active",1,0)</f>
        <v>1</v>
      </c>
      <c r="AA158">
        <f ca="1">IF(Table1[[#This Row],[Status]]="Exited",Table1[[#This Row],[Recruitment Cost]]+Table1[[#This Row],[Onboarding cost]]+Table1[[#This Row],[Training Cost]],0)</f>
        <v>0</v>
      </c>
    </row>
    <row r="159" spans="1:27">
      <c r="A159" t="str">
        <f t="shared" si="23"/>
        <v>E158</v>
      </c>
      <c r="B159" t="str" cm="1">
        <f t="array" aca="1" ref="B159" ca="1">INDEX(sheet2!$A$2:$A$6, RANDBETWEEN(1, 5))</f>
        <v>Finance</v>
      </c>
      <c r="C159" t="str">
        <f ca="1">_xlfn.XLOOKUP(Table1[[#This Row],[Department]],sheet2!$A$2:$A$6,sheet2!$B$2:$B$6,_xleta.NA,0)</f>
        <v>Finance Manager</v>
      </c>
      <c r="D159" s="1">
        <f t="shared" ca="1" si="20"/>
        <v>43415</v>
      </c>
      <c r="E159" s="1">
        <f ca="1">Table1[[#This Row],[Job Posting Date]]+ RANDBETWEEN(15, 90)</f>
        <v>43436</v>
      </c>
      <c r="F159" s="1">
        <f ca="1">Table1[[#This Row],[Hire Date]]+ RANDBETWEEN(1, 15)</f>
        <v>43449</v>
      </c>
      <c r="G159" s="1" t="str">
        <f ca="1">IF(RAND() &lt; 0.5,  Table1[[#This Row],[Join Date]]+ RANDBETWEEN(30, TODAY()- Table1[[#This Row],[Join Date]]), "-")</f>
        <v>-</v>
      </c>
      <c r="H159" t="str">
        <f ca="1">IF(Table1[[#This Row],[Exit Date]]= "-", "Active", "Exited")</f>
        <v>Active</v>
      </c>
      <c r="I159" s="5">
        <f t="shared" ca="1" si="21"/>
        <v>3426</v>
      </c>
      <c r="J159" t="str" cm="1">
        <f t="array" aca="1" ref="J159" ca="1">INDEX(sheet2!$C$2:$C$6, RANDBETWEEN(1, 5))</f>
        <v>Ethics and Responsibilities</v>
      </c>
      <c r="K159" t="str">
        <f t="shared" ca="1" si="22"/>
        <v>Completed</v>
      </c>
      <c r="L159">
        <v>260</v>
      </c>
      <c r="M159">
        <f t="shared" ca="1" si="24"/>
        <v>14</v>
      </c>
      <c r="N159" t="str">
        <f t="shared" ca="1" si="25"/>
        <v>Male</v>
      </c>
      <c r="O159" s="6">
        <f t="shared" ca="1" si="26"/>
        <v>1206</v>
      </c>
      <c r="P159">
        <f ca="1">Table1[[#This Row],[Hire Date]]-Table1[[#This Row],[Job Posting Date]]</f>
        <v>21</v>
      </c>
      <c r="Q159" s="7">
        <f ca="1">Table1[[#This Row],[Join Date]]-Table1[[#This Row],[Hire Date]]</f>
        <v>13</v>
      </c>
      <c r="R159" s="8">
        <f ca="1">(IF(Table1[[#This Row],[Status]]="Exited",Table1[[#This Row],[Exit Date]]-Table1[[#This Row],[Join Date]],TODAY()-Table1[[#This Row],[Join Date]]))/30</f>
        <v>73.8</v>
      </c>
      <c r="S159">
        <f ca="1">Table1[[#This Row],[Hire Date]]-Table1[[#This Row],[Job Posting Date]]</f>
        <v>21</v>
      </c>
      <c r="T159" s="7">
        <f ca="1">Table1[[#This Row],[Time to onboard]]/Table1[[#This Row],[Time to Fill]]*100</f>
        <v>61.904761904761905</v>
      </c>
      <c r="U159" s="8">
        <f ca="1">Table1[[#This Row],[Time to onboard]]/Table1[[#This Row],[Time to Fill]]*100</f>
        <v>61.904761904761905</v>
      </c>
      <c r="V159">
        <f ca="1">Table1[[#This Row],[Join Date]]-Table1[[#This Row],[Job Posting Date]]</f>
        <v>34</v>
      </c>
      <c r="W159">
        <f t="shared" ca="1" si="27"/>
        <v>172</v>
      </c>
      <c r="X159" s="8">
        <f ca="1">Table1[[#This Row],[Absentee Days]]/Table1[[#This Row],[Total Work Days]]*100</f>
        <v>5.384615384615385</v>
      </c>
      <c r="Y159">
        <f ca="1">YEAR(Table1[[#This Row],[Join Date]])</f>
        <v>2018</v>
      </c>
      <c r="Z159">
        <f ca="1">IF(Table1[[#This Row],[Status]]="Active",1,0)</f>
        <v>1</v>
      </c>
      <c r="AA159">
        <f ca="1">IF(Table1[[#This Row],[Status]]="Exited",Table1[[#This Row],[Recruitment Cost]]+Table1[[#This Row],[Onboarding cost]]+Table1[[#This Row],[Training Cost]],0)</f>
        <v>0</v>
      </c>
    </row>
    <row r="160" spans="1:27">
      <c r="A160" t="str">
        <f t="shared" si="23"/>
        <v>E159</v>
      </c>
      <c r="B160" t="str" cm="1">
        <f t="array" aca="1" ref="B160" ca="1">INDEX(sheet2!$A$2:$A$6, RANDBETWEEN(1, 5))</f>
        <v>Sales</v>
      </c>
      <c r="C160" t="str">
        <f ca="1">_xlfn.XLOOKUP(Table1[[#This Row],[Department]],sheet2!$A$2:$A$6,sheet2!$B$2:$B$6,_xleta.NA,0)</f>
        <v>Marketing Manager</v>
      </c>
      <c r="D160" s="1">
        <f t="shared" ca="1" si="20"/>
        <v>43241</v>
      </c>
      <c r="E160" s="1">
        <f ca="1">Table1[[#This Row],[Job Posting Date]]+ RANDBETWEEN(15, 90)</f>
        <v>43326</v>
      </c>
      <c r="F160" s="1">
        <f ca="1">Table1[[#This Row],[Hire Date]]+ RANDBETWEEN(1, 15)</f>
        <v>43337</v>
      </c>
      <c r="G160" s="1">
        <f ca="1">IF(RAND() &lt; 0.5,  Table1[[#This Row],[Join Date]]+ RANDBETWEEN(30, TODAY()- Table1[[#This Row],[Join Date]]), "-")</f>
        <v>45525</v>
      </c>
      <c r="H160" t="str">
        <f ca="1">IF(Table1[[#This Row],[Exit Date]]= "-", "Active", "Exited")</f>
        <v>Exited</v>
      </c>
      <c r="I160" s="5">
        <f t="shared" ca="1" si="21"/>
        <v>3374</v>
      </c>
      <c r="J160" t="str" cm="1">
        <f t="array" aca="1" ref="J160" ca="1">INDEX(sheet2!$C$2:$C$6, RANDBETWEEN(1, 5))</f>
        <v>Communication Skills</v>
      </c>
      <c r="K160" t="str">
        <f t="shared" ca="1" si="22"/>
        <v>Not Completed</v>
      </c>
      <c r="L160">
        <v>260</v>
      </c>
      <c r="M160">
        <f t="shared" ca="1" si="24"/>
        <v>15</v>
      </c>
      <c r="N160" t="str">
        <f t="shared" ca="1" si="25"/>
        <v>Other</v>
      </c>
      <c r="O160" s="6">
        <f t="shared" ca="1" si="26"/>
        <v>1743</v>
      </c>
      <c r="P160">
        <f ca="1">Table1[[#This Row],[Hire Date]]-Table1[[#This Row],[Job Posting Date]]</f>
        <v>85</v>
      </c>
      <c r="Q160" s="7">
        <f ca="1">Table1[[#This Row],[Join Date]]-Table1[[#This Row],[Hire Date]]</f>
        <v>11</v>
      </c>
      <c r="R160" s="8">
        <f ca="1">(IF(Table1[[#This Row],[Status]]="Exited",Table1[[#This Row],[Exit Date]]-Table1[[#This Row],[Join Date]],TODAY()-Table1[[#This Row],[Join Date]]))/30</f>
        <v>72.933333333333337</v>
      </c>
      <c r="S160">
        <f ca="1">Table1[[#This Row],[Hire Date]]-Table1[[#This Row],[Job Posting Date]]</f>
        <v>85</v>
      </c>
      <c r="T160" s="7">
        <f ca="1">Table1[[#This Row],[Time to onboard]]/Table1[[#This Row],[Time to Fill]]*100</f>
        <v>12.941176470588237</v>
      </c>
      <c r="U160" s="8">
        <f ca="1">Table1[[#This Row],[Time to onboard]]/Table1[[#This Row],[Time to Fill]]*100</f>
        <v>12.941176470588237</v>
      </c>
      <c r="V160">
        <f ca="1">Table1[[#This Row],[Join Date]]-Table1[[#This Row],[Job Posting Date]]</f>
        <v>96</v>
      </c>
      <c r="W160">
        <f t="shared" ca="1" si="27"/>
        <v>149</v>
      </c>
      <c r="X160" s="8">
        <f ca="1">Table1[[#This Row],[Absentee Days]]/Table1[[#This Row],[Total Work Days]]*100</f>
        <v>5.7692307692307692</v>
      </c>
      <c r="Y160">
        <f ca="1">YEAR(Table1[[#This Row],[Join Date]])</f>
        <v>2018</v>
      </c>
      <c r="Z160">
        <f ca="1">IF(Table1[[#This Row],[Status]]="Active",1,0)</f>
        <v>0</v>
      </c>
      <c r="AA160">
        <f ca="1">IF(Table1[[#This Row],[Status]]="Exited",Table1[[#This Row],[Recruitment Cost]]+Table1[[#This Row],[Onboarding cost]]+Table1[[#This Row],[Training Cost]],0)</f>
        <v>5266</v>
      </c>
    </row>
    <row r="161" spans="1:27">
      <c r="A161" t="str">
        <f t="shared" si="23"/>
        <v>E160</v>
      </c>
      <c r="B161" t="str" cm="1">
        <f t="array" aca="1" ref="B161" ca="1">INDEX(sheet2!$A$2:$A$6, RANDBETWEEN(1, 5))</f>
        <v>Sales</v>
      </c>
      <c r="C161" t="str">
        <f ca="1">_xlfn.XLOOKUP(Table1[[#This Row],[Department]],sheet2!$A$2:$A$6,sheet2!$B$2:$B$6,_xleta.NA,0)</f>
        <v>Marketing Manager</v>
      </c>
      <c r="D161" s="1">
        <f t="shared" ca="1" si="20"/>
        <v>44703</v>
      </c>
      <c r="E161" s="1">
        <f ca="1">Table1[[#This Row],[Job Posting Date]]+ RANDBETWEEN(15, 90)</f>
        <v>44774</v>
      </c>
      <c r="F161" s="1">
        <f ca="1">Table1[[#This Row],[Hire Date]]+ RANDBETWEEN(1, 15)</f>
        <v>44787</v>
      </c>
      <c r="G161" s="1" t="str">
        <f ca="1">IF(RAND() &lt; 0.5,  Table1[[#This Row],[Join Date]]+ RANDBETWEEN(30, TODAY()- Table1[[#This Row],[Join Date]]), "-")</f>
        <v>-</v>
      </c>
      <c r="H161" t="str">
        <f ca="1">IF(Table1[[#This Row],[Exit Date]]= "-", "Active", "Exited")</f>
        <v>Active</v>
      </c>
      <c r="I161" s="5">
        <f t="shared" ca="1" si="21"/>
        <v>3134</v>
      </c>
      <c r="J161" t="str" cm="1">
        <f t="array" aca="1" ref="J161" ca="1">INDEX(sheet2!$C$2:$C$6, RANDBETWEEN(1, 5))</f>
        <v>Ethics and Responsibilities</v>
      </c>
      <c r="K161" t="str">
        <f t="shared" ca="1" si="22"/>
        <v>Completed</v>
      </c>
      <c r="L161">
        <v>260</v>
      </c>
      <c r="M161">
        <f t="shared" ca="1" si="24"/>
        <v>9</v>
      </c>
      <c r="N161" t="str">
        <f t="shared" ca="1" si="25"/>
        <v>Female</v>
      </c>
      <c r="O161" s="6">
        <f t="shared" ca="1" si="26"/>
        <v>2086</v>
      </c>
      <c r="P161">
        <f ca="1">Table1[[#This Row],[Hire Date]]-Table1[[#This Row],[Job Posting Date]]</f>
        <v>71</v>
      </c>
      <c r="Q161" s="7">
        <f ca="1">Table1[[#This Row],[Join Date]]-Table1[[#This Row],[Hire Date]]</f>
        <v>13</v>
      </c>
      <c r="R161" s="8">
        <f ca="1">(IF(Table1[[#This Row],[Status]]="Exited",Table1[[#This Row],[Exit Date]]-Table1[[#This Row],[Join Date]],TODAY()-Table1[[#This Row],[Join Date]]))/30</f>
        <v>29.2</v>
      </c>
      <c r="S161">
        <f ca="1">Table1[[#This Row],[Hire Date]]-Table1[[#This Row],[Job Posting Date]]</f>
        <v>71</v>
      </c>
      <c r="T161" s="7">
        <f ca="1">Table1[[#This Row],[Time to onboard]]/Table1[[#This Row],[Time to Fill]]*100</f>
        <v>18.30985915492958</v>
      </c>
      <c r="U161" s="8">
        <f ca="1">Table1[[#This Row],[Time to onboard]]/Table1[[#This Row],[Time to Fill]]*100</f>
        <v>18.30985915492958</v>
      </c>
      <c r="V161">
        <f ca="1">Table1[[#This Row],[Join Date]]-Table1[[#This Row],[Job Posting Date]]</f>
        <v>84</v>
      </c>
      <c r="W161">
        <f t="shared" ca="1" si="27"/>
        <v>129</v>
      </c>
      <c r="X161" s="8">
        <f ca="1">Table1[[#This Row],[Absentee Days]]/Table1[[#This Row],[Total Work Days]]*100</f>
        <v>3.4615384615384617</v>
      </c>
      <c r="Y161">
        <f ca="1">YEAR(Table1[[#This Row],[Join Date]])</f>
        <v>2022</v>
      </c>
      <c r="Z161">
        <f ca="1">IF(Table1[[#This Row],[Status]]="Active",1,0)</f>
        <v>1</v>
      </c>
      <c r="AA161">
        <f ca="1">IF(Table1[[#This Row],[Status]]="Exited",Table1[[#This Row],[Recruitment Cost]]+Table1[[#This Row],[Onboarding cost]]+Table1[[#This Row],[Training Cost]],0)</f>
        <v>0</v>
      </c>
    </row>
    <row r="162" spans="1:27">
      <c r="A162" t="str">
        <f t="shared" si="23"/>
        <v>E161</v>
      </c>
      <c r="B162" t="str" cm="1">
        <f t="array" aca="1" ref="B162" ca="1">INDEX(sheet2!$A$2:$A$6, RANDBETWEEN(1, 5))</f>
        <v>Finance</v>
      </c>
      <c r="C162" t="str">
        <f ca="1">_xlfn.XLOOKUP(Table1[[#This Row],[Department]],sheet2!$A$2:$A$6,sheet2!$B$2:$B$6,_xleta.NA,0)</f>
        <v>Finance Manager</v>
      </c>
      <c r="D162" s="1">
        <f t="shared" ca="1" si="20"/>
        <v>43227</v>
      </c>
      <c r="E162" s="1">
        <f ca="1">Table1[[#This Row],[Job Posting Date]]+ RANDBETWEEN(15, 90)</f>
        <v>43268</v>
      </c>
      <c r="F162" s="1">
        <f ca="1">Table1[[#This Row],[Hire Date]]+ RANDBETWEEN(1, 15)</f>
        <v>43271</v>
      </c>
      <c r="G162" s="1">
        <f ca="1">IF(RAND() &lt; 0.5,  Table1[[#This Row],[Join Date]]+ RANDBETWEEN(30, TODAY()- Table1[[#This Row],[Join Date]]), "-")</f>
        <v>43314</v>
      </c>
      <c r="H162" t="str">
        <f ca="1">IF(Table1[[#This Row],[Exit Date]]= "-", "Active", "Exited")</f>
        <v>Exited</v>
      </c>
      <c r="I162" s="5">
        <f t="shared" ca="1" si="21"/>
        <v>4946</v>
      </c>
      <c r="J162" t="str" cm="1">
        <f t="array" aca="1" ref="J162" ca="1">INDEX(sheet2!$C$2:$C$6, RANDBETWEEN(1, 5))</f>
        <v>Leadership Development</v>
      </c>
      <c r="K162" t="str">
        <f t="shared" ca="1" si="22"/>
        <v>Completed</v>
      </c>
      <c r="L162">
        <v>260</v>
      </c>
      <c r="M162">
        <f t="shared" ca="1" si="24"/>
        <v>13</v>
      </c>
      <c r="N162" t="str">
        <f t="shared" ca="1" si="25"/>
        <v>Female</v>
      </c>
      <c r="O162" s="6">
        <f t="shared" ca="1" si="26"/>
        <v>1321</v>
      </c>
      <c r="P162">
        <f ca="1">Table1[[#This Row],[Hire Date]]-Table1[[#This Row],[Job Posting Date]]</f>
        <v>41</v>
      </c>
      <c r="Q162" s="7">
        <f ca="1">Table1[[#This Row],[Join Date]]-Table1[[#This Row],[Hire Date]]</f>
        <v>3</v>
      </c>
      <c r="R162" s="8">
        <f ca="1">(IF(Table1[[#This Row],[Status]]="Exited",Table1[[#This Row],[Exit Date]]-Table1[[#This Row],[Join Date]],TODAY()-Table1[[#This Row],[Join Date]]))/30</f>
        <v>1.4333333333333333</v>
      </c>
      <c r="S162">
        <f ca="1">Table1[[#This Row],[Hire Date]]-Table1[[#This Row],[Job Posting Date]]</f>
        <v>41</v>
      </c>
      <c r="T162" s="7">
        <f ca="1">Table1[[#This Row],[Time to onboard]]/Table1[[#This Row],[Time to Fill]]*100</f>
        <v>7.3170731707317067</v>
      </c>
      <c r="U162" s="8">
        <f ca="1">Table1[[#This Row],[Time to onboard]]/Table1[[#This Row],[Time to Fill]]*100</f>
        <v>7.3170731707317067</v>
      </c>
      <c r="V162">
        <f ca="1">Table1[[#This Row],[Join Date]]-Table1[[#This Row],[Job Posting Date]]</f>
        <v>44</v>
      </c>
      <c r="W162">
        <f t="shared" ca="1" si="27"/>
        <v>191</v>
      </c>
      <c r="X162" s="8">
        <f ca="1">Table1[[#This Row],[Absentee Days]]/Table1[[#This Row],[Total Work Days]]*100</f>
        <v>5</v>
      </c>
      <c r="Y162">
        <f ca="1">YEAR(Table1[[#This Row],[Join Date]])</f>
        <v>2018</v>
      </c>
      <c r="Z162">
        <f ca="1">IF(Table1[[#This Row],[Status]]="Active",1,0)</f>
        <v>0</v>
      </c>
      <c r="AA162">
        <f ca="1">IF(Table1[[#This Row],[Status]]="Exited",Table1[[#This Row],[Recruitment Cost]]+Table1[[#This Row],[Onboarding cost]]+Table1[[#This Row],[Training Cost]],0)</f>
        <v>6458</v>
      </c>
    </row>
    <row r="163" spans="1:27">
      <c r="A163" t="str">
        <f t="shared" si="23"/>
        <v>E162</v>
      </c>
      <c r="B163" t="str" cm="1">
        <f t="array" aca="1" ref="B163" ca="1">INDEX(sheet2!$A$2:$A$6, RANDBETWEEN(1, 5))</f>
        <v>Finance</v>
      </c>
      <c r="C163" t="str">
        <f ca="1">_xlfn.XLOOKUP(Table1[[#This Row],[Department]],sheet2!$A$2:$A$6,sheet2!$B$2:$B$6,_xleta.NA,0)</f>
        <v>Finance Manager</v>
      </c>
      <c r="D163" s="1">
        <f t="shared" ca="1" si="20"/>
        <v>44715</v>
      </c>
      <c r="E163" s="1">
        <f ca="1">Table1[[#This Row],[Job Posting Date]]+ RANDBETWEEN(15, 90)</f>
        <v>44731</v>
      </c>
      <c r="F163" s="1">
        <f ca="1">Table1[[#This Row],[Hire Date]]+ RANDBETWEEN(1, 15)</f>
        <v>44734</v>
      </c>
      <c r="G163" s="1" t="str">
        <f ca="1">IF(RAND() &lt; 0.5,  Table1[[#This Row],[Join Date]]+ RANDBETWEEN(30, TODAY()- Table1[[#This Row],[Join Date]]), "-")</f>
        <v>-</v>
      </c>
      <c r="H163" t="str">
        <f ca="1">IF(Table1[[#This Row],[Exit Date]]= "-", "Active", "Exited")</f>
        <v>Active</v>
      </c>
      <c r="I163" s="5">
        <f t="shared" ca="1" si="21"/>
        <v>2451</v>
      </c>
      <c r="J163" t="str" cm="1">
        <f t="array" aca="1" ref="J163" ca="1">INDEX(sheet2!$C$2:$C$6, RANDBETWEEN(1, 5))</f>
        <v>Conflict Resolution</v>
      </c>
      <c r="K163" t="str">
        <f t="shared" ca="1" si="22"/>
        <v>Completed</v>
      </c>
      <c r="L163">
        <v>260</v>
      </c>
      <c r="M163">
        <f t="shared" ca="1" si="24"/>
        <v>14</v>
      </c>
      <c r="N163" t="str">
        <f t="shared" ca="1" si="25"/>
        <v>Female</v>
      </c>
      <c r="O163" s="6">
        <f t="shared" ca="1" si="26"/>
        <v>1435</v>
      </c>
      <c r="P163">
        <f ca="1">Table1[[#This Row],[Hire Date]]-Table1[[#This Row],[Job Posting Date]]</f>
        <v>16</v>
      </c>
      <c r="Q163" s="7">
        <f ca="1">Table1[[#This Row],[Join Date]]-Table1[[#This Row],[Hire Date]]</f>
        <v>3</v>
      </c>
      <c r="R163" s="8">
        <f ca="1">(IF(Table1[[#This Row],[Status]]="Exited",Table1[[#This Row],[Exit Date]]-Table1[[#This Row],[Join Date]],TODAY()-Table1[[#This Row],[Join Date]]))/30</f>
        <v>30.966666666666665</v>
      </c>
      <c r="S163">
        <f ca="1">Table1[[#This Row],[Hire Date]]-Table1[[#This Row],[Job Posting Date]]</f>
        <v>16</v>
      </c>
      <c r="T163" s="7">
        <f ca="1">Table1[[#This Row],[Time to onboard]]/Table1[[#This Row],[Time to Fill]]*100</f>
        <v>18.75</v>
      </c>
      <c r="U163" s="8">
        <f ca="1">Table1[[#This Row],[Time to onboard]]/Table1[[#This Row],[Time to Fill]]*100</f>
        <v>18.75</v>
      </c>
      <c r="V163">
        <f ca="1">Table1[[#This Row],[Join Date]]-Table1[[#This Row],[Job Posting Date]]</f>
        <v>19</v>
      </c>
      <c r="W163">
        <f t="shared" ca="1" si="27"/>
        <v>164</v>
      </c>
      <c r="X163" s="8">
        <f ca="1">Table1[[#This Row],[Absentee Days]]/Table1[[#This Row],[Total Work Days]]*100</f>
        <v>5.384615384615385</v>
      </c>
      <c r="Y163">
        <f ca="1">YEAR(Table1[[#This Row],[Join Date]])</f>
        <v>2022</v>
      </c>
      <c r="Z163">
        <f ca="1">IF(Table1[[#This Row],[Status]]="Active",1,0)</f>
        <v>1</v>
      </c>
      <c r="AA163">
        <f ca="1">IF(Table1[[#This Row],[Status]]="Exited",Table1[[#This Row],[Recruitment Cost]]+Table1[[#This Row],[Onboarding cost]]+Table1[[#This Row],[Training Cost]],0)</f>
        <v>0</v>
      </c>
    </row>
    <row r="164" spans="1:27">
      <c r="A164" t="str">
        <f t="shared" si="23"/>
        <v>E163</v>
      </c>
      <c r="B164" t="str" cm="1">
        <f t="array" aca="1" ref="B164" ca="1">INDEX(sheet2!$A$2:$A$6, RANDBETWEEN(1, 5))</f>
        <v>HR</v>
      </c>
      <c r="C164" t="str">
        <f ca="1">_xlfn.XLOOKUP(Table1[[#This Row],[Department]],sheet2!$A$2:$A$6,sheet2!$B$2:$B$6,_xleta.NA,0)</f>
        <v>HR Manager</v>
      </c>
      <c r="D164" s="1">
        <f t="shared" ca="1" si="20"/>
        <v>43162</v>
      </c>
      <c r="E164" s="1">
        <f ca="1">Table1[[#This Row],[Job Posting Date]]+ RANDBETWEEN(15, 90)</f>
        <v>43209</v>
      </c>
      <c r="F164" s="1">
        <f ca="1">Table1[[#This Row],[Hire Date]]+ RANDBETWEEN(1, 15)</f>
        <v>43221</v>
      </c>
      <c r="G164" s="1" t="str">
        <f ca="1">IF(RAND() &lt; 0.5,  Table1[[#This Row],[Join Date]]+ RANDBETWEEN(30, TODAY()- Table1[[#This Row],[Join Date]]), "-")</f>
        <v>-</v>
      </c>
      <c r="H164" t="str">
        <f ca="1">IF(Table1[[#This Row],[Exit Date]]= "-", "Active", "Exited")</f>
        <v>Active</v>
      </c>
      <c r="I164" s="5">
        <f t="shared" ca="1" si="21"/>
        <v>4705</v>
      </c>
      <c r="J164" t="str" cm="1">
        <f t="array" aca="1" ref="J164" ca="1">INDEX(sheet2!$C$2:$C$6, RANDBETWEEN(1, 5))</f>
        <v>Advanced Excel Skills </v>
      </c>
      <c r="K164" t="str">
        <f t="shared" ca="1" si="22"/>
        <v>Completed</v>
      </c>
      <c r="L164">
        <v>260</v>
      </c>
      <c r="M164">
        <f t="shared" ca="1" si="24"/>
        <v>0</v>
      </c>
      <c r="N164" t="str">
        <f t="shared" ca="1" si="25"/>
        <v>Male</v>
      </c>
      <c r="O164" s="6">
        <f t="shared" ca="1" si="26"/>
        <v>2400</v>
      </c>
      <c r="P164">
        <f ca="1">Table1[[#This Row],[Hire Date]]-Table1[[#This Row],[Job Posting Date]]</f>
        <v>47</v>
      </c>
      <c r="Q164" s="7">
        <f ca="1">Table1[[#This Row],[Join Date]]-Table1[[#This Row],[Hire Date]]</f>
        <v>12</v>
      </c>
      <c r="R164" s="8">
        <f ca="1">(IF(Table1[[#This Row],[Status]]="Exited",Table1[[#This Row],[Exit Date]]-Table1[[#This Row],[Join Date]],TODAY()-Table1[[#This Row],[Join Date]]))/30</f>
        <v>81.400000000000006</v>
      </c>
      <c r="S164">
        <f ca="1">Table1[[#This Row],[Hire Date]]-Table1[[#This Row],[Job Posting Date]]</f>
        <v>47</v>
      </c>
      <c r="T164" s="7">
        <f ca="1">Table1[[#This Row],[Time to onboard]]/Table1[[#This Row],[Time to Fill]]*100</f>
        <v>25.531914893617021</v>
      </c>
      <c r="U164" s="8">
        <f ca="1">Table1[[#This Row],[Time to onboard]]/Table1[[#This Row],[Time to Fill]]*100</f>
        <v>25.531914893617021</v>
      </c>
      <c r="V164">
        <f ca="1">Table1[[#This Row],[Join Date]]-Table1[[#This Row],[Job Posting Date]]</f>
        <v>59</v>
      </c>
      <c r="W164">
        <f t="shared" ca="1" si="27"/>
        <v>194</v>
      </c>
      <c r="X164" s="8">
        <f ca="1">Table1[[#This Row],[Absentee Days]]/Table1[[#This Row],[Total Work Days]]*100</f>
        <v>0</v>
      </c>
      <c r="Y164">
        <f ca="1">YEAR(Table1[[#This Row],[Join Date]])</f>
        <v>2018</v>
      </c>
      <c r="Z164">
        <f ca="1">IF(Table1[[#This Row],[Status]]="Active",1,0)</f>
        <v>1</v>
      </c>
      <c r="AA164">
        <f ca="1">IF(Table1[[#This Row],[Status]]="Exited",Table1[[#This Row],[Recruitment Cost]]+Table1[[#This Row],[Onboarding cost]]+Table1[[#This Row],[Training Cost]],0)</f>
        <v>0</v>
      </c>
    </row>
    <row r="165" spans="1:27">
      <c r="A165" t="str">
        <f t="shared" si="23"/>
        <v>E164</v>
      </c>
      <c r="B165" t="str" cm="1">
        <f t="array" aca="1" ref="B165" ca="1">INDEX(sheet2!$A$2:$A$6, RANDBETWEEN(1, 5))</f>
        <v>Sales</v>
      </c>
      <c r="C165" t="str">
        <f ca="1">_xlfn.XLOOKUP(Table1[[#This Row],[Department]],sheet2!$A$2:$A$6,sheet2!$B$2:$B$6,_xleta.NA,0)</f>
        <v>Marketing Manager</v>
      </c>
      <c r="D165" s="1">
        <f t="shared" ca="1" si="20"/>
        <v>43334</v>
      </c>
      <c r="E165" s="1">
        <f ca="1">Table1[[#This Row],[Job Posting Date]]+ RANDBETWEEN(15, 90)</f>
        <v>43357</v>
      </c>
      <c r="F165" s="1">
        <f ca="1">Table1[[#This Row],[Hire Date]]+ RANDBETWEEN(1, 15)</f>
        <v>43364</v>
      </c>
      <c r="G165" s="1" t="str">
        <f ca="1">IF(RAND() &lt; 0.5,  Table1[[#This Row],[Join Date]]+ RANDBETWEEN(30, TODAY()- Table1[[#This Row],[Join Date]]), "-")</f>
        <v>-</v>
      </c>
      <c r="H165" t="str">
        <f ca="1">IF(Table1[[#This Row],[Exit Date]]= "-", "Active", "Exited")</f>
        <v>Active</v>
      </c>
      <c r="I165" s="5">
        <f t="shared" ca="1" si="21"/>
        <v>2935</v>
      </c>
      <c r="J165" t="str" cm="1">
        <f t="array" aca="1" ref="J165" ca="1">INDEX(sheet2!$C$2:$C$6, RANDBETWEEN(1, 5))</f>
        <v>Ethics and Responsibilities</v>
      </c>
      <c r="K165" t="str">
        <f t="shared" ca="1" si="22"/>
        <v>Not Completed</v>
      </c>
      <c r="L165">
        <v>260</v>
      </c>
      <c r="M165">
        <f t="shared" ca="1" si="24"/>
        <v>7</v>
      </c>
      <c r="N165" t="str">
        <f t="shared" ca="1" si="25"/>
        <v>Male</v>
      </c>
      <c r="O165" s="6">
        <f t="shared" ca="1" si="26"/>
        <v>2362</v>
      </c>
      <c r="P165">
        <f ca="1">Table1[[#This Row],[Hire Date]]-Table1[[#This Row],[Job Posting Date]]</f>
        <v>23</v>
      </c>
      <c r="Q165" s="7">
        <f ca="1">Table1[[#This Row],[Join Date]]-Table1[[#This Row],[Hire Date]]</f>
        <v>7</v>
      </c>
      <c r="R165" s="8">
        <f ca="1">(IF(Table1[[#This Row],[Status]]="Exited",Table1[[#This Row],[Exit Date]]-Table1[[#This Row],[Join Date]],TODAY()-Table1[[#This Row],[Join Date]]))/30</f>
        <v>76.63333333333334</v>
      </c>
      <c r="S165">
        <f ca="1">Table1[[#This Row],[Hire Date]]-Table1[[#This Row],[Job Posting Date]]</f>
        <v>23</v>
      </c>
      <c r="T165" s="7">
        <f ca="1">Table1[[#This Row],[Time to onboard]]/Table1[[#This Row],[Time to Fill]]*100</f>
        <v>30.434782608695656</v>
      </c>
      <c r="U165" s="8">
        <f ca="1">Table1[[#This Row],[Time to onboard]]/Table1[[#This Row],[Time to Fill]]*100</f>
        <v>30.434782608695656</v>
      </c>
      <c r="V165">
        <f ca="1">Table1[[#This Row],[Join Date]]-Table1[[#This Row],[Job Posting Date]]</f>
        <v>30</v>
      </c>
      <c r="W165">
        <f t="shared" ca="1" si="27"/>
        <v>136</v>
      </c>
      <c r="X165" s="8">
        <f ca="1">Table1[[#This Row],[Absentee Days]]/Table1[[#This Row],[Total Work Days]]*100</f>
        <v>2.6923076923076925</v>
      </c>
      <c r="Y165">
        <f ca="1">YEAR(Table1[[#This Row],[Join Date]])</f>
        <v>2018</v>
      </c>
      <c r="Z165">
        <f ca="1">IF(Table1[[#This Row],[Status]]="Active",1,0)</f>
        <v>1</v>
      </c>
      <c r="AA165">
        <f ca="1">IF(Table1[[#This Row],[Status]]="Exited",Table1[[#This Row],[Recruitment Cost]]+Table1[[#This Row],[Onboarding cost]]+Table1[[#This Row],[Training Cost]],0)</f>
        <v>0</v>
      </c>
    </row>
    <row r="166" spans="1:27">
      <c r="A166" t="str">
        <f t="shared" si="23"/>
        <v>E165</v>
      </c>
      <c r="B166" t="str" cm="1">
        <f t="array" aca="1" ref="B166" ca="1">INDEX(sheet2!$A$2:$A$6, RANDBETWEEN(1, 5))</f>
        <v>IT</v>
      </c>
      <c r="C166" t="str">
        <f ca="1">_xlfn.XLOOKUP(Table1[[#This Row],[Department]],sheet2!$A$2:$A$6,sheet2!$B$2:$B$6,_xleta.NA,0)</f>
        <v>Software Engineer</v>
      </c>
      <c r="D166" s="1">
        <f t="shared" ref="D166:D229" ca="1" si="28">DATE(RANDBETWEEN(2018, 2022), RANDBETWEEN(1, 12), RANDBETWEEN(1, 28))</f>
        <v>44221</v>
      </c>
      <c r="E166" s="1">
        <f ca="1">Table1[[#This Row],[Job Posting Date]]+ RANDBETWEEN(15, 90)</f>
        <v>44301</v>
      </c>
      <c r="F166" s="1">
        <f ca="1">Table1[[#This Row],[Hire Date]]+ RANDBETWEEN(1, 15)</f>
        <v>44303</v>
      </c>
      <c r="G166" s="1" t="str">
        <f ca="1">IF(RAND() &lt; 0.5,  Table1[[#This Row],[Join Date]]+ RANDBETWEEN(30, TODAY()- Table1[[#This Row],[Join Date]]), "-")</f>
        <v>-</v>
      </c>
      <c r="H166" t="str">
        <f ca="1">IF(Table1[[#This Row],[Exit Date]]= "-", "Active", "Exited")</f>
        <v>Active</v>
      </c>
      <c r="I166" s="5">
        <f t="shared" ref="I166:I229" ca="1" si="29">RANDBETWEEN(1500, 5000)</f>
        <v>3108</v>
      </c>
      <c r="J166" t="str" cm="1">
        <f t="array" aca="1" ref="J166" ca="1">INDEX(sheet2!$C$2:$C$6, RANDBETWEEN(1, 5))</f>
        <v>Ethics and Responsibilities</v>
      </c>
      <c r="K166" t="str">
        <f t="shared" ref="K166:K229" ca="1" si="30">IF(RAND() &lt; 0.7, "Completed", "Not Completed")</f>
        <v>Completed</v>
      </c>
      <c r="L166">
        <v>260</v>
      </c>
      <c r="M166">
        <f t="shared" ca="1" si="24"/>
        <v>11</v>
      </c>
      <c r="N166" t="str">
        <f t="shared" ca="1" si="25"/>
        <v>Male</v>
      </c>
      <c r="O166" s="6">
        <f t="shared" ca="1" si="26"/>
        <v>1596</v>
      </c>
      <c r="P166">
        <f ca="1">Table1[[#This Row],[Hire Date]]-Table1[[#This Row],[Job Posting Date]]</f>
        <v>80</v>
      </c>
      <c r="Q166" s="7">
        <f ca="1">Table1[[#This Row],[Join Date]]-Table1[[#This Row],[Hire Date]]</f>
        <v>2</v>
      </c>
      <c r="R166" s="8">
        <f ca="1">(IF(Table1[[#This Row],[Status]]="Exited",Table1[[#This Row],[Exit Date]]-Table1[[#This Row],[Join Date]],TODAY()-Table1[[#This Row],[Join Date]]))/30</f>
        <v>45.333333333333336</v>
      </c>
      <c r="S166">
        <f ca="1">Table1[[#This Row],[Hire Date]]-Table1[[#This Row],[Job Posting Date]]</f>
        <v>80</v>
      </c>
      <c r="T166" s="7">
        <f ca="1">Table1[[#This Row],[Time to onboard]]/Table1[[#This Row],[Time to Fill]]*100</f>
        <v>2.5</v>
      </c>
      <c r="U166" s="8">
        <f ca="1">Table1[[#This Row],[Time to onboard]]/Table1[[#This Row],[Time to Fill]]*100</f>
        <v>2.5</v>
      </c>
      <c r="V166">
        <f ca="1">Table1[[#This Row],[Join Date]]-Table1[[#This Row],[Job Posting Date]]</f>
        <v>82</v>
      </c>
      <c r="W166">
        <f t="shared" ca="1" si="27"/>
        <v>121</v>
      </c>
      <c r="X166" s="8">
        <f ca="1">Table1[[#This Row],[Absentee Days]]/Table1[[#This Row],[Total Work Days]]*100</f>
        <v>4.2307692307692308</v>
      </c>
      <c r="Y166">
        <f ca="1">YEAR(Table1[[#This Row],[Join Date]])</f>
        <v>2021</v>
      </c>
      <c r="Z166">
        <f ca="1">IF(Table1[[#This Row],[Status]]="Active",1,0)</f>
        <v>1</v>
      </c>
      <c r="AA166">
        <f ca="1">IF(Table1[[#This Row],[Status]]="Exited",Table1[[#This Row],[Recruitment Cost]]+Table1[[#This Row],[Onboarding cost]]+Table1[[#This Row],[Training Cost]],0)</f>
        <v>0</v>
      </c>
    </row>
    <row r="167" spans="1:27">
      <c r="A167" t="str">
        <f t="shared" si="23"/>
        <v>E166</v>
      </c>
      <c r="B167" t="str" cm="1">
        <f t="array" aca="1" ref="B167" ca="1">INDEX(sheet2!$A$2:$A$6, RANDBETWEEN(1, 5))</f>
        <v>Analytics</v>
      </c>
      <c r="C167" t="str">
        <f ca="1">_xlfn.XLOOKUP(Table1[[#This Row],[Department]],sheet2!$A$2:$A$6,sheet2!$B$2:$B$6,_xleta.NA,0)</f>
        <v>Data Analyst</v>
      </c>
      <c r="D167" s="1">
        <f t="shared" ca="1" si="28"/>
        <v>44212</v>
      </c>
      <c r="E167" s="1">
        <f ca="1">Table1[[#This Row],[Job Posting Date]]+ RANDBETWEEN(15, 90)</f>
        <v>44257</v>
      </c>
      <c r="F167" s="1">
        <f ca="1">Table1[[#This Row],[Hire Date]]+ RANDBETWEEN(1, 15)</f>
        <v>44267</v>
      </c>
      <c r="G167" s="1">
        <f ca="1">IF(RAND() &lt; 0.5,  Table1[[#This Row],[Join Date]]+ RANDBETWEEN(30, TODAY()- Table1[[#This Row],[Join Date]]), "-")</f>
        <v>44587</v>
      </c>
      <c r="H167" t="str">
        <f ca="1">IF(Table1[[#This Row],[Exit Date]]= "-", "Active", "Exited")</f>
        <v>Exited</v>
      </c>
      <c r="I167" s="5">
        <f t="shared" ca="1" si="29"/>
        <v>3568</v>
      </c>
      <c r="J167" t="str" cm="1">
        <f t="array" aca="1" ref="J167" ca="1">INDEX(sheet2!$C$2:$C$6, RANDBETWEEN(1, 5))</f>
        <v>Ethics and Responsibilities</v>
      </c>
      <c r="K167" t="str">
        <f t="shared" ca="1" si="30"/>
        <v>Completed</v>
      </c>
      <c r="L167">
        <v>260</v>
      </c>
      <c r="M167">
        <f t="shared" ca="1" si="24"/>
        <v>1</v>
      </c>
      <c r="N167" t="str">
        <f t="shared" ca="1" si="25"/>
        <v>Other</v>
      </c>
      <c r="O167" s="6">
        <f t="shared" ca="1" si="26"/>
        <v>2300</v>
      </c>
      <c r="P167">
        <f ca="1">Table1[[#This Row],[Hire Date]]-Table1[[#This Row],[Job Posting Date]]</f>
        <v>45</v>
      </c>
      <c r="Q167" s="7">
        <f ca="1">Table1[[#This Row],[Join Date]]-Table1[[#This Row],[Hire Date]]</f>
        <v>10</v>
      </c>
      <c r="R167" s="8">
        <f ca="1">(IF(Table1[[#This Row],[Status]]="Exited",Table1[[#This Row],[Exit Date]]-Table1[[#This Row],[Join Date]],TODAY()-Table1[[#This Row],[Join Date]]))/30</f>
        <v>10.666666666666666</v>
      </c>
      <c r="S167">
        <f ca="1">Table1[[#This Row],[Hire Date]]-Table1[[#This Row],[Job Posting Date]]</f>
        <v>45</v>
      </c>
      <c r="T167" s="7">
        <f ca="1">Table1[[#This Row],[Time to onboard]]/Table1[[#This Row],[Time to Fill]]*100</f>
        <v>22.222222222222221</v>
      </c>
      <c r="U167" s="8">
        <f ca="1">Table1[[#This Row],[Time to onboard]]/Table1[[#This Row],[Time to Fill]]*100</f>
        <v>22.222222222222221</v>
      </c>
      <c r="V167">
        <f ca="1">Table1[[#This Row],[Join Date]]-Table1[[#This Row],[Job Posting Date]]</f>
        <v>55</v>
      </c>
      <c r="W167">
        <f t="shared" ca="1" si="27"/>
        <v>141</v>
      </c>
      <c r="X167" s="8">
        <f ca="1">Table1[[#This Row],[Absentee Days]]/Table1[[#This Row],[Total Work Days]]*100</f>
        <v>0.38461538461538464</v>
      </c>
      <c r="Y167">
        <f ca="1">YEAR(Table1[[#This Row],[Join Date]])</f>
        <v>2021</v>
      </c>
      <c r="Z167">
        <f ca="1">IF(Table1[[#This Row],[Status]]="Active",1,0)</f>
        <v>0</v>
      </c>
      <c r="AA167">
        <f ca="1">IF(Table1[[#This Row],[Status]]="Exited",Table1[[#This Row],[Recruitment Cost]]+Table1[[#This Row],[Onboarding cost]]+Table1[[#This Row],[Training Cost]],0)</f>
        <v>6009</v>
      </c>
    </row>
    <row r="168" spans="1:27">
      <c r="A168" t="str">
        <f t="shared" si="23"/>
        <v>E167</v>
      </c>
      <c r="B168" t="str" cm="1">
        <f t="array" aca="1" ref="B168" ca="1">INDEX(sheet2!$A$2:$A$6, RANDBETWEEN(1, 5))</f>
        <v>Finance</v>
      </c>
      <c r="C168" t="str">
        <f ca="1">_xlfn.XLOOKUP(Table1[[#This Row],[Department]],sheet2!$A$2:$A$6,sheet2!$B$2:$B$6,_xleta.NA,0)</f>
        <v>Finance Manager</v>
      </c>
      <c r="D168" s="1">
        <f t="shared" ca="1" si="28"/>
        <v>44538</v>
      </c>
      <c r="E168" s="1">
        <f ca="1">Table1[[#This Row],[Job Posting Date]]+ RANDBETWEEN(15, 90)</f>
        <v>44609</v>
      </c>
      <c r="F168" s="1">
        <f ca="1">Table1[[#This Row],[Hire Date]]+ RANDBETWEEN(1, 15)</f>
        <v>44623</v>
      </c>
      <c r="G168" s="1" t="str">
        <f ca="1">IF(RAND() &lt; 0.5,  Table1[[#This Row],[Join Date]]+ RANDBETWEEN(30, TODAY()- Table1[[#This Row],[Join Date]]), "-")</f>
        <v>-</v>
      </c>
      <c r="H168" t="str">
        <f ca="1">IF(Table1[[#This Row],[Exit Date]]= "-", "Active", "Exited")</f>
        <v>Active</v>
      </c>
      <c r="I168" s="5">
        <f t="shared" ca="1" si="29"/>
        <v>3552</v>
      </c>
      <c r="J168" t="str" cm="1">
        <f t="array" aca="1" ref="J168" ca="1">INDEX(sheet2!$C$2:$C$6, RANDBETWEEN(1, 5))</f>
        <v>Advanced Excel Skills </v>
      </c>
      <c r="K168" t="str">
        <f t="shared" ca="1" si="30"/>
        <v>Not Completed</v>
      </c>
      <c r="L168">
        <v>260</v>
      </c>
      <c r="M168">
        <f t="shared" ca="1" si="24"/>
        <v>0</v>
      </c>
      <c r="N168" t="str">
        <f t="shared" ca="1" si="25"/>
        <v>Other</v>
      </c>
      <c r="O168" s="6">
        <f t="shared" ca="1" si="26"/>
        <v>1631</v>
      </c>
      <c r="P168">
        <f ca="1">Table1[[#This Row],[Hire Date]]-Table1[[#This Row],[Job Posting Date]]</f>
        <v>71</v>
      </c>
      <c r="Q168" s="7">
        <f ca="1">Table1[[#This Row],[Join Date]]-Table1[[#This Row],[Hire Date]]</f>
        <v>14</v>
      </c>
      <c r="R168" s="8">
        <f ca="1">(IF(Table1[[#This Row],[Status]]="Exited",Table1[[#This Row],[Exit Date]]-Table1[[#This Row],[Join Date]],TODAY()-Table1[[#This Row],[Join Date]]))/30</f>
        <v>34.666666666666664</v>
      </c>
      <c r="S168">
        <f ca="1">Table1[[#This Row],[Hire Date]]-Table1[[#This Row],[Job Posting Date]]</f>
        <v>71</v>
      </c>
      <c r="T168" s="7">
        <f ca="1">Table1[[#This Row],[Time to onboard]]/Table1[[#This Row],[Time to Fill]]*100</f>
        <v>19.718309859154928</v>
      </c>
      <c r="U168" s="8">
        <f ca="1">Table1[[#This Row],[Time to onboard]]/Table1[[#This Row],[Time to Fill]]*100</f>
        <v>19.718309859154928</v>
      </c>
      <c r="V168">
        <f ca="1">Table1[[#This Row],[Join Date]]-Table1[[#This Row],[Job Posting Date]]</f>
        <v>85</v>
      </c>
      <c r="W168">
        <f t="shared" ca="1" si="27"/>
        <v>184</v>
      </c>
      <c r="X168" s="8">
        <f ca="1">Table1[[#This Row],[Absentee Days]]/Table1[[#This Row],[Total Work Days]]*100</f>
        <v>0</v>
      </c>
      <c r="Y168">
        <f ca="1">YEAR(Table1[[#This Row],[Join Date]])</f>
        <v>2022</v>
      </c>
      <c r="Z168">
        <f ca="1">IF(Table1[[#This Row],[Status]]="Active",1,0)</f>
        <v>1</v>
      </c>
      <c r="AA168">
        <f ca="1">IF(Table1[[#This Row],[Status]]="Exited",Table1[[#This Row],[Recruitment Cost]]+Table1[[#This Row],[Onboarding cost]]+Table1[[#This Row],[Training Cost]],0)</f>
        <v>0</v>
      </c>
    </row>
    <row r="169" spans="1:27">
      <c r="A169" t="str">
        <f t="shared" si="23"/>
        <v>E168</v>
      </c>
      <c r="B169" t="str" cm="1">
        <f t="array" aca="1" ref="B169" ca="1">INDEX(sheet2!$A$2:$A$6, RANDBETWEEN(1, 5))</f>
        <v>HR</v>
      </c>
      <c r="C169" t="str">
        <f ca="1">_xlfn.XLOOKUP(Table1[[#This Row],[Department]],sheet2!$A$2:$A$6,sheet2!$B$2:$B$6,_xleta.NA,0)</f>
        <v>HR Manager</v>
      </c>
      <c r="D169" s="1">
        <f t="shared" ca="1" si="28"/>
        <v>43398</v>
      </c>
      <c r="E169" s="1">
        <f ca="1">Table1[[#This Row],[Job Posting Date]]+ RANDBETWEEN(15, 90)</f>
        <v>43427</v>
      </c>
      <c r="F169" s="1">
        <f ca="1">Table1[[#This Row],[Hire Date]]+ RANDBETWEEN(1, 15)</f>
        <v>43438</v>
      </c>
      <c r="G169" s="1">
        <f ca="1">IF(RAND() &lt; 0.5,  Table1[[#This Row],[Join Date]]+ RANDBETWEEN(30, TODAY()- Table1[[#This Row],[Join Date]]), "-")</f>
        <v>45389</v>
      </c>
      <c r="H169" t="str">
        <f ca="1">IF(Table1[[#This Row],[Exit Date]]= "-", "Active", "Exited")</f>
        <v>Exited</v>
      </c>
      <c r="I169" s="5">
        <f t="shared" ca="1" si="29"/>
        <v>3910</v>
      </c>
      <c r="J169" t="str" cm="1">
        <f t="array" aca="1" ref="J169" ca="1">INDEX(sheet2!$C$2:$C$6, RANDBETWEEN(1, 5))</f>
        <v>Advanced Excel Skills </v>
      </c>
      <c r="K169" t="str">
        <f t="shared" ca="1" si="30"/>
        <v>Not Completed</v>
      </c>
      <c r="L169">
        <v>260</v>
      </c>
      <c r="M169">
        <f t="shared" ca="1" si="24"/>
        <v>10</v>
      </c>
      <c r="N169" t="str">
        <f t="shared" ca="1" si="25"/>
        <v>Male</v>
      </c>
      <c r="O169" s="6">
        <f t="shared" ca="1" si="26"/>
        <v>1587</v>
      </c>
      <c r="P169">
        <f ca="1">Table1[[#This Row],[Hire Date]]-Table1[[#This Row],[Job Posting Date]]</f>
        <v>29</v>
      </c>
      <c r="Q169" s="7">
        <f ca="1">Table1[[#This Row],[Join Date]]-Table1[[#This Row],[Hire Date]]</f>
        <v>11</v>
      </c>
      <c r="R169" s="8">
        <f ca="1">(IF(Table1[[#This Row],[Status]]="Exited",Table1[[#This Row],[Exit Date]]-Table1[[#This Row],[Join Date]],TODAY()-Table1[[#This Row],[Join Date]]))/30</f>
        <v>65.033333333333331</v>
      </c>
      <c r="S169">
        <f ca="1">Table1[[#This Row],[Hire Date]]-Table1[[#This Row],[Job Posting Date]]</f>
        <v>29</v>
      </c>
      <c r="T169" s="7">
        <f ca="1">Table1[[#This Row],[Time to onboard]]/Table1[[#This Row],[Time to Fill]]*100</f>
        <v>37.931034482758619</v>
      </c>
      <c r="U169" s="8">
        <f ca="1">Table1[[#This Row],[Time to onboard]]/Table1[[#This Row],[Time to Fill]]*100</f>
        <v>37.931034482758619</v>
      </c>
      <c r="V169">
        <f ca="1">Table1[[#This Row],[Join Date]]-Table1[[#This Row],[Job Posting Date]]</f>
        <v>40</v>
      </c>
      <c r="W169">
        <f t="shared" ca="1" si="27"/>
        <v>138</v>
      </c>
      <c r="X169" s="8">
        <f ca="1">Table1[[#This Row],[Absentee Days]]/Table1[[#This Row],[Total Work Days]]*100</f>
        <v>3.8461538461538463</v>
      </c>
      <c r="Y169">
        <f ca="1">YEAR(Table1[[#This Row],[Join Date]])</f>
        <v>2018</v>
      </c>
      <c r="Z169">
        <f ca="1">IF(Table1[[#This Row],[Status]]="Active",1,0)</f>
        <v>0</v>
      </c>
      <c r="AA169">
        <f ca="1">IF(Table1[[#This Row],[Status]]="Exited",Table1[[#This Row],[Recruitment Cost]]+Table1[[#This Row],[Onboarding cost]]+Table1[[#This Row],[Training Cost]],0)</f>
        <v>5635</v>
      </c>
    </row>
    <row r="170" spans="1:27">
      <c r="A170" t="str">
        <f t="shared" si="23"/>
        <v>E169</v>
      </c>
      <c r="B170" t="str" cm="1">
        <f t="array" aca="1" ref="B170" ca="1">INDEX(sheet2!$A$2:$A$6, RANDBETWEEN(1, 5))</f>
        <v>HR</v>
      </c>
      <c r="C170" t="str">
        <f ca="1">_xlfn.XLOOKUP(Table1[[#This Row],[Department]],sheet2!$A$2:$A$6,sheet2!$B$2:$B$6,_xleta.NA,0)</f>
        <v>HR Manager</v>
      </c>
      <c r="D170" s="1">
        <f t="shared" ca="1" si="28"/>
        <v>44897</v>
      </c>
      <c r="E170" s="1">
        <f ca="1">Table1[[#This Row],[Job Posting Date]]+ RANDBETWEEN(15, 90)</f>
        <v>44939</v>
      </c>
      <c r="F170" s="1">
        <f ca="1">Table1[[#This Row],[Hire Date]]+ RANDBETWEEN(1, 15)</f>
        <v>44946</v>
      </c>
      <c r="G170" s="1">
        <f ca="1">IF(RAND() &lt; 0.5,  Table1[[#This Row],[Join Date]]+ RANDBETWEEN(30, TODAY()- Table1[[#This Row],[Join Date]]), "-")</f>
        <v>45442</v>
      </c>
      <c r="H170" t="str">
        <f ca="1">IF(Table1[[#This Row],[Exit Date]]= "-", "Active", "Exited")</f>
        <v>Exited</v>
      </c>
      <c r="I170" s="5">
        <f t="shared" ca="1" si="29"/>
        <v>1719</v>
      </c>
      <c r="J170" t="str" cm="1">
        <f t="array" aca="1" ref="J170" ca="1">INDEX(sheet2!$C$2:$C$6, RANDBETWEEN(1, 5))</f>
        <v>Communication Skills</v>
      </c>
      <c r="K170" t="str">
        <f t="shared" ca="1" si="30"/>
        <v>Completed</v>
      </c>
      <c r="L170">
        <v>260</v>
      </c>
      <c r="M170">
        <f t="shared" ca="1" si="24"/>
        <v>5</v>
      </c>
      <c r="N170" t="str">
        <f t="shared" ca="1" si="25"/>
        <v>Female</v>
      </c>
      <c r="O170" s="6">
        <f t="shared" ca="1" si="26"/>
        <v>1779</v>
      </c>
      <c r="P170">
        <f ca="1">Table1[[#This Row],[Hire Date]]-Table1[[#This Row],[Job Posting Date]]</f>
        <v>42</v>
      </c>
      <c r="Q170" s="7">
        <f ca="1">Table1[[#This Row],[Join Date]]-Table1[[#This Row],[Hire Date]]</f>
        <v>7</v>
      </c>
      <c r="R170" s="8">
        <f ca="1">(IF(Table1[[#This Row],[Status]]="Exited",Table1[[#This Row],[Exit Date]]-Table1[[#This Row],[Join Date]],TODAY()-Table1[[#This Row],[Join Date]]))/30</f>
        <v>16.533333333333335</v>
      </c>
      <c r="S170">
        <f ca="1">Table1[[#This Row],[Hire Date]]-Table1[[#This Row],[Job Posting Date]]</f>
        <v>42</v>
      </c>
      <c r="T170" s="7">
        <f ca="1">Table1[[#This Row],[Time to onboard]]/Table1[[#This Row],[Time to Fill]]*100</f>
        <v>16.666666666666664</v>
      </c>
      <c r="U170" s="8">
        <f ca="1">Table1[[#This Row],[Time to onboard]]/Table1[[#This Row],[Time to Fill]]*100</f>
        <v>16.666666666666664</v>
      </c>
      <c r="V170">
        <f ca="1">Table1[[#This Row],[Join Date]]-Table1[[#This Row],[Job Posting Date]]</f>
        <v>49</v>
      </c>
      <c r="W170">
        <f t="shared" ca="1" si="27"/>
        <v>144</v>
      </c>
      <c r="X170" s="8">
        <f ca="1">Table1[[#This Row],[Absentee Days]]/Table1[[#This Row],[Total Work Days]]*100</f>
        <v>1.9230769230769231</v>
      </c>
      <c r="Y170">
        <f ca="1">YEAR(Table1[[#This Row],[Join Date]])</f>
        <v>2023</v>
      </c>
      <c r="Z170">
        <f ca="1">IF(Table1[[#This Row],[Status]]="Active",1,0)</f>
        <v>0</v>
      </c>
      <c r="AA170">
        <f ca="1">IF(Table1[[#This Row],[Status]]="Exited",Table1[[#This Row],[Recruitment Cost]]+Table1[[#This Row],[Onboarding cost]]+Table1[[#This Row],[Training Cost]],0)</f>
        <v>3642</v>
      </c>
    </row>
    <row r="171" spans="1:27">
      <c r="A171" t="str">
        <f t="shared" si="23"/>
        <v>E170</v>
      </c>
      <c r="B171" t="str" cm="1">
        <f t="array" aca="1" ref="B171" ca="1">INDEX(sheet2!$A$2:$A$6, RANDBETWEEN(1, 5))</f>
        <v>Finance</v>
      </c>
      <c r="C171" t="str">
        <f ca="1">_xlfn.XLOOKUP(Table1[[#This Row],[Department]],sheet2!$A$2:$A$6,sheet2!$B$2:$B$6,_xleta.NA,0)</f>
        <v>Finance Manager</v>
      </c>
      <c r="D171" s="1">
        <f t="shared" ca="1" si="28"/>
        <v>43348</v>
      </c>
      <c r="E171" s="1">
        <f ca="1">Table1[[#This Row],[Job Posting Date]]+ RANDBETWEEN(15, 90)</f>
        <v>43376</v>
      </c>
      <c r="F171" s="1">
        <f ca="1">Table1[[#This Row],[Hire Date]]+ RANDBETWEEN(1, 15)</f>
        <v>43388</v>
      </c>
      <c r="G171" s="1" t="str">
        <f ca="1">IF(RAND() &lt; 0.5,  Table1[[#This Row],[Join Date]]+ RANDBETWEEN(30, TODAY()- Table1[[#This Row],[Join Date]]), "-")</f>
        <v>-</v>
      </c>
      <c r="H171" t="str">
        <f ca="1">IF(Table1[[#This Row],[Exit Date]]= "-", "Active", "Exited")</f>
        <v>Active</v>
      </c>
      <c r="I171" s="5">
        <f t="shared" ca="1" si="29"/>
        <v>4664</v>
      </c>
      <c r="J171" t="str" cm="1">
        <f t="array" aca="1" ref="J171" ca="1">INDEX(sheet2!$C$2:$C$6, RANDBETWEEN(1, 5))</f>
        <v>Ethics and Responsibilities</v>
      </c>
      <c r="K171" t="str">
        <f t="shared" ca="1" si="30"/>
        <v>Completed</v>
      </c>
      <c r="L171">
        <v>260</v>
      </c>
      <c r="M171">
        <f t="shared" ca="1" si="24"/>
        <v>15</v>
      </c>
      <c r="N171" t="str">
        <f t="shared" ca="1" si="25"/>
        <v>Other</v>
      </c>
      <c r="O171" s="6">
        <f t="shared" ca="1" si="26"/>
        <v>2316</v>
      </c>
      <c r="P171">
        <f ca="1">Table1[[#This Row],[Hire Date]]-Table1[[#This Row],[Job Posting Date]]</f>
        <v>28</v>
      </c>
      <c r="Q171" s="7">
        <f ca="1">Table1[[#This Row],[Join Date]]-Table1[[#This Row],[Hire Date]]</f>
        <v>12</v>
      </c>
      <c r="R171" s="8">
        <f ca="1">(IF(Table1[[#This Row],[Status]]="Exited",Table1[[#This Row],[Exit Date]]-Table1[[#This Row],[Join Date]],TODAY()-Table1[[#This Row],[Join Date]]))/30</f>
        <v>75.833333333333329</v>
      </c>
      <c r="S171">
        <f ca="1">Table1[[#This Row],[Hire Date]]-Table1[[#This Row],[Job Posting Date]]</f>
        <v>28</v>
      </c>
      <c r="T171" s="7">
        <f ca="1">Table1[[#This Row],[Time to onboard]]/Table1[[#This Row],[Time to Fill]]*100</f>
        <v>42.857142857142854</v>
      </c>
      <c r="U171" s="8">
        <f ca="1">Table1[[#This Row],[Time to onboard]]/Table1[[#This Row],[Time to Fill]]*100</f>
        <v>42.857142857142854</v>
      </c>
      <c r="V171">
        <f ca="1">Table1[[#This Row],[Join Date]]-Table1[[#This Row],[Job Posting Date]]</f>
        <v>40</v>
      </c>
      <c r="W171">
        <f t="shared" ca="1" si="27"/>
        <v>132</v>
      </c>
      <c r="X171" s="8">
        <f ca="1">Table1[[#This Row],[Absentee Days]]/Table1[[#This Row],[Total Work Days]]*100</f>
        <v>5.7692307692307692</v>
      </c>
      <c r="Y171">
        <f ca="1">YEAR(Table1[[#This Row],[Join Date]])</f>
        <v>2018</v>
      </c>
      <c r="Z171">
        <f ca="1">IF(Table1[[#This Row],[Status]]="Active",1,0)</f>
        <v>1</v>
      </c>
      <c r="AA171">
        <f ca="1">IF(Table1[[#This Row],[Status]]="Exited",Table1[[#This Row],[Recruitment Cost]]+Table1[[#This Row],[Onboarding cost]]+Table1[[#This Row],[Training Cost]],0)</f>
        <v>0</v>
      </c>
    </row>
    <row r="172" spans="1:27">
      <c r="A172" t="str">
        <f t="shared" si="23"/>
        <v>E171</v>
      </c>
      <c r="B172" t="str" cm="1">
        <f t="array" aca="1" ref="B172" ca="1">INDEX(sheet2!$A$2:$A$6, RANDBETWEEN(1, 5))</f>
        <v>Sales</v>
      </c>
      <c r="C172" t="str">
        <f ca="1">_xlfn.XLOOKUP(Table1[[#This Row],[Department]],sheet2!$A$2:$A$6,sheet2!$B$2:$B$6,_xleta.NA,0)</f>
        <v>Marketing Manager</v>
      </c>
      <c r="D172" s="1">
        <f t="shared" ca="1" si="28"/>
        <v>43448</v>
      </c>
      <c r="E172" s="1">
        <f ca="1">Table1[[#This Row],[Job Posting Date]]+ RANDBETWEEN(15, 90)</f>
        <v>43493</v>
      </c>
      <c r="F172" s="1">
        <f ca="1">Table1[[#This Row],[Hire Date]]+ RANDBETWEEN(1, 15)</f>
        <v>43497</v>
      </c>
      <c r="G172" s="1">
        <f ca="1">IF(RAND() &lt; 0.5,  Table1[[#This Row],[Join Date]]+ RANDBETWEEN(30, TODAY()- Table1[[#This Row],[Join Date]]), "-")</f>
        <v>44314</v>
      </c>
      <c r="H172" t="str">
        <f ca="1">IF(Table1[[#This Row],[Exit Date]]= "-", "Active", "Exited")</f>
        <v>Exited</v>
      </c>
      <c r="I172" s="5">
        <f t="shared" ca="1" si="29"/>
        <v>1981</v>
      </c>
      <c r="J172" t="str" cm="1">
        <f t="array" aca="1" ref="J172" ca="1">INDEX(sheet2!$C$2:$C$6, RANDBETWEEN(1, 5))</f>
        <v>Ethics and Responsibilities</v>
      </c>
      <c r="K172" t="str">
        <f t="shared" ca="1" si="30"/>
        <v>Completed</v>
      </c>
      <c r="L172">
        <v>260</v>
      </c>
      <c r="M172">
        <f t="shared" ca="1" si="24"/>
        <v>2</v>
      </c>
      <c r="N172" t="str">
        <f t="shared" ca="1" si="25"/>
        <v>Female</v>
      </c>
      <c r="O172" s="6">
        <f t="shared" ca="1" si="26"/>
        <v>1476</v>
      </c>
      <c r="P172">
        <f ca="1">Table1[[#This Row],[Hire Date]]-Table1[[#This Row],[Job Posting Date]]</f>
        <v>45</v>
      </c>
      <c r="Q172" s="7">
        <f ca="1">Table1[[#This Row],[Join Date]]-Table1[[#This Row],[Hire Date]]</f>
        <v>4</v>
      </c>
      <c r="R172" s="8">
        <f ca="1">(IF(Table1[[#This Row],[Status]]="Exited",Table1[[#This Row],[Exit Date]]-Table1[[#This Row],[Join Date]],TODAY()-Table1[[#This Row],[Join Date]]))/30</f>
        <v>27.233333333333334</v>
      </c>
      <c r="S172">
        <f ca="1">Table1[[#This Row],[Hire Date]]-Table1[[#This Row],[Job Posting Date]]</f>
        <v>45</v>
      </c>
      <c r="T172" s="7">
        <f ca="1">Table1[[#This Row],[Time to onboard]]/Table1[[#This Row],[Time to Fill]]*100</f>
        <v>8.8888888888888893</v>
      </c>
      <c r="U172" s="8">
        <f ca="1">Table1[[#This Row],[Time to onboard]]/Table1[[#This Row],[Time to Fill]]*100</f>
        <v>8.8888888888888893</v>
      </c>
      <c r="V172">
        <f ca="1">Table1[[#This Row],[Join Date]]-Table1[[#This Row],[Job Posting Date]]</f>
        <v>49</v>
      </c>
      <c r="W172">
        <f t="shared" ca="1" si="27"/>
        <v>121</v>
      </c>
      <c r="X172" s="8">
        <f ca="1">Table1[[#This Row],[Absentee Days]]/Table1[[#This Row],[Total Work Days]]*100</f>
        <v>0.76923076923076927</v>
      </c>
      <c r="Y172">
        <f ca="1">YEAR(Table1[[#This Row],[Join Date]])</f>
        <v>2019</v>
      </c>
      <c r="Z172">
        <f ca="1">IF(Table1[[#This Row],[Status]]="Active",1,0)</f>
        <v>0</v>
      </c>
      <c r="AA172">
        <f ca="1">IF(Table1[[#This Row],[Status]]="Exited",Table1[[#This Row],[Recruitment Cost]]+Table1[[#This Row],[Onboarding cost]]+Table1[[#This Row],[Training Cost]],0)</f>
        <v>3578</v>
      </c>
    </row>
    <row r="173" spans="1:27">
      <c r="A173" t="str">
        <f t="shared" si="23"/>
        <v>E172</v>
      </c>
      <c r="B173" t="str" cm="1">
        <f t="array" aca="1" ref="B173" ca="1">INDEX(sheet2!$A$2:$A$6, RANDBETWEEN(1, 5))</f>
        <v>HR</v>
      </c>
      <c r="C173" t="str">
        <f ca="1">_xlfn.XLOOKUP(Table1[[#This Row],[Department]],sheet2!$A$2:$A$6,sheet2!$B$2:$B$6,_xleta.NA,0)</f>
        <v>HR Manager</v>
      </c>
      <c r="D173" s="1">
        <f t="shared" ca="1" si="28"/>
        <v>43348</v>
      </c>
      <c r="E173" s="1">
        <f ca="1">Table1[[#This Row],[Job Posting Date]]+ RANDBETWEEN(15, 90)</f>
        <v>43394</v>
      </c>
      <c r="F173" s="1">
        <f ca="1">Table1[[#This Row],[Hire Date]]+ RANDBETWEEN(1, 15)</f>
        <v>43409</v>
      </c>
      <c r="G173" s="1" t="str">
        <f ca="1">IF(RAND() &lt; 0.5,  Table1[[#This Row],[Join Date]]+ RANDBETWEEN(30, TODAY()- Table1[[#This Row],[Join Date]]), "-")</f>
        <v>-</v>
      </c>
      <c r="H173" t="str">
        <f ca="1">IF(Table1[[#This Row],[Exit Date]]= "-", "Active", "Exited")</f>
        <v>Active</v>
      </c>
      <c r="I173" s="5">
        <f t="shared" ca="1" si="29"/>
        <v>4593</v>
      </c>
      <c r="J173" t="str" cm="1">
        <f t="array" aca="1" ref="J173" ca="1">INDEX(sheet2!$C$2:$C$6, RANDBETWEEN(1, 5))</f>
        <v>Leadership Development</v>
      </c>
      <c r="K173" t="str">
        <f t="shared" ca="1" si="30"/>
        <v>Not Completed</v>
      </c>
      <c r="L173">
        <v>260</v>
      </c>
      <c r="M173">
        <f t="shared" ca="1" si="24"/>
        <v>16</v>
      </c>
      <c r="N173" t="str">
        <f t="shared" ca="1" si="25"/>
        <v>Female</v>
      </c>
      <c r="O173" s="6">
        <f t="shared" ca="1" si="26"/>
        <v>1972</v>
      </c>
      <c r="P173">
        <f ca="1">Table1[[#This Row],[Hire Date]]-Table1[[#This Row],[Job Posting Date]]</f>
        <v>46</v>
      </c>
      <c r="Q173" s="7">
        <f ca="1">Table1[[#This Row],[Join Date]]-Table1[[#This Row],[Hire Date]]</f>
        <v>15</v>
      </c>
      <c r="R173" s="8">
        <f ca="1">(IF(Table1[[#This Row],[Status]]="Exited",Table1[[#This Row],[Exit Date]]-Table1[[#This Row],[Join Date]],TODAY()-Table1[[#This Row],[Join Date]]))/30</f>
        <v>75.13333333333334</v>
      </c>
      <c r="S173">
        <f ca="1">Table1[[#This Row],[Hire Date]]-Table1[[#This Row],[Job Posting Date]]</f>
        <v>46</v>
      </c>
      <c r="T173" s="7">
        <f ca="1">Table1[[#This Row],[Time to onboard]]/Table1[[#This Row],[Time to Fill]]*100</f>
        <v>32.608695652173914</v>
      </c>
      <c r="U173" s="8">
        <f ca="1">Table1[[#This Row],[Time to onboard]]/Table1[[#This Row],[Time to Fill]]*100</f>
        <v>32.608695652173914</v>
      </c>
      <c r="V173">
        <f ca="1">Table1[[#This Row],[Join Date]]-Table1[[#This Row],[Job Posting Date]]</f>
        <v>61</v>
      </c>
      <c r="W173">
        <f t="shared" ca="1" si="27"/>
        <v>154</v>
      </c>
      <c r="X173" s="8">
        <f ca="1">Table1[[#This Row],[Absentee Days]]/Table1[[#This Row],[Total Work Days]]*100</f>
        <v>6.1538461538461542</v>
      </c>
      <c r="Y173">
        <f ca="1">YEAR(Table1[[#This Row],[Join Date]])</f>
        <v>2018</v>
      </c>
      <c r="Z173">
        <f ca="1">IF(Table1[[#This Row],[Status]]="Active",1,0)</f>
        <v>1</v>
      </c>
      <c r="AA173">
        <f ca="1">IF(Table1[[#This Row],[Status]]="Exited",Table1[[#This Row],[Recruitment Cost]]+Table1[[#This Row],[Onboarding cost]]+Table1[[#This Row],[Training Cost]],0)</f>
        <v>0</v>
      </c>
    </row>
    <row r="174" spans="1:27">
      <c r="A174" t="str">
        <f t="shared" si="23"/>
        <v>E173</v>
      </c>
      <c r="B174" t="str" cm="1">
        <f t="array" aca="1" ref="B174" ca="1">INDEX(sheet2!$A$2:$A$6, RANDBETWEEN(1, 5))</f>
        <v>Finance</v>
      </c>
      <c r="C174" t="str">
        <f ca="1">_xlfn.XLOOKUP(Table1[[#This Row],[Department]],sheet2!$A$2:$A$6,sheet2!$B$2:$B$6,_xleta.NA,0)</f>
        <v>Finance Manager</v>
      </c>
      <c r="D174" s="1">
        <f t="shared" ca="1" si="28"/>
        <v>44922</v>
      </c>
      <c r="E174" s="1">
        <f ca="1">Table1[[#This Row],[Job Posting Date]]+ RANDBETWEEN(15, 90)</f>
        <v>44971</v>
      </c>
      <c r="F174" s="1">
        <f ca="1">Table1[[#This Row],[Hire Date]]+ RANDBETWEEN(1, 15)</f>
        <v>44979</v>
      </c>
      <c r="G174" s="1" t="str">
        <f ca="1">IF(RAND() &lt; 0.5,  Table1[[#This Row],[Join Date]]+ RANDBETWEEN(30, TODAY()- Table1[[#This Row],[Join Date]]), "-")</f>
        <v>-</v>
      </c>
      <c r="H174" t="str">
        <f ca="1">IF(Table1[[#This Row],[Exit Date]]= "-", "Active", "Exited")</f>
        <v>Active</v>
      </c>
      <c r="I174" s="5">
        <f t="shared" ca="1" si="29"/>
        <v>4223</v>
      </c>
      <c r="J174" t="str" cm="1">
        <f t="array" aca="1" ref="J174" ca="1">INDEX(sheet2!$C$2:$C$6, RANDBETWEEN(1, 5))</f>
        <v>Leadership Development</v>
      </c>
      <c r="K174" t="str">
        <f t="shared" ca="1" si="30"/>
        <v>Completed</v>
      </c>
      <c r="L174">
        <v>260</v>
      </c>
      <c r="M174">
        <f t="shared" ca="1" si="24"/>
        <v>19</v>
      </c>
      <c r="N174" t="str">
        <f t="shared" ca="1" si="25"/>
        <v>Other</v>
      </c>
      <c r="O174" s="6">
        <f t="shared" ca="1" si="26"/>
        <v>2116</v>
      </c>
      <c r="P174">
        <f ca="1">Table1[[#This Row],[Hire Date]]-Table1[[#This Row],[Job Posting Date]]</f>
        <v>49</v>
      </c>
      <c r="Q174" s="7">
        <f ca="1">Table1[[#This Row],[Join Date]]-Table1[[#This Row],[Hire Date]]</f>
        <v>8</v>
      </c>
      <c r="R174" s="8">
        <f ca="1">(IF(Table1[[#This Row],[Status]]="Exited",Table1[[#This Row],[Exit Date]]-Table1[[#This Row],[Join Date]],TODAY()-Table1[[#This Row],[Join Date]]))/30</f>
        <v>22.8</v>
      </c>
      <c r="S174">
        <f ca="1">Table1[[#This Row],[Hire Date]]-Table1[[#This Row],[Job Posting Date]]</f>
        <v>49</v>
      </c>
      <c r="T174" s="7">
        <f ca="1">Table1[[#This Row],[Time to onboard]]/Table1[[#This Row],[Time to Fill]]*100</f>
        <v>16.326530612244898</v>
      </c>
      <c r="U174" s="8">
        <f ca="1">Table1[[#This Row],[Time to onboard]]/Table1[[#This Row],[Time to Fill]]*100</f>
        <v>16.326530612244898</v>
      </c>
      <c r="V174">
        <f ca="1">Table1[[#This Row],[Join Date]]-Table1[[#This Row],[Job Posting Date]]</f>
        <v>57</v>
      </c>
      <c r="W174">
        <f t="shared" ca="1" si="27"/>
        <v>164</v>
      </c>
      <c r="X174" s="8">
        <f ca="1">Table1[[#This Row],[Absentee Days]]/Table1[[#This Row],[Total Work Days]]*100</f>
        <v>7.3076923076923084</v>
      </c>
      <c r="Y174">
        <f ca="1">YEAR(Table1[[#This Row],[Join Date]])</f>
        <v>2023</v>
      </c>
      <c r="Z174">
        <f ca="1">IF(Table1[[#This Row],[Status]]="Active",1,0)</f>
        <v>1</v>
      </c>
      <c r="AA174">
        <f ca="1">IF(Table1[[#This Row],[Status]]="Exited",Table1[[#This Row],[Recruitment Cost]]+Table1[[#This Row],[Onboarding cost]]+Table1[[#This Row],[Training Cost]],0)</f>
        <v>0</v>
      </c>
    </row>
    <row r="175" spans="1:27">
      <c r="A175" t="str">
        <f t="shared" si="23"/>
        <v>E174</v>
      </c>
      <c r="B175" t="str" cm="1">
        <f t="array" aca="1" ref="B175" ca="1">INDEX(sheet2!$A$2:$A$6, RANDBETWEEN(1, 5))</f>
        <v>Sales</v>
      </c>
      <c r="C175" t="str">
        <f ca="1">_xlfn.XLOOKUP(Table1[[#This Row],[Department]],sheet2!$A$2:$A$6,sheet2!$B$2:$B$6,_xleta.NA,0)</f>
        <v>Marketing Manager</v>
      </c>
      <c r="D175" s="1">
        <f t="shared" ca="1" si="28"/>
        <v>44673</v>
      </c>
      <c r="E175" s="1">
        <f ca="1">Table1[[#This Row],[Job Posting Date]]+ RANDBETWEEN(15, 90)</f>
        <v>44708</v>
      </c>
      <c r="F175" s="1">
        <f ca="1">Table1[[#This Row],[Hire Date]]+ RANDBETWEEN(1, 15)</f>
        <v>44714</v>
      </c>
      <c r="G175" s="1" t="str">
        <f ca="1">IF(RAND() &lt; 0.5,  Table1[[#This Row],[Join Date]]+ RANDBETWEEN(30, TODAY()- Table1[[#This Row],[Join Date]]), "-")</f>
        <v>-</v>
      </c>
      <c r="H175" t="str">
        <f ca="1">IF(Table1[[#This Row],[Exit Date]]= "-", "Active", "Exited")</f>
        <v>Active</v>
      </c>
      <c r="I175" s="5">
        <f t="shared" ca="1" si="29"/>
        <v>3805</v>
      </c>
      <c r="J175" t="str" cm="1">
        <f t="array" aca="1" ref="J175" ca="1">INDEX(sheet2!$C$2:$C$6, RANDBETWEEN(1, 5))</f>
        <v>Ethics and Responsibilities</v>
      </c>
      <c r="K175" t="str">
        <f t="shared" ca="1" si="30"/>
        <v>Completed</v>
      </c>
      <c r="L175">
        <v>260</v>
      </c>
      <c r="M175">
        <f t="shared" ca="1" si="24"/>
        <v>16</v>
      </c>
      <c r="N175" t="str">
        <f t="shared" ca="1" si="25"/>
        <v>Other</v>
      </c>
      <c r="O175" s="6">
        <f t="shared" ca="1" si="26"/>
        <v>2393</v>
      </c>
      <c r="P175">
        <f ca="1">Table1[[#This Row],[Hire Date]]-Table1[[#This Row],[Job Posting Date]]</f>
        <v>35</v>
      </c>
      <c r="Q175" s="7">
        <f ca="1">Table1[[#This Row],[Join Date]]-Table1[[#This Row],[Hire Date]]</f>
        <v>6</v>
      </c>
      <c r="R175" s="8">
        <f ca="1">(IF(Table1[[#This Row],[Status]]="Exited",Table1[[#This Row],[Exit Date]]-Table1[[#This Row],[Join Date]],TODAY()-Table1[[#This Row],[Join Date]]))/30</f>
        <v>31.633333333333333</v>
      </c>
      <c r="S175">
        <f ca="1">Table1[[#This Row],[Hire Date]]-Table1[[#This Row],[Job Posting Date]]</f>
        <v>35</v>
      </c>
      <c r="T175" s="7">
        <f ca="1">Table1[[#This Row],[Time to onboard]]/Table1[[#This Row],[Time to Fill]]*100</f>
        <v>17.142857142857142</v>
      </c>
      <c r="U175" s="8">
        <f ca="1">Table1[[#This Row],[Time to onboard]]/Table1[[#This Row],[Time to Fill]]*100</f>
        <v>17.142857142857142</v>
      </c>
      <c r="V175">
        <f ca="1">Table1[[#This Row],[Join Date]]-Table1[[#This Row],[Job Posting Date]]</f>
        <v>41</v>
      </c>
      <c r="W175">
        <f t="shared" ca="1" si="27"/>
        <v>137</v>
      </c>
      <c r="X175" s="8">
        <f ca="1">Table1[[#This Row],[Absentee Days]]/Table1[[#This Row],[Total Work Days]]*100</f>
        <v>6.1538461538461542</v>
      </c>
      <c r="Y175">
        <f ca="1">YEAR(Table1[[#This Row],[Join Date]])</f>
        <v>2022</v>
      </c>
      <c r="Z175">
        <f ca="1">IF(Table1[[#This Row],[Status]]="Active",1,0)</f>
        <v>1</v>
      </c>
      <c r="AA175">
        <f ca="1">IF(Table1[[#This Row],[Status]]="Exited",Table1[[#This Row],[Recruitment Cost]]+Table1[[#This Row],[Onboarding cost]]+Table1[[#This Row],[Training Cost]],0)</f>
        <v>0</v>
      </c>
    </row>
    <row r="176" spans="1:27">
      <c r="A176" t="str">
        <f t="shared" si="23"/>
        <v>E175</v>
      </c>
      <c r="B176" t="str" cm="1">
        <f t="array" aca="1" ref="B176" ca="1">INDEX(sheet2!$A$2:$A$6, RANDBETWEEN(1, 5))</f>
        <v>IT</v>
      </c>
      <c r="C176" t="str">
        <f ca="1">_xlfn.XLOOKUP(Table1[[#This Row],[Department]],sheet2!$A$2:$A$6,sheet2!$B$2:$B$6,_xleta.NA,0)</f>
        <v>Software Engineer</v>
      </c>
      <c r="D176" s="1">
        <f t="shared" ca="1" si="28"/>
        <v>44897</v>
      </c>
      <c r="E176" s="1">
        <f ca="1">Table1[[#This Row],[Job Posting Date]]+ RANDBETWEEN(15, 90)</f>
        <v>44978</v>
      </c>
      <c r="F176" s="1">
        <f ca="1">Table1[[#This Row],[Hire Date]]+ RANDBETWEEN(1, 15)</f>
        <v>44984</v>
      </c>
      <c r="G176" s="1" t="str">
        <f ca="1">IF(RAND() &lt; 0.5,  Table1[[#This Row],[Join Date]]+ RANDBETWEEN(30, TODAY()- Table1[[#This Row],[Join Date]]), "-")</f>
        <v>-</v>
      </c>
      <c r="H176" t="str">
        <f ca="1">IF(Table1[[#This Row],[Exit Date]]= "-", "Active", "Exited")</f>
        <v>Active</v>
      </c>
      <c r="I176" s="5">
        <f t="shared" ca="1" si="29"/>
        <v>3211</v>
      </c>
      <c r="J176" t="str" cm="1">
        <f t="array" aca="1" ref="J176" ca="1">INDEX(sheet2!$C$2:$C$6, RANDBETWEEN(1, 5))</f>
        <v>Ethics and Responsibilities</v>
      </c>
      <c r="K176" t="str">
        <f t="shared" ca="1" si="30"/>
        <v>Completed</v>
      </c>
      <c r="L176">
        <v>260</v>
      </c>
      <c r="M176">
        <f t="shared" ca="1" si="24"/>
        <v>11</v>
      </c>
      <c r="N176" t="str">
        <f t="shared" ca="1" si="25"/>
        <v>Male</v>
      </c>
      <c r="O176" s="6">
        <f t="shared" ca="1" si="26"/>
        <v>1613</v>
      </c>
      <c r="P176">
        <f ca="1">Table1[[#This Row],[Hire Date]]-Table1[[#This Row],[Job Posting Date]]</f>
        <v>81</v>
      </c>
      <c r="Q176" s="7">
        <f ca="1">Table1[[#This Row],[Join Date]]-Table1[[#This Row],[Hire Date]]</f>
        <v>6</v>
      </c>
      <c r="R176" s="8">
        <f ca="1">(IF(Table1[[#This Row],[Status]]="Exited",Table1[[#This Row],[Exit Date]]-Table1[[#This Row],[Join Date]],TODAY()-Table1[[#This Row],[Join Date]]))/30</f>
        <v>22.633333333333333</v>
      </c>
      <c r="S176">
        <f ca="1">Table1[[#This Row],[Hire Date]]-Table1[[#This Row],[Job Posting Date]]</f>
        <v>81</v>
      </c>
      <c r="T176" s="7">
        <f ca="1">Table1[[#This Row],[Time to onboard]]/Table1[[#This Row],[Time to Fill]]*100</f>
        <v>7.4074074074074066</v>
      </c>
      <c r="U176" s="8">
        <f ca="1">Table1[[#This Row],[Time to onboard]]/Table1[[#This Row],[Time to Fill]]*100</f>
        <v>7.4074074074074066</v>
      </c>
      <c r="V176">
        <f ca="1">Table1[[#This Row],[Join Date]]-Table1[[#This Row],[Job Posting Date]]</f>
        <v>87</v>
      </c>
      <c r="W176">
        <f t="shared" ca="1" si="27"/>
        <v>152</v>
      </c>
      <c r="X176" s="8">
        <f ca="1">Table1[[#This Row],[Absentee Days]]/Table1[[#This Row],[Total Work Days]]*100</f>
        <v>4.2307692307692308</v>
      </c>
      <c r="Y176">
        <f ca="1">YEAR(Table1[[#This Row],[Join Date]])</f>
        <v>2023</v>
      </c>
      <c r="Z176">
        <f ca="1">IF(Table1[[#This Row],[Status]]="Active",1,0)</f>
        <v>1</v>
      </c>
      <c r="AA176">
        <f ca="1">IF(Table1[[#This Row],[Status]]="Exited",Table1[[#This Row],[Recruitment Cost]]+Table1[[#This Row],[Onboarding cost]]+Table1[[#This Row],[Training Cost]],0)</f>
        <v>0</v>
      </c>
    </row>
    <row r="177" spans="1:27">
      <c r="A177" t="str">
        <f t="shared" si="23"/>
        <v>E176</v>
      </c>
      <c r="B177" t="str" cm="1">
        <f t="array" aca="1" ref="B177" ca="1">INDEX(sheet2!$A$2:$A$6, RANDBETWEEN(1, 5))</f>
        <v>HR</v>
      </c>
      <c r="C177" t="str">
        <f ca="1">_xlfn.XLOOKUP(Table1[[#This Row],[Department]],sheet2!$A$2:$A$6,sheet2!$B$2:$B$6,_xleta.NA,0)</f>
        <v>HR Manager</v>
      </c>
      <c r="D177" s="1">
        <f t="shared" ca="1" si="28"/>
        <v>44541</v>
      </c>
      <c r="E177" s="1">
        <f ca="1">Table1[[#This Row],[Job Posting Date]]+ RANDBETWEEN(15, 90)</f>
        <v>44585</v>
      </c>
      <c r="F177" s="1">
        <f ca="1">Table1[[#This Row],[Hire Date]]+ RANDBETWEEN(1, 15)</f>
        <v>44591</v>
      </c>
      <c r="G177" s="1" t="str">
        <f ca="1">IF(RAND() &lt; 0.5,  Table1[[#This Row],[Join Date]]+ RANDBETWEEN(30, TODAY()- Table1[[#This Row],[Join Date]]), "-")</f>
        <v>-</v>
      </c>
      <c r="H177" t="str">
        <f ca="1">IF(Table1[[#This Row],[Exit Date]]= "-", "Active", "Exited")</f>
        <v>Active</v>
      </c>
      <c r="I177" s="5">
        <f t="shared" ca="1" si="29"/>
        <v>2935</v>
      </c>
      <c r="J177" t="str" cm="1">
        <f t="array" aca="1" ref="J177" ca="1">INDEX(sheet2!$C$2:$C$6, RANDBETWEEN(1, 5))</f>
        <v>Conflict Resolution</v>
      </c>
      <c r="K177" t="str">
        <f t="shared" ca="1" si="30"/>
        <v>Not Completed</v>
      </c>
      <c r="L177">
        <v>260</v>
      </c>
      <c r="M177">
        <f t="shared" ca="1" si="24"/>
        <v>14</v>
      </c>
      <c r="N177" t="str">
        <f t="shared" ca="1" si="25"/>
        <v>Female</v>
      </c>
      <c r="O177" s="6">
        <f t="shared" ca="1" si="26"/>
        <v>2401</v>
      </c>
      <c r="P177">
        <f ca="1">Table1[[#This Row],[Hire Date]]-Table1[[#This Row],[Job Posting Date]]</f>
        <v>44</v>
      </c>
      <c r="Q177" s="7">
        <f ca="1">Table1[[#This Row],[Join Date]]-Table1[[#This Row],[Hire Date]]</f>
        <v>6</v>
      </c>
      <c r="R177" s="8">
        <f ca="1">(IF(Table1[[#This Row],[Status]]="Exited",Table1[[#This Row],[Exit Date]]-Table1[[#This Row],[Join Date]],TODAY()-Table1[[#This Row],[Join Date]]))/30</f>
        <v>35.733333333333334</v>
      </c>
      <c r="S177">
        <f ca="1">Table1[[#This Row],[Hire Date]]-Table1[[#This Row],[Job Posting Date]]</f>
        <v>44</v>
      </c>
      <c r="T177" s="7">
        <f ca="1">Table1[[#This Row],[Time to onboard]]/Table1[[#This Row],[Time to Fill]]*100</f>
        <v>13.636363636363635</v>
      </c>
      <c r="U177" s="8">
        <f ca="1">Table1[[#This Row],[Time to onboard]]/Table1[[#This Row],[Time to Fill]]*100</f>
        <v>13.636363636363635</v>
      </c>
      <c r="V177">
        <f ca="1">Table1[[#This Row],[Join Date]]-Table1[[#This Row],[Job Posting Date]]</f>
        <v>50</v>
      </c>
      <c r="W177">
        <f t="shared" ca="1" si="27"/>
        <v>165</v>
      </c>
      <c r="X177" s="8">
        <f ca="1">Table1[[#This Row],[Absentee Days]]/Table1[[#This Row],[Total Work Days]]*100</f>
        <v>5.384615384615385</v>
      </c>
      <c r="Y177">
        <f ca="1">YEAR(Table1[[#This Row],[Join Date]])</f>
        <v>2022</v>
      </c>
      <c r="Z177">
        <f ca="1">IF(Table1[[#This Row],[Status]]="Active",1,0)</f>
        <v>1</v>
      </c>
      <c r="AA177">
        <f ca="1">IF(Table1[[#This Row],[Status]]="Exited",Table1[[#This Row],[Recruitment Cost]]+Table1[[#This Row],[Onboarding cost]]+Table1[[#This Row],[Training Cost]],0)</f>
        <v>0</v>
      </c>
    </row>
    <row r="178" spans="1:27">
      <c r="A178" t="str">
        <f t="shared" si="23"/>
        <v>E177</v>
      </c>
      <c r="B178" t="str" cm="1">
        <f t="array" aca="1" ref="B178" ca="1">INDEX(sheet2!$A$2:$A$6, RANDBETWEEN(1, 5))</f>
        <v>Finance</v>
      </c>
      <c r="C178" t="str">
        <f ca="1">_xlfn.XLOOKUP(Table1[[#This Row],[Department]],sheet2!$A$2:$A$6,sheet2!$B$2:$B$6,_xleta.NA,0)</f>
        <v>Finance Manager</v>
      </c>
      <c r="D178" s="1">
        <f t="shared" ca="1" si="28"/>
        <v>43322</v>
      </c>
      <c r="E178" s="1">
        <f ca="1">Table1[[#This Row],[Job Posting Date]]+ RANDBETWEEN(15, 90)</f>
        <v>43369</v>
      </c>
      <c r="F178" s="1">
        <f ca="1">Table1[[#This Row],[Hire Date]]+ RANDBETWEEN(1, 15)</f>
        <v>43381</v>
      </c>
      <c r="G178" s="1">
        <f ca="1">IF(RAND() &lt; 0.5,  Table1[[#This Row],[Join Date]]+ RANDBETWEEN(30, TODAY()- Table1[[#This Row],[Join Date]]), "-")</f>
        <v>43619</v>
      </c>
      <c r="H178" t="str">
        <f ca="1">IF(Table1[[#This Row],[Exit Date]]= "-", "Active", "Exited")</f>
        <v>Exited</v>
      </c>
      <c r="I178" s="5">
        <f t="shared" ca="1" si="29"/>
        <v>2479</v>
      </c>
      <c r="J178" t="str" cm="1">
        <f t="array" aca="1" ref="J178" ca="1">INDEX(sheet2!$C$2:$C$6, RANDBETWEEN(1, 5))</f>
        <v>Communication Skills</v>
      </c>
      <c r="K178" t="str">
        <f t="shared" ca="1" si="30"/>
        <v>Completed</v>
      </c>
      <c r="L178">
        <v>260</v>
      </c>
      <c r="M178">
        <f t="shared" ca="1" si="24"/>
        <v>0</v>
      </c>
      <c r="N178" t="str">
        <f t="shared" ca="1" si="25"/>
        <v>Male</v>
      </c>
      <c r="O178" s="6">
        <f t="shared" ca="1" si="26"/>
        <v>1798</v>
      </c>
      <c r="P178">
        <f ca="1">Table1[[#This Row],[Hire Date]]-Table1[[#This Row],[Job Posting Date]]</f>
        <v>47</v>
      </c>
      <c r="Q178" s="7">
        <f ca="1">Table1[[#This Row],[Join Date]]-Table1[[#This Row],[Hire Date]]</f>
        <v>12</v>
      </c>
      <c r="R178" s="8">
        <f ca="1">(IF(Table1[[#This Row],[Status]]="Exited",Table1[[#This Row],[Exit Date]]-Table1[[#This Row],[Join Date]],TODAY()-Table1[[#This Row],[Join Date]]))/30</f>
        <v>7.9333333333333336</v>
      </c>
      <c r="S178">
        <f ca="1">Table1[[#This Row],[Hire Date]]-Table1[[#This Row],[Job Posting Date]]</f>
        <v>47</v>
      </c>
      <c r="T178" s="7">
        <f ca="1">Table1[[#This Row],[Time to onboard]]/Table1[[#This Row],[Time to Fill]]*100</f>
        <v>25.531914893617021</v>
      </c>
      <c r="U178" s="8">
        <f ca="1">Table1[[#This Row],[Time to onboard]]/Table1[[#This Row],[Time to Fill]]*100</f>
        <v>25.531914893617021</v>
      </c>
      <c r="V178">
        <f ca="1">Table1[[#This Row],[Join Date]]-Table1[[#This Row],[Job Posting Date]]</f>
        <v>59</v>
      </c>
      <c r="W178">
        <f t="shared" ca="1" si="27"/>
        <v>102</v>
      </c>
      <c r="X178" s="8">
        <f ca="1">Table1[[#This Row],[Absentee Days]]/Table1[[#This Row],[Total Work Days]]*100</f>
        <v>0</v>
      </c>
      <c r="Y178">
        <f ca="1">YEAR(Table1[[#This Row],[Join Date]])</f>
        <v>2018</v>
      </c>
      <c r="Z178">
        <f ca="1">IF(Table1[[#This Row],[Status]]="Active",1,0)</f>
        <v>0</v>
      </c>
      <c r="AA178">
        <f ca="1">IF(Table1[[#This Row],[Status]]="Exited",Table1[[#This Row],[Recruitment Cost]]+Table1[[#This Row],[Onboarding cost]]+Table1[[#This Row],[Training Cost]],0)</f>
        <v>4379</v>
      </c>
    </row>
    <row r="179" spans="1:27">
      <c r="A179" t="str">
        <f t="shared" si="23"/>
        <v>E178</v>
      </c>
      <c r="B179" t="str" cm="1">
        <f t="array" aca="1" ref="B179" ca="1">INDEX(sheet2!$A$2:$A$6, RANDBETWEEN(1, 5))</f>
        <v>IT</v>
      </c>
      <c r="C179" t="str">
        <f ca="1">_xlfn.XLOOKUP(Table1[[#This Row],[Department]],sheet2!$A$2:$A$6,sheet2!$B$2:$B$6,_xleta.NA,0)</f>
        <v>Software Engineer</v>
      </c>
      <c r="D179" s="1">
        <f t="shared" ca="1" si="28"/>
        <v>44432</v>
      </c>
      <c r="E179" s="1">
        <f ca="1">Table1[[#This Row],[Job Posting Date]]+ RANDBETWEEN(15, 90)</f>
        <v>44474</v>
      </c>
      <c r="F179" s="1">
        <f ca="1">Table1[[#This Row],[Hire Date]]+ RANDBETWEEN(1, 15)</f>
        <v>44483</v>
      </c>
      <c r="G179" s="1" t="str">
        <f ca="1">IF(RAND() &lt; 0.5,  Table1[[#This Row],[Join Date]]+ RANDBETWEEN(30, TODAY()- Table1[[#This Row],[Join Date]]), "-")</f>
        <v>-</v>
      </c>
      <c r="H179" t="str">
        <f ca="1">IF(Table1[[#This Row],[Exit Date]]= "-", "Active", "Exited")</f>
        <v>Active</v>
      </c>
      <c r="I179" s="5">
        <f t="shared" ca="1" si="29"/>
        <v>1620</v>
      </c>
      <c r="J179" t="str" cm="1">
        <f t="array" aca="1" ref="J179" ca="1">INDEX(sheet2!$C$2:$C$6, RANDBETWEEN(1, 5))</f>
        <v>Advanced Excel Skills </v>
      </c>
      <c r="K179" t="str">
        <f t="shared" ca="1" si="30"/>
        <v>Not Completed</v>
      </c>
      <c r="L179">
        <v>260</v>
      </c>
      <c r="M179">
        <f t="shared" ca="1" si="24"/>
        <v>20</v>
      </c>
      <c r="N179" t="str">
        <f t="shared" ca="1" si="25"/>
        <v>Female</v>
      </c>
      <c r="O179" s="6">
        <f t="shared" ca="1" si="26"/>
        <v>1906</v>
      </c>
      <c r="P179">
        <f ca="1">Table1[[#This Row],[Hire Date]]-Table1[[#This Row],[Job Posting Date]]</f>
        <v>42</v>
      </c>
      <c r="Q179" s="7">
        <f ca="1">Table1[[#This Row],[Join Date]]-Table1[[#This Row],[Hire Date]]</f>
        <v>9</v>
      </c>
      <c r="R179" s="8">
        <f ca="1">(IF(Table1[[#This Row],[Status]]="Exited",Table1[[#This Row],[Exit Date]]-Table1[[#This Row],[Join Date]],TODAY()-Table1[[#This Row],[Join Date]]))/30</f>
        <v>39.333333333333336</v>
      </c>
      <c r="S179">
        <f ca="1">Table1[[#This Row],[Hire Date]]-Table1[[#This Row],[Job Posting Date]]</f>
        <v>42</v>
      </c>
      <c r="T179" s="7">
        <f ca="1">Table1[[#This Row],[Time to onboard]]/Table1[[#This Row],[Time to Fill]]*100</f>
        <v>21.428571428571427</v>
      </c>
      <c r="U179" s="8">
        <f ca="1">Table1[[#This Row],[Time to onboard]]/Table1[[#This Row],[Time to Fill]]*100</f>
        <v>21.428571428571427</v>
      </c>
      <c r="V179">
        <f ca="1">Table1[[#This Row],[Join Date]]-Table1[[#This Row],[Job Posting Date]]</f>
        <v>51</v>
      </c>
      <c r="W179">
        <f t="shared" ca="1" si="27"/>
        <v>116</v>
      </c>
      <c r="X179" s="8">
        <f ca="1">Table1[[#This Row],[Absentee Days]]/Table1[[#This Row],[Total Work Days]]*100</f>
        <v>7.6923076923076925</v>
      </c>
      <c r="Y179">
        <f ca="1">YEAR(Table1[[#This Row],[Join Date]])</f>
        <v>2021</v>
      </c>
      <c r="Z179">
        <f ca="1">IF(Table1[[#This Row],[Status]]="Active",1,0)</f>
        <v>1</v>
      </c>
      <c r="AA179">
        <f ca="1">IF(Table1[[#This Row],[Status]]="Exited",Table1[[#This Row],[Recruitment Cost]]+Table1[[#This Row],[Onboarding cost]]+Table1[[#This Row],[Training Cost]],0)</f>
        <v>0</v>
      </c>
    </row>
    <row r="180" spans="1:27">
      <c r="A180" t="str">
        <f t="shared" si="23"/>
        <v>E179</v>
      </c>
      <c r="B180" t="str" cm="1">
        <f t="array" aca="1" ref="B180" ca="1">INDEX(sheet2!$A$2:$A$6, RANDBETWEEN(1, 5))</f>
        <v>Finance</v>
      </c>
      <c r="C180" t="str">
        <f ca="1">_xlfn.XLOOKUP(Table1[[#This Row],[Department]],sheet2!$A$2:$A$6,sheet2!$B$2:$B$6,_xleta.NA,0)</f>
        <v>Finance Manager</v>
      </c>
      <c r="D180" s="1">
        <f t="shared" ca="1" si="28"/>
        <v>43892</v>
      </c>
      <c r="E180" s="1">
        <f ca="1">Table1[[#This Row],[Job Posting Date]]+ RANDBETWEEN(15, 90)</f>
        <v>43947</v>
      </c>
      <c r="F180" s="1">
        <f ca="1">Table1[[#This Row],[Hire Date]]+ RANDBETWEEN(1, 15)</f>
        <v>43962</v>
      </c>
      <c r="G180" s="1">
        <f ca="1">IF(RAND() &lt; 0.5,  Table1[[#This Row],[Join Date]]+ RANDBETWEEN(30, TODAY()- Table1[[#This Row],[Join Date]]), "-")</f>
        <v>44791</v>
      </c>
      <c r="H180" t="str">
        <f ca="1">IF(Table1[[#This Row],[Exit Date]]= "-", "Active", "Exited")</f>
        <v>Exited</v>
      </c>
      <c r="I180" s="5">
        <f t="shared" ca="1" si="29"/>
        <v>3328</v>
      </c>
      <c r="J180" t="str" cm="1">
        <f t="array" aca="1" ref="J180" ca="1">INDEX(sheet2!$C$2:$C$6, RANDBETWEEN(1, 5))</f>
        <v>Ethics and Responsibilities</v>
      </c>
      <c r="K180" t="str">
        <f t="shared" ca="1" si="30"/>
        <v>Not Completed</v>
      </c>
      <c r="L180">
        <v>260</v>
      </c>
      <c r="M180">
        <f t="shared" ca="1" si="24"/>
        <v>12</v>
      </c>
      <c r="N180" t="str">
        <f t="shared" ca="1" si="25"/>
        <v>Male</v>
      </c>
      <c r="O180" s="6">
        <f t="shared" ca="1" si="26"/>
        <v>1408</v>
      </c>
      <c r="P180">
        <f ca="1">Table1[[#This Row],[Hire Date]]-Table1[[#This Row],[Job Posting Date]]</f>
        <v>55</v>
      </c>
      <c r="Q180" s="7">
        <f ca="1">Table1[[#This Row],[Join Date]]-Table1[[#This Row],[Hire Date]]</f>
        <v>15</v>
      </c>
      <c r="R180" s="8">
        <f ca="1">(IF(Table1[[#This Row],[Status]]="Exited",Table1[[#This Row],[Exit Date]]-Table1[[#This Row],[Join Date]],TODAY()-Table1[[#This Row],[Join Date]]))/30</f>
        <v>27.633333333333333</v>
      </c>
      <c r="S180">
        <f ca="1">Table1[[#This Row],[Hire Date]]-Table1[[#This Row],[Job Posting Date]]</f>
        <v>55</v>
      </c>
      <c r="T180" s="7">
        <f ca="1">Table1[[#This Row],[Time to onboard]]/Table1[[#This Row],[Time to Fill]]*100</f>
        <v>27.27272727272727</v>
      </c>
      <c r="U180" s="8">
        <f ca="1">Table1[[#This Row],[Time to onboard]]/Table1[[#This Row],[Time to Fill]]*100</f>
        <v>27.27272727272727</v>
      </c>
      <c r="V180">
        <f ca="1">Table1[[#This Row],[Join Date]]-Table1[[#This Row],[Job Posting Date]]</f>
        <v>70</v>
      </c>
      <c r="W180">
        <f t="shared" ca="1" si="27"/>
        <v>135</v>
      </c>
      <c r="X180" s="8">
        <f ca="1">Table1[[#This Row],[Absentee Days]]/Table1[[#This Row],[Total Work Days]]*100</f>
        <v>4.6153846153846159</v>
      </c>
      <c r="Y180">
        <f ca="1">YEAR(Table1[[#This Row],[Join Date]])</f>
        <v>2020</v>
      </c>
      <c r="Z180">
        <f ca="1">IF(Table1[[#This Row],[Status]]="Active",1,0)</f>
        <v>0</v>
      </c>
      <c r="AA180">
        <f ca="1">IF(Table1[[#This Row],[Status]]="Exited",Table1[[#This Row],[Recruitment Cost]]+Table1[[#This Row],[Onboarding cost]]+Table1[[#This Row],[Training Cost]],0)</f>
        <v>4871</v>
      </c>
    </row>
    <row r="181" spans="1:27">
      <c r="A181" t="str">
        <f t="shared" si="23"/>
        <v>E180</v>
      </c>
      <c r="B181" t="str" cm="1">
        <f t="array" aca="1" ref="B181" ca="1">INDEX(sheet2!$A$2:$A$6, RANDBETWEEN(1, 5))</f>
        <v>Analytics</v>
      </c>
      <c r="C181" t="str">
        <f ca="1">_xlfn.XLOOKUP(Table1[[#This Row],[Department]],sheet2!$A$2:$A$6,sheet2!$B$2:$B$6,_xleta.NA,0)</f>
        <v>Data Analyst</v>
      </c>
      <c r="D181" s="1">
        <f t="shared" ca="1" si="28"/>
        <v>43377</v>
      </c>
      <c r="E181" s="1">
        <f ca="1">Table1[[#This Row],[Job Posting Date]]+ RANDBETWEEN(15, 90)</f>
        <v>43406</v>
      </c>
      <c r="F181" s="1">
        <f ca="1">Table1[[#This Row],[Hire Date]]+ RANDBETWEEN(1, 15)</f>
        <v>43414</v>
      </c>
      <c r="G181" s="1">
        <f ca="1">IF(RAND() &lt; 0.5,  Table1[[#This Row],[Join Date]]+ RANDBETWEEN(30, TODAY()- Table1[[#This Row],[Join Date]]), "-")</f>
        <v>45187</v>
      </c>
      <c r="H181" t="str">
        <f ca="1">IF(Table1[[#This Row],[Exit Date]]= "-", "Active", "Exited")</f>
        <v>Exited</v>
      </c>
      <c r="I181" s="5">
        <f t="shared" ca="1" si="29"/>
        <v>4762</v>
      </c>
      <c r="J181" t="str" cm="1">
        <f t="array" aca="1" ref="J181" ca="1">INDEX(sheet2!$C$2:$C$6, RANDBETWEEN(1, 5))</f>
        <v>Communication Skills</v>
      </c>
      <c r="K181" t="str">
        <f t="shared" ca="1" si="30"/>
        <v>Completed</v>
      </c>
      <c r="L181">
        <v>260</v>
      </c>
      <c r="M181">
        <f t="shared" ca="1" si="24"/>
        <v>10</v>
      </c>
      <c r="N181" t="str">
        <f t="shared" ca="1" si="25"/>
        <v>Other</v>
      </c>
      <c r="O181" s="6">
        <f t="shared" ca="1" si="26"/>
        <v>2321</v>
      </c>
      <c r="P181">
        <f ca="1">Table1[[#This Row],[Hire Date]]-Table1[[#This Row],[Job Posting Date]]</f>
        <v>29</v>
      </c>
      <c r="Q181" s="7">
        <f ca="1">Table1[[#This Row],[Join Date]]-Table1[[#This Row],[Hire Date]]</f>
        <v>8</v>
      </c>
      <c r="R181" s="8">
        <f ca="1">(IF(Table1[[#This Row],[Status]]="Exited",Table1[[#This Row],[Exit Date]]-Table1[[#This Row],[Join Date]],TODAY()-Table1[[#This Row],[Join Date]]))/30</f>
        <v>59.1</v>
      </c>
      <c r="S181">
        <f ca="1">Table1[[#This Row],[Hire Date]]-Table1[[#This Row],[Job Posting Date]]</f>
        <v>29</v>
      </c>
      <c r="T181" s="7">
        <f ca="1">Table1[[#This Row],[Time to onboard]]/Table1[[#This Row],[Time to Fill]]*100</f>
        <v>27.586206896551722</v>
      </c>
      <c r="U181" s="8">
        <f ca="1">Table1[[#This Row],[Time to onboard]]/Table1[[#This Row],[Time to Fill]]*100</f>
        <v>27.586206896551722</v>
      </c>
      <c r="V181">
        <f ca="1">Table1[[#This Row],[Join Date]]-Table1[[#This Row],[Job Posting Date]]</f>
        <v>37</v>
      </c>
      <c r="W181">
        <f t="shared" ca="1" si="27"/>
        <v>181</v>
      </c>
      <c r="X181" s="8">
        <f ca="1">Table1[[#This Row],[Absentee Days]]/Table1[[#This Row],[Total Work Days]]*100</f>
        <v>3.8461538461538463</v>
      </c>
      <c r="Y181">
        <f ca="1">YEAR(Table1[[#This Row],[Join Date]])</f>
        <v>2018</v>
      </c>
      <c r="Z181">
        <f ca="1">IF(Table1[[#This Row],[Status]]="Active",1,0)</f>
        <v>0</v>
      </c>
      <c r="AA181">
        <f ca="1">IF(Table1[[#This Row],[Status]]="Exited",Table1[[#This Row],[Recruitment Cost]]+Table1[[#This Row],[Onboarding cost]]+Table1[[#This Row],[Training Cost]],0)</f>
        <v>7264</v>
      </c>
    </row>
    <row r="182" spans="1:27">
      <c r="A182" t="str">
        <f t="shared" si="23"/>
        <v>E181</v>
      </c>
      <c r="B182" t="str" cm="1">
        <f t="array" aca="1" ref="B182" ca="1">INDEX(sheet2!$A$2:$A$6, RANDBETWEEN(1, 5))</f>
        <v>HR</v>
      </c>
      <c r="C182" t="str">
        <f ca="1">_xlfn.XLOOKUP(Table1[[#This Row],[Department]],sheet2!$A$2:$A$6,sheet2!$B$2:$B$6,_xleta.NA,0)</f>
        <v>HR Manager</v>
      </c>
      <c r="D182" s="1">
        <f t="shared" ca="1" si="28"/>
        <v>43397</v>
      </c>
      <c r="E182" s="1">
        <f ca="1">Table1[[#This Row],[Job Posting Date]]+ RANDBETWEEN(15, 90)</f>
        <v>43437</v>
      </c>
      <c r="F182" s="1">
        <f ca="1">Table1[[#This Row],[Hire Date]]+ RANDBETWEEN(1, 15)</f>
        <v>43448</v>
      </c>
      <c r="G182" s="1" t="str">
        <f ca="1">IF(RAND() &lt; 0.5,  Table1[[#This Row],[Join Date]]+ RANDBETWEEN(30, TODAY()- Table1[[#This Row],[Join Date]]), "-")</f>
        <v>-</v>
      </c>
      <c r="H182" t="str">
        <f ca="1">IF(Table1[[#This Row],[Exit Date]]= "-", "Active", "Exited")</f>
        <v>Active</v>
      </c>
      <c r="I182" s="5">
        <f t="shared" ca="1" si="29"/>
        <v>1922</v>
      </c>
      <c r="J182" t="str" cm="1">
        <f t="array" aca="1" ref="J182" ca="1">INDEX(sheet2!$C$2:$C$6, RANDBETWEEN(1, 5))</f>
        <v>Advanced Excel Skills </v>
      </c>
      <c r="K182" t="str">
        <f t="shared" ca="1" si="30"/>
        <v>Not Completed</v>
      </c>
      <c r="L182">
        <v>260</v>
      </c>
      <c r="M182">
        <f t="shared" ca="1" si="24"/>
        <v>11</v>
      </c>
      <c r="N182" t="str">
        <f t="shared" ca="1" si="25"/>
        <v>Other</v>
      </c>
      <c r="O182" s="6">
        <f t="shared" ca="1" si="26"/>
        <v>1231</v>
      </c>
      <c r="P182">
        <f ca="1">Table1[[#This Row],[Hire Date]]-Table1[[#This Row],[Job Posting Date]]</f>
        <v>40</v>
      </c>
      <c r="Q182" s="7">
        <f ca="1">Table1[[#This Row],[Join Date]]-Table1[[#This Row],[Hire Date]]</f>
        <v>11</v>
      </c>
      <c r="R182" s="8">
        <f ca="1">(IF(Table1[[#This Row],[Status]]="Exited",Table1[[#This Row],[Exit Date]]-Table1[[#This Row],[Join Date]],TODAY()-Table1[[#This Row],[Join Date]]))/30</f>
        <v>73.833333333333329</v>
      </c>
      <c r="S182">
        <f ca="1">Table1[[#This Row],[Hire Date]]-Table1[[#This Row],[Job Posting Date]]</f>
        <v>40</v>
      </c>
      <c r="T182" s="7">
        <f ca="1">Table1[[#This Row],[Time to onboard]]/Table1[[#This Row],[Time to Fill]]*100</f>
        <v>27.500000000000004</v>
      </c>
      <c r="U182" s="8">
        <f ca="1">Table1[[#This Row],[Time to onboard]]/Table1[[#This Row],[Time to Fill]]*100</f>
        <v>27.500000000000004</v>
      </c>
      <c r="V182">
        <f ca="1">Table1[[#This Row],[Join Date]]-Table1[[#This Row],[Job Posting Date]]</f>
        <v>51</v>
      </c>
      <c r="W182">
        <f t="shared" ca="1" si="27"/>
        <v>121</v>
      </c>
      <c r="X182" s="8">
        <f ca="1">Table1[[#This Row],[Absentee Days]]/Table1[[#This Row],[Total Work Days]]*100</f>
        <v>4.2307692307692308</v>
      </c>
      <c r="Y182">
        <f ca="1">YEAR(Table1[[#This Row],[Join Date]])</f>
        <v>2018</v>
      </c>
      <c r="Z182">
        <f ca="1">IF(Table1[[#This Row],[Status]]="Active",1,0)</f>
        <v>1</v>
      </c>
      <c r="AA182">
        <f ca="1">IF(Table1[[#This Row],[Status]]="Exited",Table1[[#This Row],[Recruitment Cost]]+Table1[[#This Row],[Onboarding cost]]+Table1[[#This Row],[Training Cost]],0)</f>
        <v>0</v>
      </c>
    </row>
    <row r="183" spans="1:27">
      <c r="A183" t="str">
        <f t="shared" si="23"/>
        <v>E182</v>
      </c>
      <c r="B183" t="str" cm="1">
        <f t="array" aca="1" ref="B183" ca="1">INDEX(sheet2!$A$2:$A$6, RANDBETWEEN(1, 5))</f>
        <v>IT</v>
      </c>
      <c r="C183" t="str">
        <f ca="1">_xlfn.XLOOKUP(Table1[[#This Row],[Department]],sheet2!$A$2:$A$6,sheet2!$B$2:$B$6,_xleta.NA,0)</f>
        <v>Software Engineer</v>
      </c>
      <c r="D183" s="1">
        <f t="shared" ca="1" si="28"/>
        <v>44787</v>
      </c>
      <c r="E183" s="1">
        <f ca="1">Table1[[#This Row],[Job Posting Date]]+ RANDBETWEEN(15, 90)</f>
        <v>44875</v>
      </c>
      <c r="F183" s="1">
        <f ca="1">Table1[[#This Row],[Hire Date]]+ RANDBETWEEN(1, 15)</f>
        <v>44878</v>
      </c>
      <c r="G183" s="1">
        <f ca="1">IF(RAND() &lt; 0.5,  Table1[[#This Row],[Join Date]]+ RANDBETWEEN(30, TODAY()- Table1[[#This Row],[Join Date]]), "-")</f>
        <v>45283</v>
      </c>
      <c r="H183" t="str">
        <f ca="1">IF(Table1[[#This Row],[Exit Date]]= "-", "Active", "Exited")</f>
        <v>Exited</v>
      </c>
      <c r="I183" s="5">
        <f t="shared" ca="1" si="29"/>
        <v>4260</v>
      </c>
      <c r="J183" t="str" cm="1">
        <f t="array" aca="1" ref="J183" ca="1">INDEX(sheet2!$C$2:$C$6, RANDBETWEEN(1, 5))</f>
        <v>Communication Skills</v>
      </c>
      <c r="K183" t="str">
        <f t="shared" ca="1" si="30"/>
        <v>Not Completed</v>
      </c>
      <c r="L183">
        <v>260</v>
      </c>
      <c r="M183">
        <f t="shared" ca="1" si="24"/>
        <v>0</v>
      </c>
      <c r="N183" t="str">
        <f t="shared" ca="1" si="25"/>
        <v>Other</v>
      </c>
      <c r="O183" s="6">
        <f t="shared" ca="1" si="26"/>
        <v>1882</v>
      </c>
      <c r="P183">
        <f ca="1">Table1[[#This Row],[Hire Date]]-Table1[[#This Row],[Job Posting Date]]</f>
        <v>88</v>
      </c>
      <c r="Q183" s="7">
        <f ca="1">Table1[[#This Row],[Join Date]]-Table1[[#This Row],[Hire Date]]</f>
        <v>3</v>
      </c>
      <c r="R183" s="8">
        <f ca="1">(IF(Table1[[#This Row],[Status]]="Exited",Table1[[#This Row],[Exit Date]]-Table1[[#This Row],[Join Date]],TODAY()-Table1[[#This Row],[Join Date]]))/30</f>
        <v>13.5</v>
      </c>
      <c r="S183">
        <f ca="1">Table1[[#This Row],[Hire Date]]-Table1[[#This Row],[Job Posting Date]]</f>
        <v>88</v>
      </c>
      <c r="T183" s="7">
        <f ca="1">Table1[[#This Row],[Time to onboard]]/Table1[[#This Row],[Time to Fill]]*100</f>
        <v>3.4090909090909087</v>
      </c>
      <c r="U183" s="8">
        <f ca="1">Table1[[#This Row],[Time to onboard]]/Table1[[#This Row],[Time to Fill]]*100</f>
        <v>3.4090909090909087</v>
      </c>
      <c r="V183">
        <f ca="1">Table1[[#This Row],[Join Date]]-Table1[[#This Row],[Job Posting Date]]</f>
        <v>91</v>
      </c>
      <c r="W183">
        <f t="shared" ca="1" si="27"/>
        <v>174</v>
      </c>
      <c r="X183" s="8">
        <f ca="1">Table1[[#This Row],[Absentee Days]]/Table1[[#This Row],[Total Work Days]]*100</f>
        <v>0</v>
      </c>
      <c r="Y183">
        <f ca="1">YEAR(Table1[[#This Row],[Join Date]])</f>
        <v>2022</v>
      </c>
      <c r="Z183">
        <f ca="1">IF(Table1[[#This Row],[Status]]="Active",1,0)</f>
        <v>0</v>
      </c>
      <c r="AA183">
        <f ca="1">IF(Table1[[#This Row],[Status]]="Exited",Table1[[#This Row],[Recruitment Cost]]+Table1[[#This Row],[Onboarding cost]]+Table1[[#This Row],[Training Cost]],0)</f>
        <v>6316</v>
      </c>
    </row>
    <row r="184" spans="1:27">
      <c r="A184" t="str">
        <f t="shared" si="23"/>
        <v>E183</v>
      </c>
      <c r="B184" t="str" cm="1">
        <f t="array" aca="1" ref="B184" ca="1">INDEX(sheet2!$A$2:$A$6, RANDBETWEEN(1, 5))</f>
        <v>IT</v>
      </c>
      <c r="C184" t="str">
        <f ca="1">_xlfn.XLOOKUP(Table1[[#This Row],[Department]],sheet2!$A$2:$A$6,sheet2!$B$2:$B$6,_xleta.NA,0)</f>
        <v>Software Engineer</v>
      </c>
      <c r="D184" s="1">
        <f t="shared" ca="1" si="28"/>
        <v>44412</v>
      </c>
      <c r="E184" s="1">
        <f ca="1">Table1[[#This Row],[Job Posting Date]]+ RANDBETWEEN(15, 90)</f>
        <v>44502</v>
      </c>
      <c r="F184" s="1">
        <f ca="1">Table1[[#This Row],[Hire Date]]+ RANDBETWEEN(1, 15)</f>
        <v>44504</v>
      </c>
      <c r="G184" s="1">
        <f ca="1">IF(RAND() &lt; 0.5,  Table1[[#This Row],[Join Date]]+ RANDBETWEEN(30, TODAY()- Table1[[#This Row],[Join Date]]), "-")</f>
        <v>44807</v>
      </c>
      <c r="H184" t="str">
        <f ca="1">IF(Table1[[#This Row],[Exit Date]]= "-", "Active", "Exited")</f>
        <v>Exited</v>
      </c>
      <c r="I184" s="5">
        <f t="shared" ca="1" si="29"/>
        <v>4966</v>
      </c>
      <c r="J184" t="str" cm="1">
        <f t="array" aca="1" ref="J184" ca="1">INDEX(sheet2!$C$2:$C$6, RANDBETWEEN(1, 5))</f>
        <v>Leadership Development</v>
      </c>
      <c r="K184" t="str">
        <f t="shared" ca="1" si="30"/>
        <v>Completed</v>
      </c>
      <c r="L184">
        <v>260</v>
      </c>
      <c r="M184">
        <f t="shared" ca="1" si="24"/>
        <v>6</v>
      </c>
      <c r="N184" t="str">
        <f t="shared" ca="1" si="25"/>
        <v>Male</v>
      </c>
      <c r="O184" s="6">
        <f t="shared" ca="1" si="26"/>
        <v>2035</v>
      </c>
      <c r="P184">
        <f ca="1">Table1[[#This Row],[Hire Date]]-Table1[[#This Row],[Job Posting Date]]</f>
        <v>90</v>
      </c>
      <c r="Q184" s="7">
        <f ca="1">Table1[[#This Row],[Join Date]]-Table1[[#This Row],[Hire Date]]</f>
        <v>2</v>
      </c>
      <c r="R184" s="8">
        <f ca="1">(IF(Table1[[#This Row],[Status]]="Exited",Table1[[#This Row],[Exit Date]]-Table1[[#This Row],[Join Date]],TODAY()-Table1[[#This Row],[Join Date]]))/30</f>
        <v>10.1</v>
      </c>
      <c r="S184">
        <f ca="1">Table1[[#This Row],[Hire Date]]-Table1[[#This Row],[Job Posting Date]]</f>
        <v>90</v>
      </c>
      <c r="T184" s="7">
        <f ca="1">Table1[[#This Row],[Time to onboard]]/Table1[[#This Row],[Time to Fill]]*100</f>
        <v>2.2222222222222223</v>
      </c>
      <c r="U184" s="8">
        <f ca="1">Table1[[#This Row],[Time to onboard]]/Table1[[#This Row],[Time to Fill]]*100</f>
        <v>2.2222222222222223</v>
      </c>
      <c r="V184">
        <f ca="1">Table1[[#This Row],[Join Date]]-Table1[[#This Row],[Job Posting Date]]</f>
        <v>92</v>
      </c>
      <c r="W184">
        <f t="shared" ca="1" si="27"/>
        <v>197</v>
      </c>
      <c r="X184" s="8">
        <f ca="1">Table1[[#This Row],[Absentee Days]]/Table1[[#This Row],[Total Work Days]]*100</f>
        <v>2.3076923076923079</v>
      </c>
      <c r="Y184">
        <f ca="1">YEAR(Table1[[#This Row],[Join Date]])</f>
        <v>2021</v>
      </c>
      <c r="Z184">
        <f ca="1">IF(Table1[[#This Row],[Status]]="Active",1,0)</f>
        <v>0</v>
      </c>
      <c r="AA184">
        <f ca="1">IF(Table1[[#This Row],[Status]]="Exited",Table1[[#This Row],[Recruitment Cost]]+Table1[[#This Row],[Onboarding cost]]+Table1[[#This Row],[Training Cost]],0)</f>
        <v>7198</v>
      </c>
    </row>
    <row r="185" spans="1:27">
      <c r="A185" t="str">
        <f t="shared" si="23"/>
        <v>E184</v>
      </c>
      <c r="B185" t="str" cm="1">
        <f t="array" aca="1" ref="B185" ca="1">INDEX(sheet2!$A$2:$A$6, RANDBETWEEN(1, 5))</f>
        <v>HR</v>
      </c>
      <c r="C185" t="str">
        <f ca="1">_xlfn.XLOOKUP(Table1[[#This Row],[Department]],sheet2!$A$2:$A$6,sheet2!$B$2:$B$6,_xleta.NA,0)</f>
        <v>HR Manager</v>
      </c>
      <c r="D185" s="1">
        <f t="shared" ca="1" si="28"/>
        <v>43668</v>
      </c>
      <c r="E185" s="1">
        <f ca="1">Table1[[#This Row],[Job Posting Date]]+ RANDBETWEEN(15, 90)</f>
        <v>43694</v>
      </c>
      <c r="F185" s="1">
        <f ca="1">Table1[[#This Row],[Hire Date]]+ RANDBETWEEN(1, 15)</f>
        <v>43701</v>
      </c>
      <c r="G185" s="1" t="str">
        <f ca="1">IF(RAND() &lt; 0.5,  Table1[[#This Row],[Join Date]]+ RANDBETWEEN(30, TODAY()- Table1[[#This Row],[Join Date]]), "-")</f>
        <v>-</v>
      </c>
      <c r="H185" t="str">
        <f ca="1">IF(Table1[[#This Row],[Exit Date]]= "-", "Active", "Exited")</f>
        <v>Active</v>
      </c>
      <c r="I185" s="5">
        <f t="shared" ca="1" si="29"/>
        <v>1734</v>
      </c>
      <c r="J185" t="str" cm="1">
        <f t="array" aca="1" ref="J185" ca="1">INDEX(sheet2!$C$2:$C$6, RANDBETWEEN(1, 5))</f>
        <v>Leadership Development</v>
      </c>
      <c r="K185" t="str">
        <f t="shared" ca="1" si="30"/>
        <v>Completed</v>
      </c>
      <c r="L185">
        <v>260</v>
      </c>
      <c r="M185">
        <f t="shared" ca="1" si="24"/>
        <v>5</v>
      </c>
      <c r="N185" t="str">
        <f t="shared" ca="1" si="25"/>
        <v>Male</v>
      </c>
      <c r="O185" s="6">
        <f t="shared" ca="1" si="26"/>
        <v>2329</v>
      </c>
      <c r="P185">
        <f ca="1">Table1[[#This Row],[Hire Date]]-Table1[[#This Row],[Job Posting Date]]</f>
        <v>26</v>
      </c>
      <c r="Q185" s="7">
        <f ca="1">Table1[[#This Row],[Join Date]]-Table1[[#This Row],[Hire Date]]</f>
        <v>7</v>
      </c>
      <c r="R185" s="8">
        <f ca="1">(IF(Table1[[#This Row],[Status]]="Exited",Table1[[#This Row],[Exit Date]]-Table1[[#This Row],[Join Date]],TODAY()-Table1[[#This Row],[Join Date]]))/30</f>
        <v>65.400000000000006</v>
      </c>
      <c r="S185">
        <f ca="1">Table1[[#This Row],[Hire Date]]-Table1[[#This Row],[Job Posting Date]]</f>
        <v>26</v>
      </c>
      <c r="T185" s="7">
        <f ca="1">Table1[[#This Row],[Time to onboard]]/Table1[[#This Row],[Time to Fill]]*100</f>
        <v>26.923076923076923</v>
      </c>
      <c r="U185" s="8">
        <f ca="1">Table1[[#This Row],[Time to onboard]]/Table1[[#This Row],[Time to Fill]]*100</f>
        <v>26.923076923076923</v>
      </c>
      <c r="V185">
        <f ca="1">Table1[[#This Row],[Join Date]]-Table1[[#This Row],[Job Posting Date]]</f>
        <v>33</v>
      </c>
      <c r="W185">
        <f t="shared" ca="1" si="27"/>
        <v>103</v>
      </c>
      <c r="X185" s="8">
        <f ca="1">Table1[[#This Row],[Absentee Days]]/Table1[[#This Row],[Total Work Days]]*100</f>
        <v>1.9230769230769231</v>
      </c>
      <c r="Y185">
        <f ca="1">YEAR(Table1[[#This Row],[Join Date]])</f>
        <v>2019</v>
      </c>
      <c r="Z185">
        <f ca="1">IF(Table1[[#This Row],[Status]]="Active",1,0)</f>
        <v>1</v>
      </c>
      <c r="AA185">
        <f ca="1">IF(Table1[[#This Row],[Status]]="Exited",Table1[[#This Row],[Recruitment Cost]]+Table1[[#This Row],[Onboarding cost]]+Table1[[#This Row],[Training Cost]],0)</f>
        <v>0</v>
      </c>
    </row>
    <row r="186" spans="1:27">
      <c r="A186" t="str">
        <f t="shared" si="23"/>
        <v>E185</v>
      </c>
      <c r="B186" t="str" cm="1">
        <f t="array" aca="1" ref="B186" ca="1">INDEX(sheet2!$A$2:$A$6, RANDBETWEEN(1, 5))</f>
        <v>IT</v>
      </c>
      <c r="C186" t="str">
        <f ca="1">_xlfn.XLOOKUP(Table1[[#This Row],[Department]],sheet2!$A$2:$A$6,sheet2!$B$2:$B$6,_xleta.NA,0)</f>
        <v>Software Engineer</v>
      </c>
      <c r="D186" s="1">
        <f t="shared" ca="1" si="28"/>
        <v>44685</v>
      </c>
      <c r="E186" s="1">
        <f ca="1">Table1[[#This Row],[Job Posting Date]]+ RANDBETWEEN(15, 90)</f>
        <v>44753</v>
      </c>
      <c r="F186" s="1">
        <f ca="1">Table1[[#This Row],[Hire Date]]+ RANDBETWEEN(1, 15)</f>
        <v>44768</v>
      </c>
      <c r="G186" s="1" t="str">
        <f ca="1">IF(RAND() &lt; 0.5,  Table1[[#This Row],[Join Date]]+ RANDBETWEEN(30, TODAY()- Table1[[#This Row],[Join Date]]), "-")</f>
        <v>-</v>
      </c>
      <c r="H186" t="str">
        <f ca="1">IF(Table1[[#This Row],[Exit Date]]= "-", "Active", "Exited")</f>
        <v>Active</v>
      </c>
      <c r="I186" s="5">
        <f t="shared" ca="1" si="29"/>
        <v>1560</v>
      </c>
      <c r="J186" t="str" cm="1">
        <f t="array" aca="1" ref="J186" ca="1">INDEX(sheet2!$C$2:$C$6, RANDBETWEEN(1, 5))</f>
        <v>Advanced Excel Skills </v>
      </c>
      <c r="K186" t="str">
        <f t="shared" ca="1" si="30"/>
        <v>Not Completed</v>
      </c>
      <c r="L186">
        <v>260</v>
      </c>
      <c r="M186">
        <f t="shared" ca="1" si="24"/>
        <v>8</v>
      </c>
      <c r="N186" t="str">
        <f t="shared" ca="1" si="25"/>
        <v>Female</v>
      </c>
      <c r="O186" s="6">
        <f t="shared" ca="1" si="26"/>
        <v>1644</v>
      </c>
      <c r="P186">
        <f ca="1">Table1[[#This Row],[Hire Date]]-Table1[[#This Row],[Job Posting Date]]</f>
        <v>68</v>
      </c>
      <c r="Q186" s="7">
        <f ca="1">Table1[[#This Row],[Join Date]]-Table1[[#This Row],[Hire Date]]</f>
        <v>15</v>
      </c>
      <c r="R186" s="8">
        <f ca="1">(IF(Table1[[#This Row],[Status]]="Exited",Table1[[#This Row],[Exit Date]]-Table1[[#This Row],[Join Date]],TODAY()-Table1[[#This Row],[Join Date]]))/30</f>
        <v>29.833333333333332</v>
      </c>
      <c r="S186">
        <f ca="1">Table1[[#This Row],[Hire Date]]-Table1[[#This Row],[Job Posting Date]]</f>
        <v>68</v>
      </c>
      <c r="T186" s="7">
        <f ca="1">Table1[[#This Row],[Time to onboard]]/Table1[[#This Row],[Time to Fill]]*100</f>
        <v>22.058823529411764</v>
      </c>
      <c r="U186" s="8">
        <f ca="1">Table1[[#This Row],[Time to onboard]]/Table1[[#This Row],[Time to Fill]]*100</f>
        <v>22.058823529411764</v>
      </c>
      <c r="V186">
        <f ca="1">Table1[[#This Row],[Join Date]]-Table1[[#This Row],[Job Posting Date]]</f>
        <v>83</v>
      </c>
      <c r="W186">
        <f t="shared" ca="1" si="27"/>
        <v>173</v>
      </c>
      <c r="X186" s="8">
        <f ca="1">Table1[[#This Row],[Absentee Days]]/Table1[[#This Row],[Total Work Days]]*100</f>
        <v>3.0769230769230771</v>
      </c>
      <c r="Y186">
        <f ca="1">YEAR(Table1[[#This Row],[Join Date]])</f>
        <v>2022</v>
      </c>
      <c r="Z186">
        <f ca="1">IF(Table1[[#This Row],[Status]]="Active",1,0)</f>
        <v>1</v>
      </c>
      <c r="AA186">
        <f ca="1">IF(Table1[[#This Row],[Status]]="Exited",Table1[[#This Row],[Recruitment Cost]]+Table1[[#This Row],[Onboarding cost]]+Table1[[#This Row],[Training Cost]],0)</f>
        <v>0</v>
      </c>
    </row>
    <row r="187" spans="1:27">
      <c r="A187" t="str">
        <f t="shared" si="23"/>
        <v>E186</v>
      </c>
      <c r="B187" t="str" cm="1">
        <f t="array" aca="1" ref="B187" ca="1">INDEX(sheet2!$A$2:$A$6, RANDBETWEEN(1, 5))</f>
        <v>HR</v>
      </c>
      <c r="C187" t="str">
        <f ca="1">_xlfn.XLOOKUP(Table1[[#This Row],[Department]],sheet2!$A$2:$A$6,sheet2!$B$2:$B$6,_xleta.NA,0)</f>
        <v>HR Manager</v>
      </c>
      <c r="D187" s="1">
        <f t="shared" ca="1" si="28"/>
        <v>43741</v>
      </c>
      <c r="E187" s="1">
        <f ca="1">Table1[[#This Row],[Job Posting Date]]+ RANDBETWEEN(15, 90)</f>
        <v>43829</v>
      </c>
      <c r="F187" s="1">
        <f ca="1">Table1[[#This Row],[Hire Date]]+ RANDBETWEEN(1, 15)</f>
        <v>43843</v>
      </c>
      <c r="G187" s="1">
        <f ca="1">IF(RAND() &lt; 0.5,  Table1[[#This Row],[Join Date]]+ RANDBETWEEN(30, TODAY()- Table1[[#This Row],[Join Date]]), "-")</f>
        <v>43957</v>
      </c>
      <c r="H187" t="str">
        <f ca="1">IF(Table1[[#This Row],[Exit Date]]= "-", "Active", "Exited")</f>
        <v>Exited</v>
      </c>
      <c r="I187" s="5">
        <f t="shared" ca="1" si="29"/>
        <v>2288</v>
      </c>
      <c r="J187" t="str" cm="1">
        <f t="array" aca="1" ref="J187" ca="1">INDEX(sheet2!$C$2:$C$6, RANDBETWEEN(1, 5))</f>
        <v>Communication Skills</v>
      </c>
      <c r="K187" t="str">
        <f t="shared" ca="1" si="30"/>
        <v>Completed</v>
      </c>
      <c r="L187">
        <v>260</v>
      </c>
      <c r="M187">
        <f t="shared" ca="1" si="24"/>
        <v>3</v>
      </c>
      <c r="N187" t="str">
        <f t="shared" ca="1" si="25"/>
        <v>Male</v>
      </c>
      <c r="O187" s="6">
        <f t="shared" ca="1" si="26"/>
        <v>1917</v>
      </c>
      <c r="P187">
        <f ca="1">Table1[[#This Row],[Hire Date]]-Table1[[#This Row],[Job Posting Date]]</f>
        <v>88</v>
      </c>
      <c r="Q187" s="7">
        <f ca="1">Table1[[#This Row],[Join Date]]-Table1[[#This Row],[Hire Date]]</f>
        <v>14</v>
      </c>
      <c r="R187" s="8">
        <f ca="1">(IF(Table1[[#This Row],[Status]]="Exited",Table1[[#This Row],[Exit Date]]-Table1[[#This Row],[Join Date]],TODAY()-Table1[[#This Row],[Join Date]]))/30</f>
        <v>3.8</v>
      </c>
      <c r="S187">
        <f ca="1">Table1[[#This Row],[Hire Date]]-Table1[[#This Row],[Job Posting Date]]</f>
        <v>88</v>
      </c>
      <c r="T187" s="7">
        <f ca="1">Table1[[#This Row],[Time to onboard]]/Table1[[#This Row],[Time to Fill]]*100</f>
        <v>15.909090909090908</v>
      </c>
      <c r="U187" s="8">
        <f ca="1">Table1[[#This Row],[Time to onboard]]/Table1[[#This Row],[Time to Fill]]*100</f>
        <v>15.909090909090908</v>
      </c>
      <c r="V187">
        <f ca="1">Table1[[#This Row],[Join Date]]-Table1[[#This Row],[Job Posting Date]]</f>
        <v>102</v>
      </c>
      <c r="W187">
        <f t="shared" ca="1" si="27"/>
        <v>119</v>
      </c>
      <c r="X187" s="8">
        <f ca="1">Table1[[#This Row],[Absentee Days]]/Table1[[#This Row],[Total Work Days]]*100</f>
        <v>1.153846153846154</v>
      </c>
      <c r="Y187">
        <f ca="1">YEAR(Table1[[#This Row],[Join Date]])</f>
        <v>2020</v>
      </c>
      <c r="Z187">
        <f ca="1">IF(Table1[[#This Row],[Status]]="Active",1,0)</f>
        <v>0</v>
      </c>
      <c r="AA187">
        <f ca="1">IF(Table1[[#This Row],[Status]]="Exited",Table1[[#This Row],[Recruitment Cost]]+Table1[[#This Row],[Onboarding cost]]+Table1[[#This Row],[Training Cost]],0)</f>
        <v>4324</v>
      </c>
    </row>
    <row r="188" spans="1:27">
      <c r="A188" t="str">
        <f t="shared" si="23"/>
        <v>E187</v>
      </c>
      <c r="B188" t="str" cm="1">
        <f t="array" aca="1" ref="B188" ca="1">INDEX(sheet2!$A$2:$A$6, RANDBETWEEN(1, 5))</f>
        <v>Finance</v>
      </c>
      <c r="C188" t="str">
        <f ca="1">_xlfn.XLOOKUP(Table1[[#This Row],[Department]],sheet2!$A$2:$A$6,sheet2!$B$2:$B$6,_xleta.NA,0)</f>
        <v>Finance Manager</v>
      </c>
      <c r="D188" s="1">
        <f t="shared" ca="1" si="28"/>
        <v>44048</v>
      </c>
      <c r="E188" s="1">
        <f ca="1">Table1[[#This Row],[Job Posting Date]]+ RANDBETWEEN(15, 90)</f>
        <v>44111</v>
      </c>
      <c r="F188" s="1">
        <f ca="1">Table1[[#This Row],[Hire Date]]+ RANDBETWEEN(1, 15)</f>
        <v>44116</v>
      </c>
      <c r="G188" s="1">
        <f ca="1">IF(RAND() &lt; 0.5,  Table1[[#This Row],[Join Date]]+ RANDBETWEEN(30, TODAY()- Table1[[#This Row],[Join Date]]), "-")</f>
        <v>44383</v>
      </c>
      <c r="H188" t="str">
        <f ca="1">IF(Table1[[#This Row],[Exit Date]]= "-", "Active", "Exited")</f>
        <v>Exited</v>
      </c>
      <c r="I188" s="5">
        <f t="shared" ca="1" si="29"/>
        <v>4917</v>
      </c>
      <c r="J188" t="str" cm="1">
        <f t="array" aca="1" ref="J188" ca="1">INDEX(sheet2!$C$2:$C$6, RANDBETWEEN(1, 5))</f>
        <v>Leadership Development</v>
      </c>
      <c r="K188" t="str">
        <f t="shared" ca="1" si="30"/>
        <v>Not Completed</v>
      </c>
      <c r="L188">
        <v>260</v>
      </c>
      <c r="M188">
        <f t="shared" ca="1" si="24"/>
        <v>5</v>
      </c>
      <c r="N188" t="str">
        <f t="shared" ca="1" si="25"/>
        <v>Female</v>
      </c>
      <c r="O188" s="6">
        <f t="shared" ca="1" si="26"/>
        <v>2120</v>
      </c>
      <c r="P188">
        <f ca="1">Table1[[#This Row],[Hire Date]]-Table1[[#This Row],[Job Posting Date]]</f>
        <v>63</v>
      </c>
      <c r="Q188" s="7">
        <f ca="1">Table1[[#This Row],[Join Date]]-Table1[[#This Row],[Hire Date]]</f>
        <v>5</v>
      </c>
      <c r="R188" s="8">
        <f ca="1">(IF(Table1[[#This Row],[Status]]="Exited",Table1[[#This Row],[Exit Date]]-Table1[[#This Row],[Join Date]],TODAY()-Table1[[#This Row],[Join Date]]))/30</f>
        <v>8.9</v>
      </c>
      <c r="S188">
        <f ca="1">Table1[[#This Row],[Hire Date]]-Table1[[#This Row],[Job Posting Date]]</f>
        <v>63</v>
      </c>
      <c r="T188" s="7">
        <f ca="1">Table1[[#This Row],[Time to onboard]]/Table1[[#This Row],[Time to Fill]]*100</f>
        <v>7.9365079365079358</v>
      </c>
      <c r="U188" s="8">
        <f ca="1">Table1[[#This Row],[Time to onboard]]/Table1[[#This Row],[Time to Fill]]*100</f>
        <v>7.9365079365079358</v>
      </c>
      <c r="V188">
        <f ca="1">Table1[[#This Row],[Join Date]]-Table1[[#This Row],[Job Posting Date]]</f>
        <v>68</v>
      </c>
      <c r="W188">
        <f t="shared" ca="1" si="27"/>
        <v>199</v>
      </c>
      <c r="X188" s="8">
        <f ca="1">Table1[[#This Row],[Absentee Days]]/Table1[[#This Row],[Total Work Days]]*100</f>
        <v>1.9230769230769231</v>
      </c>
      <c r="Y188">
        <f ca="1">YEAR(Table1[[#This Row],[Join Date]])</f>
        <v>2020</v>
      </c>
      <c r="Z188">
        <f ca="1">IF(Table1[[#This Row],[Status]]="Active",1,0)</f>
        <v>0</v>
      </c>
      <c r="AA188">
        <f ca="1">IF(Table1[[#This Row],[Status]]="Exited",Table1[[#This Row],[Recruitment Cost]]+Table1[[#This Row],[Onboarding cost]]+Table1[[#This Row],[Training Cost]],0)</f>
        <v>7236</v>
      </c>
    </row>
    <row r="189" spans="1:27">
      <c r="A189" t="str">
        <f t="shared" si="23"/>
        <v>E188</v>
      </c>
      <c r="B189" t="str" cm="1">
        <f t="array" aca="1" ref="B189" ca="1">INDEX(sheet2!$A$2:$A$6, RANDBETWEEN(1, 5))</f>
        <v>Finance</v>
      </c>
      <c r="C189" t="str">
        <f ca="1">_xlfn.XLOOKUP(Table1[[#This Row],[Department]],sheet2!$A$2:$A$6,sheet2!$B$2:$B$6,_xleta.NA,0)</f>
        <v>Finance Manager</v>
      </c>
      <c r="D189" s="1">
        <f t="shared" ca="1" si="28"/>
        <v>43352</v>
      </c>
      <c r="E189" s="1">
        <f ca="1">Table1[[#This Row],[Job Posting Date]]+ RANDBETWEEN(15, 90)</f>
        <v>43389</v>
      </c>
      <c r="F189" s="1">
        <f ca="1">Table1[[#This Row],[Hire Date]]+ RANDBETWEEN(1, 15)</f>
        <v>43393</v>
      </c>
      <c r="G189" s="1">
        <f ca="1">IF(RAND() &lt; 0.5,  Table1[[#This Row],[Join Date]]+ RANDBETWEEN(30, TODAY()- Table1[[#This Row],[Join Date]]), "-")</f>
        <v>45271</v>
      </c>
      <c r="H189" t="str">
        <f ca="1">IF(Table1[[#This Row],[Exit Date]]= "-", "Active", "Exited")</f>
        <v>Exited</v>
      </c>
      <c r="I189" s="5">
        <f t="shared" ca="1" si="29"/>
        <v>4596</v>
      </c>
      <c r="J189" t="str" cm="1">
        <f t="array" aca="1" ref="J189" ca="1">INDEX(sheet2!$C$2:$C$6, RANDBETWEEN(1, 5))</f>
        <v>Communication Skills</v>
      </c>
      <c r="K189" t="str">
        <f t="shared" ca="1" si="30"/>
        <v>Completed</v>
      </c>
      <c r="L189">
        <v>260</v>
      </c>
      <c r="M189">
        <f t="shared" ca="1" si="24"/>
        <v>14</v>
      </c>
      <c r="N189" t="str">
        <f t="shared" ca="1" si="25"/>
        <v>Other</v>
      </c>
      <c r="O189" s="6">
        <f t="shared" ca="1" si="26"/>
        <v>1322</v>
      </c>
      <c r="P189">
        <f ca="1">Table1[[#This Row],[Hire Date]]-Table1[[#This Row],[Job Posting Date]]</f>
        <v>37</v>
      </c>
      <c r="Q189" s="7">
        <f ca="1">Table1[[#This Row],[Join Date]]-Table1[[#This Row],[Hire Date]]</f>
        <v>4</v>
      </c>
      <c r="R189" s="8">
        <f ca="1">(IF(Table1[[#This Row],[Status]]="Exited",Table1[[#This Row],[Exit Date]]-Table1[[#This Row],[Join Date]],TODAY()-Table1[[#This Row],[Join Date]]))/30</f>
        <v>62.6</v>
      </c>
      <c r="S189">
        <f ca="1">Table1[[#This Row],[Hire Date]]-Table1[[#This Row],[Job Posting Date]]</f>
        <v>37</v>
      </c>
      <c r="T189" s="7">
        <f ca="1">Table1[[#This Row],[Time to onboard]]/Table1[[#This Row],[Time to Fill]]*100</f>
        <v>10.810810810810811</v>
      </c>
      <c r="U189" s="8">
        <f ca="1">Table1[[#This Row],[Time to onboard]]/Table1[[#This Row],[Time to Fill]]*100</f>
        <v>10.810810810810811</v>
      </c>
      <c r="V189">
        <f ca="1">Table1[[#This Row],[Join Date]]-Table1[[#This Row],[Job Posting Date]]</f>
        <v>41</v>
      </c>
      <c r="W189">
        <f t="shared" ca="1" si="27"/>
        <v>109</v>
      </c>
      <c r="X189" s="8">
        <f ca="1">Table1[[#This Row],[Absentee Days]]/Table1[[#This Row],[Total Work Days]]*100</f>
        <v>5.384615384615385</v>
      </c>
      <c r="Y189">
        <f ca="1">YEAR(Table1[[#This Row],[Join Date]])</f>
        <v>2018</v>
      </c>
      <c r="Z189">
        <f ca="1">IF(Table1[[#This Row],[Status]]="Active",1,0)</f>
        <v>0</v>
      </c>
      <c r="AA189">
        <f ca="1">IF(Table1[[#This Row],[Status]]="Exited",Table1[[#This Row],[Recruitment Cost]]+Table1[[#This Row],[Onboarding cost]]+Table1[[#This Row],[Training Cost]],0)</f>
        <v>6027</v>
      </c>
    </row>
    <row r="190" spans="1:27">
      <c r="A190" t="str">
        <f t="shared" si="23"/>
        <v>E189</v>
      </c>
      <c r="B190" t="str" cm="1">
        <f t="array" aca="1" ref="B190" ca="1">INDEX(sheet2!$A$2:$A$6, RANDBETWEEN(1, 5))</f>
        <v>IT</v>
      </c>
      <c r="C190" t="str">
        <f ca="1">_xlfn.XLOOKUP(Table1[[#This Row],[Department]],sheet2!$A$2:$A$6,sheet2!$B$2:$B$6,_xleta.NA,0)</f>
        <v>Software Engineer</v>
      </c>
      <c r="D190" s="1">
        <f t="shared" ca="1" si="28"/>
        <v>44050</v>
      </c>
      <c r="E190" s="1">
        <f ca="1">Table1[[#This Row],[Job Posting Date]]+ RANDBETWEEN(15, 90)</f>
        <v>44094</v>
      </c>
      <c r="F190" s="1">
        <f ca="1">Table1[[#This Row],[Hire Date]]+ RANDBETWEEN(1, 15)</f>
        <v>44100</v>
      </c>
      <c r="G190" s="1">
        <f ca="1">IF(RAND() &lt; 0.5,  Table1[[#This Row],[Join Date]]+ RANDBETWEEN(30, TODAY()- Table1[[#This Row],[Join Date]]), "-")</f>
        <v>44203</v>
      </c>
      <c r="H190" t="str">
        <f ca="1">IF(Table1[[#This Row],[Exit Date]]= "-", "Active", "Exited")</f>
        <v>Exited</v>
      </c>
      <c r="I190" s="5">
        <f t="shared" ca="1" si="29"/>
        <v>3300</v>
      </c>
      <c r="J190" t="str" cm="1">
        <f t="array" aca="1" ref="J190" ca="1">INDEX(sheet2!$C$2:$C$6, RANDBETWEEN(1, 5))</f>
        <v>Leadership Development</v>
      </c>
      <c r="K190" t="str">
        <f t="shared" ca="1" si="30"/>
        <v>Completed</v>
      </c>
      <c r="L190">
        <v>260</v>
      </c>
      <c r="M190">
        <f t="shared" ca="1" si="24"/>
        <v>3</v>
      </c>
      <c r="N190" t="str">
        <f t="shared" ca="1" si="25"/>
        <v>Male</v>
      </c>
      <c r="O190" s="6">
        <f t="shared" ca="1" si="26"/>
        <v>2084</v>
      </c>
      <c r="P190">
        <f ca="1">Table1[[#This Row],[Hire Date]]-Table1[[#This Row],[Job Posting Date]]</f>
        <v>44</v>
      </c>
      <c r="Q190" s="7">
        <f ca="1">Table1[[#This Row],[Join Date]]-Table1[[#This Row],[Hire Date]]</f>
        <v>6</v>
      </c>
      <c r="R190" s="8">
        <f ca="1">(IF(Table1[[#This Row],[Status]]="Exited",Table1[[#This Row],[Exit Date]]-Table1[[#This Row],[Join Date]],TODAY()-Table1[[#This Row],[Join Date]]))/30</f>
        <v>3.4333333333333331</v>
      </c>
      <c r="S190">
        <f ca="1">Table1[[#This Row],[Hire Date]]-Table1[[#This Row],[Job Posting Date]]</f>
        <v>44</v>
      </c>
      <c r="T190" s="7">
        <f ca="1">Table1[[#This Row],[Time to onboard]]/Table1[[#This Row],[Time to Fill]]*100</f>
        <v>13.636363636363635</v>
      </c>
      <c r="U190" s="8">
        <f ca="1">Table1[[#This Row],[Time to onboard]]/Table1[[#This Row],[Time to Fill]]*100</f>
        <v>13.636363636363635</v>
      </c>
      <c r="V190">
        <f ca="1">Table1[[#This Row],[Join Date]]-Table1[[#This Row],[Job Posting Date]]</f>
        <v>50</v>
      </c>
      <c r="W190">
        <f t="shared" ca="1" si="27"/>
        <v>138</v>
      </c>
      <c r="X190" s="8">
        <f ca="1">Table1[[#This Row],[Absentee Days]]/Table1[[#This Row],[Total Work Days]]*100</f>
        <v>1.153846153846154</v>
      </c>
      <c r="Y190">
        <f ca="1">YEAR(Table1[[#This Row],[Join Date]])</f>
        <v>2020</v>
      </c>
      <c r="Z190">
        <f ca="1">IF(Table1[[#This Row],[Status]]="Active",1,0)</f>
        <v>0</v>
      </c>
      <c r="AA190">
        <f ca="1">IF(Table1[[#This Row],[Status]]="Exited",Table1[[#This Row],[Recruitment Cost]]+Table1[[#This Row],[Onboarding cost]]+Table1[[#This Row],[Training Cost]],0)</f>
        <v>5522</v>
      </c>
    </row>
    <row r="191" spans="1:27">
      <c r="A191" t="str">
        <f t="shared" si="23"/>
        <v>E190</v>
      </c>
      <c r="B191" t="str" cm="1">
        <f t="array" aca="1" ref="B191" ca="1">INDEX(sheet2!$A$2:$A$6, RANDBETWEEN(1, 5))</f>
        <v>Sales</v>
      </c>
      <c r="C191" t="str">
        <f ca="1">_xlfn.XLOOKUP(Table1[[#This Row],[Department]],sheet2!$A$2:$A$6,sheet2!$B$2:$B$6,_xleta.NA,0)</f>
        <v>Marketing Manager</v>
      </c>
      <c r="D191" s="1">
        <f t="shared" ca="1" si="28"/>
        <v>43320</v>
      </c>
      <c r="E191" s="1">
        <f ca="1">Table1[[#This Row],[Job Posting Date]]+ RANDBETWEEN(15, 90)</f>
        <v>43345</v>
      </c>
      <c r="F191" s="1">
        <f ca="1">Table1[[#This Row],[Hire Date]]+ RANDBETWEEN(1, 15)</f>
        <v>43350</v>
      </c>
      <c r="G191" s="1">
        <f ca="1">IF(RAND() &lt; 0.5,  Table1[[#This Row],[Join Date]]+ RANDBETWEEN(30, TODAY()- Table1[[#This Row],[Join Date]]), "-")</f>
        <v>44502</v>
      </c>
      <c r="H191" t="str">
        <f ca="1">IF(Table1[[#This Row],[Exit Date]]= "-", "Active", "Exited")</f>
        <v>Exited</v>
      </c>
      <c r="I191" s="5">
        <f t="shared" ca="1" si="29"/>
        <v>2278</v>
      </c>
      <c r="J191" t="str" cm="1">
        <f t="array" aca="1" ref="J191" ca="1">INDEX(sheet2!$C$2:$C$6, RANDBETWEEN(1, 5))</f>
        <v>Leadership Development</v>
      </c>
      <c r="K191" t="str">
        <f t="shared" ca="1" si="30"/>
        <v>Not Completed</v>
      </c>
      <c r="L191">
        <v>260</v>
      </c>
      <c r="M191">
        <f t="shared" ca="1" si="24"/>
        <v>16</v>
      </c>
      <c r="N191" t="str">
        <f t="shared" ca="1" si="25"/>
        <v>Female</v>
      </c>
      <c r="O191" s="6">
        <f t="shared" ca="1" si="26"/>
        <v>1816</v>
      </c>
      <c r="P191">
        <f ca="1">Table1[[#This Row],[Hire Date]]-Table1[[#This Row],[Job Posting Date]]</f>
        <v>25</v>
      </c>
      <c r="Q191" s="7">
        <f ca="1">Table1[[#This Row],[Join Date]]-Table1[[#This Row],[Hire Date]]</f>
        <v>5</v>
      </c>
      <c r="R191" s="8">
        <f ca="1">(IF(Table1[[#This Row],[Status]]="Exited",Table1[[#This Row],[Exit Date]]-Table1[[#This Row],[Join Date]],TODAY()-Table1[[#This Row],[Join Date]]))/30</f>
        <v>38.4</v>
      </c>
      <c r="S191">
        <f ca="1">Table1[[#This Row],[Hire Date]]-Table1[[#This Row],[Job Posting Date]]</f>
        <v>25</v>
      </c>
      <c r="T191" s="7">
        <f ca="1">Table1[[#This Row],[Time to onboard]]/Table1[[#This Row],[Time to Fill]]*100</f>
        <v>20</v>
      </c>
      <c r="U191" s="8">
        <f ca="1">Table1[[#This Row],[Time to onboard]]/Table1[[#This Row],[Time to Fill]]*100</f>
        <v>20</v>
      </c>
      <c r="V191">
        <f ca="1">Table1[[#This Row],[Join Date]]-Table1[[#This Row],[Job Posting Date]]</f>
        <v>30</v>
      </c>
      <c r="W191">
        <f t="shared" ca="1" si="27"/>
        <v>166</v>
      </c>
      <c r="X191" s="8">
        <f ca="1">Table1[[#This Row],[Absentee Days]]/Table1[[#This Row],[Total Work Days]]*100</f>
        <v>6.1538461538461542</v>
      </c>
      <c r="Y191">
        <f ca="1">YEAR(Table1[[#This Row],[Join Date]])</f>
        <v>2018</v>
      </c>
      <c r="Z191">
        <f ca="1">IF(Table1[[#This Row],[Status]]="Active",1,0)</f>
        <v>0</v>
      </c>
      <c r="AA191">
        <f ca="1">IF(Table1[[#This Row],[Status]]="Exited",Table1[[#This Row],[Recruitment Cost]]+Table1[[#This Row],[Onboarding cost]]+Table1[[#This Row],[Training Cost]],0)</f>
        <v>4260</v>
      </c>
    </row>
    <row r="192" spans="1:27">
      <c r="A192" t="str">
        <f t="shared" si="23"/>
        <v>E191</v>
      </c>
      <c r="B192" t="str" cm="1">
        <f t="array" aca="1" ref="B192" ca="1">INDEX(sheet2!$A$2:$A$6, RANDBETWEEN(1, 5))</f>
        <v>IT</v>
      </c>
      <c r="C192" t="str">
        <f ca="1">_xlfn.XLOOKUP(Table1[[#This Row],[Department]],sheet2!$A$2:$A$6,sheet2!$B$2:$B$6,_xleta.NA,0)</f>
        <v>Software Engineer</v>
      </c>
      <c r="D192" s="1">
        <f t="shared" ca="1" si="28"/>
        <v>44527</v>
      </c>
      <c r="E192" s="1">
        <f ca="1">Table1[[#This Row],[Job Posting Date]]+ RANDBETWEEN(15, 90)</f>
        <v>44596</v>
      </c>
      <c r="F192" s="1">
        <f ca="1">Table1[[#This Row],[Hire Date]]+ RANDBETWEEN(1, 15)</f>
        <v>44610</v>
      </c>
      <c r="G192" s="1" t="str">
        <f ca="1">IF(RAND() &lt; 0.5,  Table1[[#This Row],[Join Date]]+ RANDBETWEEN(30, TODAY()- Table1[[#This Row],[Join Date]]), "-")</f>
        <v>-</v>
      </c>
      <c r="H192" t="str">
        <f ca="1">IF(Table1[[#This Row],[Exit Date]]= "-", "Active", "Exited")</f>
        <v>Active</v>
      </c>
      <c r="I192" s="5">
        <f t="shared" ca="1" si="29"/>
        <v>4875</v>
      </c>
      <c r="J192" t="str" cm="1">
        <f t="array" aca="1" ref="J192" ca="1">INDEX(sheet2!$C$2:$C$6, RANDBETWEEN(1, 5))</f>
        <v>Ethics and Responsibilities</v>
      </c>
      <c r="K192" t="str">
        <f t="shared" ca="1" si="30"/>
        <v>Not Completed</v>
      </c>
      <c r="L192">
        <v>260</v>
      </c>
      <c r="M192">
        <f t="shared" ca="1" si="24"/>
        <v>5</v>
      </c>
      <c r="N192" t="str">
        <f t="shared" ca="1" si="25"/>
        <v>Male</v>
      </c>
      <c r="O192" s="6">
        <f t="shared" ca="1" si="26"/>
        <v>1272</v>
      </c>
      <c r="P192">
        <f ca="1">Table1[[#This Row],[Hire Date]]-Table1[[#This Row],[Job Posting Date]]</f>
        <v>69</v>
      </c>
      <c r="Q192" s="7">
        <f ca="1">Table1[[#This Row],[Join Date]]-Table1[[#This Row],[Hire Date]]</f>
        <v>14</v>
      </c>
      <c r="R192" s="8">
        <f ca="1">(IF(Table1[[#This Row],[Status]]="Exited",Table1[[#This Row],[Exit Date]]-Table1[[#This Row],[Join Date]],TODAY()-Table1[[#This Row],[Join Date]]))/30</f>
        <v>35.1</v>
      </c>
      <c r="S192">
        <f ca="1">Table1[[#This Row],[Hire Date]]-Table1[[#This Row],[Job Posting Date]]</f>
        <v>69</v>
      </c>
      <c r="T192" s="7">
        <f ca="1">Table1[[#This Row],[Time to onboard]]/Table1[[#This Row],[Time to Fill]]*100</f>
        <v>20.289855072463769</v>
      </c>
      <c r="U192" s="8">
        <f ca="1">Table1[[#This Row],[Time to onboard]]/Table1[[#This Row],[Time to Fill]]*100</f>
        <v>20.289855072463769</v>
      </c>
      <c r="V192">
        <f ca="1">Table1[[#This Row],[Join Date]]-Table1[[#This Row],[Job Posting Date]]</f>
        <v>83</v>
      </c>
      <c r="W192">
        <f t="shared" ca="1" si="27"/>
        <v>173</v>
      </c>
      <c r="X192" s="8">
        <f ca="1">Table1[[#This Row],[Absentee Days]]/Table1[[#This Row],[Total Work Days]]*100</f>
        <v>1.9230769230769231</v>
      </c>
      <c r="Y192">
        <f ca="1">YEAR(Table1[[#This Row],[Join Date]])</f>
        <v>2022</v>
      </c>
      <c r="Z192">
        <f ca="1">IF(Table1[[#This Row],[Status]]="Active",1,0)</f>
        <v>1</v>
      </c>
      <c r="AA192">
        <f ca="1">IF(Table1[[#This Row],[Status]]="Exited",Table1[[#This Row],[Recruitment Cost]]+Table1[[#This Row],[Onboarding cost]]+Table1[[#This Row],[Training Cost]],0)</f>
        <v>0</v>
      </c>
    </row>
    <row r="193" spans="1:27">
      <c r="A193" t="str">
        <f t="shared" si="23"/>
        <v>E192</v>
      </c>
      <c r="B193" t="str" cm="1">
        <f t="array" aca="1" ref="B193" ca="1">INDEX(sheet2!$A$2:$A$6, RANDBETWEEN(1, 5))</f>
        <v>IT</v>
      </c>
      <c r="C193" t="str">
        <f ca="1">_xlfn.XLOOKUP(Table1[[#This Row],[Department]],sheet2!$A$2:$A$6,sheet2!$B$2:$B$6,_xleta.NA,0)</f>
        <v>Software Engineer</v>
      </c>
      <c r="D193" s="1">
        <f t="shared" ca="1" si="28"/>
        <v>43353</v>
      </c>
      <c r="E193" s="1">
        <f ca="1">Table1[[#This Row],[Job Posting Date]]+ RANDBETWEEN(15, 90)</f>
        <v>43437</v>
      </c>
      <c r="F193" s="1">
        <f ca="1">Table1[[#This Row],[Hire Date]]+ RANDBETWEEN(1, 15)</f>
        <v>43447</v>
      </c>
      <c r="G193" s="1">
        <f ca="1">IF(RAND() &lt; 0.5,  Table1[[#This Row],[Join Date]]+ RANDBETWEEN(30, TODAY()- Table1[[#This Row],[Join Date]]), "-")</f>
        <v>44331</v>
      </c>
      <c r="H193" t="str">
        <f ca="1">IF(Table1[[#This Row],[Exit Date]]= "-", "Active", "Exited")</f>
        <v>Exited</v>
      </c>
      <c r="I193" s="5">
        <f t="shared" ca="1" si="29"/>
        <v>3920</v>
      </c>
      <c r="J193" t="str" cm="1">
        <f t="array" aca="1" ref="J193" ca="1">INDEX(sheet2!$C$2:$C$6, RANDBETWEEN(1, 5))</f>
        <v>Ethics and Responsibilities</v>
      </c>
      <c r="K193" t="str">
        <f t="shared" ca="1" si="30"/>
        <v>Completed</v>
      </c>
      <c r="L193">
        <v>260</v>
      </c>
      <c r="M193">
        <f t="shared" ca="1" si="24"/>
        <v>17</v>
      </c>
      <c r="N193" t="str">
        <f t="shared" ca="1" si="25"/>
        <v>Male</v>
      </c>
      <c r="O193" s="6">
        <f t="shared" ca="1" si="26"/>
        <v>1954</v>
      </c>
      <c r="P193">
        <f ca="1">Table1[[#This Row],[Hire Date]]-Table1[[#This Row],[Job Posting Date]]</f>
        <v>84</v>
      </c>
      <c r="Q193" s="7">
        <f ca="1">Table1[[#This Row],[Join Date]]-Table1[[#This Row],[Hire Date]]</f>
        <v>10</v>
      </c>
      <c r="R193" s="8">
        <f ca="1">(IF(Table1[[#This Row],[Status]]="Exited",Table1[[#This Row],[Exit Date]]-Table1[[#This Row],[Join Date]],TODAY()-Table1[[#This Row],[Join Date]]))/30</f>
        <v>29.466666666666665</v>
      </c>
      <c r="S193">
        <f ca="1">Table1[[#This Row],[Hire Date]]-Table1[[#This Row],[Job Posting Date]]</f>
        <v>84</v>
      </c>
      <c r="T193" s="7">
        <f ca="1">Table1[[#This Row],[Time to onboard]]/Table1[[#This Row],[Time to Fill]]*100</f>
        <v>11.904761904761903</v>
      </c>
      <c r="U193" s="8">
        <f ca="1">Table1[[#This Row],[Time to onboard]]/Table1[[#This Row],[Time to Fill]]*100</f>
        <v>11.904761904761903</v>
      </c>
      <c r="V193">
        <f ca="1">Table1[[#This Row],[Join Date]]-Table1[[#This Row],[Job Posting Date]]</f>
        <v>94</v>
      </c>
      <c r="W193">
        <f t="shared" ca="1" si="27"/>
        <v>116</v>
      </c>
      <c r="X193" s="8">
        <f ca="1">Table1[[#This Row],[Absentee Days]]/Table1[[#This Row],[Total Work Days]]*100</f>
        <v>6.5384615384615392</v>
      </c>
      <c r="Y193">
        <f ca="1">YEAR(Table1[[#This Row],[Join Date]])</f>
        <v>2018</v>
      </c>
      <c r="Z193">
        <f ca="1">IF(Table1[[#This Row],[Status]]="Active",1,0)</f>
        <v>0</v>
      </c>
      <c r="AA193">
        <f ca="1">IF(Table1[[#This Row],[Status]]="Exited",Table1[[#This Row],[Recruitment Cost]]+Table1[[#This Row],[Onboarding cost]]+Table1[[#This Row],[Training Cost]],0)</f>
        <v>5990</v>
      </c>
    </row>
    <row r="194" spans="1:27">
      <c r="A194" t="str">
        <f t="shared" ref="A194:A257" si="31">"E" &amp; TEXT(ROW(A193), "000")</f>
        <v>E193</v>
      </c>
      <c r="B194" t="str" cm="1">
        <f t="array" aca="1" ref="B194" ca="1">INDEX(sheet2!$A$2:$A$6, RANDBETWEEN(1, 5))</f>
        <v>Analytics</v>
      </c>
      <c r="C194" t="str">
        <f ca="1">_xlfn.XLOOKUP(Table1[[#This Row],[Department]],sheet2!$A$2:$A$6,sheet2!$B$2:$B$6,_xleta.NA,0)</f>
        <v>Data Analyst</v>
      </c>
      <c r="D194" s="1">
        <f t="shared" ca="1" si="28"/>
        <v>44755</v>
      </c>
      <c r="E194" s="1">
        <f ca="1">Table1[[#This Row],[Job Posting Date]]+ RANDBETWEEN(15, 90)</f>
        <v>44794</v>
      </c>
      <c r="F194" s="1">
        <f ca="1">Table1[[#This Row],[Hire Date]]+ RANDBETWEEN(1, 15)</f>
        <v>44809</v>
      </c>
      <c r="G194" s="1">
        <f ca="1">IF(RAND() &lt; 0.5,  Table1[[#This Row],[Join Date]]+ RANDBETWEEN(30, TODAY()- Table1[[#This Row],[Join Date]]), "-")</f>
        <v>45397</v>
      </c>
      <c r="H194" t="str">
        <f ca="1">IF(Table1[[#This Row],[Exit Date]]= "-", "Active", "Exited")</f>
        <v>Exited</v>
      </c>
      <c r="I194" s="5">
        <f t="shared" ca="1" si="29"/>
        <v>2637</v>
      </c>
      <c r="J194" t="str" cm="1">
        <f t="array" aca="1" ref="J194" ca="1">INDEX(sheet2!$C$2:$C$6, RANDBETWEEN(1, 5))</f>
        <v>Advanced Excel Skills </v>
      </c>
      <c r="K194" t="str">
        <f t="shared" ca="1" si="30"/>
        <v>Not Completed</v>
      </c>
      <c r="L194">
        <v>260</v>
      </c>
      <c r="M194">
        <f t="shared" ref="M194:M257" ca="1" si="32">RANDBETWEEN(0, 20)</f>
        <v>6</v>
      </c>
      <c r="N194" t="str">
        <f t="shared" ref="N194:N257" ca="1" si="33">CHOOSE(RANDBETWEEN(1, 3), "Male", "Female", "Other")</f>
        <v>Female</v>
      </c>
      <c r="O194" s="6">
        <f t="shared" ref="O194:O257" ca="1" si="34">RANDBETWEEN(1200, 2500)</f>
        <v>1451</v>
      </c>
      <c r="P194">
        <f ca="1">Table1[[#This Row],[Hire Date]]-Table1[[#This Row],[Job Posting Date]]</f>
        <v>39</v>
      </c>
      <c r="Q194" s="7">
        <f ca="1">Table1[[#This Row],[Join Date]]-Table1[[#This Row],[Hire Date]]</f>
        <v>15</v>
      </c>
      <c r="R194" s="8">
        <f ca="1">(IF(Table1[[#This Row],[Status]]="Exited",Table1[[#This Row],[Exit Date]]-Table1[[#This Row],[Join Date]],TODAY()-Table1[[#This Row],[Join Date]]))/30</f>
        <v>19.600000000000001</v>
      </c>
      <c r="S194">
        <f ca="1">Table1[[#This Row],[Hire Date]]-Table1[[#This Row],[Job Posting Date]]</f>
        <v>39</v>
      </c>
      <c r="T194" s="7">
        <f ca="1">Table1[[#This Row],[Time to onboard]]/Table1[[#This Row],[Time to Fill]]*100</f>
        <v>38.461538461538467</v>
      </c>
      <c r="U194" s="8">
        <f ca="1">Table1[[#This Row],[Time to onboard]]/Table1[[#This Row],[Time to Fill]]*100</f>
        <v>38.461538461538467</v>
      </c>
      <c r="V194">
        <f ca="1">Table1[[#This Row],[Join Date]]-Table1[[#This Row],[Job Posting Date]]</f>
        <v>54</v>
      </c>
      <c r="W194">
        <f t="shared" ref="W194:W257" ca="1" si="35">RANDBETWEEN(100,200)</f>
        <v>123</v>
      </c>
      <c r="X194" s="8">
        <f ca="1">Table1[[#This Row],[Absentee Days]]/Table1[[#This Row],[Total Work Days]]*100</f>
        <v>2.3076923076923079</v>
      </c>
      <c r="Y194">
        <f ca="1">YEAR(Table1[[#This Row],[Join Date]])</f>
        <v>2022</v>
      </c>
      <c r="Z194">
        <f ca="1">IF(Table1[[#This Row],[Status]]="Active",1,0)</f>
        <v>0</v>
      </c>
      <c r="AA194">
        <f ca="1">IF(Table1[[#This Row],[Status]]="Exited",Table1[[#This Row],[Recruitment Cost]]+Table1[[#This Row],[Onboarding cost]]+Table1[[#This Row],[Training Cost]],0)</f>
        <v>4211</v>
      </c>
    </row>
    <row r="195" spans="1:27">
      <c r="A195" t="str">
        <f t="shared" si="31"/>
        <v>E194</v>
      </c>
      <c r="B195" t="str" cm="1">
        <f t="array" aca="1" ref="B195" ca="1">INDEX(sheet2!$A$2:$A$6, RANDBETWEEN(1, 5))</f>
        <v>Finance</v>
      </c>
      <c r="C195" t="str">
        <f ca="1">_xlfn.XLOOKUP(Table1[[#This Row],[Department]],sheet2!$A$2:$A$6,sheet2!$B$2:$B$6,_xleta.NA,0)</f>
        <v>Finance Manager</v>
      </c>
      <c r="D195" s="1">
        <f t="shared" ca="1" si="28"/>
        <v>44473</v>
      </c>
      <c r="E195" s="1">
        <f ca="1">Table1[[#This Row],[Job Posting Date]]+ RANDBETWEEN(15, 90)</f>
        <v>44494</v>
      </c>
      <c r="F195" s="1">
        <f ca="1">Table1[[#This Row],[Hire Date]]+ RANDBETWEEN(1, 15)</f>
        <v>44496</v>
      </c>
      <c r="G195" s="1">
        <f ca="1">IF(RAND() &lt; 0.5,  Table1[[#This Row],[Join Date]]+ RANDBETWEEN(30, TODAY()- Table1[[#This Row],[Join Date]]), "-")</f>
        <v>44985</v>
      </c>
      <c r="H195" t="str">
        <f ca="1">IF(Table1[[#This Row],[Exit Date]]= "-", "Active", "Exited")</f>
        <v>Exited</v>
      </c>
      <c r="I195" s="5">
        <f t="shared" ca="1" si="29"/>
        <v>4874</v>
      </c>
      <c r="J195" t="str" cm="1">
        <f t="array" aca="1" ref="J195" ca="1">INDEX(sheet2!$C$2:$C$6, RANDBETWEEN(1, 5))</f>
        <v>Communication Skills</v>
      </c>
      <c r="K195" t="str">
        <f t="shared" ca="1" si="30"/>
        <v>Completed</v>
      </c>
      <c r="L195">
        <v>260</v>
      </c>
      <c r="M195">
        <f t="shared" ca="1" si="32"/>
        <v>13</v>
      </c>
      <c r="N195" t="str">
        <f t="shared" ca="1" si="33"/>
        <v>Other</v>
      </c>
      <c r="O195" s="6">
        <f t="shared" ca="1" si="34"/>
        <v>2331</v>
      </c>
      <c r="P195">
        <f ca="1">Table1[[#This Row],[Hire Date]]-Table1[[#This Row],[Job Posting Date]]</f>
        <v>21</v>
      </c>
      <c r="Q195" s="7">
        <f ca="1">Table1[[#This Row],[Join Date]]-Table1[[#This Row],[Hire Date]]</f>
        <v>2</v>
      </c>
      <c r="R195" s="8">
        <f ca="1">(IF(Table1[[#This Row],[Status]]="Exited",Table1[[#This Row],[Exit Date]]-Table1[[#This Row],[Join Date]],TODAY()-Table1[[#This Row],[Join Date]]))/30</f>
        <v>16.3</v>
      </c>
      <c r="S195">
        <f ca="1">Table1[[#This Row],[Hire Date]]-Table1[[#This Row],[Job Posting Date]]</f>
        <v>21</v>
      </c>
      <c r="T195" s="7">
        <f ca="1">Table1[[#This Row],[Time to onboard]]/Table1[[#This Row],[Time to Fill]]*100</f>
        <v>9.5238095238095237</v>
      </c>
      <c r="U195" s="8">
        <f ca="1">Table1[[#This Row],[Time to onboard]]/Table1[[#This Row],[Time to Fill]]*100</f>
        <v>9.5238095238095237</v>
      </c>
      <c r="V195">
        <f ca="1">Table1[[#This Row],[Join Date]]-Table1[[#This Row],[Job Posting Date]]</f>
        <v>23</v>
      </c>
      <c r="W195">
        <f t="shared" ca="1" si="35"/>
        <v>166</v>
      </c>
      <c r="X195" s="8">
        <f ca="1">Table1[[#This Row],[Absentee Days]]/Table1[[#This Row],[Total Work Days]]*100</f>
        <v>5</v>
      </c>
      <c r="Y195">
        <f ca="1">YEAR(Table1[[#This Row],[Join Date]])</f>
        <v>2021</v>
      </c>
      <c r="Z195">
        <f ca="1">IF(Table1[[#This Row],[Status]]="Active",1,0)</f>
        <v>0</v>
      </c>
      <c r="AA195">
        <f ca="1">IF(Table1[[#This Row],[Status]]="Exited",Table1[[#This Row],[Recruitment Cost]]+Table1[[#This Row],[Onboarding cost]]+Table1[[#This Row],[Training Cost]],0)</f>
        <v>7371</v>
      </c>
    </row>
    <row r="196" spans="1:27">
      <c r="A196" t="str">
        <f t="shared" si="31"/>
        <v>E195</v>
      </c>
      <c r="B196" t="str" cm="1">
        <f t="array" aca="1" ref="B196" ca="1">INDEX(sheet2!$A$2:$A$6, RANDBETWEEN(1, 5))</f>
        <v>IT</v>
      </c>
      <c r="C196" t="str">
        <f ca="1">_xlfn.XLOOKUP(Table1[[#This Row],[Department]],sheet2!$A$2:$A$6,sheet2!$B$2:$B$6,_xleta.NA,0)</f>
        <v>Software Engineer</v>
      </c>
      <c r="D196" s="1">
        <f t="shared" ca="1" si="28"/>
        <v>43965</v>
      </c>
      <c r="E196" s="1">
        <f ca="1">Table1[[#This Row],[Job Posting Date]]+ RANDBETWEEN(15, 90)</f>
        <v>44029</v>
      </c>
      <c r="F196" s="1">
        <f ca="1">Table1[[#This Row],[Hire Date]]+ RANDBETWEEN(1, 15)</f>
        <v>44034</v>
      </c>
      <c r="G196" s="1" t="str">
        <f ca="1">IF(RAND() &lt; 0.5,  Table1[[#This Row],[Join Date]]+ RANDBETWEEN(30, TODAY()- Table1[[#This Row],[Join Date]]), "-")</f>
        <v>-</v>
      </c>
      <c r="H196" t="str">
        <f ca="1">IF(Table1[[#This Row],[Exit Date]]= "-", "Active", "Exited")</f>
        <v>Active</v>
      </c>
      <c r="I196" s="5">
        <f t="shared" ca="1" si="29"/>
        <v>4063</v>
      </c>
      <c r="J196" t="str" cm="1">
        <f t="array" aca="1" ref="J196" ca="1">INDEX(sheet2!$C$2:$C$6, RANDBETWEEN(1, 5))</f>
        <v>Communication Skills</v>
      </c>
      <c r="K196" t="str">
        <f t="shared" ca="1" si="30"/>
        <v>Completed</v>
      </c>
      <c r="L196">
        <v>260</v>
      </c>
      <c r="M196">
        <f t="shared" ca="1" si="32"/>
        <v>2</v>
      </c>
      <c r="N196" t="str">
        <f t="shared" ca="1" si="33"/>
        <v>Female</v>
      </c>
      <c r="O196" s="6">
        <f t="shared" ca="1" si="34"/>
        <v>1986</v>
      </c>
      <c r="P196">
        <f ca="1">Table1[[#This Row],[Hire Date]]-Table1[[#This Row],[Job Posting Date]]</f>
        <v>64</v>
      </c>
      <c r="Q196" s="7">
        <f ca="1">Table1[[#This Row],[Join Date]]-Table1[[#This Row],[Hire Date]]</f>
        <v>5</v>
      </c>
      <c r="R196" s="8">
        <f ca="1">(IF(Table1[[#This Row],[Status]]="Exited",Table1[[#This Row],[Exit Date]]-Table1[[#This Row],[Join Date]],TODAY()-Table1[[#This Row],[Join Date]]))/30</f>
        <v>54.3</v>
      </c>
      <c r="S196">
        <f ca="1">Table1[[#This Row],[Hire Date]]-Table1[[#This Row],[Job Posting Date]]</f>
        <v>64</v>
      </c>
      <c r="T196" s="7">
        <f ca="1">Table1[[#This Row],[Time to onboard]]/Table1[[#This Row],[Time to Fill]]*100</f>
        <v>7.8125</v>
      </c>
      <c r="U196" s="8">
        <f ca="1">Table1[[#This Row],[Time to onboard]]/Table1[[#This Row],[Time to Fill]]*100</f>
        <v>7.8125</v>
      </c>
      <c r="V196">
        <f ca="1">Table1[[#This Row],[Join Date]]-Table1[[#This Row],[Job Posting Date]]</f>
        <v>69</v>
      </c>
      <c r="W196">
        <f t="shared" ca="1" si="35"/>
        <v>184</v>
      </c>
      <c r="X196" s="8">
        <f ca="1">Table1[[#This Row],[Absentee Days]]/Table1[[#This Row],[Total Work Days]]*100</f>
        <v>0.76923076923076927</v>
      </c>
      <c r="Y196">
        <f ca="1">YEAR(Table1[[#This Row],[Join Date]])</f>
        <v>2020</v>
      </c>
      <c r="Z196">
        <f ca="1">IF(Table1[[#This Row],[Status]]="Active",1,0)</f>
        <v>1</v>
      </c>
      <c r="AA196">
        <f ca="1">IF(Table1[[#This Row],[Status]]="Exited",Table1[[#This Row],[Recruitment Cost]]+Table1[[#This Row],[Onboarding cost]]+Table1[[#This Row],[Training Cost]],0)</f>
        <v>0</v>
      </c>
    </row>
    <row r="197" spans="1:27">
      <c r="A197" t="str">
        <f t="shared" si="31"/>
        <v>E196</v>
      </c>
      <c r="B197" t="str" cm="1">
        <f t="array" aca="1" ref="B197" ca="1">INDEX(sheet2!$A$2:$A$6, RANDBETWEEN(1, 5))</f>
        <v>Finance</v>
      </c>
      <c r="C197" t="str">
        <f ca="1">_xlfn.XLOOKUP(Table1[[#This Row],[Department]],sheet2!$A$2:$A$6,sheet2!$B$2:$B$6,_xleta.NA,0)</f>
        <v>Finance Manager</v>
      </c>
      <c r="D197" s="1">
        <f t="shared" ca="1" si="28"/>
        <v>43682</v>
      </c>
      <c r="E197" s="1">
        <f ca="1">Table1[[#This Row],[Job Posting Date]]+ RANDBETWEEN(15, 90)</f>
        <v>43728</v>
      </c>
      <c r="F197" s="1">
        <f ca="1">Table1[[#This Row],[Hire Date]]+ RANDBETWEEN(1, 15)</f>
        <v>43734</v>
      </c>
      <c r="G197" s="1">
        <f ca="1">IF(RAND() &lt; 0.5,  Table1[[#This Row],[Join Date]]+ RANDBETWEEN(30, TODAY()- Table1[[#This Row],[Join Date]]), "-")</f>
        <v>45642</v>
      </c>
      <c r="H197" t="str">
        <f ca="1">IF(Table1[[#This Row],[Exit Date]]= "-", "Active", "Exited")</f>
        <v>Exited</v>
      </c>
      <c r="I197" s="5">
        <f t="shared" ca="1" si="29"/>
        <v>2143</v>
      </c>
      <c r="J197" t="str" cm="1">
        <f t="array" aca="1" ref="J197" ca="1">INDEX(sheet2!$C$2:$C$6, RANDBETWEEN(1, 5))</f>
        <v>Ethics and Responsibilities</v>
      </c>
      <c r="K197" t="str">
        <f t="shared" ca="1" si="30"/>
        <v>Completed</v>
      </c>
      <c r="L197">
        <v>260</v>
      </c>
      <c r="M197">
        <f t="shared" ca="1" si="32"/>
        <v>7</v>
      </c>
      <c r="N197" t="str">
        <f t="shared" ca="1" si="33"/>
        <v>Female</v>
      </c>
      <c r="O197" s="6">
        <f t="shared" ca="1" si="34"/>
        <v>2105</v>
      </c>
      <c r="P197">
        <f ca="1">Table1[[#This Row],[Hire Date]]-Table1[[#This Row],[Job Posting Date]]</f>
        <v>46</v>
      </c>
      <c r="Q197" s="7">
        <f ca="1">Table1[[#This Row],[Join Date]]-Table1[[#This Row],[Hire Date]]</f>
        <v>6</v>
      </c>
      <c r="R197" s="8">
        <f ca="1">(IF(Table1[[#This Row],[Status]]="Exited",Table1[[#This Row],[Exit Date]]-Table1[[#This Row],[Join Date]],TODAY()-Table1[[#This Row],[Join Date]]))/30</f>
        <v>63.6</v>
      </c>
      <c r="S197">
        <f ca="1">Table1[[#This Row],[Hire Date]]-Table1[[#This Row],[Job Posting Date]]</f>
        <v>46</v>
      </c>
      <c r="T197" s="7">
        <f ca="1">Table1[[#This Row],[Time to onboard]]/Table1[[#This Row],[Time to Fill]]*100</f>
        <v>13.043478260869565</v>
      </c>
      <c r="U197" s="8">
        <f ca="1">Table1[[#This Row],[Time to onboard]]/Table1[[#This Row],[Time to Fill]]*100</f>
        <v>13.043478260869565</v>
      </c>
      <c r="V197">
        <f ca="1">Table1[[#This Row],[Join Date]]-Table1[[#This Row],[Job Posting Date]]</f>
        <v>52</v>
      </c>
      <c r="W197">
        <f t="shared" ca="1" si="35"/>
        <v>182</v>
      </c>
      <c r="X197" s="8">
        <f ca="1">Table1[[#This Row],[Absentee Days]]/Table1[[#This Row],[Total Work Days]]*100</f>
        <v>2.6923076923076925</v>
      </c>
      <c r="Y197">
        <f ca="1">YEAR(Table1[[#This Row],[Join Date]])</f>
        <v>2019</v>
      </c>
      <c r="Z197">
        <f ca="1">IF(Table1[[#This Row],[Status]]="Active",1,0)</f>
        <v>0</v>
      </c>
      <c r="AA197">
        <f ca="1">IF(Table1[[#This Row],[Status]]="Exited",Table1[[#This Row],[Recruitment Cost]]+Table1[[#This Row],[Onboarding cost]]+Table1[[#This Row],[Training Cost]],0)</f>
        <v>4430</v>
      </c>
    </row>
    <row r="198" spans="1:27">
      <c r="A198" t="str">
        <f t="shared" si="31"/>
        <v>E197</v>
      </c>
      <c r="B198" t="str" cm="1">
        <f t="array" aca="1" ref="B198" ca="1">INDEX(sheet2!$A$2:$A$6, RANDBETWEEN(1, 5))</f>
        <v>Analytics</v>
      </c>
      <c r="C198" t="str">
        <f ca="1">_xlfn.XLOOKUP(Table1[[#This Row],[Department]],sheet2!$A$2:$A$6,sheet2!$B$2:$B$6,_xleta.NA,0)</f>
        <v>Data Analyst</v>
      </c>
      <c r="D198" s="1">
        <f t="shared" ca="1" si="28"/>
        <v>44038</v>
      </c>
      <c r="E198" s="1">
        <f ca="1">Table1[[#This Row],[Job Posting Date]]+ RANDBETWEEN(15, 90)</f>
        <v>44101</v>
      </c>
      <c r="F198" s="1">
        <f ca="1">Table1[[#This Row],[Hire Date]]+ RANDBETWEEN(1, 15)</f>
        <v>44103</v>
      </c>
      <c r="G198" s="1">
        <f ca="1">IF(RAND() &lt; 0.5,  Table1[[#This Row],[Join Date]]+ RANDBETWEEN(30, TODAY()- Table1[[#This Row],[Join Date]]), "-")</f>
        <v>45566</v>
      </c>
      <c r="H198" t="str">
        <f ca="1">IF(Table1[[#This Row],[Exit Date]]= "-", "Active", "Exited")</f>
        <v>Exited</v>
      </c>
      <c r="I198" s="5">
        <f t="shared" ca="1" si="29"/>
        <v>4713</v>
      </c>
      <c r="J198" t="str" cm="1">
        <f t="array" aca="1" ref="J198" ca="1">INDEX(sheet2!$C$2:$C$6, RANDBETWEEN(1, 5))</f>
        <v>Ethics and Responsibilities</v>
      </c>
      <c r="K198" t="str">
        <f t="shared" ca="1" si="30"/>
        <v>Completed</v>
      </c>
      <c r="L198">
        <v>260</v>
      </c>
      <c r="M198">
        <f t="shared" ca="1" si="32"/>
        <v>6</v>
      </c>
      <c r="N198" t="str">
        <f t="shared" ca="1" si="33"/>
        <v>Male</v>
      </c>
      <c r="O198" s="6">
        <f t="shared" ca="1" si="34"/>
        <v>2430</v>
      </c>
      <c r="P198">
        <f ca="1">Table1[[#This Row],[Hire Date]]-Table1[[#This Row],[Job Posting Date]]</f>
        <v>63</v>
      </c>
      <c r="Q198" s="7">
        <f ca="1">Table1[[#This Row],[Join Date]]-Table1[[#This Row],[Hire Date]]</f>
        <v>2</v>
      </c>
      <c r="R198" s="8">
        <f ca="1">(IF(Table1[[#This Row],[Status]]="Exited",Table1[[#This Row],[Exit Date]]-Table1[[#This Row],[Join Date]],TODAY()-Table1[[#This Row],[Join Date]]))/30</f>
        <v>48.766666666666666</v>
      </c>
      <c r="S198">
        <f ca="1">Table1[[#This Row],[Hire Date]]-Table1[[#This Row],[Job Posting Date]]</f>
        <v>63</v>
      </c>
      <c r="T198" s="7">
        <f ca="1">Table1[[#This Row],[Time to onboard]]/Table1[[#This Row],[Time to Fill]]*100</f>
        <v>3.1746031746031744</v>
      </c>
      <c r="U198" s="8">
        <f ca="1">Table1[[#This Row],[Time to onboard]]/Table1[[#This Row],[Time to Fill]]*100</f>
        <v>3.1746031746031744</v>
      </c>
      <c r="V198">
        <f ca="1">Table1[[#This Row],[Join Date]]-Table1[[#This Row],[Job Posting Date]]</f>
        <v>65</v>
      </c>
      <c r="W198">
        <f t="shared" ca="1" si="35"/>
        <v>162</v>
      </c>
      <c r="X198" s="8">
        <f ca="1">Table1[[#This Row],[Absentee Days]]/Table1[[#This Row],[Total Work Days]]*100</f>
        <v>2.3076923076923079</v>
      </c>
      <c r="Y198">
        <f ca="1">YEAR(Table1[[#This Row],[Join Date]])</f>
        <v>2020</v>
      </c>
      <c r="Z198">
        <f ca="1">IF(Table1[[#This Row],[Status]]="Active",1,0)</f>
        <v>0</v>
      </c>
      <c r="AA198">
        <f ca="1">IF(Table1[[#This Row],[Status]]="Exited",Table1[[#This Row],[Recruitment Cost]]+Table1[[#This Row],[Onboarding cost]]+Table1[[#This Row],[Training Cost]],0)</f>
        <v>7305</v>
      </c>
    </row>
    <row r="199" spans="1:27">
      <c r="A199" t="str">
        <f t="shared" si="31"/>
        <v>E198</v>
      </c>
      <c r="B199" t="str" cm="1">
        <f t="array" aca="1" ref="B199" ca="1">INDEX(sheet2!$A$2:$A$6, RANDBETWEEN(1, 5))</f>
        <v>IT</v>
      </c>
      <c r="C199" t="str">
        <f ca="1">_xlfn.XLOOKUP(Table1[[#This Row],[Department]],sheet2!$A$2:$A$6,sheet2!$B$2:$B$6,_xleta.NA,0)</f>
        <v>Software Engineer</v>
      </c>
      <c r="D199" s="1">
        <f t="shared" ca="1" si="28"/>
        <v>44386</v>
      </c>
      <c r="E199" s="1">
        <f ca="1">Table1[[#This Row],[Job Posting Date]]+ RANDBETWEEN(15, 90)</f>
        <v>44431</v>
      </c>
      <c r="F199" s="1">
        <f ca="1">Table1[[#This Row],[Hire Date]]+ RANDBETWEEN(1, 15)</f>
        <v>44439</v>
      </c>
      <c r="G199" s="1" t="str">
        <f ca="1">IF(RAND() &lt; 0.5,  Table1[[#This Row],[Join Date]]+ RANDBETWEEN(30, TODAY()- Table1[[#This Row],[Join Date]]), "-")</f>
        <v>-</v>
      </c>
      <c r="H199" t="str">
        <f ca="1">IF(Table1[[#This Row],[Exit Date]]= "-", "Active", "Exited")</f>
        <v>Active</v>
      </c>
      <c r="I199" s="5">
        <f t="shared" ca="1" si="29"/>
        <v>3915</v>
      </c>
      <c r="J199" t="str" cm="1">
        <f t="array" aca="1" ref="J199" ca="1">INDEX(sheet2!$C$2:$C$6, RANDBETWEEN(1, 5))</f>
        <v>Advanced Excel Skills </v>
      </c>
      <c r="K199" t="str">
        <f t="shared" ca="1" si="30"/>
        <v>Completed</v>
      </c>
      <c r="L199">
        <v>260</v>
      </c>
      <c r="M199">
        <f t="shared" ca="1" si="32"/>
        <v>3</v>
      </c>
      <c r="N199" t="str">
        <f t="shared" ca="1" si="33"/>
        <v>Male</v>
      </c>
      <c r="O199" s="6">
        <f t="shared" ca="1" si="34"/>
        <v>2213</v>
      </c>
      <c r="P199">
        <f ca="1">Table1[[#This Row],[Hire Date]]-Table1[[#This Row],[Job Posting Date]]</f>
        <v>45</v>
      </c>
      <c r="Q199" s="7">
        <f ca="1">Table1[[#This Row],[Join Date]]-Table1[[#This Row],[Hire Date]]</f>
        <v>8</v>
      </c>
      <c r="R199" s="8">
        <f ca="1">(IF(Table1[[#This Row],[Status]]="Exited",Table1[[#This Row],[Exit Date]]-Table1[[#This Row],[Join Date]],TODAY()-Table1[[#This Row],[Join Date]]))/30</f>
        <v>40.799999999999997</v>
      </c>
      <c r="S199">
        <f ca="1">Table1[[#This Row],[Hire Date]]-Table1[[#This Row],[Job Posting Date]]</f>
        <v>45</v>
      </c>
      <c r="T199" s="7">
        <f ca="1">Table1[[#This Row],[Time to onboard]]/Table1[[#This Row],[Time to Fill]]*100</f>
        <v>17.777777777777779</v>
      </c>
      <c r="U199" s="8">
        <f ca="1">Table1[[#This Row],[Time to onboard]]/Table1[[#This Row],[Time to Fill]]*100</f>
        <v>17.777777777777779</v>
      </c>
      <c r="V199">
        <f ca="1">Table1[[#This Row],[Join Date]]-Table1[[#This Row],[Job Posting Date]]</f>
        <v>53</v>
      </c>
      <c r="W199">
        <f t="shared" ca="1" si="35"/>
        <v>117</v>
      </c>
      <c r="X199" s="8">
        <f ca="1">Table1[[#This Row],[Absentee Days]]/Table1[[#This Row],[Total Work Days]]*100</f>
        <v>1.153846153846154</v>
      </c>
      <c r="Y199">
        <f ca="1">YEAR(Table1[[#This Row],[Join Date]])</f>
        <v>2021</v>
      </c>
      <c r="Z199">
        <f ca="1">IF(Table1[[#This Row],[Status]]="Active",1,0)</f>
        <v>1</v>
      </c>
      <c r="AA199">
        <f ca="1">IF(Table1[[#This Row],[Status]]="Exited",Table1[[#This Row],[Recruitment Cost]]+Table1[[#This Row],[Onboarding cost]]+Table1[[#This Row],[Training Cost]],0)</f>
        <v>0</v>
      </c>
    </row>
    <row r="200" spans="1:27">
      <c r="A200" t="str">
        <f t="shared" si="31"/>
        <v>E199</v>
      </c>
      <c r="B200" t="str" cm="1">
        <f t="array" aca="1" ref="B200" ca="1">INDEX(sheet2!$A$2:$A$6, RANDBETWEEN(1, 5))</f>
        <v>Analytics</v>
      </c>
      <c r="C200" t="str">
        <f ca="1">_xlfn.XLOOKUP(Table1[[#This Row],[Department]],sheet2!$A$2:$A$6,sheet2!$B$2:$B$6,_xleta.NA,0)</f>
        <v>Data Analyst</v>
      </c>
      <c r="D200" s="1">
        <f t="shared" ca="1" si="28"/>
        <v>43462</v>
      </c>
      <c r="E200" s="1">
        <f ca="1">Table1[[#This Row],[Job Posting Date]]+ RANDBETWEEN(15, 90)</f>
        <v>43545</v>
      </c>
      <c r="F200" s="1">
        <f ca="1">Table1[[#This Row],[Hire Date]]+ RANDBETWEEN(1, 15)</f>
        <v>43558</v>
      </c>
      <c r="G200" s="1" t="str">
        <f ca="1">IF(RAND() &lt; 0.5,  Table1[[#This Row],[Join Date]]+ RANDBETWEEN(30, TODAY()- Table1[[#This Row],[Join Date]]), "-")</f>
        <v>-</v>
      </c>
      <c r="H200" t="str">
        <f ca="1">IF(Table1[[#This Row],[Exit Date]]= "-", "Active", "Exited")</f>
        <v>Active</v>
      </c>
      <c r="I200" s="5">
        <f t="shared" ca="1" si="29"/>
        <v>3665</v>
      </c>
      <c r="J200" t="str" cm="1">
        <f t="array" aca="1" ref="J200" ca="1">INDEX(sheet2!$C$2:$C$6, RANDBETWEEN(1, 5))</f>
        <v>Communication Skills</v>
      </c>
      <c r="K200" t="str">
        <f t="shared" ca="1" si="30"/>
        <v>Not Completed</v>
      </c>
      <c r="L200">
        <v>260</v>
      </c>
      <c r="M200">
        <f t="shared" ca="1" si="32"/>
        <v>7</v>
      </c>
      <c r="N200" t="str">
        <f t="shared" ca="1" si="33"/>
        <v>Female</v>
      </c>
      <c r="O200" s="6">
        <f t="shared" ca="1" si="34"/>
        <v>1307</v>
      </c>
      <c r="P200">
        <f ca="1">Table1[[#This Row],[Hire Date]]-Table1[[#This Row],[Job Posting Date]]</f>
        <v>83</v>
      </c>
      <c r="Q200" s="7">
        <f ca="1">Table1[[#This Row],[Join Date]]-Table1[[#This Row],[Hire Date]]</f>
        <v>13</v>
      </c>
      <c r="R200" s="8">
        <f ca="1">(IF(Table1[[#This Row],[Status]]="Exited",Table1[[#This Row],[Exit Date]]-Table1[[#This Row],[Join Date]],TODAY()-Table1[[#This Row],[Join Date]]))/30</f>
        <v>70.166666666666671</v>
      </c>
      <c r="S200">
        <f ca="1">Table1[[#This Row],[Hire Date]]-Table1[[#This Row],[Job Posting Date]]</f>
        <v>83</v>
      </c>
      <c r="T200" s="7">
        <f ca="1">Table1[[#This Row],[Time to onboard]]/Table1[[#This Row],[Time to Fill]]*100</f>
        <v>15.66265060240964</v>
      </c>
      <c r="U200" s="8">
        <f ca="1">Table1[[#This Row],[Time to onboard]]/Table1[[#This Row],[Time to Fill]]*100</f>
        <v>15.66265060240964</v>
      </c>
      <c r="V200">
        <f ca="1">Table1[[#This Row],[Join Date]]-Table1[[#This Row],[Job Posting Date]]</f>
        <v>96</v>
      </c>
      <c r="W200">
        <f t="shared" ca="1" si="35"/>
        <v>127</v>
      </c>
      <c r="X200" s="8">
        <f ca="1">Table1[[#This Row],[Absentee Days]]/Table1[[#This Row],[Total Work Days]]*100</f>
        <v>2.6923076923076925</v>
      </c>
      <c r="Y200">
        <f ca="1">YEAR(Table1[[#This Row],[Join Date]])</f>
        <v>2019</v>
      </c>
      <c r="Z200">
        <f ca="1">IF(Table1[[#This Row],[Status]]="Active",1,0)</f>
        <v>1</v>
      </c>
      <c r="AA200">
        <f ca="1">IF(Table1[[#This Row],[Status]]="Exited",Table1[[#This Row],[Recruitment Cost]]+Table1[[#This Row],[Onboarding cost]]+Table1[[#This Row],[Training Cost]],0)</f>
        <v>0</v>
      </c>
    </row>
    <row r="201" spans="1:27">
      <c r="A201" t="str">
        <f t="shared" si="31"/>
        <v>E200</v>
      </c>
      <c r="B201" t="str" cm="1">
        <f t="array" aca="1" ref="B201" ca="1">INDEX(sheet2!$A$2:$A$6, RANDBETWEEN(1, 5))</f>
        <v>Sales</v>
      </c>
      <c r="C201" t="str">
        <f ca="1">_xlfn.XLOOKUP(Table1[[#This Row],[Department]],sheet2!$A$2:$A$6,sheet2!$B$2:$B$6,_xleta.NA,0)</f>
        <v>Marketing Manager</v>
      </c>
      <c r="D201" s="1">
        <f t="shared" ca="1" si="28"/>
        <v>44660</v>
      </c>
      <c r="E201" s="1">
        <f ca="1">Table1[[#This Row],[Job Posting Date]]+ RANDBETWEEN(15, 90)</f>
        <v>44724</v>
      </c>
      <c r="F201" s="1">
        <f ca="1">Table1[[#This Row],[Hire Date]]+ RANDBETWEEN(1, 15)</f>
        <v>44736</v>
      </c>
      <c r="G201" s="1" t="str">
        <f ca="1">IF(RAND() &lt; 0.5,  Table1[[#This Row],[Join Date]]+ RANDBETWEEN(30, TODAY()- Table1[[#This Row],[Join Date]]), "-")</f>
        <v>-</v>
      </c>
      <c r="H201" t="str">
        <f ca="1">IF(Table1[[#This Row],[Exit Date]]= "-", "Active", "Exited")</f>
        <v>Active</v>
      </c>
      <c r="I201" s="5">
        <f t="shared" ca="1" si="29"/>
        <v>5000</v>
      </c>
      <c r="J201" t="str" cm="1">
        <f t="array" aca="1" ref="J201" ca="1">INDEX(sheet2!$C$2:$C$6, RANDBETWEEN(1, 5))</f>
        <v>Communication Skills</v>
      </c>
      <c r="K201" t="str">
        <f t="shared" ca="1" si="30"/>
        <v>Not Completed</v>
      </c>
      <c r="L201">
        <v>260</v>
      </c>
      <c r="M201">
        <f t="shared" ca="1" si="32"/>
        <v>2</v>
      </c>
      <c r="N201" t="str">
        <f t="shared" ca="1" si="33"/>
        <v>Female</v>
      </c>
      <c r="O201" s="6">
        <f t="shared" ca="1" si="34"/>
        <v>1895</v>
      </c>
      <c r="P201">
        <f ca="1">Table1[[#This Row],[Hire Date]]-Table1[[#This Row],[Job Posting Date]]</f>
        <v>64</v>
      </c>
      <c r="Q201" s="7">
        <f ca="1">Table1[[#This Row],[Join Date]]-Table1[[#This Row],[Hire Date]]</f>
        <v>12</v>
      </c>
      <c r="R201" s="8">
        <f ca="1">(IF(Table1[[#This Row],[Status]]="Exited",Table1[[#This Row],[Exit Date]]-Table1[[#This Row],[Join Date]],TODAY()-Table1[[#This Row],[Join Date]]))/30</f>
        <v>30.9</v>
      </c>
      <c r="S201">
        <f ca="1">Table1[[#This Row],[Hire Date]]-Table1[[#This Row],[Job Posting Date]]</f>
        <v>64</v>
      </c>
      <c r="T201" s="7">
        <f ca="1">Table1[[#This Row],[Time to onboard]]/Table1[[#This Row],[Time to Fill]]*100</f>
        <v>18.75</v>
      </c>
      <c r="U201" s="8">
        <f ca="1">Table1[[#This Row],[Time to onboard]]/Table1[[#This Row],[Time to Fill]]*100</f>
        <v>18.75</v>
      </c>
      <c r="V201">
        <f ca="1">Table1[[#This Row],[Join Date]]-Table1[[#This Row],[Job Posting Date]]</f>
        <v>76</v>
      </c>
      <c r="W201">
        <f t="shared" ca="1" si="35"/>
        <v>193</v>
      </c>
      <c r="X201" s="8">
        <f ca="1">Table1[[#This Row],[Absentee Days]]/Table1[[#This Row],[Total Work Days]]*100</f>
        <v>0.76923076923076927</v>
      </c>
      <c r="Y201">
        <f ca="1">YEAR(Table1[[#This Row],[Join Date]])</f>
        <v>2022</v>
      </c>
      <c r="Z201">
        <f ca="1">IF(Table1[[#This Row],[Status]]="Active",1,0)</f>
        <v>1</v>
      </c>
      <c r="AA201">
        <f ca="1">IF(Table1[[#This Row],[Status]]="Exited",Table1[[#This Row],[Recruitment Cost]]+Table1[[#This Row],[Onboarding cost]]+Table1[[#This Row],[Training Cost]],0)</f>
        <v>0</v>
      </c>
    </row>
    <row r="202" spans="1:27">
      <c r="A202" t="str">
        <f t="shared" si="31"/>
        <v>E201</v>
      </c>
      <c r="B202" t="str" cm="1">
        <f t="array" aca="1" ref="B202" ca="1">INDEX(sheet2!$A$2:$A$6, RANDBETWEEN(1, 5))</f>
        <v>IT</v>
      </c>
      <c r="C202" t="str">
        <f ca="1">_xlfn.XLOOKUP(Table1[[#This Row],[Department]],sheet2!$A$2:$A$6,sheet2!$B$2:$B$6,_xleta.NA,0)</f>
        <v>Software Engineer</v>
      </c>
      <c r="D202" s="1">
        <f t="shared" ca="1" si="28"/>
        <v>43102</v>
      </c>
      <c r="E202" s="1">
        <f ca="1">Table1[[#This Row],[Job Posting Date]]+ RANDBETWEEN(15, 90)</f>
        <v>43154</v>
      </c>
      <c r="F202" s="1">
        <f ca="1">Table1[[#This Row],[Hire Date]]+ RANDBETWEEN(1, 15)</f>
        <v>43156</v>
      </c>
      <c r="G202" s="1" t="str">
        <f ca="1">IF(RAND() &lt; 0.5,  Table1[[#This Row],[Join Date]]+ RANDBETWEEN(30, TODAY()- Table1[[#This Row],[Join Date]]), "-")</f>
        <v>-</v>
      </c>
      <c r="H202" t="str">
        <f ca="1">IF(Table1[[#This Row],[Exit Date]]= "-", "Active", "Exited")</f>
        <v>Active</v>
      </c>
      <c r="I202" s="5">
        <f t="shared" ca="1" si="29"/>
        <v>4558</v>
      </c>
      <c r="J202" t="str" cm="1">
        <f t="array" aca="1" ref="J202" ca="1">INDEX(sheet2!$C$2:$C$6, RANDBETWEEN(1, 5))</f>
        <v>Leadership Development</v>
      </c>
      <c r="K202" t="str">
        <f t="shared" ca="1" si="30"/>
        <v>Not Completed</v>
      </c>
      <c r="L202">
        <v>260</v>
      </c>
      <c r="M202">
        <f t="shared" ca="1" si="32"/>
        <v>0</v>
      </c>
      <c r="N202" t="str">
        <f t="shared" ca="1" si="33"/>
        <v>Female</v>
      </c>
      <c r="O202" s="6">
        <f t="shared" ca="1" si="34"/>
        <v>2380</v>
      </c>
      <c r="P202">
        <f ca="1">Table1[[#This Row],[Hire Date]]-Table1[[#This Row],[Job Posting Date]]</f>
        <v>52</v>
      </c>
      <c r="Q202" s="7">
        <f ca="1">Table1[[#This Row],[Join Date]]-Table1[[#This Row],[Hire Date]]</f>
        <v>2</v>
      </c>
      <c r="R202" s="8">
        <f ca="1">(IF(Table1[[#This Row],[Status]]="Exited",Table1[[#This Row],[Exit Date]]-Table1[[#This Row],[Join Date]],TODAY()-Table1[[#This Row],[Join Date]]))/30</f>
        <v>83.566666666666663</v>
      </c>
      <c r="S202">
        <f ca="1">Table1[[#This Row],[Hire Date]]-Table1[[#This Row],[Job Posting Date]]</f>
        <v>52</v>
      </c>
      <c r="T202" s="7">
        <f ca="1">Table1[[#This Row],[Time to onboard]]/Table1[[#This Row],[Time to Fill]]*100</f>
        <v>3.8461538461538463</v>
      </c>
      <c r="U202" s="8">
        <f ca="1">Table1[[#This Row],[Time to onboard]]/Table1[[#This Row],[Time to Fill]]*100</f>
        <v>3.8461538461538463</v>
      </c>
      <c r="V202">
        <f ca="1">Table1[[#This Row],[Join Date]]-Table1[[#This Row],[Job Posting Date]]</f>
        <v>54</v>
      </c>
      <c r="W202">
        <f t="shared" ca="1" si="35"/>
        <v>119</v>
      </c>
      <c r="X202" s="8">
        <f ca="1">Table1[[#This Row],[Absentee Days]]/Table1[[#This Row],[Total Work Days]]*100</f>
        <v>0</v>
      </c>
      <c r="Y202">
        <f ca="1">YEAR(Table1[[#This Row],[Join Date]])</f>
        <v>2018</v>
      </c>
      <c r="Z202">
        <f ca="1">IF(Table1[[#This Row],[Status]]="Active",1,0)</f>
        <v>1</v>
      </c>
      <c r="AA202">
        <f ca="1">IF(Table1[[#This Row],[Status]]="Exited",Table1[[#This Row],[Recruitment Cost]]+Table1[[#This Row],[Onboarding cost]]+Table1[[#This Row],[Training Cost]],0)</f>
        <v>0</v>
      </c>
    </row>
    <row r="203" spans="1:27">
      <c r="A203" t="str">
        <f t="shared" si="31"/>
        <v>E202</v>
      </c>
      <c r="B203" t="str" cm="1">
        <f t="array" aca="1" ref="B203" ca="1">INDEX(sheet2!$A$2:$A$6, RANDBETWEEN(1, 5))</f>
        <v>Analytics</v>
      </c>
      <c r="C203" t="str">
        <f ca="1">_xlfn.XLOOKUP(Table1[[#This Row],[Department]],sheet2!$A$2:$A$6,sheet2!$B$2:$B$6,_xleta.NA,0)</f>
        <v>Data Analyst</v>
      </c>
      <c r="D203" s="1">
        <f t="shared" ca="1" si="28"/>
        <v>43634</v>
      </c>
      <c r="E203" s="1">
        <f ca="1">Table1[[#This Row],[Job Posting Date]]+ RANDBETWEEN(15, 90)</f>
        <v>43693</v>
      </c>
      <c r="F203" s="1">
        <f ca="1">Table1[[#This Row],[Hire Date]]+ RANDBETWEEN(1, 15)</f>
        <v>43701</v>
      </c>
      <c r="G203" s="1" t="str">
        <f ca="1">IF(RAND() &lt; 0.5,  Table1[[#This Row],[Join Date]]+ RANDBETWEEN(30, TODAY()- Table1[[#This Row],[Join Date]]), "-")</f>
        <v>-</v>
      </c>
      <c r="H203" t="str">
        <f ca="1">IF(Table1[[#This Row],[Exit Date]]= "-", "Active", "Exited")</f>
        <v>Active</v>
      </c>
      <c r="I203" s="5">
        <f t="shared" ca="1" si="29"/>
        <v>2307</v>
      </c>
      <c r="J203" t="str" cm="1">
        <f t="array" aca="1" ref="J203" ca="1">INDEX(sheet2!$C$2:$C$6, RANDBETWEEN(1, 5))</f>
        <v>Leadership Development</v>
      </c>
      <c r="K203" t="str">
        <f t="shared" ca="1" si="30"/>
        <v>Completed</v>
      </c>
      <c r="L203">
        <v>260</v>
      </c>
      <c r="M203">
        <f t="shared" ca="1" si="32"/>
        <v>1</v>
      </c>
      <c r="N203" t="str">
        <f t="shared" ca="1" si="33"/>
        <v>Male</v>
      </c>
      <c r="O203" s="6">
        <f t="shared" ca="1" si="34"/>
        <v>2240</v>
      </c>
      <c r="P203">
        <f ca="1">Table1[[#This Row],[Hire Date]]-Table1[[#This Row],[Job Posting Date]]</f>
        <v>59</v>
      </c>
      <c r="Q203" s="7">
        <f ca="1">Table1[[#This Row],[Join Date]]-Table1[[#This Row],[Hire Date]]</f>
        <v>8</v>
      </c>
      <c r="R203" s="8">
        <f ca="1">(IF(Table1[[#This Row],[Status]]="Exited",Table1[[#This Row],[Exit Date]]-Table1[[#This Row],[Join Date]],TODAY()-Table1[[#This Row],[Join Date]]))/30</f>
        <v>65.400000000000006</v>
      </c>
      <c r="S203">
        <f ca="1">Table1[[#This Row],[Hire Date]]-Table1[[#This Row],[Job Posting Date]]</f>
        <v>59</v>
      </c>
      <c r="T203" s="7">
        <f ca="1">Table1[[#This Row],[Time to onboard]]/Table1[[#This Row],[Time to Fill]]*100</f>
        <v>13.559322033898304</v>
      </c>
      <c r="U203" s="8">
        <f ca="1">Table1[[#This Row],[Time to onboard]]/Table1[[#This Row],[Time to Fill]]*100</f>
        <v>13.559322033898304</v>
      </c>
      <c r="V203">
        <f ca="1">Table1[[#This Row],[Join Date]]-Table1[[#This Row],[Job Posting Date]]</f>
        <v>67</v>
      </c>
      <c r="W203">
        <f t="shared" ca="1" si="35"/>
        <v>172</v>
      </c>
      <c r="X203" s="8">
        <f ca="1">Table1[[#This Row],[Absentee Days]]/Table1[[#This Row],[Total Work Days]]*100</f>
        <v>0.38461538461538464</v>
      </c>
      <c r="Y203">
        <f ca="1">YEAR(Table1[[#This Row],[Join Date]])</f>
        <v>2019</v>
      </c>
      <c r="Z203">
        <f ca="1">IF(Table1[[#This Row],[Status]]="Active",1,0)</f>
        <v>1</v>
      </c>
      <c r="AA203">
        <f ca="1">IF(Table1[[#This Row],[Status]]="Exited",Table1[[#This Row],[Recruitment Cost]]+Table1[[#This Row],[Onboarding cost]]+Table1[[#This Row],[Training Cost]],0)</f>
        <v>0</v>
      </c>
    </row>
    <row r="204" spans="1:27">
      <c r="A204" t="str">
        <f t="shared" si="31"/>
        <v>E203</v>
      </c>
      <c r="B204" t="str" cm="1">
        <f t="array" aca="1" ref="B204" ca="1">INDEX(sheet2!$A$2:$A$6, RANDBETWEEN(1, 5))</f>
        <v>Finance</v>
      </c>
      <c r="C204" t="str">
        <f ca="1">_xlfn.XLOOKUP(Table1[[#This Row],[Department]],sheet2!$A$2:$A$6,sheet2!$B$2:$B$6,_xleta.NA,0)</f>
        <v>Finance Manager</v>
      </c>
      <c r="D204" s="1">
        <f t="shared" ca="1" si="28"/>
        <v>44356</v>
      </c>
      <c r="E204" s="1">
        <f ca="1">Table1[[#This Row],[Job Posting Date]]+ RANDBETWEEN(15, 90)</f>
        <v>44388</v>
      </c>
      <c r="F204" s="1">
        <f ca="1">Table1[[#This Row],[Hire Date]]+ RANDBETWEEN(1, 15)</f>
        <v>44397</v>
      </c>
      <c r="G204" s="1">
        <f ca="1">IF(RAND() &lt; 0.5,  Table1[[#This Row],[Join Date]]+ RANDBETWEEN(30, TODAY()- Table1[[#This Row],[Join Date]]), "-")</f>
        <v>44540</v>
      </c>
      <c r="H204" t="str">
        <f ca="1">IF(Table1[[#This Row],[Exit Date]]= "-", "Active", "Exited")</f>
        <v>Exited</v>
      </c>
      <c r="I204" s="5">
        <f t="shared" ca="1" si="29"/>
        <v>2694</v>
      </c>
      <c r="J204" t="str" cm="1">
        <f t="array" aca="1" ref="J204" ca="1">INDEX(sheet2!$C$2:$C$6, RANDBETWEEN(1, 5))</f>
        <v>Advanced Excel Skills </v>
      </c>
      <c r="K204" t="str">
        <f t="shared" ca="1" si="30"/>
        <v>Completed</v>
      </c>
      <c r="L204">
        <v>260</v>
      </c>
      <c r="M204">
        <f t="shared" ca="1" si="32"/>
        <v>15</v>
      </c>
      <c r="N204" t="str">
        <f t="shared" ca="1" si="33"/>
        <v>Male</v>
      </c>
      <c r="O204" s="6">
        <f t="shared" ca="1" si="34"/>
        <v>1764</v>
      </c>
      <c r="P204">
        <f ca="1">Table1[[#This Row],[Hire Date]]-Table1[[#This Row],[Job Posting Date]]</f>
        <v>32</v>
      </c>
      <c r="Q204" s="7">
        <f ca="1">Table1[[#This Row],[Join Date]]-Table1[[#This Row],[Hire Date]]</f>
        <v>9</v>
      </c>
      <c r="R204" s="8">
        <f ca="1">(IF(Table1[[#This Row],[Status]]="Exited",Table1[[#This Row],[Exit Date]]-Table1[[#This Row],[Join Date]],TODAY()-Table1[[#This Row],[Join Date]]))/30</f>
        <v>4.7666666666666666</v>
      </c>
      <c r="S204">
        <f ca="1">Table1[[#This Row],[Hire Date]]-Table1[[#This Row],[Job Posting Date]]</f>
        <v>32</v>
      </c>
      <c r="T204" s="7">
        <f ca="1">Table1[[#This Row],[Time to onboard]]/Table1[[#This Row],[Time to Fill]]*100</f>
        <v>28.125</v>
      </c>
      <c r="U204" s="8">
        <f ca="1">Table1[[#This Row],[Time to onboard]]/Table1[[#This Row],[Time to Fill]]*100</f>
        <v>28.125</v>
      </c>
      <c r="V204">
        <f ca="1">Table1[[#This Row],[Join Date]]-Table1[[#This Row],[Job Posting Date]]</f>
        <v>41</v>
      </c>
      <c r="W204">
        <f t="shared" ca="1" si="35"/>
        <v>127</v>
      </c>
      <c r="X204" s="8">
        <f ca="1">Table1[[#This Row],[Absentee Days]]/Table1[[#This Row],[Total Work Days]]*100</f>
        <v>5.7692307692307692</v>
      </c>
      <c r="Y204">
        <f ca="1">YEAR(Table1[[#This Row],[Join Date]])</f>
        <v>2021</v>
      </c>
      <c r="Z204">
        <f ca="1">IF(Table1[[#This Row],[Status]]="Active",1,0)</f>
        <v>0</v>
      </c>
      <c r="AA204">
        <f ca="1">IF(Table1[[#This Row],[Status]]="Exited",Table1[[#This Row],[Recruitment Cost]]+Table1[[#This Row],[Onboarding cost]]+Table1[[#This Row],[Training Cost]],0)</f>
        <v>4585</v>
      </c>
    </row>
    <row r="205" spans="1:27">
      <c r="A205" t="str">
        <f t="shared" si="31"/>
        <v>E204</v>
      </c>
      <c r="B205" t="str" cm="1">
        <f t="array" aca="1" ref="B205" ca="1">INDEX(sheet2!$A$2:$A$6, RANDBETWEEN(1, 5))</f>
        <v>IT</v>
      </c>
      <c r="C205" t="str">
        <f ca="1">_xlfn.XLOOKUP(Table1[[#This Row],[Department]],sheet2!$A$2:$A$6,sheet2!$B$2:$B$6,_xleta.NA,0)</f>
        <v>Software Engineer</v>
      </c>
      <c r="D205" s="1">
        <f t="shared" ca="1" si="28"/>
        <v>43576</v>
      </c>
      <c r="E205" s="1">
        <f ca="1">Table1[[#This Row],[Job Posting Date]]+ RANDBETWEEN(15, 90)</f>
        <v>43651</v>
      </c>
      <c r="F205" s="1">
        <f ca="1">Table1[[#This Row],[Hire Date]]+ RANDBETWEEN(1, 15)</f>
        <v>43657</v>
      </c>
      <c r="G205" s="1">
        <f ca="1">IF(RAND() &lt; 0.5,  Table1[[#This Row],[Join Date]]+ RANDBETWEEN(30, TODAY()- Table1[[#This Row],[Join Date]]), "-")</f>
        <v>45201</v>
      </c>
      <c r="H205" t="str">
        <f ca="1">IF(Table1[[#This Row],[Exit Date]]= "-", "Active", "Exited")</f>
        <v>Exited</v>
      </c>
      <c r="I205" s="5">
        <f t="shared" ca="1" si="29"/>
        <v>4820</v>
      </c>
      <c r="J205" t="str" cm="1">
        <f t="array" aca="1" ref="J205" ca="1">INDEX(sheet2!$C$2:$C$6, RANDBETWEEN(1, 5))</f>
        <v>Advanced Excel Skills </v>
      </c>
      <c r="K205" t="str">
        <f t="shared" ca="1" si="30"/>
        <v>Completed</v>
      </c>
      <c r="L205">
        <v>260</v>
      </c>
      <c r="M205">
        <f t="shared" ca="1" si="32"/>
        <v>0</v>
      </c>
      <c r="N205" t="str">
        <f t="shared" ca="1" si="33"/>
        <v>Other</v>
      </c>
      <c r="O205" s="6">
        <f t="shared" ca="1" si="34"/>
        <v>1812</v>
      </c>
      <c r="P205">
        <f ca="1">Table1[[#This Row],[Hire Date]]-Table1[[#This Row],[Job Posting Date]]</f>
        <v>75</v>
      </c>
      <c r="Q205" s="7">
        <f ca="1">Table1[[#This Row],[Join Date]]-Table1[[#This Row],[Hire Date]]</f>
        <v>6</v>
      </c>
      <c r="R205" s="8">
        <f ca="1">(IF(Table1[[#This Row],[Status]]="Exited",Table1[[#This Row],[Exit Date]]-Table1[[#This Row],[Join Date]],TODAY()-Table1[[#This Row],[Join Date]]))/30</f>
        <v>51.466666666666669</v>
      </c>
      <c r="S205">
        <f ca="1">Table1[[#This Row],[Hire Date]]-Table1[[#This Row],[Job Posting Date]]</f>
        <v>75</v>
      </c>
      <c r="T205" s="7">
        <f ca="1">Table1[[#This Row],[Time to onboard]]/Table1[[#This Row],[Time to Fill]]*100</f>
        <v>8</v>
      </c>
      <c r="U205" s="8">
        <f ca="1">Table1[[#This Row],[Time to onboard]]/Table1[[#This Row],[Time to Fill]]*100</f>
        <v>8</v>
      </c>
      <c r="V205">
        <f ca="1">Table1[[#This Row],[Join Date]]-Table1[[#This Row],[Job Posting Date]]</f>
        <v>81</v>
      </c>
      <c r="W205">
        <f t="shared" ca="1" si="35"/>
        <v>139</v>
      </c>
      <c r="X205" s="8">
        <f ca="1">Table1[[#This Row],[Absentee Days]]/Table1[[#This Row],[Total Work Days]]*100</f>
        <v>0</v>
      </c>
      <c r="Y205">
        <f ca="1">YEAR(Table1[[#This Row],[Join Date]])</f>
        <v>2019</v>
      </c>
      <c r="Z205">
        <f ca="1">IF(Table1[[#This Row],[Status]]="Active",1,0)</f>
        <v>0</v>
      </c>
      <c r="AA205">
        <f ca="1">IF(Table1[[#This Row],[Status]]="Exited",Table1[[#This Row],[Recruitment Cost]]+Table1[[#This Row],[Onboarding cost]]+Table1[[#This Row],[Training Cost]],0)</f>
        <v>6771</v>
      </c>
    </row>
    <row r="206" spans="1:27">
      <c r="A206" t="str">
        <f t="shared" si="31"/>
        <v>E205</v>
      </c>
      <c r="B206" t="str" cm="1">
        <f t="array" aca="1" ref="B206" ca="1">INDEX(sheet2!$A$2:$A$6, RANDBETWEEN(1, 5))</f>
        <v>Sales</v>
      </c>
      <c r="C206" t="str">
        <f ca="1">_xlfn.XLOOKUP(Table1[[#This Row],[Department]],sheet2!$A$2:$A$6,sheet2!$B$2:$B$6,_xleta.NA,0)</f>
        <v>Marketing Manager</v>
      </c>
      <c r="D206" s="1">
        <f t="shared" ca="1" si="28"/>
        <v>44735</v>
      </c>
      <c r="E206" s="1">
        <f ca="1">Table1[[#This Row],[Job Posting Date]]+ RANDBETWEEN(15, 90)</f>
        <v>44811</v>
      </c>
      <c r="F206" s="1">
        <f ca="1">Table1[[#This Row],[Hire Date]]+ RANDBETWEEN(1, 15)</f>
        <v>44824</v>
      </c>
      <c r="G206" s="1">
        <f ca="1">IF(RAND() &lt; 0.5,  Table1[[#This Row],[Join Date]]+ RANDBETWEEN(30, TODAY()- Table1[[#This Row],[Join Date]]), "-")</f>
        <v>44933</v>
      </c>
      <c r="H206" t="str">
        <f ca="1">IF(Table1[[#This Row],[Exit Date]]= "-", "Active", "Exited")</f>
        <v>Exited</v>
      </c>
      <c r="I206" s="5">
        <f t="shared" ca="1" si="29"/>
        <v>1881</v>
      </c>
      <c r="J206" t="str" cm="1">
        <f t="array" aca="1" ref="J206" ca="1">INDEX(sheet2!$C$2:$C$6, RANDBETWEEN(1, 5))</f>
        <v>Leadership Development</v>
      </c>
      <c r="K206" t="str">
        <f t="shared" ca="1" si="30"/>
        <v>Completed</v>
      </c>
      <c r="L206">
        <v>260</v>
      </c>
      <c r="M206">
        <f t="shared" ca="1" si="32"/>
        <v>14</v>
      </c>
      <c r="N206" t="str">
        <f t="shared" ca="1" si="33"/>
        <v>Other</v>
      </c>
      <c r="O206" s="6">
        <f t="shared" ca="1" si="34"/>
        <v>1995</v>
      </c>
      <c r="P206">
        <f ca="1">Table1[[#This Row],[Hire Date]]-Table1[[#This Row],[Job Posting Date]]</f>
        <v>76</v>
      </c>
      <c r="Q206" s="7">
        <f ca="1">Table1[[#This Row],[Join Date]]-Table1[[#This Row],[Hire Date]]</f>
        <v>13</v>
      </c>
      <c r="R206" s="8">
        <f ca="1">(IF(Table1[[#This Row],[Status]]="Exited",Table1[[#This Row],[Exit Date]]-Table1[[#This Row],[Join Date]],TODAY()-Table1[[#This Row],[Join Date]]))/30</f>
        <v>3.6333333333333333</v>
      </c>
      <c r="S206">
        <f ca="1">Table1[[#This Row],[Hire Date]]-Table1[[#This Row],[Job Posting Date]]</f>
        <v>76</v>
      </c>
      <c r="T206" s="7">
        <f ca="1">Table1[[#This Row],[Time to onboard]]/Table1[[#This Row],[Time to Fill]]*100</f>
        <v>17.105263157894736</v>
      </c>
      <c r="U206" s="8">
        <f ca="1">Table1[[#This Row],[Time to onboard]]/Table1[[#This Row],[Time to Fill]]*100</f>
        <v>17.105263157894736</v>
      </c>
      <c r="V206">
        <f ca="1">Table1[[#This Row],[Join Date]]-Table1[[#This Row],[Job Posting Date]]</f>
        <v>89</v>
      </c>
      <c r="W206">
        <f t="shared" ca="1" si="35"/>
        <v>177</v>
      </c>
      <c r="X206" s="8">
        <f ca="1">Table1[[#This Row],[Absentee Days]]/Table1[[#This Row],[Total Work Days]]*100</f>
        <v>5.384615384615385</v>
      </c>
      <c r="Y206">
        <f ca="1">YEAR(Table1[[#This Row],[Join Date]])</f>
        <v>2022</v>
      </c>
      <c r="Z206">
        <f ca="1">IF(Table1[[#This Row],[Status]]="Active",1,0)</f>
        <v>0</v>
      </c>
      <c r="AA206">
        <f ca="1">IF(Table1[[#This Row],[Status]]="Exited",Table1[[#This Row],[Recruitment Cost]]+Table1[[#This Row],[Onboarding cost]]+Table1[[#This Row],[Training Cost]],0)</f>
        <v>4053</v>
      </c>
    </row>
    <row r="207" spans="1:27">
      <c r="A207" t="str">
        <f t="shared" si="31"/>
        <v>E206</v>
      </c>
      <c r="B207" t="str" cm="1">
        <f t="array" aca="1" ref="B207" ca="1">INDEX(sheet2!$A$2:$A$6, RANDBETWEEN(1, 5))</f>
        <v>Finance</v>
      </c>
      <c r="C207" t="str">
        <f ca="1">_xlfn.XLOOKUP(Table1[[#This Row],[Department]],sheet2!$A$2:$A$6,sheet2!$B$2:$B$6,_xleta.NA,0)</f>
        <v>Finance Manager</v>
      </c>
      <c r="D207" s="1">
        <f t="shared" ca="1" si="28"/>
        <v>43209</v>
      </c>
      <c r="E207" s="1">
        <f ca="1">Table1[[#This Row],[Job Posting Date]]+ RANDBETWEEN(15, 90)</f>
        <v>43235</v>
      </c>
      <c r="F207" s="1">
        <f ca="1">Table1[[#This Row],[Hire Date]]+ RANDBETWEEN(1, 15)</f>
        <v>43236</v>
      </c>
      <c r="G207" s="1">
        <f ca="1">IF(RAND() &lt; 0.5,  Table1[[#This Row],[Join Date]]+ RANDBETWEEN(30, TODAY()- Table1[[#This Row],[Join Date]]), "-")</f>
        <v>44478</v>
      </c>
      <c r="H207" t="str">
        <f ca="1">IF(Table1[[#This Row],[Exit Date]]= "-", "Active", "Exited")</f>
        <v>Exited</v>
      </c>
      <c r="I207" s="5">
        <f t="shared" ca="1" si="29"/>
        <v>2558</v>
      </c>
      <c r="J207" t="str" cm="1">
        <f t="array" aca="1" ref="J207" ca="1">INDEX(sheet2!$C$2:$C$6, RANDBETWEEN(1, 5))</f>
        <v>Advanced Excel Skills </v>
      </c>
      <c r="K207" t="str">
        <f t="shared" ca="1" si="30"/>
        <v>Not Completed</v>
      </c>
      <c r="L207">
        <v>260</v>
      </c>
      <c r="M207">
        <f t="shared" ca="1" si="32"/>
        <v>15</v>
      </c>
      <c r="N207" t="str">
        <f t="shared" ca="1" si="33"/>
        <v>Other</v>
      </c>
      <c r="O207" s="6">
        <f t="shared" ca="1" si="34"/>
        <v>1440</v>
      </c>
      <c r="P207">
        <f ca="1">Table1[[#This Row],[Hire Date]]-Table1[[#This Row],[Job Posting Date]]</f>
        <v>26</v>
      </c>
      <c r="Q207" s="7">
        <f ca="1">Table1[[#This Row],[Join Date]]-Table1[[#This Row],[Hire Date]]</f>
        <v>1</v>
      </c>
      <c r="R207" s="8">
        <f ca="1">(IF(Table1[[#This Row],[Status]]="Exited",Table1[[#This Row],[Exit Date]]-Table1[[#This Row],[Join Date]],TODAY()-Table1[[#This Row],[Join Date]]))/30</f>
        <v>41.4</v>
      </c>
      <c r="S207">
        <f ca="1">Table1[[#This Row],[Hire Date]]-Table1[[#This Row],[Job Posting Date]]</f>
        <v>26</v>
      </c>
      <c r="T207" s="7">
        <f ca="1">Table1[[#This Row],[Time to onboard]]/Table1[[#This Row],[Time to Fill]]*100</f>
        <v>3.8461538461538463</v>
      </c>
      <c r="U207" s="8">
        <f ca="1">Table1[[#This Row],[Time to onboard]]/Table1[[#This Row],[Time to Fill]]*100</f>
        <v>3.8461538461538463</v>
      </c>
      <c r="V207">
        <f ca="1">Table1[[#This Row],[Join Date]]-Table1[[#This Row],[Job Posting Date]]</f>
        <v>27</v>
      </c>
      <c r="W207">
        <f t="shared" ca="1" si="35"/>
        <v>200</v>
      </c>
      <c r="X207" s="8">
        <f ca="1">Table1[[#This Row],[Absentee Days]]/Table1[[#This Row],[Total Work Days]]*100</f>
        <v>5.7692307692307692</v>
      </c>
      <c r="Y207">
        <f ca="1">YEAR(Table1[[#This Row],[Join Date]])</f>
        <v>2018</v>
      </c>
      <c r="Z207">
        <f ca="1">IF(Table1[[#This Row],[Status]]="Active",1,0)</f>
        <v>0</v>
      </c>
      <c r="AA207">
        <f ca="1">IF(Table1[[#This Row],[Status]]="Exited",Table1[[#This Row],[Recruitment Cost]]+Table1[[#This Row],[Onboarding cost]]+Table1[[#This Row],[Training Cost]],0)</f>
        <v>4198</v>
      </c>
    </row>
    <row r="208" spans="1:27">
      <c r="A208" t="str">
        <f t="shared" si="31"/>
        <v>E207</v>
      </c>
      <c r="B208" t="str" cm="1">
        <f t="array" aca="1" ref="B208" ca="1">INDEX(sheet2!$A$2:$A$6, RANDBETWEEN(1, 5))</f>
        <v>Analytics</v>
      </c>
      <c r="C208" t="str">
        <f ca="1">_xlfn.XLOOKUP(Table1[[#This Row],[Department]],sheet2!$A$2:$A$6,sheet2!$B$2:$B$6,_xleta.NA,0)</f>
        <v>Data Analyst</v>
      </c>
      <c r="D208" s="1">
        <f t="shared" ca="1" si="28"/>
        <v>44539</v>
      </c>
      <c r="E208" s="1">
        <f ca="1">Table1[[#This Row],[Job Posting Date]]+ RANDBETWEEN(15, 90)</f>
        <v>44594</v>
      </c>
      <c r="F208" s="1">
        <f ca="1">Table1[[#This Row],[Hire Date]]+ RANDBETWEEN(1, 15)</f>
        <v>44595</v>
      </c>
      <c r="G208" s="1">
        <f ca="1">IF(RAND() &lt; 0.5,  Table1[[#This Row],[Join Date]]+ RANDBETWEEN(30, TODAY()- Table1[[#This Row],[Join Date]]), "-")</f>
        <v>45357</v>
      </c>
      <c r="H208" t="str">
        <f ca="1">IF(Table1[[#This Row],[Exit Date]]= "-", "Active", "Exited")</f>
        <v>Exited</v>
      </c>
      <c r="I208" s="5">
        <f t="shared" ca="1" si="29"/>
        <v>2337</v>
      </c>
      <c r="J208" t="str" cm="1">
        <f t="array" aca="1" ref="J208" ca="1">INDEX(sheet2!$C$2:$C$6, RANDBETWEEN(1, 5))</f>
        <v>Ethics and Responsibilities</v>
      </c>
      <c r="K208" t="str">
        <f t="shared" ca="1" si="30"/>
        <v>Not Completed</v>
      </c>
      <c r="L208">
        <v>260</v>
      </c>
      <c r="M208">
        <f t="shared" ca="1" si="32"/>
        <v>12</v>
      </c>
      <c r="N208" t="str">
        <f t="shared" ca="1" si="33"/>
        <v>Male</v>
      </c>
      <c r="O208" s="6">
        <f t="shared" ca="1" si="34"/>
        <v>1930</v>
      </c>
      <c r="P208">
        <f ca="1">Table1[[#This Row],[Hire Date]]-Table1[[#This Row],[Job Posting Date]]</f>
        <v>55</v>
      </c>
      <c r="Q208" s="7">
        <f ca="1">Table1[[#This Row],[Join Date]]-Table1[[#This Row],[Hire Date]]</f>
        <v>1</v>
      </c>
      <c r="R208" s="8">
        <f ca="1">(IF(Table1[[#This Row],[Status]]="Exited",Table1[[#This Row],[Exit Date]]-Table1[[#This Row],[Join Date]],TODAY()-Table1[[#This Row],[Join Date]]))/30</f>
        <v>25.4</v>
      </c>
      <c r="S208">
        <f ca="1">Table1[[#This Row],[Hire Date]]-Table1[[#This Row],[Job Posting Date]]</f>
        <v>55</v>
      </c>
      <c r="T208" s="7">
        <f ca="1">Table1[[#This Row],[Time to onboard]]/Table1[[#This Row],[Time to Fill]]*100</f>
        <v>1.8181818181818181</v>
      </c>
      <c r="U208" s="8">
        <f ca="1">Table1[[#This Row],[Time to onboard]]/Table1[[#This Row],[Time to Fill]]*100</f>
        <v>1.8181818181818181</v>
      </c>
      <c r="V208">
        <f ca="1">Table1[[#This Row],[Join Date]]-Table1[[#This Row],[Job Posting Date]]</f>
        <v>56</v>
      </c>
      <c r="W208">
        <f t="shared" ca="1" si="35"/>
        <v>170</v>
      </c>
      <c r="X208" s="8">
        <f ca="1">Table1[[#This Row],[Absentee Days]]/Table1[[#This Row],[Total Work Days]]*100</f>
        <v>4.6153846153846159</v>
      </c>
      <c r="Y208">
        <f ca="1">YEAR(Table1[[#This Row],[Join Date]])</f>
        <v>2022</v>
      </c>
      <c r="Z208">
        <f ca="1">IF(Table1[[#This Row],[Status]]="Active",1,0)</f>
        <v>0</v>
      </c>
      <c r="AA208">
        <f ca="1">IF(Table1[[#This Row],[Status]]="Exited",Table1[[#This Row],[Recruitment Cost]]+Table1[[#This Row],[Onboarding cost]]+Table1[[#This Row],[Training Cost]],0)</f>
        <v>4437</v>
      </c>
    </row>
    <row r="209" spans="1:27">
      <c r="A209" t="str">
        <f t="shared" si="31"/>
        <v>E208</v>
      </c>
      <c r="B209" t="str" cm="1">
        <f t="array" aca="1" ref="B209" ca="1">INDEX(sheet2!$A$2:$A$6, RANDBETWEEN(1, 5))</f>
        <v>IT</v>
      </c>
      <c r="C209" t="str">
        <f ca="1">_xlfn.XLOOKUP(Table1[[#This Row],[Department]],sheet2!$A$2:$A$6,sheet2!$B$2:$B$6,_xleta.NA,0)</f>
        <v>Software Engineer</v>
      </c>
      <c r="D209" s="1">
        <f t="shared" ca="1" si="28"/>
        <v>44606</v>
      </c>
      <c r="E209" s="1">
        <f ca="1">Table1[[#This Row],[Job Posting Date]]+ RANDBETWEEN(15, 90)</f>
        <v>44646</v>
      </c>
      <c r="F209" s="1">
        <f ca="1">Table1[[#This Row],[Hire Date]]+ RANDBETWEEN(1, 15)</f>
        <v>44651</v>
      </c>
      <c r="G209" s="1">
        <f ca="1">IF(RAND() &lt; 0.5,  Table1[[#This Row],[Join Date]]+ RANDBETWEEN(30, TODAY()- Table1[[#This Row],[Join Date]]), "-")</f>
        <v>45556</v>
      </c>
      <c r="H209" t="str">
        <f ca="1">IF(Table1[[#This Row],[Exit Date]]= "-", "Active", "Exited")</f>
        <v>Exited</v>
      </c>
      <c r="I209" s="5">
        <f t="shared" ca="1" si="29"/>
        <v>4293</v>
      </c>
      <c r="J209" t="str" cm="1">
        <f t="array" aca="1" ref="J209" ca="1">INDEX(sheet2!$C$2:$C$6, RANDBETWEEN(1, 5))</f>
        <v>Communication Skills</v>
      </c>
      <c r="K209" t="str">
        <f t="shared" ca="1" si="30"/>
        <v>Completed</v>
      </c>
      <c r="L209">
        <v>260</v>
      </c>
      <c r="M209">
        <f t="shared" ca="1" si="32"/>
        <v>18</v>
      </c>
      <c r="N209" t="str">
        <f t="shared" ca="1" si="33"/>
        <v>Female</v>
      </c>
      <c r="O209" s="6">
        <f t="shared" ca="1" si="34"/>
        <v>2393</v>
      </c>
      <c r="P209">
        <f ca="1">Table1[[#This Row],[Hire Date]]-Table1[[#This Row],[Job Posting Date]]</f>
        <v>40</v>
      </c>
      <c r="Q209" s="7">
        <f ca="1">Table1[[#This Row],[Join Date]]-Table1[[#This Row],[Hire Date]]</f>
        <v>5</v>
      </c>
      <c r="R209" s="8">
        <f ca="1">(IF(Table1[[#This Row],[Status]]="Exited",Table1[[#This Row],[Exit Date]]-Table1[[#This Row],[Join Date]],TODAY()-Table1[[#This Row],[Join Date]]))/30</f>
        <v>30.166666666666668</v>
      </c>
      <c r="S209">
        <f ca="1">Table1[[#This Row],[Hire Date]]-Table1[[#This Row],[Job Posting Date]]</f>
        <v>40</v>
      </c>
      <c r="T209" s="7">
        <f ca="1">Table1[[#This Row],[Time to onboard]]/Table1[[#This Row],[Time to Fill]]*100</f>
        <v>12.5</v>
      </c>
      <c r="U209" s="8">
        <f ca="1">Table1[[#This Row],[Time to onboard]]/Table1[[#This Row],[Time to Fill]]*100</f>
        <v>12.5</v>
      </c>
      <c r="V209">
        <f ca="1">Table1[[#This Row],[Join Date]]-Table1[[#This Row],[Job Posting Date]]</f>
        <v>45</v>
      </c>
      <c r="W209">
        <f t="shared" ca="1" si="35"/>
        <v>136</v>
      </c>
      <c r="X209" s="8">
        <f ca="1">Table1[[#This Row],[Absentee Days]]/Table1[[#This Row],[Total Work Days]]*100</f>
        <v>6.9230769230769234</v>
      </c>
      <c r="Y209">
        <f ca="1">YEAR(Table1[[#This Row],[Join Date]])</f>
        <v>2022</v>
      </c>
      <c r="Z209">
        <f ca="1">IF(Table1[[#This Row],[Status]]="Active",1,0)</f>
        <v>0</v>
      </c>
      <c r="AA209">
        <f ca="1">IF(Table1[[#This Row],[Status]]="Exited",Table1[[#This Row],[Recruitment Cost]]+Table1[[#This Row],[Onboarding cost]]+Table1[[#This Row],[Training Cost]],0)</f>
        <v>6822</v>
      </c>
    </row>
    <row r="210" spans="1:27">
      <c r="A210" t="str">
        <f t="shared" si="31"/>
        <v>E209</v>
      </c>
      <c r="B210" t="str" cm="1">
        <f t="array" aca="1" ref="B210" ca="1">INDEX(sheet2!$A$2:$A$6, RANDBETWEEN(1, 5))</f>
        <v>IT</v>
      </c>
      <c r="C210" t="str">
        <f ca="1">_xlfn.XLOOKUP(Table1[[#This Row],[Department]],sheet2!$A$2:$A$6,sheet2!$B$2:$B$6,_xleta.NA,0)</f>
        <v>Software Engineer</v>
      </c>
      <c r="D210" s="1">
        <f t="shared" ca="1" si="28"/>
        <v>44784</v>
      </c>
      <c r="E210" s="1">
        <f ca="1">Table1[[#This Row],[Job Posting Date]]+ RANDBETWEEN(15, 90)</f>
        <v>44854</v>
      </c>
      <c r="F210" s="1">
        <f ca="1">Table1[[#This Row],[Hire Date]]+ RANDBETWEEN(1, 15)</f>
        <v>44858</v>
      </c>
      <c r="G210" s="1" t="str">
        <f ca="1">IF(RAND() &lt; 0.5,  Table1[[#This Row],[Join Date]]+ RANDBETWEEN(30, TODAY()- Table1[[#This Row],[Join Date]]), "-")</f>
        <v>-</v>
      </c>
      <c r="H210" t="str">
        <f ca="1">IF(Table1[[#This Row],[Exit Date]]= "-", "Active", "Exited")</f>
        <v>Active</v>
      </c>
      <c r="I210" s="5">
        <f t="shared" ca="1" si="29"/>
        <v>2398</v>
      </c>
      <c r="J210" t="str" cm="1">
        <f t="array" aca="1" ref="J210" ca="1">INDEX(sheet2!$C$2:$C$6, RANDBETWEEN(1, 5))</f>
        <v>Communication Skills</v>
      </c>
      <c r="K210" t="str">
        <f t="shared" ca="1" si="30"/>
        <v>Completed</v>
      </c>
      <c r="L210">
        <v>260</v>
      </c>
      <c r="M210">
        <f t="shared" ca="1" si="32"/>
        <v>17</v>
      </c>
      <c r="N210" t="str">
        <f t="shared" ca="1" si="33"/>
        <v>Female</v>
      </c>
      <c r="O210" s="6">
        <f t="shared" ca="1" si="34"/>
        <v>2209</v>
      </c>
      <c r="P210">
        <f ca="1">Table1[[#This Row],[Hire Date]]-Table1[[#This Row],[Job Posting Date]]</f>
        <v>70</v>
      </c>
      <c r="Q210" s="7">
        <f ca="1">Table1[[#This Row],[Join Date]]-Table1[[#This Row],[Hire Date]]</f>
        <v>4</v>
      </c>
      <c r="R210" s="8">
        <f ca="1">(IF(Table1[[#This Row],[Status]]="Exited",Table1[[#This Row],[Exit Date]]-Table1[[#This Row],[Join Date]],TODAY()-Table1[[#This Row],[Join Date]]))/30</f>
        <v>26.833333333333332</v>
      </c>
      <c r="S210">
        <f ca="1">Table1[[#This Row],[Hire Date]]-Table1[[#This Row],[Job Posting Date]]</f>
        <v>70</v>
      </c>
      <c r="T210" s="7">
        <f ca="1">Table1[[#This Row],[Time to onboard]]/Table1[[#This Row],[Time to Fill]]*100</f>
        <v>5.7142857142857144</v>
      </c>
      <c r="U210" s="8">
        <f ca="1">Table1[[#This Row],[Time to onboard]]/Table1[[#This Row],[Time to Fill]]*100</f>
        <v>5.7142857142857144</v>
      </c>
      <c r="V210">
        <f ca="1">Table1[[#This Row],[Join Date]]-Table1[[#This Row],[Job Posting Date]]</f>
        <v>74</v>
      </c>
      <c r="W210">
        <f t="shared" ca="1" si="35"/>
        <v>188</v>
      </c>
      <c r="X210" s="8">
        <f ca="1">Table1[[#This Row],[Absentee Days]]/Table1[[#This Row],[Total Work Days]]*100</f>
        <v>6.5384615384615392</v>
      </c>
      <c r="Y210">
        <f ca="1">YEAR(Table1[[#This Row],[Join Date]])</f>
        <v>2022</v>
      </c>
      <c r="Z210">
        <f ca="1">IF(Table1[[#This Row],[Status]]="Active",1,0)</f>
        <v>1</v>
      </c>
      <c r="AA210">
        <f ca="1">IF(Table1[[#This Row],[Status]]="Exited",Table1[[#This Row],[Recruitment Cost]]+Table1[[#This Row],[Onboarding cost]]+Table1[[#This Row],[Training Cost]],0)</f>
        <v>0</v>
      </c>
    </row>
    <row r="211" spans="1:27">
      <c r="A211" t="str">
        <f t="shared" si="31"/>
        <v>E210</v>
      </c>
      <c r="B211" t="str" cm="1">
        <f t="array" aca="1" ref="B211" ca="1">INDEX(sheet2!$A$2:$A$6, RANDBETWEEN(1, 5))</f>
        <v>Finance</v>
      </c>
      <c r="C211" t="str">
        <f ca="1">_xlfn.XLOOKUP(Table1[[#This Row],[Department]],sheet2!$A$2:$A$6,sheet2!$B$2:$B$6,_xleta.NA,0)</f>
        <v>Finance Manager</v>
      </c>
      <c r="D211" s="1">
        <f t="shared" ca="1" si="28"/>
        <v>43673</v>
      </c>
      <c r="E211" s="1">
        <f ca="1">Table1[[#This Row],[Job Posting Date]]+ RANDBETWEEN(15, 90)</f>
        <v>43696</v>
      </c>
      <c r="F211" s="1">
        <f ca="1">Table1[[#This Row],[Hire Date]]+ RANDBETWEEN(1, 15)</f>
        <v>43706</v>
      </c>
      <c r="G211" s="1" t="str">
        <f ca="1">IF(RAND() &lt; 0.5,  Table1[[#This Row],[Join Date]]+ RANDBETWEEN(30, TODAY()- Table1[[#This Row],[Join Date]]), "-")</f>
        <v>-</v>
      </c>
      <c r="H211" t="str">
        <f ca="1">IF(Table1[[#This Row],[Exit Date]]= "-", "Active", "Exited")</f>
        <v>Active</v>
      </c>
      <c r="I211" s="5">
        <f t="shared" ca="1" si="29"/>
        <v>4698</v>
      </c>
      <c r="J211" t="str" cm="1">
        <f t="array" aca="1" ref="J211" ca="1">INDEX(sheet2!$C$2:$C$6, RANDBETWEEN(1, 5))</f>
        <v>Communication Skills</v>
      </c>
      <c r="K211" t="str">
        <f t="shared" ca="1" si="30"/>
        <v>Not Completed</v>
      </c>
      <c r="L211">
        <v>260</v>
      </c>
      <c r="M211">
        <f t="shared" ca="1" si="32"/>
        <v>7</v>
      </c>
      <c r="N211" t="str">
        <f t="shared" ca="1" si="33"/>
        <v>Other</v>
      </c>
      <c r="O211" s="6">
        <f t="shared" ca="1" si="34"/>
        <v>1913</v>
      </c>
      <c r="P211">
        <f ca="1">Table1[[#This Row],[Hire Date]]-Table1[[#This Row],[Job Posting Date]]</f>
        <v>23</v>
      </c>
      <c r="Q211" s="7">
        <f ca="1">Table1[[#This Row],[Join Date]]-Table1[[#This Row],[Hire Date]]</f>
        <v>10</v>
      </c>
      <c r="R211" s="8">
        <f ca="1">(IF(Table1[[#This Row],[Status]]="Exited",Table1[[#This Row],[Exit Date]]-Table1[[#This Row],[Join Date]],TODAY()-Table1[[#This Row],[Join Date]]))/30</f>
        <v>65.233333333333334</v>
      </c>
      <c r="S211">
        <f ca="1">Table1[[#This Row],[Hire Date]]-Table1[[#This Row],[Job Posting Date]]</f>
        <v>23</v>
      </c>
      <c r="T211" s="7">
        <f ca="1">Table1[[#This Row],[Time to onboard]]/Table1[[#This Row],[Time to Fill]]*100</f>
        <v>43.478260869565219</v>
      </c>
      <c r="U211" s="8">
        <f ca="1">Table1[[#This Row],[Time to onboard]]/Table1[[#This Row],[Time to Fill]]*100</f>
        <v>43.478260869565219</v>
      </c>
      <c r="V211">
        <f ca="1">Table1[[#This Row],[Join Date]]-Table1[[#This Row],[Job Posting Date]]</f>
        <v>33</v>
      </c>
      <c r="W211">
        <f t="shared" ca="1" si="35"/>
        <v>139</v>
      </c>
      <c r="X211" s="8">
        <f ca="1">Table1[[#This Row],[Absentee Days]]/Table1[[#This Row],[Total Work Days]]*100</f>
        <v>2.6923076923076925</v>
      </c>
      <c r="Y211">
        <f ca="1">YEAR(Table1[[#This Row],[Join Date]])</f>
        <v>2019</v>
      </c>
      <c r="Z211">
        <f ca="1">IF(Table1[[#This Row],[Status]]="Active",1,0)</f>
        <v>1</v>
      </c>
      <c r="AA211">
        <f ca="1">IF(Table1[[#This Row],[Status]]="Exited",Table1[[#This Row],[Recruitment Cost]]+Table1[[#This Row],[Onboarding cost]]+Table1[[#This Row],[Training Cost]],0)</f>
        <v>0</v>
      </c>
    </row>
    <row r="212" spans="1:27">
      <c r="A212" t="str">
        <f t="shared" si="31"/>
        <v>E211</v>
      </c>
      <c r="B212" t="str" cm="1">
        <f t="array" aca="1" ref="B212" ca="1">INDEX(sheet2!$A$2:$A$6, RANDBETWEEN(1, 5))</f>
        <v>Analytics</v>
      </c>
      <c r="C212" t="str">
        <f ca="1">_xlfn.XLOOKUP(Table1[[#This Row],[Department]],sheet2!$A$2:$A$6,sheet2!$B$2:$B$6,_xleta.NA,0)</f>
        <v>Data Analyst</v>
      </c>
      <c r="D212" s="1">
        <f t="shared" ca="1" si="28"/>
        <v>44276</v>
      </c>
      <c r="E212" s="1">
        <f ca="1">Table1[[#This Row],[Job Posting Date]]+ RANDBETWEEN(15, 90)</f>
        <v>44326</v>
      </c>
      <c r="F212" s="1">
        <f ca="1">Table1[[#This Row],[Hire Date]]+ RANDBETWEEN(1, 15)</f>
        <v>44340</v>
      </c>
      <c r="G212" s="1" t="str">
        <f ca="1">IF(RAND() &lt; 0.5,  Table1[[#This Row],[Join Date]]+ RANDBETWEEN(30, TODAY()- Table1[[#This Row],[Join Date]]), "-")</f>
        <v>-</v>
      </c>
      <c r="H212" t="str">
        <f ca="1">IF(Table1[[#This Row],[Exit Date]]= "-", "Active", "Exited")</f>
        <v>Active</v>
      </c>
      <c r="I212" s="5">
        <f t="shared" ca="1" si="29"/>
        <v>2173</v>
      </c>
      <c r="J212" t="str" cm="1">
        <f t="array" aca="1" ref="J212" ca="1">INDEX(sheet2!$C$2:$C$6, RANDBETWEEN(1, 5))</f>
        <v>Leadership Development</v>
      </c>
      <c r="K212" t="str">
        <f t="shared" ca="1" si="30"/>
        <v>Completed</v>
      </c>
      <c r="L212">
        <v>260</v>
      </c>
      <c r="M212">
        <f t="shared" ca="1" si="32"/>
        <v>17</v>
      </c>
      <c r="N212" t="str">
        <f t="shared" ca="1" si="33"/>
        <v>Female</v>
      </c>
      <c r="O212" s="6">
        <f t="shared" ca="1" si="34"/>
        <v>2331</v>
      </c>
      <c r="P212">
        <f ca="1">Table1[[#This Row],[Hire Date]]-Table1[[#This Row],[Job Posting Date]]</f>
        <v>50</v>
      </c>
      <c r="Q212" s="7">
        <f ca="1">Table1[[#This Row],[Join Date]]-Table1[[#This Row],[Hire Date]]</f>
        <v>14</v>
      </c>
      <c r="R212" s="8">
        <f ca="1">(IF(Table1[[#This Row],[Status]]="Exited",Table1[[#This Row],[Exit Date]]-Table1[[#This Row],[Join Date]],TODAY()-Table1[[#This Row],[Join Date]]))/30</f>
        <v>44.1</v>
      </c>
      <c r="S212">
        <f ca="1">Table1[[#This Row],[Hire Date]]-Table1[[#This Row],[Job Posting Date]]</f>
        <v>50</v>
      </c>
      <c r="T212" s="7">
        <f ca="1">Table1[[#This Row],[Time to onboard]]/Table1[[#This Row],[Time to Fill]]*100</f>
        <v>28.000000000000004</v>
      </c>
      <c r="U212" s="8">
        <f ca="1">Table1[[#This Row],[Time to onboard]]/Table1[[#This Row],[Time to Fill]]*100</f>
        <v>28.000000000000004</v>
      </c>
      <c r="V212">
        <f ca="1">Table1[[#This Row],[Join Date]]-Table1[[#This Row],[Job Posting Date]]</f>
        <v>64</v>
      </c>
      <c r="W212">
        <f t="shared" ca="1" si="35"/>
        <v>140</v>
      </c>
      <c r="X212" s="8">
        <f ca="1">Table1[[#This Row],[Absentee Days]]/Table1[[#This Row],[Total Work Days]]*100</f>
        <v>6.5384615384615392</v>
      </c>
      <c r="Y212">
        <f ca="1">YEAR(Table1[[#This Row],[Join Date]])</f>
        <v>2021</v>
      </c>
      <c r="Z212">
        <f ca="1">IF(Table1[[#This Row],[Status]]="Active",1,0)</f>
        <v>1</v>
      </c>
      <c r="AA212">
        <f ca="1">IF(Table1[[#This Row],[Status]]="Exited",Table1[[#This Row],[Recruitment Cost]]+Table1[[#This Row],[Onboarding cost]]+Table1[[#This Row],[Training Cost]],0)</f>
        <v>0</v>
      </c>
    </row>
    <row r="213" spans="1:27">
      <c r="A213" t="str">
        <f t="shared" si="31"/>
        <v>E212</v>
      </c>
      <c r="B213" t="str" cm="1">
        <f t="array" aca="1" ref="B213" ca="1">INDEX(sheet2!$A$2:$A$6, RANDBETWEEN(1, 5))</f>
        <v>HR</v>
      </c>
      <c r="C213" t="str">
        <f ca="1">_xlfn.XLOOKUP(Table1[[#This Row],[Department]],sheet2!$A$2:$A$6,sheet2!$B$2:$B$6,_xleta.NA,0)</f>
        <v>HR Manager</v>
      </c>
      <c r="D213" s="1">
        <f t="shared" ca="1" si="28"/>
        <v>44374</v>
      </c>
      <c r="E213" s="1">
        <f ca="1">Table1[[#This Row],[Job Posting Date]]+ RANDBETWEEN(15, 90)</f>
        <v>44419</v>
      </c>
      <c r="F213" s="1">
        <f ca="1">Table1[[#This Row],[Hire Date]]+ RANDBETWEEN(1, 15)</f>
        <v>44427</v>
      </c>
      <c r="G213" s="1">
        <f ca="1">IF(RAND() &lt; 0.5,  Table1[[#This Row],[Join Date]]+ RANDBETWEEN(30, TODAY()- Table1[[#This Row],[Join Date]]), "-")</f>
        <v>44521</v>
      </c>
      <c r="H213" t="str">
        <f ca="1">IF(Table1[[#This Row],[Exit Date]]= "-", "Active", "Exited")</f>
        <v>Exited</v>
      </c>
      <c r="I213" s="5">
        <f t="shared" ca="1" si="29"/>
        <v>1844</v>
      </c>
      <c r="J213" t="str" cm="1">
        <f t="array" aca="1" ref="J213" ca="1">INDEX(sheet2!$C$2:$C$6, RANDBETWEEN(1, 5))</f>
        <v>Conflict Resolution</v>
      </c>
      <c r="K213" t="str">
        <f t="shared" ca="1" si="30"/>
        <v>Completed</v>
      </c>
      <c r="L213">
        <v>260</v>
      </c>
      <c r="M213">
        <f t="shared" ca="1" si="32"/>
        <v>5</v>
      </c>
      <c r="N213" t="str">
        <f t="shared" ca="1" si="33"/>
        <v>Other</v>
      </c>
      <c r="O213" s="6">
        <f t="shared" ca="1" si="34"/>
        <v>2191</v>
      </c>
      <c r="P213">
        <f ca="1">Table1[[#This Row],[Hire Date]]-Table1[[#This Row],[Job Posting Date]]</f>
        <v>45</v>
      </c>
      <c r="Q213" s="7">
        <f ca="1">Table1[[#This Row],[Join Date]]-Table1[[#This Row],[Hire Date]]</f>
        <v>8</v>
      </c>
      <c r="R213" s="8">
        <f ca="1">(IF(Table1[[#This Row],[Status]]="Exited",Table1[[#This Row],[Exit Date]]-Table1[[#This Row],[Join Date]],TODAY()-Table1[[#This Row],[Join Date]]))/30</f>
        <v>3.1333333333333333</v>
      </c>
      <c r="S213">
        <f ca="1">Table1[[#This Row],[Hire Date]]-Table1[[#This Row],[Job Posting Date]]</f>
        <v>45</v>
      </c>
      <c r="T213" s="7">
        <f ca="1">Table1[[#This Row],[Time to onboard]]/Table1[[#This Row],[Time to Fill]]*100</f>
        <v>17.777777777777779</v>
      </c>
      <c r="U213" s="8">
        <f ca="1">Table1[[#This Row],[Time to onboard]]/Table1[[#This Row],[Time to Fill]]*100</f>
        <v>17.777777777777779</v>
      </c>
      <c r="V213">
        <f ca="1">Table1[[#This Row],[Join Date]]-Table1[[#This Row],[Job Posting Date]]</f>
        <v>53</v>
      </c>
      <c r="W213">
        <f t="shared" ca="1" si="35"/>
        <v>188</v>
      </c>
      <c r="X213" s="8">
        <f ca="1">Table1[[#This Row],[Absentee Days]]/Table1[[#This Row],[Total Work Days]]*100</f>
        <v>1.9230769230769231</v>
      </c>
      <c r="Y213">
        <f ca="1">YEAR(Table1[[#This Row],[Join Date]])</f>
        <v>2021</v>
      </c>
      <c r="Z213">
        <f ca="1">IF(Table1[[#This Row],[Status]]="Active",1,0)</f>
        <v>0</v>
      </c>
      <c r="AA213">
        <f ca="1">IF(Table1[[#This Row],[Status]]="Exited",Table1[[#This Row],[Recruitment Cost]]+Table1[[#This Row],[Onboarding cost]]+Table1[[#This Row],[Training Cost]],0)</f>
        <v>4223</v>
      </c>
    </row>
    <row r="214" spans="1:27">
      <c r="A214" t="str">
        <f t="shared" si="31"/>
        <v>E213</v>
      </c>
      <c r="B214" t="str" cm="1">
        <f t="array" aca="1" ref="B214" ca="1">INDEX(sheet2!$A$2:$A$6, RANDBETWEEN(1, 5))</f>
        <v>IT</v>
      </c>
      <c r="C214" t="str">
        <f ca="1">_xlfn.XLOOKUP(Table1[[#This Row],[Department]],sheet2!$A$2:$A$6,sheet2!$B$2:$B$6,_xleta.NA,0)</f>
        <v>Software Engineer</v>
      </c>
      <c r="D214" s="1">
        <f t="shared" ca="1" si="28"/>
        <v>44002</v>
      </c>
      <c r="E214" s="1">
        <f ca="1">Table1[[#This Row],[Job Posting Date]]+ RANDBETWEEN(15, 90)</f>
        <v>44083</v>
      </c>
      <c r="F214" s="1">
        <f ca="1">Table1[[#This Row],[Hire Date]]+ RANDBETWEEN(1, 15)</f>
        <v>44093</v>
      </c>
      <c r="G214" s="1" t="str">
        <f ca="1">IF(RAND() &lt; 0.5,  Table1[[#This Row],[Join Date]]+ RANDBETWEEN(30, TODAY()- Table1[[#This Row],[Join Date]]), "-")</f>
        <v>-</v>
      </c>
      <c r="H214" t="str">
        <f ca="1">IF(Table1[[#This Row],[Exit Date]]= "-", "Active", "Exited")</f>
        <v>Active</v>
      </c>
      <c r="I214" s="5">
        <f t="shared" ca="1" si="29"/>
        <v>1839</v>
      </c>
      <c r="J214" t="str" cm="1">
        <f t="array" aca="1" ref="J214" ca="1">INDEX(sheet2!$C$2:$C$6, RANDBETWEEN(1, 5))</f>
        <v>Ethics and Responsibilities</v>
      </c>
      <c r="K214" t="str">
        <f t="shared" ca="1" si="30"/>
        <v>Not Completed</v>
      </c>
      <c r="L214">
        <v>260</v>
      </c>
      <c r="M214">
        <f t="shared" ca="1" si="32"/>
        <v>2</v>
      </c>
      <c r="N214" t="str">
        <f t="shared" ca="1" si="33"/>
        <v>Other</v>
      </c>
      <c r="O214" s="6">
        <f t="shared" ca="1" si="34"/>
        <v>1633</v>
      </c>
      <c r="P214">
        <f ca="1">Table1[[#This Row],[Hire Date]]-Table1[[#This Row],[Job Posting Date]]</f>
        <v>81</v>
      </c>
      <c r="Q214" s="7">
        <f ca="1">Table1[[#This Row],[Join Date]]-Table1[[#This Row],[Hire Date]]</f>
        <v>10</v>
      </c>
      <c r="R214" s="8">
        <f ca="1">(IF(Table1[[#This Row],[Status]]="Exited",Table1[[#This Row],[Exit Date]]-Table1[[#This Row],[Join Date]],TODAY()-Table1[[#This Row],[Join Date]]))/30</f>
        <v>52.333333333333336</v>
      </c>
      <c r="S214">
        <f ca="1">Table1[[#This Row],[Hire Date]]-Table1[[#This Row],[Job Posting Date]]</f>
        <v>81</v>
      </c>
      <c r="T214" s="7">
        <f ca="1">Table1[[#This Row],[Time to onboard]]/Table1[[#This Row],[Time to Fill]]*100</f>
        <v>12.345679012345679</v>
      </c>
      <c r="U214" s="8">
        <f ca="1">Table1[[#This Row],[Time to onboard]]/Table1[[#This Row],[Time to Fill]]*100</f>
        <v>12.345679012345679</v>
      </c>
      <c r="V214">
        <f ca="1">Table1[[#This Row],[Join Date]]-Table1[[#This Row],[Job Posting Date]]</f>
        <v>91</v>
      </c>
      <c r="W214">
        <f t="shared" ca="1" si="35"/>
        <v>172</v>
      </c>
      <c r="X214" s="8">
        <f ca="1">Table1[[#This Row],[Absentee Days]]/Table1[[#This Row],[Total Work Days]]*100</f>
        <v>0.76923076923076927</v>
      </c>
      <c r="Y214">
        <f ca="1">YEAR(Table1[[#This Row],[Join Date]])</f>
        <v>2020</v>
      </c>
      <c r="Z214">
        <f ca="1">IF(Table1[[#This Row],[Status]]="Active",1,0)</f>
        <v>1</v>
      </c>
      <c r="AA214">
        <f ca="1">IF(Table1[[#This Row],[Status]]="Exited",Table1[[#This Row],[Recruitment Cost]]+Table1[[#This Row],[Onboarding cost]]+Table1[[#This Row],[Training Cost]],0)</f>
        <v>0</v>
      </c>
    </row>
    <row r="215" spans="1:27">
      <c r="A215" t="str">
        <f t="shared" si="31"/>
        <v>E214</v>
      </c>
      <c r="B215" t="str" cm="1">
        <f t="array" aca="1" ref="B215" ca="1">INDEX(sheet2!$A$2:$A$6, RANDBETWEEN(1, 5))</f>
        <v>IT</v>
      </c>
      <c r="C215" t="str">
        <f ca="1">_xlfn.XLOOKUP(Table1[[#This Row],[Department]],sheet2!$A$2:$A$6,sheet2!$B$2:$B$6,_xleta.NA,0)</f>
        <v>Software Engineer</v>
      </c>
      <c r="D215" s="1">
        <f t="shared" ca="1" si="28"/>
        <v>44367</v>
      </c>
      <c r="E215" s="1">
        <f ca="1">Table1[[#This Row],[Job Posting Date]]+ RANDBETWEEN(15, 90)</f>
        <v>44455</v>
      </c>
      <c r="F215" s="1">
        <f ca="1">Table1[[#This Row],[Hire Date]]+ RANDBETWEEN(1, 15)</f>
        <v>44463</v>
      </c>
      <c r="G215" s="1" t="str">
        <f ca="1">IF(RAND() &lt; 0.5,  Table1[[#This Row],[Join Date]]+ RANDBETWEEN(30, TODAY()- Table1[[#This Row],[Join Date]]), "-")</f>
        <v>-</v>
      </c>
      <c r="H215" t="str">
        <f ca="1">IF(Table1[[#This Row],[Exit Date]]= "-", "Active", "Exited")</f>
        <v>Active</v>
      </c>
      <c r="I215" s="5">
        <f t="shared" ca="1" si="29"/>
        <v>3651</v>
      </c>
      <c r="J215" t="str" cm="1">
        <f t="array" aca="1" ref="J215" ca="1">INDEX(sheet2!$C$2:$C$6, RANDBETWEEN(1, 5))</f>
        <v>Communication Skills</v>
      </c>
      <c r="K215" t="str">
        <f t="shared" ca="1" si="30"/>
        <v>Not Completed</v>
      </c>
      <c r="L215">
        <v>260</v>
      </c>
      <c r="M215">
        <f t="shared" ca="1" si="32"/>
        <v>15</v>
      </c>
      <c r="N215" t="str">
        <f t="shared" ca="1" si="33"/>
        <v>Female</v>
      </c>
      <c r="O215" s="6">
        <f t="shared" ca="1" si="34"/>
        <v>2092</v>
      </c>
      <c r="P215">
        <f ca="1">Table1[[#This Row],[Hire Date]]-Table1[[#This Row],[Job Posting Date]]</f>
        <v>88</v>
      </c>
      <c r="Q215" s="7">
        <f ca="1">Table1[[#This Row],[Join Date]]-Table1[[#This Row],[Hire Date]]</f>
        <v>8</v>
      </c>
      <c r="R215" s="8">
        <f ca="1">(IF(Table1[[#This Row],[Status]]="Exited",Table1[[#This Row],[Exit Date]]-Table1[[#This Row],[Join Date]],TODAY()-Table1[[#This Row],[Join Date]]))/30</f>
        <v>40</v>
      </c>
      <c r="S215">
        <f ca="1">Table1[[#This Row],[Hire Date]]-Table1[[#This Row],[Job Posting Date]]</f>
        <v>88</v>
      </c>
      <c r="T215" s="7">
        <f ca="1">Table1[[#This Row],[Time to onboard]]/Table1[[#This Row],[Time to Fill]]*100</f>
        <v>9.0909090909090917</v>
      </c>
      <c r="U215" s="8">
        <f ca="1">Table1[[#This Row],[Time to onboard]]/Table1[[#This Row],[Time to Fill]]*100</f>
        <v>9.0909090909090917</v>
      </c>
      <c r="V215">
        <f ca="1">Table1[[#This Row],[Join Date]]-Table1[[#This Row],[Job Posting Date]]</f>
        <v>96</v>
      </c>
      <c r="W215">
        <f t="shared" ca="1" si="35"/>
        <v>125</v>
      </c>
      <c r="X215" s="8">
        <f ca="1">Table1[[#This Row],[Absentee Days]]/Table1[[#This Row],[Total Work Days]]*100</f>
        <v>5.7692307692307692</v>
      </c>
      <c r="Y215">
        <f ca="1">YEAR(Table1[[#This Row],[Join Date]])</f>
        <v>2021</v>
      </c>
      <c r="Z215">
        <f ca="1">IF(Table1[[#This Row],[Status]]="Active",1,0)</f>
        <v>1</v>
      </c>
      <c r="AA215">
        <f ca="1">IF(Table1[[#This Row],[Status]]="Exited",Table1[[#This Row],[Recruitment Cost]]+Table1[[#This Row],[Onboarding cost]]+Table1[[#This Row],[Training Cost]],0)</f>
        <v>0</v>
      </c>
    </row>
    <row r="216" spans="1:27">
      <c r="A216" t="str">
        <f t="shared" si="31"/>
        <v>E215</v>
      </c>
      <c r="B216" t="str" cm="1">
        <f t="array" aca="1" ref="B216" ca="1">INDEX(sheet2!$A$2:$A$6, RANDBETWEEN(1, 5))</f>
        <v>Analytics</v>
      </c>
      <c r="C216" t="str">
        <f ca="1">_xlfn.XLOOKUP(Table1[[#This Row],[Department]],sheet2!$A$2:$A$6,sheet2!$B$2:$B$6,_xleta.NA,0)</f>
        <v>Data Analyst</v>
      </c>
      <c r="D216" s="1">
        <f t="shared" ca="1" si="28"/>
        <v>44548</v>
      </c>
      <c r="E216" s="1">
        <f ca="1">Table1[[#This Row],[Job Posting Date]]+ RANDBETWEEN(15, 90)</f>
        <v>44633</v>
      </c>
      <c r="F216" s="1">
        <f ca="1">Table1[[#This Row],[Hire Date]]+ RANDBETWEEN(1, 15)</f>
        <v>44648</v>
      </c>
      <c r="G216" s="1">
        <f ca="1">IF(RAND() &lt; 0.5,  Table1[[#This Row],[Join Date]]+ RANDBETWEEN(30, TODAY()- Table1[[#This Row],[Join Date]]), "-")</f>
        <v>44927</v>
      </c>
      <c r="H216" t="str">
        <f ca="1">IF(Table1[[#This Row],[Exit Date]]= "-", "Active", "Exited")</f>
        <v>Exited</v>
      </c>
      <c r="I216" s="5">
        <f t="shared" ca="1" si="29"/>
        <v>2939</v>
      </c>
      <c r="J216" t="str" cm="1">
        <f t="array" aca="1" ref="J216" ca="1">INDEX(sheet2!$C$2:$C$6, RANDBETWEEN(1, 5))</f>
        <v>Communication Skills</v>
      </c>
      <c r="K216" t="str">
        <f t="shared" ca="1" si="30"/>
        <v>Completed</v>
      </c>
      <c r="L216">
        <v>260</v>
      </c>
      <c r="M216">
        <f t="shared" ca="1" si="32"/>
        <v>16</v>
      </c>
      <c r="N216" t="str">
        <f t="shared" ca="1" si="33"/>
        <v>Female</v>
      </c>
      <c r="O216" s="6">
        <f t="shared" ca="1" si="34"/>
        <v>1263</v>
      </c>
      <c r="P216">
        <f ca="1">Table1[[#This Row],[Hire Date]]-Table1[[#This Row],[Job Posting Date]]</f>
        <v>85</v>
      </c>
      <c r="Q216" s="7">
        <f ca="1">Table1[[#This Row],[Join Date]]-Table1[[#This Row],[Hire Date]]</f>
        <v>15</v>
      </c>
      <c r="R216" s="8">
        <f ca="1">(IF(Table1[[#This Row],[Status]]="Exited",Table1[[#This Row],[Exit Date]]-Table1[[#This Row],[Join Date]],TODAY()-Table1[[#This Row],[Join Date]]))/30</f>
        <v>9.3000000000000007</v>
      </c>
      <c r="S216">
        <f ca="1">Table1[[#This Row],[Hire Date]]-Table1[[#This Row],[Job Posting Date]]</f>
        <v>85</v>
      </c>
      <c r="T216" s="7">
        <f ca="1">Table1[[#This Row],[Time to onboard]]/Table1[[#This Row],[Time to Fill]]*100</f>
        <v>17.647058823529413</v>
      </c>
      <c r="U216" s="8">
        <f ca="1">Table1[[#This Row],[Time to onboard]]/Table1[[#This Row],[Time to Fill]]*100</f>
        <v>17.647058823529413</v>
      </c>
      <c r="V216">
        <f ca="1">Table1[[#This Row],[Join Date]]-Table1[[#This Row],[Job Posting Date]]</f>
        <v>100</v>
      </c>
      <c r="W216">
        <f t="shared" ca="1" si="35"/>
        <v>170</v>
      </c>
      <c r="X216" s="8">
        <f ca="1">Table1[[#This Row],[Absentee Days]]/Table1[[#This Row],[Total Work Days]]*100</f>
        <v>6.1538461538461542</v>
      </c>
      <c r="Y216">
        <f ca="1">YEAR(Table1[[#This Row],[Join Date]])</f>
        <v>2022</v>
      </c>
      <c r="Z216">
        <f ca="1">IF(Table1[[#This Row],[Status]]="Active",1,0)</f>
        <v>0</v>
      </c>
      <c r="AA216">
        <f ca="1">IF(Table1[[#This Row],[Status]]="Exited",Table1[[#This Row],[Recruitment Cost]]+Table1[[#This Row],[Onboarding cost]]+Table1[[#This Row],[Training Cost]],0)</f>
        <v>4372</v>
      </c>
    </row>
    <row r="217" spans="1:27">
      <c r="A217" t="str">
        <f t="shared" si="31"/>
        <v>E216</v>
      </c>
      <c r="B217" t="str" cm="1">
        <f t="array" aca="1" ref="B217" ca="1">INDEX(sheet2!$A$2:$A$6, RANDBETWEEN(1, 5))</f>
        <v>Analytics</v>
      </c>
      <c r="C217" t="str">
        <f ca="1">_xlfn.XLOOKUP(Table1[[#This Row],[Department]],sheet2!$A$2:$A$6,sheet2!$B$2:$B$6,_xleta.NA,0)</f>
        <v>Data Analyst</v>
      </c>
      <c r="D217" s="1">
        <f t="shared" ca="1" si="28"/>
        <v>43589</v>
      </c>
      <c r="E217" s="1">
        <f ca="1">Table1[[#This Row],[Job Posting Date]]+ RANDBETWEEN(15, 90)</f>
        <v>43606</v>
      </c>
      <c r="F217" s="1">
        <f ca="1">Table1[[#This Row],[Hire Date]]+ RANDBETWEEN(1, 15)</f>
        <v>43611</v>
      </c>
      <c r="G217" s="1">
        <f ca="1">IF(RAND() &lt; 0.5,  Table1[[#This Row],[Join Date]]+ RANDBETWEEN(30, TODAY()- Table1[[#This Row],[Join Date]]), "-")</f>
        <v>43869</v>
      </c>
      <c r="H217" t="str">
        <f ca="1">IF(Table1[[#This Row],[Exit Date]]= "-", "Active", "Exited")</f>
        <v>Exited</v>
      </c>
      <c r="I217" s="5">
        <f t="shared" ca="1" si="29"/>
        <v>4493</v>
      </c>
      <c r="J217" t="str" cm="1">
        <f t="array" aca="1" ref="J217" ca="1">INDEX(sheet2!$C$2:$C$6, RANDBETWEEN(1, 5))</f>
        <v>Conflict Resolution</v>
      </c>
      <c r="K217" t="str">
        <f t="shared" ca="1" si="30"/>
        <v>Completed</v>
      </c>
      <c r="L217">
        <v>260</v>
      </c>
      <c r="M217">
        <f t="shared" ca="1" si="32"/>
        <v>8</v>
      </c>
      <c r="N217" t="str">
        <f t="shared" ca="1" si="33"/>
        <v>Other</v>
      </c>
      <c r="O217" s="6">
        <f t="shared" ca="1" si="34"/>
        <v>1287</v>
      </c>
      <c r="P217">
        <f ca="1">Table1[[#This Row],[Hire Date]]-Table1[[#This Row],[Job Posting Date]]</f>
        <v>17</v>
      </c>
      <c r="Q217" s="7">
        <f ca="1">Table1[[#This Row],[Join Date]]-Table1[[#This Row],[Hire Date]]</f>
        <v>5</v>
      </c>
      <c r="R217" s="8">
        <f ca="1">(IF(Table1[[#This Row],[Status]]="Exited",Table1[[#This Row],[Exit Date]]-Table1[[#This Row],[Join Date]],TODAY()-Table1[[#This Row],[Join Date]]))/30</f>
        <v>8.6</v>
      </c>
      <c r="S217">
        <f ca="1">Table1[[#This Row],[Hire Date]]-Table1[[#This Row],[Job Posting Date]]</f>
        <v>17</v>
      </c>
      <c r="T217" s="7">
        <f ca="1">Table1[[#This Row],[Time to onboard]]/Table1[[#This Row],[Time to Fill]]*100</f>
        <v>29.411764705882355</v>
      </c>
      <c r="U217" s="8">
        <f ca="1">Table1[[#This Row],[Time to onboard]]/Table1[[#This Row],[Time to Fill]]*100</f>
        <v>29.411764705882355</v>
      </c>
      <c r="V217">
        <f ca="1">Table1[[#This Row],[Join Date]]-Table1[[#This Row],[Job Posting Date]]</f>
        <v>22</v>
      </c>
      <c r="W217">
        <f t="shared" ca="1" si="35"/>
        <v>140</v>
      </c>
      <c r="X217" s="8">
        <f ca="1">Table1[[#This Row],[Absentee Days]]/Table1[[#This Row],[Total Work Days]]*100</f>
        <v>3.0769230769230771</v>
      </c>
      <c r="Y217">
        <f ca="1">YEAR(Table1[[#This Row],[Join Date]])</f>
        <v>2019</v>
      </c>
      <c r="Z217">
        <f ca="1">IF(Table1[[#This Row],[Status]]="Active",1,0)</f>
        <v>0</v>
      </c>
      <c r="AA217">
        <f ca="1">IF(Table1[[#This Row],[Status]]="Exited",Table1[[#This Row],[Recruitment Cost]]+Table1[[#This Row],[Onboarding cost]]+Table1[[#This Row],[Training Cost]],0)</f>
        <v>5920</v>
      </c>
    </row>
    <row r="218" spans="1:27">
      <c r="A218" t="str">
        <f t="shared" si="31"/>
        <v>E217</v>
      </c>
      <c r="B218" t="str" cm="1">
        <f t="array" aca="1" ref="B218" ca="1">INDEX(sheet2!$A$2:$A$6, RANDBETWEEN(1, 5))</f>
        <v>Finance</v>
      </c>
      <c r="C218" t="str">
        <f ca="1">_xlfn.XLOOKUP(Table1[[#This Row],[Department]],sheet2!$A$2:$A$6,sheet2!$B$2:$B$6,_xleta.NA,0)</f>
        <v>Finance Manager</v>
      </c>
      <c r="D218" s="1">
        <f t="shared" ca="1" si="28"/>
        <v>43895</v>
      </c>
      <c r="E218" s="1">
        <f ca="1">Table1[[#This Row],[Job Posting Date]]+ RANDBETWEEN(15, 90)</f>
        <v>43963</v>
      </c>
      <c r="F218" s="1">
        <f ca="1">Table1[[#This Row],[Hire Date]]+ RANDBETWEEN(1, 15)</f>
        <v>43976</v>
      </c>
      <c r="G218" s="1" t="str">
        <f ca="1">IF(RAND() &lt; 0.5,  Table1[[#This Row],[Join Date]]+ RANDBETWEEN(30, TODAY()- Table1[[#This Row],[Join Date]]), "-")</f>
        <v>-</v>
      </c>
      <c r="H218" t="str">
        <f ca="1">IF(Table1[[#This Row],[Exit Date]]= "-", "Active", "Exited")</f>
        <v>Active</v>
      </c>
      <c r="I218" s="5">
        <f t="shared" ca="1" si="29"/>
        <v>2167</v>
      </c>
      <c r="J218" t="str" cm="1">
        <f t="array" aca="1" ref="J218" ca="1">INDEX(sheet2!$C$2:$C$6, RANDBETWEEN(1, 5))</f>
        <v>Conflict Resolution</v>
      </c>
      <c r="K218" t="str">
        <f t="shared" ca="1" si="30"/>
        <v>Completed</v>
      </c>
      <c r="L218">
        <v>260</v>
      </c>
      <c r="M218">
        <f t="shared" ca="1" si="32"/>
        <v>17</v>
      </c>
      <c r="N218" t="str">
        <f t="shared" ca="1" si="33"/>
        <v>Male</v>
      </c>
      <c r="O218" s="6">
        <f t="shared" ca="1" si="34"/>
        <v>1314</v>
      </c>
      <c r="P218">
        <f ca="1">Table1[[#This Row],[Hire Date]]-Table1[[#This Row],[Job Posting Date]]</f>
        <v>68</v>
      </c>
      <c r="Q218" s="7">
        <f ca="1">Table1[[#This Row],[Join Date]]-Table1[[#This Row],[Hire Date]]</f>
        <v>13</v>
      </c>
      <c r="R218" s="8">
        <f ca="1">(IF(Table1[[#This Row],[Status]]="Exited",Table1[[#This Row],[Exit Date]]-Table1[[#This Row],[Join Date]],TODAY()-Table1[[#This Row],[Join Date]]))/30</f>
        <v>56.233333333333334</v>
      </c>
      <c r="S218">
        <f ca="1">Table1[[#This Row],[Hire Date]]-Table1[[#This Row],[Job Posting Date]]</f>
        <v>68</v>
      </c>
      <c r="T218" s="7">
        <f ca="1">Table1[[#This Row],[Time to onboard]]/Table1[[#This Row],[Time to Fill]]*100</f>
        <v>19.117647058823529</v>
      </c>
      <c r="U218" s="8">
        <f ca="1">Table1[[#This Row],[Time to onboard]]/Table1[[#This Row],[Time to Fill]]*100</f>
        <v>19.117647058823529</v>
      </c>
      <c r="V218">
        <f ca="1">Table1[[#This Row],[Join Date]]-Table1[[#This Row],[Job Posting Date]]</f>
        <v>81</v>
      </c>
      <c r="W218">
        <f t="shared" ca="1" si="35"/>
        <v>142</v>
      </c>
      <c r="X218" s="8">
        <f ca="1">Table1[[#This Row],[Absentee Days]]/Table1[[#This Row],[Total Work Days]]*100</f>
        <v>6.5384615384615392</v>
      </c>
      <c r="Y218">
        <f ca="1">YEAR(Table1[[#This Row],[Join Date]])</f>
        <v>2020</v>
      </c>
      <c r="Z218">
        <f ca="1">IF(Table1[[#This Row],[Status]]="Active",1,0)</f>
        <v>1</v>
      </c>
      <c r="AA218">
        <f ca="1">IF(Table1[[#This Row],[Status]]="Exited",Table1[[#This Row],[Recruitment Cost]]+Table1[[#This Row],[Onboarding cost]]+Table1[[#This Row],[Training Cost]],0)</f>
        <v>0</v>
      </c>
    </row>
    <row r="219" spans="1:27">
      <c r="A219" t="str">
        <f t="shared" si="31"/>
        <v>E218</v>
      </c>
      <c r="B219" t="str" cm="1">
        <f t="array" aca="1" ref="B219" ca="1">INDEX(sheet2!$A$2:$A$6, RANDBETWEEN(1, 5))</f>
        <v>IT</v>
      </c>
      <c r="C219" t="str">
        <f ca="1">_xlfn.XLOOKUP(Table1[[#This Row],[Department]],sheet2!$A$2:$A$6,sheet2!$B$2:$B$6,_xleta.NA,0)</f>
        <v>Software Engineer</v>
      </c>
      <c r="D219" s="1">
        <f t="shared" ca="1" si="28"/>
        <v>44261</v>
      </c>
      <c r="E219" s="1">
        <f ca="1">Table1[[#This Row],[Job Posting Date]]+ RANDBETWEEN(15, 90)</f>
        <v>44295</v>
      </c>
      <c r="F219" s="1">
        <f ca="1">Table1[[#This Row],[Hire Date]]+ RANDBETWEEN(1, 15)</f>
        <v>44305</v>
      </c>
      <c r="G219" s="1">
        <f ca="1">IF(RAND() &lt; 0.5,  Table1[[#This Row],[Join Date]]+ RANDBETWEEN(30, TODAY()- Table1[[#This Row],[Join Date]]), "-")</f>
        <v>45520</v>
      </c>
      <c r="H219" t="str">
        <f ca="1">IF(Table1[[#This Row],[Exit Date]]= "-", "Active", "Exited")</f>
        <v>Exited</v>
      </c>
      <c r="I219" s="5">
        <f t="shared" ca="1" si="29"/>
        <v>2866</v>
      </c>
      <c r="J219" t="str" cm="1">
        <f t="array" aca="1" ref="J219" ca="1">INDEX(sheet2!$C$2:$C$6, RANDBETWEEN(1, 5))</f>
        <v>Ethics and Responsibilities</v>
      </c>
      <c r="K219" t="str">
        <f t="shared" ca="1" si="30"/>
        <v>Completed</v>
      </c>
      <c r="L219">
        <v>260</v>
      </c>
      <c r="M219">
        <f t="shared" ca="1" si="32"/>
        <v>15</v>
      </c>
      <c r="N219" t="str">
        <f t="shared" ca="1" si="33"/>
        <v>Male</v>
      </c>
      <c r="O219" s="6">
        <f t="shared" ca="1" si="34"/>
        <v>1461</v>
      </c>
      <c r="P219">
        <f ca="1">Table1[[#This Row],[Hire Date]]-Table1[[#This Row],[Job Posting Date]]</f>
        <v>34</v>
      </c>
      <c r="Q219" s="7">
        <f ca="1">Table1[[#This Row],[Join Date]]-Table1[[#This Row],[Hire Date]]</f>
        <v>10</v>
      </c>
      <c r="R219" s="8">
        <f ca="1">(IF(Table1[[#This Row],[Status]]="Exited",Table1[[#This Row],[Exit Date]]-Table1[[#This Row],[Join Date]],TODAY()-Table1[[#This Row],[Join Date]]))/30</f>
        <v>40.5</v>
      </c>
      <c r="S219">
        <f ca="1">Table1[[#This Row],[Hire Date]]-Table1[[#This Row],[Job Posting Date]]</f>
        <v>34</v>
      </c>
      <c r="T219" s="7">
        <f ca="1">Table1[[#This Row],[Time to onboard]]/Table1[[#This Row],[Time to Fill]]*100</f>
        <v>29.411764705882355</v>
      </c>
      <c r="U219" s="8">
        <f ca="1">Table1[[#This Row],[Time to onboard]]/Table1[[#This Row],[Time to Fill]]*100</f>
        <v>29.411764705882355</v>
      </c>
      <c r="V219">
        <f ca="1">Table1[[#This Row],[Join Date]]-Table1[[#This Row],[Job Posting Date]]</f>
        <v>44</v>
      </c>
      <c r="W219">
        <f t="shared" ca="1" si="35"/>
        <v>131</v>
      </c>
      <c r="X219" s="8">
        <f ca="1">Table1[[#This Row],[Absentee Days]]/Table1[[#This Row],[Total Work Days]]*100</f>
        <v>5.7692307692307692</v>
      </c>
      <c r="Y219">
        <f ca="1">YEAR(Table1[[#This Row],[Join Date]])</f>
        <v>2021</v>
      </c>
      <c r="Z219">
        <f ca="1">IF(Table1[[#This Row],[Status]]="Active",1,0)</f>
        <v>0</v>
      </c>
      <c r="AA219">
        <f ca="1">IF(Table1[[#This Row],[Status]]="Exited",Table1[[#This Row],[Recruitment Cost]]+Table1[[#This Row],[Onboarding cost]]+Table1[[#This Row],[Training Cost]],0)</f>
        <v>4458</v>
      </c>
    </row>
    <row r="220" spans="1:27">
      <c r="A220" t="str">
        <f t="shared" si="31"/>
        <v>E219</v>
      </c>
      <c r="B220" t="str" cm="1">
        <f t="array" aca="1" ref="B220" ca="1">INDEX(sheet2!$A$2:$A$6, RANDBETWEEN(1, 5))</f>
        <v>Sales</v>
      </c>
      <c r="C220" t="str">
        <f ca="1">_xlfn.XLOOKUP(Table1[[#This Row],[Department]],sheet2!$A$2:$A$6,sheet2!$B$2:$B$6,_xleta.NA,0)</f>
        <v>Marketing Manager</v>
      </c>
      <c r="D220" s="1">
        <f t="shared" ca="1" si="28"/>
        <v>44086</v>
      </c>
      <c r="E220" s="1">
        <f ca="1">Table1[[#This Row],[Job Posting Date]]+ RANDBETWEEN(15, 90)</f>
        <v>44136</v>
      </c>
      <c r="F220" s="1">
        <f ca="1">Table1[[#This Row],[Hire Date]]+ RANDBETWEEN(1, 15)</f>
        <v>44138</v>
      </c>
      <c r="G220" s="1">
        <f ca="1">IF(RAND() &lt; 0.5,  Table1[[#This Row],[Join Date]]+ RANDBETWEEN(30, TODAY()- Table1[[#This Row],[Join Date]]), "-")</f>
        <v>45139</v>
      </c>
      <c r="H220" t="str">
        <f ca="1">IF(Table1[[#This Row],[Exit Date]]= "-", "Active", "Exited")</f>
        <v>Exited</v>
      </c>
      <c r="I220" s="5">
        <f t="shared" ca="1" si="29"/>
        <v>2320</v>
      </c>
      <c r="J220" t="str" cm="1">
        <f t="array" aca="1" ref="J220" ca="1">INDEX(sheet2!$C$2:$C$6, RANDBETWEEN(1, 5))</f>
        <v>Ethics and Responsibilities</v>
      </c>
      <c r="K220" t="str">
        <f t="shared" ca="1" si="30"/>
        <v>Completed</v>
      </c>
      <c r="L220">
        <v>260</v>
      </c>
      <c r="M220">
        <f t="shared" ca="1" si="32"/>
        <v>4</v>
      </c>
      <c r="N220" t="str">
        <f t="shared" ca="1" si="33"/>
        <v>Other</v>
      </c>
      <c r="O220" s="6">
        <f t="shared" ca="1" si="34"/>
        <v>1769</v>
      </c>
      <c r="P220">
        <f ca="1">Table1[[#This Row],[Hire Date]]-Table1[[#This Row],[Job Posting Date]]</f>
        <v>50</v>
      </c>
      <c r="Q220" s="7">
        <f ca="1">Table1[[#This Row],[Join Date]]-Table1[[#This Row],[Hire Date]]</f>
        <v>2</v>
      </c>
      <c r="R220" s="8">
        <f ca="1">(IF(Table1[[#This Row],[Status]]="Exited",Table1[[#This Row],[Exit Date]]-Table1[[#This Row],[Join Date]],TODAY()-Table1[[#This Row],[Join Date]]))/30</f>
        <v>33.366666666666667</v>
      </c>
      <c r="S220">
        <f ca="1">Table1[[#This Row],[Hire Date]]-Table1[[#This Row],[Job Posting Date]]</f>
        <v>50</v>
      </c>
      <c r="T220" s="7">
        <f ca="1">Table1[[#This Row],[Time to onboard]]/Table1[[#This Row],[Time to Fill]]*100</f>
        <v>4</v>
      </c>
      <c r="U220" s="8">
        <f ca="1">Table1[[#This Row],[Time to onboard]]/Table1[[#This Row],[Time to Fill]]*100</f>
        <v>4</v>
      </c>
      <c r="V220">
        <f ca="1">Table1[[#This Row],[Join Date]]-Table1[[#This Row],[Job Posting Date]]</f>
        <v>52</v>
      </c>
      <c r="W220">
        <f t="shared" ca="1" si="35"/>
        <v>165</v>
      </c>
      <c r="X220" s="8">
        <f ca="1">Table1[[#This Row],[Absentee Days]]/Table1[[#This Row],[Total Work Days]]*100</f>
        <v>1.5384615384615385</v>
      </c>
      <c r="Y220">
        <f ca="1">YEAR(Table1[[#This Row],[Join Date]])</f>
        <v>2020</v>
      </c>
      <c r="Z220">
        <f ca="1">IF(Table1[[#This Row],[Status]]="Active",1,0)</f>
        <v>0</v>
      </c>
      <c r="AA220">
        <f ca="1">IF(Table1[[#This Row],[Status]]="Exited",Table1[[#This Row],[Recruitment Cost]]+Table1[[#This Row],[Onboarding cost]]+Table1[[#This Row],[Training Cost]],0)</f>
        <v>4254</v>
      </c>
    </row>
    <row r="221" spans="1:27">
      <c r="A221" t="str">
        <f t="shared" si="31"/>
        <v>E220</v>
      </c>
      <c r="B221" t="str" cm="1">
        <f t="array" aca="1" ref="B221" ca="1">INDEX(sheet2!$A$2:$A$6, RANDBETWEEN(1, 5))</f>
        <v>Finance</v>
      </c>
      <c r="C221" t="str">
        <f ca="1">_xlfn.XLOOKUP(Table1[[#This Row],[Department]],sheet2!$A$2:$A$6,sheet2!$B$2:$B$6,_xleta.NA,0)</f>
        <v>Finance Manager</v>
      </c>
      <c r="D221" s="1">
        <f t="shared" ca="1" si="28"/>
        <v>44541</v>
      </c>
      <c r="E221" s="1">
        <f ca="1">Table1[[#This Row],[Job Posting Date]]+ RANDBETWEEN(15, 90)</f>
        <v>44600</v>
      </c>
      <c r="F221" s="1">
        <f ca="1">Table1[[#This Row],[Hire Date]]+ RANDBETWEEN(1, 15)</f>
        <v>44603</v>
      </c>
      <c r="G221" s="1">
        <f ca="1">IF(RAND() &lt; 0.5,  Table1[[#This Row],[Join Date]]+ RANDBETWEEN(30, TODAY()- Table1[[#This Row],[Join Date]]), "-")</f>
        <v>45061</v>
      </c>
      <c r="H221" t="str">
        <f ca="1">IF(Table1[[#This Row],[Exit Date]]= "-", "Active", "Exited")</f>
        <v>Exited</v>
      </c>
      <c r="I221" s="5">
        <f t="shared" ca="1" si="29"/>
        <v>2783</v>
      </c>
      <c r="J221" t="str" cm="1">
        <f t="array" aca="1" ref="J221" ca="1">INDEX(sheet2!$C$2:$C$6, RANDBETWEEN(1, 5))</f>
        <v>Ethics and Responsibilities</v>
      </c>
      <c r="K221" t="str">
        <f t="shared" ca="1" si="30"/>
        <v>Not Completed</v>
      </c>
      <c r="L221">
        <v>260</v>
      </c>
      <c r="M221">
        <f t="shared" ca="1" si="32"/>
        <v>15</v>
      </c>
      <c r="N221" t="str">
        <f t="shared" ca="1" si="33"/>
        <v>Other</v>
      </c>
      <c r="O221" s="6">
        <f t="shared" ca="1" si="34"/>
        <v>1452</v>
      </c>
      <c r="P221">
        <f ca="1">Table1[[#This Row],[Hire Date]]-Table1[[#This Row],[Job Posting Date]]</f>
        <v>59</v>
      </c>
      <c r="Q221" s="7">
        <f ca="1">Table1[[#This Row],[Join Date]]-Table1[[#This Row],[Hire Date]]</f>
        <v>3</v>
      </c>
      <c r="R221" s="8">
        <f ca="1">(IF(Table1[[#This Row],[Status]]="Exited",Table1[[#This Row],[Exit Date]]-Table1[[#This Row],[Join Date]],TODAY()-Table1[[#This Row],[Join Date]]))/30</f>
        <v>15.266666666666667</v>
      </c>
      <c r="S221">
        <f ca="1">Table1[[#This Row],[Hire Date]]-Table1[[#This Row],[Job Posting Date]]</f>
        <v>59</v>
      </c>
      <c r="T221" s="7">
        <f ca="1">Table1[[#This Row],[Time to onboard]]/Table1[[#This Row],[Time to Fill]]*100</f>
        <v>5.0847457627118651</v>
      </c>
      <c r="U221" s="8">
        <f ca="1">Table1[[#This Row],[Time to onboard]]/Table1[[#This Row],[Time to Fill]]*100</f>
        <v>5.0847457627118651</v>
      </c>
      <c r="V221">
        <f ca="1">Table1[[#This Row],[Join Date]]-Table1[[#This Row],[Job Posting Date]]</f>
        <v>62</v>
      </c>
      <c r="W221">
        <f t="shared" ca="1" si="35"/>
        <v>107</v>
      </c>
      <c r="X221" s="8">
        <f ca="1">Table1[[#This Row],[Absentee Days]]/Table1[[#This Row],[Total Work Days]]*100</f>
        <v>5.7692307692307692</v>
      </c>
      <c r="Y221">
        <f ca="1">YEAR(Table1[[#This Row],[Join Date]])</f>
        <v>2022</v>
      </c>
      <c r="Z221">
        <f ca="1">IF(Table1[[#This Row],[Status]]="Active",1,0)</f>
        <v>0</v>
      </c>
      <c r="AA221">
        <f ca="1">IF(Table1[[#This Row],[Status]]="Exited",Table1[[#This Row],[Recruitment Cost]]+Table1[[#This Row],[Onboarding cost]]+Table1[[#This Row],[Training Cost]],0)</f>
        <v>4342</v>
      </c>
    </row>
    <row r="222" spans="1:27">
      <c r="A222" t="str">
        <f t="shared" si="31"/>
        <v>E221</v>
      </c>
      <c r="B222" t="str" cm="1">
        <f t="array" aca="1" ref="B222" ca="1">INDEX(sheet2!$A$2:$A$6, RANDBETWEEN(1, 5))</f>
        <v>Finance</v>
      </c>
      <c r="C222" t="str">
        <f ca="1">_xlfn.XLOOKUP(Table1[[#This Row],[Department]],sheet2!$A$2:$A$6,sheet2!$B$2:$B$6,_xleta.NA,0)</f>
        <v>Finance Manager</v>
      </c>
      <c r="D222" s="1">
        <f t="shared" ca="1" si="28"/>
        <v>44162</v>
      </c>
      <c r="E222" s="1">
        <f ca="1">Table1[[#This Row],[Job Posting Date]]+ RANDBETWEEN(15, 90)</f>
        <v>44226</v>
      </c>
      <c r="F222" s="1">
        <f ca="1">Table1[[#This Row],[Hire Date]]+ RANDBETWEEN(1, 15)</f>
        <v>44240</v>
      </c>
      <c r="G222" s="1">
        <f ca="1">IF(RAND() &lt; 0.5,  Table1[[#This Row],[Join Date]]+ RANDBETWEEN(30, TODAY()- Table1[[#This Row],[Join Date]]), "-")</f>
        <v>44322</v>
      </c>
      <c r="H222" t="str">
        <f ca="1">IF(Table1[[#This Row],[Exit Date]]= "-", "Active", "Exited")</f>
        <v>Exited</v>
      </c>
      <c r="I222" s="5">
        <f t="shared" ca="1" si="29"/>
        <v>3256</v>
      </c>
      <c r="J222" t="str" cm="1">
        <f t="array" aca="1" ref="J222" ca="1">INDEX(sheet2!$C$2:$C$6, RANDBETWEEN(1, 5))</f>
        <v>Communication Skills</v>
      </c>
      <c r="K222" t="str">
        <f t="shared" ca="1" si="30"/>
        <v>Not Completed</v>
      </c>
      <c r="L222">
        <v>260</v>
      </c>
      <c r="M222">
        <f t="shared" ca="1" si="32"/>
        <v>4</v>
      </c>
      <c r="N222" t="str">
        <f t="shared" ca="1" si="33"/>
        <v>Male</v>
      </c>
      <c r="O222" s="6">
        <f t="shared" ca="1" si="34"/>
        <v>2471</v>
      </c>
      <c r="P222">
        <f ca="1">Table1[[#This Row],[Hire Date]]-Table1[[#This Row],[Job Posting Date]]</f>
        <v>64</v>
      </c>
      <c r="Q222" s="7">
        <f ca="1">Table1[[#This Row],[Join Date]]-Table1[[#This Row],[Hire Date]]</f>
        <v>14</v>
      </c>
      <c r="R222" s="8">
        <f ca="1">(IF(Table1[[#This Row],[Status]]="Exited",Table1[[#This Row],[Exit Date]]-Table1[[#This Row],[Join Date]],TODAY()-Table1[[#This Row],[Join Date]]))/30</f>
        <v>2.7333333333333334</v>
      </c>
      <c r="S222">
        <f ca="1">Table1[[#This Row],[Hire Date]]-Table1[[#This Row],[Job Posting Date]]</f>
        <v>64</v>
      </c>
      <c r="T222" s="7">
        <f ca="1">Table1[[#This Row],[Time to onboard]]/Table1[[#This Row],[Time to Fill]]*100</f>
        <v>21.875</v>
      </c>
      <c r="U222" s="8">
        <f ca="1">Table1[[#This Row],[Time to onboard]]/Table1[[#This Row],[Time to Fill]]*100</f>
        <v>21.875</v>
      </c>
      <c r="V222">
        <f ca="1">Table1[[#This Row],[Join Date]]-Table1[[#This Row],[Job Posting Date]]</f>
        <v>78</v>
      </c>
      <c r="W222">
        <f t="shared" ca="1" si="35"/>
        <v>104</v>
      </c>
      <c r="X222" s="8">
        <f ca="1">Table1[[#This Row],[Absentee Days]]/Table1[[#This Row],[Total Work Days]]*100</f>
        <v>1.5384615384615385</v>
      </c>
      <c r="Y222">
        <f ca="1">YEAR(Table1[[#This Row],[Join Date]])</f>
        <v>2021</v>
      </c>
      <c r="Z222">
        <f ca="1">IF(Table1[[#This Row],[Status]]="Active",1,0)</f>
        <v>0</v>
      </c>
      <c r="AA222">
        <f ca="1">IF(Table1[[#This Row],[Status]]="Exited",Table1[[#This Row],[Recruitment Cost]]+Table1[[#This Row],[Onboarding cost]]+Table1[[#This Row],[Training Cost]],0)</f>
        <v>5831</v>
      </c>
    </row>
    <row r="223" spans="1:27">
      <c r="A223" t="str">
        <f t="shared" si="31"/>
        <v>E222</v>
      </c>
      <c r="B223" t="str" cm="1">
        <f t="array" aca="1" ref="B223" ca="1">INDEX(sheet2!$A$2:$A$6, RANDBETWEEN(1, 5))</f>
        <v>Analytics</v>
      </c>
      <c r="C223" t="str">
        <f ca="1">_xlfn.XLOOKUP(Table1[[#This Row],[Department]],sheet2!$A$2:$A$6,sheet2!$B$2:$B$6,_xleta.NA,0)</f>
        <v>Data Analyst</v>
      </c>
      <c r="D223" s="1">
        <f t="shared" ca="1" si="28"/>
        <v>43228</v>
      </c>
      <c r="E223" s="1">
        <f ca="1">Table1[[#This Row],[Job Posting Date]]+ RANDBETWEEN(15, 90)</f>
        <v>43304</v>
      </c>
      <c r="F223" s="1">
        <f ca="1">Table1[[#This Row],[Hire Date]]+ RANDBETWEEN(1, 15)</f>
        <v>43313</v>
      </c>
      <c r="G223" s="1" t="str">
        <f ca="1">IF(RAND() &lt; 0.5,  Table1[[#This Row],[Join Date]]+ RANDBETWEEN(30, TODAY()- Table1[[#This Row],[Join Date]]), "-")</f>
        <v>-</v>
      </c>
      <c r="H223" t="str">
        <f ca="1">IF(Table1[[#This Row],[Exit Date]]= "-", "Active", "Exited")</f>
        <v>Active</v>
      </c>
      <c r="I223" s="5">
        <f t="shared" ca="1" si="29"/>
        <v>2619</v>
      </c>
      <c r="J223" t="str" cm="1">
        <f t="array" aca="1" ref="J223" ca="1">INDEX(sheet2!$C$2:$C$6, RANDBETWEEN(1, 5))</f>
        <v>Communication Skills</v>
      </c>
      <c r="K223" t="str">
        <f t="shared" ca="1" si="30"/>
        <v>Not Completed</v>
      </c>
      <c r="L223">
        <v>260</v>
      </c>
      <c r="M223">
        <f t="shared" ca="1" si="32"/>
        <v>20</v>
      </c>
      <c r="N223" t="str">
        <f t="shared" ca="1" si="33"/>
        <v>Other</v>
      </c>
      <c r="O223" s="6">
        <f t="shared" ca="1" si="34"/>
        <v>1266</v>
      </c>
      <c r="P223">
        <f ca="1">Table1[[#This Row],[Hire Date]]-Table1[[#This Row],[Job Posting Date]]</f>
        <v>76</v>
      </c>
      <c r="Q223" s="7">
        <f ca="1">Table1[[#This Row],[Join Date]]-Table1[[#This Row],[Hire Date]]</f>
        <v>9</v>
      </c>
      <c r="R223" s="8">
        <f ca="1">(IF(Table1[[#This Row],[Status]]="Exited",Table1[[#This Row],[Exit Date]]-Table1[[#This Row],[Join Date]],TODAY()-Table1[[#This Row],[Join Date]]))/30</f>
        <v>78.333333333333329</v>
      </c>
      <c r="S223">
        <f ca="1">Table1[[#This Row],[Hire Date]]-Table1[[#This Row],[Job Posting Date]]</f>
        <v>76</v>
      </c>
      <c r="T223" s="7">
        <f ca="1">Table1[[#This Row],[Time to onboard]]/Table1[[#This Row],[Time to Fill]]*100</f>
        <v>11.842105263157894</v>
      </c>
      <c r="U223" s="8">
        <f ca="1">Table1[[#This Row],[Time to onboard]]/Table1[[#This Row],[Time to Fill]]*100</f>
        <v>11.842105263157894</v>
      </c>
      <c r="V223">
        <f ca="1">Table1[[#This Row],[Join Date]]-Table1[[#This Row],[Job Posting Date]]</f>
        <v>85</v>
      </c>
      <c r="W223">
        <f t="shared" ca="1" si="35"/>
        <v>102</v>
      </c>
      <c r="X223" s="8">
        <f ca="1">Table1[[#This Row],[Absentee Days]]/Table1[[#This Row],[Total Work Days]]*100</f>
        <v>7.6923076923076925</v>
      </c>
      <c r="Y223">
        <f ca="1">YEAR(Table1[[#This Row],[Join Date]])</f>
        <v>2018</v>
      </c>
      <c r="Z223">
        <f ca="1">IF(Table1[[#This Row],[Status]]="Active",1,0)</f>
        <v>1</v>
      </c>
      <c r="AA223">
        <f ca="1">IF(Table1[[#This Row],[Status]]="Exited",Table1[[#This Row],[Recruitment Cost]]+Table1[[#This Row],[Onboarding cost]]+Table1[[#This Row],[Training Cost]],0)</f>
        <v>0</v>
      </c>
    </row>
    <row r="224" spans="1:27">
      <c r="A224" t="str">
        <f t="shared" si="31"/>
        <v>E223</v>
      </c>
      <c r="B224" t="str" cm="1">
        <f t="array" aca="1" ref="B224" ca="1">INDEX(sheet2!$A$2:$A$6, RANDBETWEEN(1, 5))</f>
        <v>HR</v>
      </c>
      <c r="C224" t="str">
        <f ca="1">_xlfn.XLOOKUP(Table1[[#This Row],[Department]],sheet2!$A$2:$A$6,sheet2!$B$2:$B$6,_xleta.NA,0)</f>
        <v>HR Manager</v>
      </c>
      <c r="D224" s="1">
        <f t="shared" ca="1" si="28"/>
        <v>44386</v>
      </c>
      <c r="E224" s="1">
        <f ca="1">Table1[[#This Row],[Job Posting Date]]+ RANDBETWEEN(15, 90)</f>
        <v>44471</v>
      </c>
      <c r="F224" s="1">
        <f ca="1">Table1[[#This Row],[Hire Date]]+ RANDBETWEEN(1, 15)</f>
        <v>44482</v>
      </c>
      <c r="G224" s="1">
        <f ca="1">IF(RAND() &lt; 0.5,  Table1[[#This Row],[Join Date]]+ RANDBETWEEN(30, TODAY()- Table1[[#This Row],[Join Date]]), "-")</f>
        <v>44556</v>
      </c>
      <c r="H224" t="str">
        <f ca="1">IF(Table1[[#This Row],[Exit Date]]= "-", "Active", "Exited")</f>
        <v>Exited</v>
      </c>
      <c r="I224" s="5">
        <f t="shared" ca="1" si="29"/>
        <v>2254</v>
      </c>
      <c r="J224" t="str" cm="1">
        <f t="array" aca="1" ref="J224" ca="1">INDEX(sheet2!$C$2:$C$6, RANDBETWEEN(1, 5))</f>
        <v>Communication Skills</v>
      </c>
      <c r="K224" t="str">
        <f t="shared" ca="1" si="30"/>
        <v>Not Completed</v>
      </c>
      <c r="L224">
        <v>260</v>
      </c>
      <c r="M224">
        <f t="shared" ca="1" si="32"/>
        <v>10</v>
      </c>
      <c r="N224" t="str">
        <f t="shared" ca="1" si="33"/>
        <v>Female</v>
      </c>
      <c r="O224" s="6">
        <f t="shared" ca="1" si="34"/>
        <v>1657</v>
      </c>
      <c r="P224">
        <f ca="1">Table1[[#This Row],[Hire Date]]-Table1[[#This Row],[Job Posting Date]]</f>
        <v>85</v>
      </c>
      <c r="Q224" s="7">
        <f ca="1">Table1[[#This Row],[Join Date]]-Table1[[#This Row],[Hire Date]]</f>
        <v>11</v>
      </c>
      <c r="R224" s="8">
        <f ca="1">(IF(Table1[[#This Row],[Status]]="Exited",Table1[[#This Row],[Exit Date]]-Table1[[#This Row],[Join Date]],TODAY()-Table1[[#This Row],[Join Date]]))/30</f>
        <v>2.4666666666666668</v>
      </c>
      <c r="S224">
        <f ca="1">Table1[[#This Row],[Hire Date]]-Table1[[#This Row],[Job Posting Date]]</f>
        <v>85</v>
      </c>
      <c r="T224" s="7">
        <f ca="1">Table1[[#This Row],[Time to onboard]]/Table1[[#This Row],[Time to Fill]]*100</f>
        <v>12.941176470588237</v>
      </c>
      <c r="U224" s="8">
        <f ca="1">Table1[[#This Row],[Time to onboard]]/Table1[[#This Row],[Time to Fill]]*100</f>
        <v>12.941176470588237</v>
      </c>
      <c r="V224">
        <f ca="1">Table1[[#This Row],[Join Date]]-Table1[[#This Row],[Job Posting Date]]</f>
        <v>96</v>
      </c>
      <c r="W224">
        <f t="shared" ca="1" si="35"/>
        <v>141</v>
      </c>
      <c r="X224" s="8">
        <f ca="1">Table1[[#This Row],[Absentee Days]]/Table1[[#This Row],[Total Work Days]]*100</f>
        <v>3.8461538461538463</v>
      </c>
      <c r="Y224">
        <f ca="1">YEAR(Table1[[#This Row],[Join Date]])</f>
        <v>2021</v>
      </c>
      <c r="Z224">
        <f ca="1">IF(Table1[[#This Row],[Status]]="Active",1,0)</f>
        <v>0</v>
      </c>
      <c r="AA224">
        <f ca="1">IF(Table1[[#This Row],[Status]]="Exited",Table1[[#This Row],[Recruitment Cost]]+Table1[[#This Row],[Onboarding cost]]+Table1[[#This Row],[Training Cost]],0)</f>
        <v>4052</v>
      </c>
    </row>
    <row r="225" spans="1:27">
      <c r="A225" t="str">
        <f t="shared" si="31"/>
        <v>E224</v>
      </c>
      <c r="B225" t="str" cm="1">
        <f t="array" aca="1" ref="B225" ca="1">INDEX(sheet2!$A$2:$A$6, RANDBETWEEN(1, 5))</f>
        <v>IT</v>
      </c>
      <c r="C225" t="str">
        <f ca="1">_xlfn.XLOOKUP(Table1[[#This Row],[Department]],sheet2!$A$2:$A$6,sheet2!$B$2:$B$6,_xleta.NA,0)</f>
        <v>Software Engineer</v>
      </c>
      <c r="D225" s="1">
        <f t="shared" ca="1" si="28"/>
        <v>43484</v>
      </c>
      <c r="E225" s="1">
        <f ca="1">Table1[[#This Row],[Job Posting Date]]+ RANDBETWEEN(15, 90)</f>
        <v>43533</v>
      </c>
      <c r="F225" s="1">
        <f ca="1">Table1[[#This Row],[Hire Date]]+ RANDBETWEEN(1, 15)</f>
        <v>43543</v>
      </c>
      <c r="G225" s="1">
        <f ca="1">IF(RAND() &lt; 0.5,  Table1[[#This Row],[Join Date]]+ RANDBETWEEN(30, TODAY()- Table1[[#This Row],[Join Date]]), "-")</f>
        <v>44378</v>
      </c>
      <c r="H225" t="str">
        <f ca="1">IF(Table1[[#This Row],[Exit Date]]= "-", "Active", "Exited")</f>
        <v>Exited</v>
      </c>
      <c r="I225" s="5">
        <f t="shared" ca="1" si="29"/>
        <v>4077</v>
      </c>
      <c r="J225" t="str" cm="1">
        <f t="array" aca="1" ref="J225" ca="1">INDEX(sheet2!$C$2:$C$6, RANDBETWEEN(1, 5))</f>
        <v>Communication Skills</v>
      </c>
      <c r="K225" t="str">
        <f t="shared" ca="1" si="30"/>
        <v>Completed</v>
      </c>
      <c r="L225">
        <v>260</v>
      </c>
      <c r="M225">
        <f t="shared" ca="1" si="32"/>
        <v>17</v>
      </c>
      <c r="N225" t="str">
        <f t="shared" ca="1" si="33"/>
        <v>Female</v>
      </c>
      <c r="O225" s="6">
        <f t="shared" ca="1" si="34"/>
        <v>2396</v>
      </c>
      <c r="P225">
        <f ca="1">Table1[[#This Row],[Hire Date]]-Table1[[#This Row],[Job Posting Date]]</f>
        <v>49</v>
      </c>
      <c r="Q225" s="7">
        <f ca="1">Table1[[#This Row],[Join Date]]-Table1[[#This Row],[Hire Date]]</f>
        <v>10</v>
      </c>
      <c r="R225" s="8">
        <f ca="1">(IF(Table1[[#This Row],[Status]]="Exited",Table1[[#This Row],[Exit Date]]-Table1[[#This Row],[Join Date]],TODAY()-Table1[[#This Row],[Join Date]]))/30</f>
        <v>27.833333333333332</v>
      </c>
      <c r="S225">
        <f ca="1">Table1[[#This Row],[Hire Date]]-Table1[[#This Row],[Job Posting Date]]</f>
        <v>49</v>
      </c>
      <c r="T225" s="7">
        <f ca="1">Table1[[#This Row],[Time to onboard]]/Table1[[#This Row],[Time to Fill]]*100</f>
        <v>20.408163265306122</v>
      </c>
      <c r="U225" s="8">
        <f ca="1">Table1[[#This Row],[Time to onboard]]/Table1[[#This Row],[Time to Fill]]*100</f>
        <v>20.408163265306122</v>
      </c>
      <c r="V225">
        <f ca="1">Table1[[#This Row],[Join Date]]-Table1[[#This Row],[Job Posting Date]]</f>
        <v>59</v>
      </c>
      <c r="W225">
        <f t="shared" ca="1" si="35"/>
        <v>187</v>
      </c>
      <c r="X225" s="8">
        <f ca="1">Table1[[#This Row],[Absentee Days]]/Table1[[#This Row],[Total Work Days]]*100</f>
        <v>6.5384615384615392</v>
      </c>
      <c r="Y225">
        <f ca="1">YEAR(Table1[[#This Row],[Join Date]])</f>
        <v>2019</v>
      </c>
      <c r="Z225">
        <f ca="1">IF(Table1[[#This Row],[Status]]="Active",1,0)</f>
        <v>0</v>
      </c>
      <c r="AA225">
        <f ca="1">IF(Table1[[#This Row],[Status]]="Exited",Table1[[#This Row],[Recruitment Cost]]+Table1[[#This Row],[Onboarding cost]]+Table1[[#This Row],[Training Cost]],0)</f>
        <v>6660</v>
      </c>
    </row>
    <row r="226" spans="1:27">
      <c r="A226" t="str">
        <f t="shared" si="31"/>
        <v>E225</v>
      </c>
      <c r="B226" t="str" cm="1">
        <f t="array" aca="1" ref="B226" ca="1">INDEX(sheet2!$A$2:$A$6, RANDBETWEEN(1, 5))</f>
        <v>IT</v>
      </c>
      <c r="C226" t="str">
        <f ca="1">_xlfn.XLOOKUP(Table1[[#This Row],[Department]],sheet2!$A$2:$A$6,sheet2!$B$2:$B$6,_xleta.NA,0)</f>
        <v>Software Engineer</v>
      </c>
      <c r="D226" s="1">
        <f t="shared" ca="1" si="28"/>
        <v>44282</v>
      </c>
      <c r="E226" s="1">
        <f ca="1">Table1[[#This Row],[Job Posting Date]]+ RANDBETWEEN(15, 90)</f>
        <v>44323</v>
      </c>
      <c r="F226" s="1">
        <f ca="1">Table1[[#This Row],[Hire Date]]+ RANDBETWEEN(1, 15)</f>
        <v>44332</v>
      </c>
      <c r="G226" s="1">
        <f ca="1">IF(RAND() &lt; 0.5,  Table1[[#This Row],[Join Date]]+ RANDBETWEEN(30, TODAY()- Table1[[#This Row],[Join Date]]), "-")</f>
        <v>45392</v>
      </c>
      <c r="H226" t="str">
        <f ca="1">IF(Table1[[#This Row],[Exit Date]]= "-", "Active", "Exited")</f>
        <v>Exited</v>
      </c>
      <c r="I226" s="5">
        <f t="shared" ca="1" si="29"/>
        <v>1947</v>
      </c>
      <c r="J226" t="str" cm="1">
        <f t="array" aca="1" ref="J226" ca="1">INDEX(sheet2!$C$2:$C$6, RANDBETWEEN(1, 5))</f>
        <v>Advanced Excel Skills </v>
      </c>
      <c r="K226" t="str">
        <f t="shared" ca="1" si="30"/>
        <v>Completed</v>
      </c>
      <c r="L226">
        <v>260</v>
      </c>
      <c r="M226">
        <f t="shared" ca="1" si="32"/>
        <v>13</v>
      </c>
      <c r="N226" t="str">
        <f t="shared" ca="1" si="33"/>
        <v>Other</v>
      </c>
      <c r="O226" s="6">
        <f t="shared" ca="1" si="34"/>
        <v>1419</v>
      </c>
      <c r="P226">
        <f ca="1">Table1[[#This Row],[Hire Date]]-Table1[[#This Row],[Job Posting Date]]</f>
        <v>41</v>
      </c>
      <c r="Q226" s="7">
        <f ca="1">Table1[[#This Row],[Join Date]]-Table1[[#This Row],[Hire Date]]</f>
        <v>9</v>
      </c>
      <c r="R226" s="8">
        <f ca="1">(IF(Table1[[#This Row],[Status]]="Exited",Table1[[#This Row],[Exit Date]]-Table1[[#This Row],[Join Date]],TODAY()-Table1[[#This Row],[Join Date]]))/30</f>
        <v>35.333333333333336</v>
      </c>
      <c r="S226">
        <f ca="1">Table1[[#This Row],[Hire Date]]-Table1[[#This Row],[Job Posting Date]]</f>
        <v>41</v>
      </c>
      <c r="T226" s="7">
        <f ca="1">Table1[[#This Row],[Time to onboard]]/Table1[[#This Row],[Time to Fill]]*100</f>
        <v>21.951219512195124</v>
      </c>
      <c r="U226" s="8">
        <f ca="1">Table1[[#This Row],[Time to onboard]]/Table1[[#This Row],[Time to Fill]]*100</f>
        <v>21.951219512195124</v>
      </c>
      <c r="V226">
        <f ca="1">Table1[[#This Row],[Join Date]]-Table1[[#This Row],[Job Posting Date]]</f>
        <v>50</v>
      </c>
      <c r="W226">
        <f t="shared" ca="1" si="35"/>
        <v>107</v>
      </c>
      <c r="X226" s="8">
        <f ca="1">Table1[[#This Row],[Absentee Days]]/Table1[[#This Row],[Total Work Days]]*100</f>
        <v>5</v>
      </c>
      <c r="Y226">
        <f ca="1">YEAR(Table1[[#This Row],[Join Date]])</f>
        <v>2021</v>
      </c>
      <c r="Z226">
        <f ca="1">IF(Table1[[#This Row],[Status]]="Active",1,0)</f>
        <v>0</v>
      </c>
      <c r="AA226">
        <f ca="1">IF(Table1[[#This Row],[Status]]="Exited",Table1[[#This Row],[Recruitment Cost]]+Table1[[#This Row],[Onboarding cost]]+Table1[[#This Row],[Training Cost]],0)</f>
        <v>3473</v>
      </c>
    </row>
    <row r="227" spans="1:27">
      <c r="A227" t="str">
        <f t="shared" si="31"/>
        <v>E226</v>
      </c>
      <c r="B227" t="str" cm="1">
        <f t="array" aca="1" ref="B227" ca="1">INDEX(sheet2!$A$2:$A$6, RANDBETWEEN(1, 5))</f>
        <v>Finance</v>
      </c>
      <c r="C227" t="str">
        <f ca="1">_xlfn.XLOOKUP(Table1[[#This Row],[Department]],sheet2!$A$2:$A$6,sheet2!$B$2:$B$6,_xleta.NA,0)</f>
        <v>Finance Manager</v>
      </c>
      <c r="D227" s="1">
        <f t="shared" ca="1" si="28"/>
        <v>44181</v>
      </c>
      <c r="E227" s="1">
        <f ca="1">Table1[[#This Row],[Job Posting Date]]+ RANDBETWEEN(15, 90)</f>
        <v>44245</v>
      </c>
      <c r="F227" s="1">
        <f ca="1">Table1[[#This Row],[Hire Date]]+ RANDBETWEEN(1, 15)</f>
        <v>44252</v>
      </c>
      <c r="G227" s="1">
        <f ca="1">IF(RAND() &lt; 0.5,  Table1[[#This Row],[Join Date]]+ RANDBETWEEN(30, TODAY()- Table1[[#This Row],[Join Date]]), "-")</f>
        <v>45492</v>
      </c>
      <c r="H227" t="str">
        <f ca="1">IF(Table1[[#This Row],[Exit Date]]= "-", "Active", "Exited")</f>
        <v>Exited</v>
      </c>
      <c r="I227" s="5">
        <f t="shared" ca="1" si="29"/>
        <v>2139</v>
      </c>
      <c r="J227" t="str" cm="1">
        <f t="array" aca="1" ref="J227" ca="1">INDEX(sheet2!$C$2:$C$6, RANDBETWEEN(1, 5))</f>
        <v>Ethics and Responsibilities</v>
      </c>
      <c r="K227" t="str">
        <f t="shared" ca="1" si="30"/>
        <v>Completed</v>
      </c>
      <c r="L227">
        <v>260</v>
      </c>
      <c r="M227">
        <f t="shared" ca="1" si="32"/>
        <v>18</v>
      </c>
      <c r="N227" t="str">
        <f t="shared" ca="1" si="33"/>
        <v>Other</v>
      </c>
      <c r="O227" s="6">
        <f t="shared" ca="1" si="34"/>
        <v>1281</v>
      </c>
      <c r="P227">
        <f ca="1">Table1[[#This Row],[Hire Date]]-Table1[[#This Row],[Job Posting Date]]</f>
        <v>64</v>
      </c>
      <c r="Q227" s="7">
        <f ca="1">Table1[[#This Row],[Join Date]]-Table1[[#This Row],[Hire Date]]</f>
        <v>7</v>
      </c>
      <c r="R227" s="8">
        <f ca="1">(IF(Table1[[#This Row],[Status]]="Exited",Table1[[#This Row],[Exit Date]]-Table1[[#This Row],[Join Date]],TODAY()-Table1[[#This Row],[Join Date]]))/30</f>
        <v>41.333333333333336</v>
      </c>
      <c r="S227">
        <f ca="1">Table1[[#This Row],[Hire Date]]-Table1[[#This Row],[Job Posting Date]]</f>
        <v>64</v>
      </c>
      <c r="T227" s="7">
        <f ca="1">Table1[[#This Row],[Time to onboard]]/Table1[[#This Row],[Time to Fill]]*100</f>
        <v>10.9375</v>
      </c>
      <c r="U227" s="8">
        <f ca="1">Table1[[#This Row],[Time to onboard]]/Table1[[#This Row],[Time to Fill]]*100</f>
        <v>10.9375</v>
      </c>
      <c r="V227">
        <f ca="1">Table1[[#This Row],[Join Date]]-Table1[[#This Row],[Job Posting Date]]</f>
        <v>71</v>
      </c>
      <c r="W227">
        <f t="shared" ca="1" si="35"/>
        <v>135</v>
      </c>
      <c r="X227" s="8">
        <f ca="1">Table1[[#This Row],[Absentee Days]]/Table1[[#This Row],[Total Work Days]]*100</f>
        <v>6.9230769230769234</v>
      </c>
      <c r="Y227">
        <f ca="1">YEAR(Table1[[#This Row],[Join Date]])</f>
        <v>2021</v>
      </c>
      <c r="Z227">
        <f ca="1">IF(Table1[[#This Row],[Status]]="Active",1,0)</f>
        <v>0</v>
      </c>
      <c r="AA227">
        <f ca="1">IF(Table1[[#This Row],[Status]]="Exited",Table1[[#This Row],[Recruitment Cost]]+Table1[[#This Row],[Onboarding cost]]+Table1[[#This Row],[Training Cost]],0)</f>
        <v>3555</v>
      </c>
    </row>
    <row r="228" spans="1:27">
      <c r="A228" t="str">
        <f t="shared" si="31"/>
        <v>E227</v>
      </c>
      <c r="B228" t="str" cm="1">
        <f t="array" aca="1" ref="B228" ca="1">INDEX(sheet2!$A$2:$A$6, RANDBETWEEN(1, 5))</f>
        <v>Finance</v>
      </c>
      <c r="C228" t="str">
        <f ca="1">_xlfn.XLOOKUP(Table1[[#This Row],[Department]],sheet2!$A$2:$A$6,sheet2!$B$2:$B$6,_xleta.NA,0)</f>
        <v>Finance Manager</v>
      </c>
      <c r="D228" s="1">
        <f t="shared" ca="1" si="28"/>
        <v>44685</v>
      </c>
      <c r="E228" s="1">
        <f ca="1">Table1[[#This Row],[Job Posting Date]]+ RANDBETWEEN(15, 90)</f>
        <v>44767</v>
      </c>
      <c r="F228" s="1">
        <f ca="1">Table1[[#This Row],[Hire Date]]+ RANDBETWEEN(1, 15)</f>
        <v>44769</v>
      </c>
      <c r="G228" s="1">
        <f ca="1">IF(RAND() &lt; 0.5,  Table1[[#This Row],[Join Date]]+ RANDBETWEEN(30, TODAY()- Table1[[#This Row],[Join Date]]), "-")</f>
        <v>44950</v>
      </c>
      <c r="H228" t="str">
        <f ca="1">IF(Table1[[#This Row],[Exit Date]]= "-", "Active", "Exited")</f>
        <v>Exited</v>
      </c>
      <c r="I228" s="5">
        <f t="shared" ca="1" si="29"/>
        <v>3875</v>
      </c>
      <c r="J228" t="str" cm="1">
        <f t="array" aca="1" ref="J228" ca="1">INDEX(sheet2!$C$2:$C$6, RANDBETWEEN(1, 5))</f>
        <v>Ethics and Responsibilities</v>
      </c>
      <c r="K228" t="str">
        <f t="shared" ca="1" si="30"/>
        <v>Completed</v>
      </c>
      <c r="L228">
        <v>260</v>
      </c>
      <c r="M228">
        <f t="shared" ca="1" si="32"/>
        <v>15</v>
      </c>
      <c r="N228" t="str">
        <f t="shared" ca="1" si="33"/>
        <v>Female</v>
      </c>
      <c r="O228" s="6">
        <f t="shared" ca="1" si="34"/>
        <v>2327</v>
      </c>
      <c r="P228">
        <f ca="1">Table1[[#This Row],[Hire Date]]-Table1[[#This Row],[Job Posting Date]]</f>
        <v>82</v>
      </c>
      <c r="Q228" s="7">
        <f ca="1">Table1[[#This Row],[Join Date]]-Table1[[#This Row],[Hire Date]]</f>
        <v>2</v>
      </c>
      <c r="R228" s="8">
        <f ca="1">(IF(Table1[[#This Row],[Status]]="Exited",Table1[[#This Row],[Exit Date]]-Table1[[#This Row],[Join Date]],TODAY()-Table1[[#This Row],[Join Date]]))/30</f>
        <v>6.0333333333333332</v>
      </c>
      <c r="S228">
        <f ca="1">Table1[[#This Row],[Hire Date]]-Table1[[#This Row],[Job Posting Date]]</f>
        <v>82</v>
      </c>
      <c r="T228" s="7">
        <f ca="1">Table1[[#This Row],[Time to onboard]]/Table1[[#This Row],[Time to Fill]]*100</f>
        <v>2.4390243902439024</v>
      </c>
      <c r="U228" s="8">
        <f ca="1">Table1[[#This Row],[Time to onboard]]/Table1[[#This Row],[Time to Fill]]*100</f>
        <v>2.4390243902439024</v>
      </c>
      <c r="V228">
        <f ca="1">Table1[[#This Row],[Join Date]]-Table1[[#This Row],[Job Posting Date]]</f>
        <v>84</v>
      </c>
      <c r="W228">
        <f t="shared" ca="1" si="35"/>
        <v>103</v>
      </c>
      <c r="X228" s="8">
        <f ca="1">Table1[[#This Row],[Absentee Days]]/Table1[[#This Row],[Total Work Days]]*100</f>
        <v>5.7692307692307692</v>
      </c>
      <c r="Y228">
        <f ca="1">YEAR(Table1[[#This Row],[Join Date]])</f>
        <v>2022</v>
      </c>
      <c r="Z228">
        <f ca="1">IF(Table1[[#This Row],[Status]]="Active",1,0)</f>
        <v>0</v>
      </c>
      <c r="AA228">
        <f ca="1">IF(Table1[[#This Row],[Status]]="Exited",Table1[[#This Row],[Recruitment Cost]]+Table1[[#This Row],[Onboarding cost]]+Table1[[#This Row],[Training Cost]],0)</f>
        <v>6305</v>
      </c>
    </row>
    <row r="229" spans="1:27">
      <c r="A229" t="str">
        <f t="shared" si="31"/>
        <v>E228</v>
      </c>
      <c r="B229" t="str" cm="1">
        <f t="array" aca="1" ref="B229" ca="1">INDEX(sheet2!$A$2:$A$6, RANDBETWEEN(1, 5))</f>
        <v>IT</v>
      </c>
      <c r="C229" t="str">
        <f ca="1">_xlfn.XLOOKUP(Table1[[#This Row],[Department]],sheet2!$A$2:$A$6,sheet2!$B$2:$B$6,_xleta.NA,0)</f>
        <v>Software Engineer</v>
      </c>
      <c r="D229" s="1">
        <f t="shared" ca="1" si="28"/>
        <v>44584</v>
      </c>
      <c r="E229" s="1">
        <f ca="1">Table1[[#This Row],[Job Posting Date]]+ RANDBETWEEN(15, 90)</f>
        <v>44611</v>
      </c>
      <c r="F229" s="1">
        <f ca="1">Table1[[#This Row],[Hire Date]]+ RANDBETWEEN(1, 15)</f>
        <v>44619</v>
      </c>
      <c r="G229" s="1">
        <f ca="1">IF(RAND() &lt; 0.5,  Table1[[#This Row],[Join Date]]+ RANDBETWEEN(30, TODAY()- Table1[[#This Row],[Join Date]]), "-")</f>
        <v>45350</v>
      </c>
      <c r="H229" t="str">
        <f ca="1">IF(Table1[[#This Row],[Exit Date]]= "-", "Active", "Exited")</f>
        <v>Exited</v>
      </c>
      <c r="I229" s="5">
        <f t="shared" ca="1" si="29"/>
        <v>3651</v>
      </c>
      <c r="J229" t="str" cm="1">
        <f t="array" aca="1" ref="J229" ca="1">INDEX(sheet2!$C$2:$C$6, RANDBETWEEN(1, 5))</f>
        <v>Conflict Resolution</v>
      </c>
      <c r="K229" t="str">
        <f t="shared" ca="1" si="30"/>
        <v>Completed</v>
      </c>
      <c r="L229">
        <v>260</v>
      </c>
      <c r="M229">
        <f t="shared" ca="1" si="32"/>
        <v>4</v>
      </c>
      <c r="N229" t="str">
        <f t="shared" ca="1" si="33"/>
        <v>Female</v>
      </c>
      <c r="O229" s="6">
        <f t="shared" ca="1" si="34"/>
        <v>2180</v>
      </c>
      <c r="P229">
        <f ca="1">Table1[[#This Row],[Hire Date]]-Table1[[#This Row],[Job Posting Date]]</f>
        <v>27</v>
      </c>
      <c r="Q229" s="7">
        <f ca="1">Table1[[#This Row],[Join Date]]-Table1[[#This Row],[Hire Date]]</f>
        <v>8</v>
      </c>
      <c r="R229" s="8">
        <f ca="1">(IF(Table1[[#This Row],[Status]]="Exited",Table1[[#This Row],[Exit Date]]-Table1[[#This Row],[Join Date]],TODAY()-Table1[[#This Row],[Join Date]]))/30</f>
        <v>24.366666666666667</v>
      </c>
      <c r="S229">
        <f ca="1">Table1[[#This Row],[Hire Date]]-Table1[[#This Row],[Job Posting Date]]</f>
        <v>27</v>
      </c>
      <c r="T229" s="7">
        <f ca="1">Table1[[#This Row],[Time to onboard]]/Table1[[#This Row],[Time to Fill]]*100</f>
        <v>29.629629629629626</v>
      </c>
      <c r="U229" s="8">
        <f ca="1">Table1[[#This Row],[Time to onboard]]/Table1[[#This Row],[Time to Fill]]*100</f>
        <v>29.629629629629626</v>
      </c>
      <c r="V229">
        <f ca="1">Table1[[#This Row],[Join Date]]-Table1[[#This Row],[Job Posting Date]]</f>
        <v>35</v>
      </c>
      <c r="W229">
        <f t="shared" ca="1" si="35"/>
        <v>186</v>
      </c>
      <c r="X229" s="8">
        <f ca="1">Table1[[#This Row],[Absentee Days]]/Table1[[#This Row],[Total Work Days]]*100</f>
        <v>1.5384615384615385</v>
      </c>
      <c r="Y229">
        <f ca="1">YEAR(Table1[[#This Row],[Join Date]])</f>
        <v>2022</v>
      </c>
      <c r="Z229">
        <f ca="1">IF(Table1[[#This Row],[Status]]="Active",1,0)</f>
        <v>0</v>
      </c>
      <c r="AA229">
        <f ca="1">IF(Table1[[#This Row],[Status]]="Exited",Table1[[#This Row],[Recruitment Cost]]+Table1[[#This Row],[Onboarding cost]]+Table1[[#This Row],[Training Cost]],0)</f>
        <v>6017</v>
      </c>
    </row>
    <row r="230" spans="1:27">
      <c r="A230" t="str">
        <f t="shared" si="31"/>
        <v>E229</v>
      </c>
      <c r="B230" t="str" cm="1">
        <f t="array" aca="1" ref="B230" ca="1">INDEX(sheet2!$A$2:$A$6, RANDBETWEEN(1, 5))</f>
        <v>IT</v>
      </c>
      <c r="C230" t="str">
        <f ca="1">_xlfn.XLOOKUP(Table1[[#This Row],[Department]],sheet2!$A$2:$A$6,sheet2!$B$2:$B$6,_xleta.NA,0)</f>
        <v>Software Engineer</v>
      </c>
      <c r="D230" s="1">
        <f t="shared" ref="D230:D293" ca="1" si="36">DATE(RANDBETWEEN(2018, 2022), RANDBETWEEN(1, 12), RANDBETWEEN(1, 28))</f>
        <v>44627</v>
      </c>
      <c r="E230" s="1">
        <f ca="1">Table1[[#This Row],[Job Posting Date]]+ RANDBETWEEN(15, 90)</f>
        <v>44670</v>
      </c>
      <c r="F230" s="1">
        <f ca="1">Table1[[#This Row],[Hire Date]]+ RANDBETWEEN(1, 15)</f>
        <v>44679</v>
      </c>
      <c r="G230" s="1">
        <f ca="1">IF(RAND() &lt; 0.5,  Table1[[#This Row],[Join Date]]+ RANDBETWEEN(30, TODAY()- Table1[[#This Row],[Join Date]]), "-")</f>
        <v>45258</v>
      </c>
      <c r="H230" t="str">
        <f ca="1">IF(Table1[[#This Row],[Exit Date]]= "-", "Active", "Exited")</f>
        <v>Exited</v>
      </c>
      <c r="I230" s="5">
        <f t="shared" ref="I230:I293" ca="1" si="37">RANDBETWEEN(1500, 5000)</f>
        <v>4239</v>
      </c>
      <c r="J230" t="str" cm="1">
        <f t="array" aca="1" ref="J230" ca="1">INDEX(sheet2!$C$2:$C$6, RANDBETWEEN(1, 5))</f>
        <v>Conflict Resolution</v>
      </c>
      <c r="K230" t="str">
        <f t="shared" ref="K230:K293" ca="1" si="38">IF(RAND() &lt; 0.7, "Completed", "Not Completed")</f>
        <v>Completed</v>
      </c>
      <c r="L230">
        <v>260</v>
      </c>
      <c r="M230">
        <f t="shared" ca="1" si="32"/>
        <v>15</v>
      </c>
      <c r="N230" t="str">
        <f t="shared" ca="1" si="33"/>
        <v>Female</v>
      </c>
      <c r="O230" s="6">
        <f t="shared" ca="1" si="34"/>
        <v>1914</v>
      </c>
      <c r="P230">
        <f ca="1">Table1[[#This Row],[Hire Date]]-Table1[[#This Row],[Job Posting Date]]</f>
        <v>43</v>
      </c>
      <c r="Q230" s="7">
        <f ca="1">Table1[[#This Row],[Join Date]]-Table1[[#This Row],[Hire Date]]</f>
        <v>9</v>
      </c>
      <c r="R230" s="8">
        <f ca="1">(IF(Table1[[#This Row],[Status]]="Exited",Table1[[#This Row],[Exit Date]]-Table1[[#This Row],[Join Date]],TODAY()-Table1[[#This Row],[Join Date]]))/30</f>
        <v>19.3</v>
      </c>
      <c r="S230">
        <f ca="1">Table1[[#This Row],[Hire Date]]-Table1[[#This Row],[Job Posting Date]]</f>
        <v>43</v>
      </c>
      <c r="T230" s="7">
        <f ca="1">Table1[[#This Row],[Time to onboard]]/Table1[[#This Row],[Time to Fill]]*100</f>
        <v>20.930232558139537</v>
      </c>
      <c r="U230" s="8">
        <f ca="1">Table1[[#This Row],[Time to onboard]]/Table1[[#This Row],[Time to Fill]]*100</f>
        <v>20.930232558139537</v>
      </c>
      <c r="V230">
        <f ca="1">Table1[[#This Row],[Join Date]]-Table1[[#This Row],[Job Posting Date]]</f>
        <v>52</v>
      </c>
      <c r="W230">
        <f t="shared" ca="1" si="35"/>
        <v>188</v>
      </c>
      <c r="X230" s="8">
        <f ca="1">Table1[[#This Row],[Absentee Days]]/Table1[[#This Row],[Total Work Days]]*100</f>
        <v>5.7692307692307692</v>
      </c>
      <c r="Y230">
        <f ca="1">YEAR(Table1[[#This Row],[Join Date]])</f>
        <v>2022</v>
      </c>
      <c r="Z230">
        <f ca="1">IF(Table1[[#This Row],[Status]]="Active",1,0)</f>
        <v>0</v>
      </c>
      <c r="AA230">
        <f ca="1">IF(Table1[[#This Row],[Status]]="Exited",Table1[[#This Row],[Recruitment Cost]]+Table1[[#This Row],[Onboarding cost]]+Table1[[#This Row],[Training Cost]],0)</f>
        <v>6341</v>
      </c>
    </row>
    <row r="231" spans="1:27">
      <c r="A231" t="str">
        <f t="shared" si="31"/>
        <v>E230</v>
      </c>
      <c r="B231" t="str" cm="1">
        <f t="array" aca="1" ref="B231" ca="1">INDEX(sheet2!$A$2:$A$6, RANDBETWEEN(1, 5))</f>
        <v>IT</v>
      </c>
      <c r="C231" t="str">
        <f ca="1">_xlfn.XLOOKUP(Table1[[#This Row],[Department]],sheet2!$A$2:$A$6,sheet2!$B$2:$B$6,_xleta.NA,0)</f>
        <v>Software Engineer</v>
      </c>
      <c r="D231" s="1">
        <f t="shared" ca="1" si="36"/>
        <v>43903</v>
      </c>
      <c r="E231" s="1">
        <f ca="1">Table1[[#This Row],[Job Posting Date]]+ RANDBETWEEN(15, 90)</f>
        <v>43958</v>
      </c>
      <c r="F231" s="1">
        <f ca="1">Table1[[#This Row],[Hire Date]]+ RANDBETWEEN(1, 15)</f>
        <v>43966</v>
      </c>
      <c r="G231" s="1">
        <f ca="1">IF(RAND() &lt; 0.5,  Table1[[#This Row],[Join Date]]+ RANDBETWEEN(30, TODAY()- Table1[[#This Row],[Join Date]]), "-")</f>
        <v>45494</v>
      </c>
      <c r="H231" t="str">
        <f ca="1">IF(Table1[[#This Row],[Exit Date]]= "-", "Active", "Exited")</f>
        <v>Exited</v>
      </c>
      <c r="I231" s="5">
        <f t="shared" ca="1" si="37"/>
        <v>1592</v>
      </c>
      <c r="J231" t="str" cm="1">
        <f t="array" aca="1" ref="J231" ca="1">INDEX(sheet2!$C$2:$C$6, RANDBETWEEN(1, 5))</f>
        <v>Conflict Resolution</v>
      </c>
      <c r="K231" t="str">
        <f t="shared" ca="1" si="38"/>
        <v>Not Completed</v>
      </c>
      <c r="L231">
        <v>260</v>
      </c>
      <c r="M231">
        <f t="shared" ca="1" si="32"/>
        <v>5</v>
      </c>
      <c r="N231" t="str">
        <f t="shared" ca="1" si="33"/>
        <v>Female</v>
      </c>
      <c r="O231" s="6">
        <f t="shared" ca="1" si="34"/>
        <v>1829</v>
      </c>
      <c r="P231">
        <f ca="1">Table1[[#This Row],[Hire Date]]-Table1[[#This Row],[Job Posting Date]]</f>
        <v>55</v>
      </c>
      <c r="Q231" s="7">
        <f ca="1">Table1[[#This Row],[Join Date]]-Table1[[#This Row],[Hire Date]]</f>
        <v>8</v>
      </c>
      <c r="R231" s="8">
        <f ca="1">(IF(Table1[[#This Row],[Status]]="Exited",Table1[[#This Row],[Exit Date]]-Table1[[#This Row],[Join Date]],TODAY()-Table1[[#This Row],[Join Date]]))/30</f>
        <v>50.93333333333333</v>
      </c>
      <c r="S231">
        <f ca="1">Table1[[#This Row],[Hire Date]]-Table1[[#This Row],[Job Posting Date]]</f>
        <v>55</v>
      </c>
      <c r="T231" s="7">
        <f ca="1">Table1[[#This Row],[Time to onboard]]/Table1[[#This Row],[Time to Fill]]*100</f>
        <v>14.545454545454545</v>
      </c>
      <c r="U231" s="8">
        <f ca="1">Table1[[#This Row],[Time to onboard]]/Table1[[#This Row],[Time to Fill]]*100</f>
        <v>14.545454545454545</v>
      </c>
      <c r="V231">
        <f ca="1">Table1[[#This Row],[Join Date]]-Table1[[#This Row],[Job Posting Date]]</f>
        <v>63</v>
      </c>
      <c r="W231">
        <f t="shared" ca="1" si="35"/>
        <v>103</v>
      </c>
      <c r="X231" s="8">
        <f ca="1">Table1[[#This Row],[Absentee Days]]/Table1[[#This Row],[Total Work Days]]*100</f>
        <v>1.9230769230769231</v>
      </c>
      <c r="Y231">
        <f ca="1">YEAR(Table1[[#This Row],[Join Date]])</f>
        <v>2020</v>
      </c>
      <c r="Z231">
        <f ca="1">IF(Table1[[#This Row],[Status]]="Active",1,0)</f>
        <v>0</v>
      </c>
      <c r="AA231">
        <f ca="1">IF(Table1[[#This Row],[Status]]="Exited",Table1[[#This Row],[Recruitment Cost]]+Table1[[#This Row],[Onboarding cost]]+Table1[[#This Row],[Training Cost]],0)</f>
        <v>3524</v>
      </c>
    </row>
    <row r="232" spans="1:27">
      <c r="A232" t="str">
        <f t="shared" si="31"/>
        <v>E231</v>
      </c>
      <c r="B232" t="str" cm="1">
        <f t="array" aca="1" ref="B232" ca="1">INDEX(sheet2!$A$2:$A$6, RANDBETWEEN(1, 5))</f>
        <v>IT</v>
      </c>
      <c r="C232" t="str">
        <f ca="1">_xlfn.XLOOKUP(Table1[[#This Row],[Department]],sheet2!$A$2:$A$6,sheet2!$B$2:$B$6,_xleta.NA,0)</f>
        <v>Software Engineer</v>
      </c>
      <c r="D232" s="1">
        <f t="shared" ca="1" si="36"/>
        <v>43320</v>
      </c>
      <c r="E232" s="1">
        <f ca="1">Table1[[#This Row],[Job Posting Date]]+ RANDBETWEEN(15, 90)</f>
        <v>43380</v>
      </c>
      <c r="F232" s="1">
        <f ca="1">Table1[[#This Row],[Hire Date]]+ RANDBETWEEN(1, 15)</f>
        <v>43393</v>
      </c>
      <c r="G232" s="1" t="str">
        <f ca="1">IF(RAND() &lt; 0.5,  Table1[[#This Row],[Join Date]]+ RANDBETWEEN(30, TODAY()- Table1[[#This Row],[Join Date]]), "-")</f>
        <v>-</v>
      </c>
      <c r="H232" t="str">
        <f ca="1">IF(Table1[[#This Row],[Exit Date]]= "-", "Active", "Exited")</f>
        <v>Active</v>
      </c>
      <c r="I232" s="5">
        <f t="shared" ca="1" si="37"/>
        <v>2200</v>
      </c>
      <c r="J232" t="str" cm="1">
        <f t="array" aca="1" ref="J232" ca="1">INDEX(sheet2!$C$2:$C$6, RANDBETWEEN(1, 5))</f>
        <v>Leadership Development</v>
      </c>
      <c r="K232" t="str">
        <f t="shared" ca="1" si="38"/>
        <v>Not Completed</v>
      </c>
      <c r="L232">
        <v>260</v>
      </c>
      <c r="M232">
        <f t="shared" ca="1" si="32"/>
        <v>0</v>
      </c>
      <c r="N232" t="str">
        <f t="shared" ca="1" si="33"/>
        <v>Male</v>
      </c>
      <c r="O232" s="6">
        <f t="shared" ca="1" si="34"/>
        <v>1542</v>
      </c>
      <c r="P232">
        <f ca="1">Table1[[#This Row],[Hire Date]]-Table1[[#This Row],[Job Posting Date]]</f>
        <v>60</v>
      </c>
      <c r="Q232" s="7">
        <f ca="1">Table1[[#This Row],[Join Date]]-Table1[[#This Row],[Hire Date]]</f>
        <v>13</v>
      </c>
      <c r="R232" s="8">
        <f ca="1">(IF(Table1[[#This Row],[Status]]="Exited",Table1[[#This Row],[Exit Date]]-Table1[[#This Row],[Join Date]],TODAY()-Table1[[#This Row],[Join Date]]))/30</f>
        <v>75.666666666666671</v>
      </c>
      <c r="S232">
        <f ca="1">Table1[[#This Row],[Hire Date]]-Table1[[#This Row],[Job Posting Date]]</f>
        <v>60</v>
      </c>
      <c r="T232" s="7">
        <f ca="1">Table1[[#This Row],[Time to onboard]]/Table1[[#This Row],[Time to Fill]]*100</f>
        <v>21.666666666666668</v>
      </c>
      <c r="U232" s="8">
        <f ca="1">Table1[[#This Row],[Time to onboard]]/Table1[[#This Row],[Time to Fill]]*100</f>
        <v>21.666666666666668</v>
      </c>
      <c r="V232">
        <f ca="1">Table1[[#This Row],[Join Date]]-Table1[[#This Row],[Job Posting Date]]</f>
        <v>73</v>
      </c>
      <c r="W232">
        <f t="shared" ca="1" si="35"/>
        <v>148</v>
      </c>
      <c r="X232" s="8">
        <f ca="1">Table1[[#This Row],[Absentee Days]]/Table1[[#This Row],[Total Work Days]]*100</f>
        <v>0</v>
      </c>
      <c r="Y232">
        <f ca="1">YEAR(Table1[[#This Row],[Join Date]])</f>
        <v>2018</v>
      </c>
      <c r="Z232">
        <f ca="1">IF(Table1[[#This Row],[Status]]="Active",1,0)</f>
        <v>1</v>
      </c>
      <c r="AA232">
        <f ca="1">IF(Table1[[#This Row],[Status]]="Exited",Table1[[#This Row],[Recruitment Cost]]+Table1[[#This Row],[Onboarding cost]]+Table1[[#This Row],[Training Cost]],0)</f>
        <v>0</v>
      </c>
    </row>
    <row r="233" spans="1:27">
      <c r="A233" t="str">
        <f t="shared" si="31"/>
        <v>E232</v>
      </c>
      <c r="B233" t="str" cm="1">
        <f t="array" aca="1" ref="B233" ca="1">INDEX(sheet2!$A$2:$A$6, RANDBETWEEN(1, 5))</f>
        <v>IT</v>
      </c>
      <c r="C233" t="str">
        <f ca="1">_xlfn.XLOOKUP(Table1[[#This Row],[Department]],sheet2!$A$2:$A$6,sheet2!$B$2:$B$6,_xleta.NA,0)</f>
        <v>Software Engineer</v>
      </c>
      <c r="D233" s="1">
        <f t="shared" ca="1" si="36"/>
        <v>44873</v>
      </c>
      <c r="E233" s="1">
        <f ca="1">Table1[[#This Row],[Job Posting Date]]+ RANDBETWEEN(15, 90)</f>
        <v>44943</v>
      </c>
      <c r="F233" s="1">
        <f ca="1">Table1[[#This Row],[Hire Date]]+ RANDBETWEEN(1, 15)</f>
        <v>44958</v>
      </c>
      <c r="G233" s="1">
        <f ca="1">IF(RAND() &lt; 0.5,  Table1[[#This Row],[Join Date]]+ RANDBETWEEN(30, TODAY()- Table1[[#This Row],[Join Date]]), "-")</f>
        <v>45093</v>
      </c>
      <c r="H233" t="str">
        <f ca="1">IF(Table1[[#This Row],[Exit Date]]= "-", "Active", "Exited")</f>
        <v>Exited</v>
      </c>
      <c r="I233" s="5">
        <f t="shared" ca="1" si="37"/>
        <v>2180</v>
      </c>
      <c r="J233" t="str" cm="1">
        <f t="array" aca="1" ref="J233" ca="1">INDEX(sheet2!$C$2:$C$6, RANDBETWEEN(1, 5))</f>
        <v>Advanced Excel Skills </v>
      </c>
      <c r="K233" t="str">
        <f t="shared" ca="1" si="38"/>
        <v>Not Completed</v>
      </c>
      <c r="L233">
        <v>260</v>
      </c>
      <c r="M233">
        <f t="shared" ca="1" si="32"/>
        <v>11</v>
      </c>
      <c r="N233" t="str">
        <f t="shared" ca="1" si="33"/>
        <v>Male</v>
      </c>
      <c r="O233" s="6">
        <f t="shared" ca="1" si="34"/>
        <v>2132</v>
      </c>
      <c r="P233">
        <f ca="1">Table1[[#This Row],[Hire Date]]-Table1[[#This Row],[Job Posting Date]]</f>
        <v>70</v>
      </c>
      <c r="Q233" s="7">
        <f ca="1">Table1[[#This Row],[Join Date]]-Table1[[#This Row],[Hire Date]]</f>
        <v>15</v>
      </c>
      <c r="R233" s="8">
        <f ca="1">(IF(Table1[[#This Row],[Status]]="Exited",Table1[[#This Row],[Exit Date]]-Table1[[#This Row],[Join Date]],TODAY()-Table1[[#This Row],[Join Date]]))/30</f>
        <v>4.5</v>
      </c>
      <c r="S233">
        <f ca="1">Table1[[#This Row],[Hire Date]]-Table1[[#This Row],[Job Posting Date]]</f>
        <v>70</v>
      </c>
      <c r="T233" s="7">
        <f ca="1">Table1[[#This Row],[Time to onboard]]/Table1[[#This Row],[Time to Fill]]*100</f>
        <v>21.428571428571427</v>
      </c>
      <c r="U233" s="8">
        <f ca="1">Table1[[#This Row],[Time to onboard]]/Table1[[#This Row],[Time to Fill]]*100</f>
        <v>21.428571428571427</v>
      </c>
      <c r="V233">
        <f ca="1">Table1[[#This Row],[Join Date]]-Table1[[#This Row],[Job Posting Date]]</f>
        <v>85</v>
      </c>
      <c r="W233">
        <f t="shared" ca="1" si="35"/>
        <v>173</v>
      </c>
      <c r="X233" s="8">
        <f ca="1">Table1[[#This Row],[Absentee Days]]/Table1[[#This Row],[Total Work Days]]*100</f>
        <v>4.2307692307692308</v>
      </c>
      <c r="Y233">
        <f ca="1">YEAR(Table1[[#This Row],[Join Date]])</f>
        <v>2023</v>
      </c>
      <c r="Z233">
        <f ca="1">IF(Table1[[#This Row],[Status]]="Active",1,0)</f>
        <v>0</v>
      </c>
      <c r="AA233">
        <f ca="1">IF(Table1[[#This Row],[Status]]="Exited",Table1[[#This Row],[Recruitment Cost]]+Table1[[#This Row],[Onboarding cost]]+Table1[[#This Row],[Training Cost]],0)</f>
        <v>4485</v>
      </c>
    </row>
    <row r="234" spans="1:27">
      <c r="A234" t="str">
        <f t="shared" si="31"/>
        <v>E233</v>
      </c>
      <c r="B234" t="str" cm="1">
        <f t="array" aca="1" ref="B234" ca="1">INDEX(sheet2!$A$2:$A$6, RANDBETWEEN(1, 5))</f>
        <v>Sales</v>
      </c>
      <c r="C234" t="str">
        <f ca="1">_xlfn.XLOOKUP(Table1[[#This Row],[Department]],sheet2!$A$2:$A$6,sheet2!$B$2:$B$6,_xleta.NA,0)</f>
        <v>Marketing Manager</v>
      </c>
      <c r="D234" s="1">
        <f t="shared" ca="1" si="36"/>
        <v>43928</v>
      </c>
      <c r="E234" s="1">
        <f ca="1">Table1[[#This Row],[Job Posting Date]]+ RANDBETWEEN(15, 90)</f>
        <v>43948</v>
      </c>
      <c r="F234" s="1">
        <f ca="1">Table1[[#This Row],[Hire Date]]+ RANDBETWEEN(1, 15)</f>
        <v>43951</v>
      </c>
      <c r="G234" s="1" t="str">
        <f ca="1">IF(RAND() &lt; 0.5,  Table1[[#This Row],[Join Date]]+ RANDBETWEEN(30, TODAY()- Table1[[#This Row],[Join Date]]), "-")</f>
        <v>-</v>
      </c>
      <c r="H234" t="str">
        <f ca="1">IF(Table1[[#This Row],[Exit Date]]= "-", "Active", "Exited")</f>
        <v>Active</v>
      </c>
      <c r="I234" s="5">
        <f t="shared" ca="1" si="37"/>
        <v>4357</v>
      </c>
      <c r="J234" t="str" cm="1">
        <f t="array" aca="1" ref="J234" ca="1">INDEX(sheet2!$C$2:$C$6, RANDBETWEEN(1, 5))</f>
        <v>Leadership Development</v>
      </c>
      <c r="K234" t="str">
        <f t="shared" ca="1" si="38"/>
        <v>Completed</v>
      </c>
      <c r="L234">
        <v>260</v>
      </c>
      <c r="M234">
        <f t="shared" ca="1" si="32"/>
        <v>3</v>
      </c>
      <c r="N234" t="str">
        <f t="shared" ca="1" si="33"/>
        <v>Male</v>
      </c>
      <c r="O234" s="6">
        <f t="shared" ca="1" si="34"/>
        <v>1222</v>
      </c>
      <c r="P234">
        <f ca="1">Table1[[#This Row],[Hire Date]]-Table1[[#This Row],[Job Posting Date]]</f>
        <v>20</v>
      </c>
      <c r="Q234" s="7">
        <f ca="1">Table1[[#This Row],[Join Date]]-Table1[[#This Row],[Hire Date]]</f>
        <v>3</v>
      </c>
      <c r="R234" s="8">
        <f ca="1">(IF(Table1[[#This Row],[Status]]="Exited",Table1[[#This Row],[Exit Date]]-Table1[[#This Row],[Join Date]],TODAY()-Table1[[#This Row],[Join Date]]))/30</f>
        <v>57.06666666666667</v>
      </c>
      <c r="S234">
        <f ca="1">Table1[[#This Row],[Hire Date]]-Table1[[#This Row],[Job Posting Date]]</f>
        <v>20</v>
      </c>
      <c r="T234" s="7">
        <f ca="1">Table1[[#This Row],[Time to onboard]]/Table1[[#This Row],[Time to Fill]]*100</f>
        <v>15</v>
      </c>
      <c r="U234" s="8">
        <f ca="1">Table1[[#This Row],[Time to onboard]]/Table1[[#This Row],[Time to Fill]]*100</f>
        <v>15</v>
      </c>
      <c r="V234">
        <f ca="1">Table1[[#This Row],[Join Date]]-Table1[[#This Row],[Job Posting Date]]</f>
        <v>23</v>
      </c>
      <c r="W234">
        <f t="shared" ca="1" si="35"/>
        <v>110</v>
      </c>
      <c r="X234" s="8">
        <f ca="1">Table1[[#This Row],[Absentee Days]]/Table1[[#This Row],[Total Work Days]]*100</f>
        <v>1.153846153846154</v>
      </c>
      <c r="Y234">
        <f ca="1">YEAR(Table1[[#This Row],[Join Date]])</f>
        <v>2020</v>
      </c>
      <c r="Z234">
        <f ca="1">IF(Table1[[#This Row],[Status]]="Active",1,0)</f>
        <v>1</v>
      </c>
      <c r="AA234">
        <f ca="1">IF(Table1[[#This Row],[Status]]="Exited",Table1[[#This Row],[Recruitment Cost]]+Table1[[#This Row],[Onboarding cost]]+Table1[[#This Row],[Training Cost]],0)</f>
        <v>0</v>
      </c>
    </row>
    <row r="235" spans="1:27">
      <c r="A235" t="str">
        <f t="shared" si="31"/>
        <v>E234</v>
      </c>
      <c r="B235" t="str" cm="1">
        <f t="array" aca="1" ref="B235" ca="1">INDEX(sheet2!$A$2:$A$6, RANDBETWEEN(1, 5))</f>
        <v>Sales</v>
      </c>
      <c r="C235" t="str">
        <f ca="1">_xlfn.XLOOKUP(Table1[[#This Row],[Department]],sheet2!$A$2:$A$6,sheet2!$B$2:$B$6,_xleta.NA,0)</f>
        <v>Marketing Manager</v>
      </c>
      <c r="D235" s="1">
        <f t="shared" ca="1" si="36"/>
        <v>44017</v>
      </c>
      <c r="E235" s="1">
        <f ca="1">Table1[[#This Row],[Job Posting Date]]+ RANDBETWEEN(15, 90)</f>
        <v>44040</v>
      </c>
      <c r="F235" s="1">
        <f ca="1">Table1[[#This Row],[Hire Date]]+ RANDBETWEEN(1, 15)</f>
        <v>44041</v>
      </c>
      <c r="G235" s="1" t="str">
        <f ca="1">IF(RAND() &lt; 0.5,  Table1[[#This Row],[Join Date]]+ RANDBETWEEN(30, TODAY()- Table1[[#This Row],[Join Date]]), "-")</f>
        <v>-</v>
      </c>
      <c r="H235" t="str">
        <f ca="1">IF(Table1[[#This Row],[Exit Date]]= "-", "Active", "Exited")</f>
        <v>Active</v>
      </c>
      <c r="I235" s="5">
        <f t="shared" ca="1" si="37"/>
        <v>4781</v>
      </c>
      <c r="J235" t="str" cm="1">
        <f t="array" aca="1" ref="J235" ca="1">INDEX(sheet2!$C$2:$C$6, RANDBETWEEN(1, 5))</f>
        <v>Advanced Excel Skills </v>
      </c>
      <c r="K235" t="str">
        <f t="shared" ca="1" si="38"/>
        <v>Completed</v>
      </c>
      <c r="L235">
        <v>260</v>
      </c>
      <c r="M235">
        <f t="shared" ca="1" si="32"/>
        <v>16</v>
      </c>
      <c r="N235" t="str">
        <f t="shared" ca="1" si="33"/>
        <v>Other</v>
      </c>
      <c r="O235" s="6">
        <f t="shared" ca="1" si="34"/>
        <v>1353</v>
      </c>
      <c r="P235">
        <f ca="1">Table1[[#This Row],[Hire Date]]-Table1[[#This Row],[Job Posting Date]]</f>
        <v>23</v>
      </c>
      <c r="Q235" s="7">
        <f ca="1">Table1[[#This Row],[Join Date]]-Table1[[#This Row],[Hire Date]]</f>
        <v>1</v>
      </c>
      <c r="R235" s="8">
        <f ca="1">(IF(Table1[[#This Row],[Status]]="Exited",Table1[[#This Row],[Exit Date]]-Table1[[#This Row],[Join Date]],TODAY()-Table1[[#This Row],[Join Date]]))/30</f>
        <v>54.06666666666667</v>
      </c>
      <c r="S235">
        <f ca="1">Table1[[#This Row],[Hire Date]]-Table1[[#This Row],[Job Posting Date]]</f>
        <v>23</v>
      </c>
      <c r="T235" s="7">
        <f ca="1">Table1[[#This Row],[Time to onboard]]/Table1[[#This Row],[Time to Fill]]*100</f>
        <v>4.3478260869565215</v>
      </c>
      <c r="U235" s="8">
        <f ca="1">Table1[[#This Row],[Time to onboard]]/Table1[[#This Row],[Time to Fill]]*100</f>
        <v>4.3478260869565215</v>
      </c>
      <c r="V235">
        <f ca="1">Table1[[#This Row],[Join Date]]-Table1[[#This Row],[Job Posting Date]]</f>
        <v>24</v>
      </c>
      <c r="W235">
        <f t="shared" ca="1" si="35"/>
        <v>200</v>
      </c>
      <c r="X235" s="8">
        <f ca="1">Table1[[#This Row],[Absentee Days]]/Table1[[#This Row],[Total Work Days]]*100</f>
        <v>6.1538461538461542</v>
      </c>
      <c r="Y235">
        <f ca="1">YEAR(Table1[[#This Row],[Join Date]])</f>
        <v>2020</v>
      </c>
      <c r="Z235">
        <f ca="1">IF(Table1[[#This Row],[Status]]="Active",1,0)</f>
        <v>1</v>
      </c>
      <c r="AA235">
        <f ca="1">IF(Table1[[#This Row],[Status]]="Exited",Table1[[#This Row],[Recruitment Cost]]+Table1[[#This Row],[Onboarding cost]]+Table1[[#This Row],[Training Cost]],0)</f>
        <v>0</v>
      </c>
    </row>
    <row r="236" spans="1:27">
      <c r="A236" t="str">
        <f t="shared" si="31"/>
        <v>E235</v>
      </c>
      <c r="B236" t="str" cm="1">
        <f t="array" aca="1" ref="B236" ca="1">INDEX(sheet2!$A$2:$A$6, RANDBETWEEN(1, 5))</f>
        <v>HR</v>
      </c>
      <c r="C236" t="str">
        <f ca="1">_xlfn.XLOOKUP(Table1[[#This Row],[Department]],sheet2!$A$2:$A$6,sheet2!$B$2:$B$6,_xleta.NA,0)</f>
        <v>HR Manager</v>
      </c>
      <c r="D236" s="1">
        <f t="shared" ca="1" si="36"/>
        <v>43635</v>
      </c>
      <c r="E236" s="1">
        <f ca="1">Table1[[#This Row],[Job Posting Date]]+ RANDBETWEEN(15, 90)</f>
        <v>43705</v>
      </c>
      <c r="F236" s="1">
        <f ca="1">Table1[[#This Row],[Hire Date]]+ RANDBETWEEN(1, 15)</f>
        <v>43710</v>
      </c>
      <c r="G236" s="1">
        <f ca="1">IF(RAND() &lt; 0.5,  Table1[[#This Row],[Join Date]]+ RANDBETWEEN(30, TODAY()- Table1[[#This Row],[Join Date]]), "-")</f>
        <v>44425</v>
      </c>
      <c r="H236" t="str">
        <f ca="1">IF(Table1[[#This Row],[Exit Date]]= "-", "Active", "Exited")</f>
        <v>Exited</v>
      </c>
      <c r="I236" s="5">
        <f t="shared" ca="1" si="37"/>
        <v>2927</v>
      </c>
      <c r="J236" t="str" cm="1">
        <f t="array" aca="1" ref="J236" ca="1">INDEX(sheet2!$C$2:$C$6, RANDBETWEEN(1, 5))</f>
        <v>Advanced Excel Skills </v>
      </c>
      <c r="K236" t="str">
        <f t="shared" ca="1" si="38"/>
        <v>Completed</v>
      </c>
      <c r="L236">
        <v>260</v>
      </c>
      <c r="M236">
        <f t="shared" ca="1" si="32"/>
        <v>1</v>
      </c>
      <c r="N236" t="str">
        <f t="shared" ca="1" si="33"/>
        <v>Other</v>
      </c>
      <c r="O236" s="6">
        <f t="shared" ca="1" si="34"/>
        <v>1470</v>
      </c>
      <c r="P236">
        <f ca="1">Table1[[#This Row],[Hire Date]]-Table1[[#This Row],[Job Posting Date]]</f>
        <v>70</v>
      </c>
      <c r="Q236" s="7">
        <f ca="1">Table1[[#This Row],[Join Date]]-Table1[[#This Row],[Hire Date]]</f>
        <v>5</v>
      </c>
      <c r="R236" s="8">
        <f ca="1">(IF(Table1[[#This Row],[Status]]="Exited",Table1[[#This Row],[Exit Date]]-Table1[[#This Row],[Join Date]],TODAY()-Table1[[#This Row],[Join Date]]))/30</f>
        <v>23.833333333333332</v>
      </c>
      <c r="S236">
        <f ca="1">Table1[[#This Row],[Hire Date]]-Table1[[#This Row],[Job Posting Date]]</f>
        <v>70</v>
      </c>
      <c r="T236" s="7">
        <f ca="1">Table1[[#This Row],[Time to onboard]]/Table1[[#This Row],[Time to Fill]]*100</f>
        <v>7.1428571428571423</v>
      </c>
      <c r="U236" s="8">
        <f ca="1">Table1[[#This Row],[Time to onboard]]/Table1[[#This Row],[Time to Fill]]*100</f>
        <v>7.1428571428571423</v>
      </c>
      <c r="V236">
        <f ca="1">Table1[[#This Row],[Join Date]]-Table1[[#This Row],[Job Posting Date]]</f>
        <v>75</v>
      </c>
      <c r="W236">
        <f t="shared" ca="1" si="35"/>
        <v>154</v>
      </c>
      <c r="X236" s="8">
        <f ca="1">Table1[[#This Row],[Absentee Days]]/Table1[[#This Row],[Total Work Days]]*100</f>
        <v>0.38461538461538464</v>
      </c>
      <c r="Y236">
        <f ca="1">YEAR(Table1[[#This Row],[Join Date]])</f>
        <v>2019</v>
      </c>
      <c r="Z236">
        <f ca="1">IF(Table1[[#This Row],[Status]]="Active",1,0)</f>
        <v>0</v>
      </c>
      <c r="AA236">
        <f ca="1">IF(Table1[[#This Row],[Status]]="Exited",Table1[[#This Row],[Recruitment Cost]]+Table1[[#This Row],[Onboarding cost]]+Table1[[#This Row],[Training Cost]],0)</f>
        <v>4551</v>
      </c>
    </row>
    <row r="237" spans="1:27">
      <c r="A237" t="str">
        <f t="shared" si="31"/>
        <v>E236</v>
      </c>
      <c r="B237" t="str" cm="1">
        <f t="array" aca="1" ref="B237" ca="1">INDEX(sheet2!$A$2:$A$6, RANDBETWEEN(1, 5))</f>
        <v>HR</v>
      </c>
      <c r="C237" t="str">
        <f ca="1">_xlfn.XLOOKUP(Table1[[#This Row],[Department]],sheet2!$A$2:$A$6,sheet2!$B$2:$B$6,_xleta.NA,0)</f>
        <v>HR Manager</v>
      </c>
      <c r="D237" s="1">
        <f t="shared" ca="1" si="36"/>
        <v>43894</v>
      </c>
      <c r="E237" s="1">
        <f ca="1">Table1[[#This Row],[Job Posting Date]]+ RANDBETWEEN(15, 90)</f>
        <v>43956</v>
      </c>
      <c r="F237" s="1">
        <f ca="1">Table1[[#This Row],[Hire Date]]+ RANDBETWEEN(1, 15)</f>
        <v>43963</v>
      </c>
      <c r="G237" s="1">
        <f ca="1">IF(RAND() &lt; 0.5,  Table1[[#This Row],[Join Date]]+ RANDBETWEEN(30, TODAY()- Table1[[#This Row],[Join Date]]), "-")</f>
        <v>44503</v>
      </c>
      <c r="H237" t="str">
        <f ca="1">IF(Table1[[#This Row],[Exit Date]]= "-", "Active", "Exited")</f>
        <v>Exited</v>
      </c>
      <c r="I237" s="5">
        <f t="shared" ca="1" si="37"/>
        <v>2645</v>
      </c>
      <c r="J237" t="str" cm="1">
        <f t="array" aca="1" ref="J237" ca="1">INDEX(sheet2!$C$2:$C$6, RANDBETWEEN(1, 5))</f>
        <v>Ethics and Responsibilities</v>
      </c>
      <c r="K237" t="str">
        <f t="shared" ca="1" si="38"/>
        <v>Completed</v>
      </c>
      <c r="L237">
        <v>260</v>
      </c>
      <c r="M237">
        <f t="shared" ca="1" si="32"/>
        <v>11</v>
      </c>
      <c r="N237" t="str">
        <f t="shared" ca="1" si="33"/>
        <v>Male</v>
      </c>
      <c r="O237" s="6">
        <f t="shared" ca="1" si="34"/>
        <v>1747</v>
      </c>
      <c r="P237">
        <f ca="1">Table1[[#This Row],[Hire Date]]-Table1[[#This Row],[Job Posting Date]]</f>
        <v>62</v>
      </c>
      <c r="Q237" s="7">
        <f ca="1">Table1[[#This Row],[Join Date]]-Table1[[#This Row],[Hire Date]]</f>
        <v>7</v>
      </c>
      <c r="R237" s="8">
        <f ca="1">(IF(Table1[[#This Row],[Status]]="Exited",Table1[[#This Row],[Exit Date]]-Table1[[#This Row],[Join Date]],TODAY()-Table1[[#This Row],[Join Date]]))/30</f>
        <v>18</v>
      </c>
      <c r="S237">
        <f ca="1">Table1[[#This Row],[Hire Date]]-Table1[[#This Row],[Job Posting Date]]</f>
        <v>62</v>
      </c>
      <c r="T237" s="7">
        <f ca="1">Table1[[#This Row],[Time to onboard]]/Table1[[#This Row],[Time to Fill]]*100</f>
        <v>11.29032258064516</v>
      </c>
      <c r="U237" s="8">
        <f ca="1">Table1[[#This Row],[Time to onboard]]/Table1[[#This Row],[Time to Fill]]*100</f>
        <v>11.29032258064516</v>
      </c>
      <c r="V237">
        <f ca="1">Table1[[#This Row],[Join Date]]-Table1[[#This Row],[Job Posting Date]]</f>
        <v>69</v>
      </c>
      <c r="W237">
        <f t="shared" ca="1" si="35"/>
        <v>163</v>
      </c>
      <c r="X237" s="8">
        <f ca="1">Table1[[#This Row],[Absentee Days]]/Table1[[#This Row],[Total Work Days]]*100</f>
        <v>4.2307692307692308</v>
      </c>
      <c r="Y237">
        <f ca="1">YEAR(Table1[[#This Row],[Join Date]])</f>
        <v>2020</v>
      </c>
      <c r="Z237">
        <f ca="1">IF(Table1[[#This Row],[Status]]="Active",1,0)</f>
        <v>0</v>
      </c>
      <c r="AA237">
        <f ca="1">IF(Table1[[#This Row],[Status]]="Exited",Table1[[#This Row],[Recruitment Cost]]+Table1[[#This Row],[Onboarding cost]]+Table1[[#This Row],[Training Cost]],0)</f>
        <v>4555</v>
      </c>
    </row>
    <row r="238" spans="1:27">
      <c r="A238" t="str">
        <f t="shared" si="31"/>
        <v>E237</v>
      </c>
      <c r="B238" t="str" cm="1">
        <f t="array" aca="1" ref="B238" ca="1">INDEX(sheet2!$A$2:$A$6, RANDBETWEEN(1, 5))</f>
        <v>IT</v>
      </c>
      <c r="C238" t="str">
        <f ca="1">_xlfn.XLOOKUP(Table1[[#This Row],[Department]],sheet2!$A$2:$A$6,sheet2!$B$2:$B$6,_xleta.NA,0)</f>
        <v>Software Engineer</v>
      </c>
      <c r="D238" s="1">
        <f t="shared" ca="1" si="36"/>
        <v>43217</v>
      </c>
      <c r="E238" s="1">
        <f ca="1">Table1[[#This Row],[Job Posting Date]]+ RANDBETWEEN(15, 90)</f>
        <v>43279</v>
      </c>
      <c r="F238" s="1">
        <f ca="1">Table1[[#This Row],[Hire Date]]+ RANDBETWEEN(1, 15)</f>
        <v>43293</v>
      </c>
      <c r="G238" s="1" t="str">
        <f ca="1">IF(RAND() &lt; 0.5,  Table1[[#This Row],[Join Date]]+ RANDBETWEEN(30, TODAY()- Table1[[#This Row],[Join Date]]), "-")</f>
        <v>-</v>
      </c>
      <c r="H238" t="str">
        <f ca="1">IF(Table1[[#This Row],[Exit Date]]= "-", "Active", "Exited")</f>
        <v>Active</v>
      </c>
      <c r="I238" s="5">
        <f t="shared" ca="1" si="37"/>
        <v>4971</v>
      </c>
      <c r="J238" t="str" cm="1">
        <f t="array" aca="1" ref="J238" ca="1">INDEX(sheet2!$C$2:$C$6, RANDBETWEEN(1, 5))</f>
        <v>Conflict Resolution</v>
      </c>
      <c r="K238" t="str">
        <f t="shared" ca="1" si="38"/>
        <v>Completed</v>
      </c>
      <c r="L238">
        <v>260</v>
      </c>
      <c r="M238">
        <f t="shared" ca="1" si="32"/>
        <v>10</v>
      </c>
      <c r="N238" t="str">
        <f t="shared" ca="1" si="33"/>
        <v>Male</v>
      </c>
      <c r="O238" s="6">
        <f t="shared" ca="1" si="34"/>
        <v>1212</v>
      </c>
      <c r="P238">
        <f ca="1">Table1[[#This Row],[Hire Date]]-Table1[[#This Row],[Job Posting Date]]</f>
        <v>62</v>
      </c>
      <c r="Q238" s="7">
        <f ca="1">Table1[[#This Row],[Join Date]]-Table1[[#This Row],[Hire Date]]</f>
        <v>14</v>
      </c>
      <c r="R238" s="8">
        <f ca="1">(IF(Table1[[#This Row],[Status]]="Exited",Table1[[#This Row],[Exit Date]]-Table1[[#This Row],[Join Date]],TODAY()-Table1[[#This Row],[Join Date]]))/30</f>
        <v>79</v>
      </c>
      <c r="S238">
        <f ca="1">Table1[[#This Row],[Hire Date]]-Table1[[#This Row],[Job Posting Date]]</f>
        <v>62</v>
      </c>
      <c r="T238" s="7">
        <f ca="1">Table1[[#This Row],[Time to onboard]]/Table1[[#This Row],[Time to Fill]]*100</f>
        <v>22.58064516129032</v>
      </c>
      <c r="U238" s="8">
        <f ca="1">Table1[[#This Row],[Time to onboard]]/Table1[[#This Row],[Time to Fill]]*100</f>
        <v>22.58064516129032</v>
      </c>
      <c r="V238">
        <f ca="1">Table1[[#This Row],[Join Date]]-Table1[[#This Row],[Job Posting Date]]</f>
        <v>76</v>
      </c>
      <c r="W238">
        <f t="shared" ca="1" si="35"/>
        <v>105</v>
      </c>
      <c r="X238" s="8">
        <f ca="1">Table1[[#This Row],[Absentee Days]]/Table1[[#This Row],[Total Work Days]]*100</f>
        <v>3.8461538461538463</v>
      </c>
      <c r="Y238">
        <f ca="1">YEAR(Table1[[#This Row],[Join Date]])</f>
        <v>2018</v>
      </c>
      <c r="Z238">
        <f ca="1">IF(Table1[[#This Row],[Status]]="Active",1,0)</f>
        <v>1</v>
      </c>
      <c r="AA238">
        <f ca="1">IF(Table1[[#This Row],[Status]]="Exited",Table1[[#This Row],[Recruitment Cost]]+Table1[[#This Row],[Onboarding cost]]+Table1[[#This Row],[Training Cost]],0)</f>
        <v>0</v>
      </c>
    </row>
    <row r="239" spans="1:27">
      <c r="A239" t="str">
        <f t="shared" si="31"/>
        <v>E238</v>
      </c>
      <c r="B239" t="str" cm="1">
        <f t="array" aca="1" ref="B239" ca="1">INDEX(sheet2!$A$2:$A$6, RANDBETWEEN(1, 5))</f>
        <v>Analytics</v>
      </c>
      <c r="C239" t="str">
        <f ca="1">_xlfn.XLOOKUP(Table1[[#This Row],[Department]],sheet2!$A$2:$A$6,sheet2!$B$2:$B$6,_xleta.NA,0)</f>
        <v>Data Analyst</v>
      </c>
      <c r="D239" s="1">
        <f t="shared" ca="1" si="36"/>
        <v>44296</v>
      </c>
      <c r="E239" s="1">
        <f ca="1">Table1[[#This Row],[Job Posting Date]]+ RANDBETWEEN(15, 90)</f>
        <v>44327</v>
      </c>
      <c r="F239" s="1">
        <f ca="1">Table1[[#This Row],[Hire Date]]+ RANDBETWEEN(1, 15)</f>
        <v>44329</v>
      </c>
      <c r="G239" s="1" t="str">
        <f ca="1">IF(RAND() &lt; 0.5,  Table1[[#This Row],[Join Date]]+ RANDBETWEEN(30, TODAY()- Table1[[#This Row],[Join Date]]), "-")</f>
        <v>-</v>
      </c>
      <c r="H239" t="str">
        <f ca="1">IF(Table1[[#This Row],[Exit Date]]= "-", "Active", "Exited")</f>
        <v>Active</v>
      </c>
      <c r="I239" s="5">
        <f t="shared" ca="1" si="37"/>
        <v>3212</v>
      </c>
      <c r="J239" t="str" cm="1">
        <f t="array" aca="1" ref="J239" ca="1">INDEX(sheet2!$C$2:$C$6, RANDBETWEEN(1, 5))</f>
        <v>Ethics and Responsibilities</v>
      </c>
      <c r="K239" t="str">
        <f t="shared" ca="1" si="38"/>
        <v>Completed</v>
      </c>
      <c r="L239">
        <v>260</v>
      </c>
      <c r="M239">
        <f t="shared" ca="1" si="32"/>
        <v>4</v>
      </c>
      <c r="N239" t="str">
        <f t="shared" ca="1" si="33"/>
        <v>Male</v>
      </c>
      <c r="O239" s="6">
        <f t="shared" ca="1" si="34"/>
        <v>1847</v>
      </c>
      <c r="P239">
        <f ca="1">Table1[[#This Row],[Hire Date]]-Table1[[#This Row],[Job Posting Date]]</f>
        <v>31</v>
      </c>
      <c r="Q239" s="7">
        <f ca="1">Table1[[#This Row],[Join Date]]-Table1[[#This Row],[Hire Date]]</f>
        <v>2</v>
      </c>
      <c r="R239" s="8">
        <f ca="1">(IF(Table1[[#This Row],[Status]]="Exited",Table1[[#This Row],[Exit Date]]-Table1[[#This Row],[Join Date]],TODAY()-Table1[[#This Row],[Join Date]]))/30</f>
        <v>44.466666666666669</v>
      </c>
      <c r="S239">
        <f ca="1">Table1[[#This Row],[Hire Date]]-Table1[[#This Row],[Job Posting Date]]</f>
        <v>31</v>
      </c>
      <c r="T239" s="7">
        <f ca="1">Table1[[#This Row],[Time to onboard]]/Table1[[#This Row],[Time to Fill]]*100</f>
        <v>6.4516129032258061</v>
      </c>
      <c r="U239" s="8">
        <f ca="1">Table1[[#This Row],[Time to onboard]]/Table1[[#This Row],[Time to Fill]]*100</f>
        <v>6.4516129032258061</v>
      </c>
      <c r="V239">
        <f ca="1">Table1[[#This Row],[Join Date]]-Table1[[#This Row],[Job Posting Date]]</f>
        <v>33</v>
      </c>
      <c r="W239">
        <f t="shared" ca="1" si="35"/>
        <v>176</v>
      </c>
      <c r="X239" s="8">
        <f ca="1">Table1[[#This Row],[Absentee Days]]/Table1[[#This Row],[Total Work Days]]*100</f>
        <v>1.5384615384615385</v>
      </c>
      <c r="Y239">
        <f ca="1">YEAR(Table1[[#This Row],[Join Date]])</f>
        <v>2021</v>
      </c>
      <c r="Z239">
        <f ca="1">IF(Table1[[#This Row],[Status]]="Active",1,0)</f>
        <v>1</v>
      </c>
      <c r="AA239">
        <f ca="1">IF(Table1[[#This Row],[Status]]="Exited",Table1[[#This Row],[Recruitment Cost]]+Table1[[#This Row],[Onboarding cost]]+Table1[[#This Row],[Training Cost]],0)</f>
        <v>0</v>
      </c>
    </row>
    <row r="240" spans="1:27">
      <c r="A240" t="str">
        <f t="shared" si="31"/>
        <v>E239</v>
      </c>
      <c r="B240" t="str" cm="1">
        <f t="array" aca="1" ref="B240" ca="1">INDEX(sheet2!$A$2:$A$6, RANDBETWEEN(1, 5))</f>
        <v>HR</v>
      </c>
      <c r="C240" t="str">
        <f ca="1">_xlfn.XLOOKUP(Table1[[#This Row],[Department]],sheet2!$A$2:$A$6,sheet2!$B$2:$B$6,_xleta.NA,0)</f>
        <v>HR Manager</v>
      </c>
      <c r="D240" s="1">
        <f t="shared" ca="1" si="36"/>
        <v>43726</v>
      </c>
      <c r="E240" s="1">
        <f ca="1">Table1[[#This Row],[Job Posting Date]]+ RANDBETWEEN(15, 90)</f>
        <v>43800</v>
      </c>
      <c r="F240" s="1">
        <f ca="1">Table1[[#This Row],[Hire Date]]+ RANDBETWEEN(1, 15)</f>
        <v>43812</v>
      </c>
      <c r="G240" s="1" t="str">
        <f ca="1">IF(RAND() &lt; 0.5,  Table1[[#This Row],[Join Date]]+ RANDBETWEEN(30, TODAY()- Table1[[#This Row],[Join Date]]), "-")</f>
        <v>-</v>
      </c>
      <c r="H240" t="str">
        <f ca="1">IF(Table1[[#This Row],[Exit Date]]= "-", "Active", "Exited")</f>
        <v>Active</v>
      </c>
      <c r="I240" s="5">
        <f t="shared" ca="1" si="37"/>
        <v>4524</v>
      </c>
      <c r="J240" t="str" cm="1">
        <f t="array" aca="1" ref="J240" ca="1">INDEX(sheet2!$C$2:$C$6, RANDBETWEEN(1, 5))</f>
        <v>Advanced Excel Skills </v>
      </c>
      <c r="K240" t="str">
        <f t="shared" ca="1" si="38"/>
        <v>Completed</v>
      </c>
      <c r="L240">
        <v>260</v>
      </c>
      <c r="M240">
        <f t="shared" ca="1" si="32"/>
        <v>12</v>
      </c>
      <c r="N240" t="str">
        <f t="shared" ca="1" si="33"/>
        <v>Male</v>
      </c>
      <c r="O240" s="6">
        <f t="shared" ca="1" si="34"/>
        <v>1991</v>
      </c>
      <c r="P240">
        <f ca="1">Table1[[#This Row],[Hire Date]]-Table1[[#This Row],[Job Posting Date]]</f>
        <v>74</v>
      </c>
      <c r="Q240" s="7">
        <f ca="1">Table1[[#This Row],[Join Date]]-Table1[[#This Row],[Hire Date]]</f>
        <v>12</v>
      </c>
      <c r="R240" s="8">
        <f ca="1">(IF(Table1[[#This Row],[Status]]="Exited",Table1[[#This Row],[Exit Date]]-Table1[[#This Row],[Join Date]],TODAY()-Table1[[#This Row],[Join Date]]))/30</f>
        <v>61.7</v>
      </c>
      <c r="S240">
        <f ca="1">Table1[[#This Row],[Hire Date]]-Table1[[#This Row],[Job Posting Date]]</f>
        <v>74</v>
      </c>
      <c r="T240" s="7">
        <f ca="1">Table1[[#This Row],[Time to onboard]]/Table1[[#This Row],[Time to Fill]]*100</f>
        <v>16.216216216216218</v>
      </c>
      <c r="U240" s="8">
        <f ca="1">Table1[[#This Row],[Time to onboard]]/Table1[[#This Row],[Time to Fill]]*100</f>
        <v>16.216216216216218</v>
      </c>
      <c r="V240">
        <f ca="1">Table1[[#This Row],[Join Date]]-Table1[[#This Row],[Job Posting Date]]</f>
        <v>86</v>
      </c>
      <c r="W240">
        <f t="shared" ca="1" si="35"/>
        <v>140</v>
      </c>
      <c r="X240" s="8">
        <f ca="1">Table1[[#This Row],[Absentee Days]]/Table1[[#This Row],[Total Work Days]]*100</f>
        <v>4.6153846153846159</v>
      </c>
      <c r="Y240">
        <f ca="1">YEAR(Table1[[#This Row],[Join Date]])</f>
        <v>2019</v>
      </c>
      <c r="Z240">
        <f ca="1">IF(Table1[[#This Row],[Status]]="Active",1,0)</f>
        <v>1</v>
      </c>
      <c r="AA240">
        <f ca="1">IF(Table1[[#This Row],[Status]]="Exited",Table1[[#This Row],[Recruitment Cost]]+Table1[[#This Row],[Onboarding cost]]+Table1[[#This Row],[Training Cost]],0)</f>
        <v>0</v>
      </c>
    </row>
    <row r="241" spans="1:27">
      <c r="A241" t="str">
        <f t="shared" si="31"/>
        <v>E240</v>
      </c>
      <c r="B241" t="str" cm="1">
        <f t="array" aca="1" ref="B241" ca="1">INDEX(sheet2!$A$2:$A$6, RANDBETWEEN(1, 5))</f>
        <v>Analytics</v>
      </c>
      <c r="C241" t="str">
        <f ca="1">_xlfn.XLOOKUP(Table1[[#This Row],[Department]],sheet2!$A$2:$A$6,sheet2!$B$2:$B$6,_xleta.NA,0)</f>
        <v>Data Analyst</v>
      </c>
      <c r="D241" s="1">
        <f t="shared" ca="1" si="36"/>
        <v>43730</v>
      </c>
      <c r="E241" s="1">
        <f ca="1">Table1[[#This Row],[Job Posting Date]]+ RANDBETWEEN(15, 90)</f>
        <v>43779</v>
      </c>
      <c r="F241" s="1">
        <f ca="1">Table1[[#This Row],[Hire Date]]+ RANDBETWEEN(1, 15)</f>
        <v>43788</v>
      </c>
      <c r="G241" s="1">
        <f ca="1">IF(RAND() &lt; 0.5,  Table1[[#This Row],[Join Date]]+ RANDBETWEEN(30, TODAY()- Table1[[#This Row],[Join Date]]), "-")</f>
        <v>45030</v>
      </c>
      <c r="H241" t="str">
        <f ca="1">IF(Table1[[#This Row],[Exit Date]]= "-", "Active", "Exited")</f>
        <v>Exited</v>
      </c>
      <c r="I241" s="5">
        <f t="shared" ca="1" si="37"/>
        <v>3086</v>
      </c>
      <c r="J241" t="str" cm="1">
        <f t="array" aca="1" ref="J241" ca="1">INDEX(sheet2!$C$2:$C$6, RANDBETWEEN(1, 5))</f>
        <v>Leadership Development</v>
      </c>
      <c r="K241" t="str">
        <f t="shared" ca="1" si="38"/>
        <v>Completed</v>
      </c>
      <c r="L241">
        <v>260</v>
      </c>
      <c r="M241">
        <f t="shared" ca="1" si="32"/>
        <v>6</v>
      </c>
      <c r="N241" t="str">
        <f t="shared" ca="1" si="33"/>
        <v>Other</v>
      </c>
      <c r="O241" s="6">
        <f t="shared" ca="1" si="34"/>
        <v>2380</v>
      </c>
      <c r="P241">
        <f ca="1">Table1[[#This Row],[Hire Date]]-Table1[[#This Row],[Job Posting Date]]</f>
        <v>49</v>
      </c>
      <c r="Q241" s="7">
        <f ca="1">Table1[[#This Row],[Join Date]]-Table1[[#This Row],[Hire Date]]</f>
        <v>9</v>
      </c>
      <c r="R241" s="8">
        <f ca="1">(IF(Table1[[#This Row],[Status]]="Exited",Table1[[#This Row],[Exit Date]]-Table1[[#This Row],[Join Date]],TODAY()-Table1[[#This Row],[Join Date]]))/30</f>
        <v>41.4</v>
      </c>
      <c r="S241">
        <f ca="1">Table1[[#This Row],[Hire Date]]-Table1[[#This Row],[Job Posting Date]]</f>
        <v>49</v>
      </c>
      <c r="T241" s="7">
        <f ca="1">Table1[[#This Row],[Time to onboard]]/Table1[[#This Row],[Time to Fill]]*100</f>
        <v>18.367346938775512</v>
      </c>
      <c r="U241" s="8">
        <f ca="1">Table1[[#This Row],[Time to onboard]]/Table1[[#This Row],[Time to Fill]]*100</f>
        <v>18.367346938775512</v>
      </c>
      <c r="V241">
        <f ca="1">Table1[[#This Row],[Join Date]]-Table1[[#This Row],[Job Posting Date]]</f>
        <v>58</v>
      </c>
      <c r="W241">
        <f t="shared" ca="1" si="35"/>
        <v>129</v>
      </c>
      <c r="X241" s="8">
        <f ca="1">Table1[[#This Row],[Absentee Days]]/Table1[[#This Row],[Total Work Days]]*100</f>
        <v>2.3076923076923079</v>
      </c>
      <c r="Y241">
        <f ca="1">YEAR(Table1[[#This Row],[Join Date]])</f>
        <v>2019</v>
      </c>
      <c r="Z241">
        <f ca="1">IF(Table1[[#This Row],[Status]]="Active",1,0)</f>
        <v>0</v>
      </c>
      <c r="AA241">
        <f ca="1">IF(Table1[[#This Row],[Status]]="Exited",Table1[[#This Row],[Recruitment Cost]]+Table1[[#This Row],[Onboarding cost]]+Table1[[#This Row],[Training Cost]],0)</f>
        <v>5595</v>
      </c>
    </row>
    <row r="242" spans="1:27">
      <c r="A242" t="str">
        <f t="shared" si="31"/>
        <v>E241</v>
      </c>
      <c r="B242" t="str" cm="1">
        <f t="array" aca="1" ref="B242" ca="1">INDEX(sheet2!$A$2:$A$6, RANDBETWEEN(1, 5))</f>
        <v>HR</v>
      </c>
      <c r="C242" t="str">
        <f ca="1">_xlfn.XLOOKUP(Table1[[#This Row],[Department]],sheet2!$A$2:$A$6,sheet2!$B$2:$B$6,_xleta.NA,0)</f>
        <v>HR Manager</v>
      </c>
      <c r="D242" s="1">
        <f t="shared" ca="1" si="36"/>
        <v>43315</v>
      </c>
      <c r="E242" s="1">
        <f ca="1">Table1[[#This Row],[Job Posting Date]]+ RANDBETWEEN(15, 90)</f>
        <v>43377</v>
      </c>
      <c r="F242" s="1">
        <f ca="1">Table1[[#This Row],[Hire Date]]+ RANDBETWEEN(1, 15)</f>
        <v>43387</v>
      </c>
      <c r="G242" s="1">
        <f ca="1">IF(RAND() &lt; 0.5,  Table1[[#This Row],[Join Date]]+ RANDBETWEEN(30, TODAY()- Table1[[#This Row],[Join Date]]), "-")</f>
        <v>44898</v>
      </c>
      <c r="H242" t="str">
        <f ca="1">IF(Table1[[#This Row],[Exit Date]]= "-", "Active", "Exited")</f>
        <v>Exited</v>
      </c>
      <c r="I242" s="5">
        <f t="shared" ca="1" si="37"/>
        <v>1581</v>
      </c>
      <c r="J242" t="str" cm="1">
        <f t="array" aca="1" ref="J242" ca="1">INDEX(sheet2!$C$2:$C$6, RANDBETWEEN(1, 5))</f>
        <v>Communication Skills</v>
      </c>
      <c r="K242" t="str">
        <f t="shared" ca="1" si="38"/>
        <v>Not Completed</v>
      </c>
      <c r="L242">
        <v>260</v>
      </c>
      <c r="M242">
        <f t="shared" ca="1" si="32"/>
        <v>7</v>
      </c>
      <c r="N242" t="str">
        <f t="shared" ca="1" si="33"/>
        <v>Male</v>
      </c>
      <c r="O242" s="6">
        <f t="shared" ca="1" si="34"/>
        <v>1332</v>
      </c>
      <c r="P242">
        <f ca="1">Table1[[#This Row],[Hire Date]]-Table1[[#This Row],[Job Posting Date]]</f>
        <v>62</v>
      </c>
      <c r="Q242" s="7">
        <f ca="1">Table1[[#This Row],[Join Date]]-Table1[[#This Row],[Hire Date]]</f>
        <v>10</v>
      </c>
      <c r="R242" s="8">
        <f ca="1">(IF(Table1[[#This Row],[Status]]="Exited",Table1[[#This Row],[Exit Date]]-Table1[[#This Row],[Join Date]],TODAY()-Table1[[#This Row],[Join Date]]))/30</f>
        <v>50.366666666666667</v>
      </c>
      <c r="S242">
        <f ca="1">Table1[[#This Row],[Hire Date]]-Table1[[#This Row],[Job Posting Date]]</f>
        <v>62</v>
      </c>
      <c r="T242" s="7">
        <f ca="1">Table1[[#This Row],[Time to onboard]]/Table1[[#This Row],[Time to Fill]]*100</f>
        <v>16.129032258064516</v>
      </c>
      <c r="U242" s="8">
        <f ca="1">Table1[[#This Row],[Time to onboard]]/Table1[[#This Row],[Time to Fill]]*100</f>
        <v>16.129032258064516</v>
      </c>
      <c r="V242">
        <f ca="1">Table1[[#This Row],[Join Date]]-Table1[[#This Row],[Job Posting Date]]</f>
        <v>72</v>
      </c>
      <c r="W242">
        <f t="shared" ca="1" si="35"/>
        <v>106</v>
      </c>
      <c r="X242" s="8">
        <f ca="1">Table1[[#This Row],[Absentee Days]]/Table1[[#This Row],[Total Work Days]]*100</f>
        <v>2.6923076923076925</v>
      </c>
      <c r="Y242">
        <f ca="1">YEAR(Table1[[#This Row],[Join Date]])</f>
        <v>2018</v>
      </c>
      <c r="Z242">
        <f ca="1">IF(Table1[[#This Row],[Status]]="Active",1,0)</f>
        <v>0</v>
      </c>
      <c r="AA242">
        <f ca="1">IF(Table1[[#This Row],[Status]]="Exited",Table1[[#This Row],[Recruitment Cost]]+Table1[[#This Row],[Onboarding cost]]+Table1[[#This Row],[Training Cost]],0)</f>
        <v>3019</v>
      </c>
    </row>
    <row r="243" spans="1:27">
      <c r="A243" t="str">
        <f t="shared" si="31"/>
        <v>E242</v>
      </c>
      <c r="B243" t="str" cm="1">
        <f t="array" aca="1" ref="B243" ca="1">INDEX(sheet2!$A$2:$A$6, RANDBETWEEN(1, 5))</f>
        <v>Sales</v>
      </c>
      <c r="C243" t="str">
        <f ca="1">_xlfn.XLOOKUP(Table1[[#This Row],[Department]],sheet2!$A$2:$A$6,sheet2!$B$2:$B$6,_xleta.NA,0)</f>
        <v>Marketing Manager</v>
      </c>
      <c r="D243" s="1">
        <f t="shared" ca="1" si="36"/>
        <v>44310</v>
      </c>
      <c r="E243" s="1">
        <f ca="1">Table1[[#This Row],[Job Posting Date]]+ RANDBETWEEN(15, 90)</f>
        <v>44328</v>
      </c>
      <c r="F243" s="1">
        <f ca="1">Table1[[#This Row],[Hire Date]]+ RANDBETWEEN(1, 15)</f>
        <v>44339</v>
      </c>
      <c r="G243" s="1" t="str">
        <f ca="1">IF(RAND() &lt; 0.5,  Table1[[#This Row],[Join Date]]+ RANDBETWEEN(30, TODAY()- Table1[[#This Row],[Join Date]]), "-")</f>
        <v>-</v>
      </c>
      <c r="H243" t="str">
        <f ca="1">IF(Table1[[#This Row],[Exit Date]]= "-", "Active", "Exited")</f>
        <v>Active</v>
      </c>
      <c r="I243" s="5">
        <f t="shared" ca="1" si="37"/>
        <v>4966</v>
      </c>
      <c r="J243" t="str" cm="1">
        <f t="array" aca="1" ref="J243" ca="1">INDEX(sheet2!$C$2:$C$6, RANDBETWEEN(1, 5))</f>
        <v>Conflict Resolution</v>
      </c>
      <c r="K243" t="str">
        <f t="shared" ca="1" si="38"/>
        <v>Completed</v>
      </c>
      <c r="L243">
        <v>260</v>
      </c>
      <c r="M243">
        <f t="shared" ca="1" si="32"/>
        <v>4</v>
      </c>
      <c r="N243" t="str">
        <f t="shared" ca="1" si="33"/>
        <v>Other</v>
      </c>
      <c r="O243" s="6">
        <f t="shared" ca="1" si="34"/>
        <v>1677</v>
      </c>
      <c r="P243">
        <f ca="1">Table1[[#This Row],[Hire Date]]-Table1[[#This Row],[Job Posting Date]]</f>
        <v>18</v>
      </c>
      <c r="Q243" s="7">
        <f ca="1">Table1[[#This Row],[Join Date]]-Table1[[#This Row],[Hire Date]]</f>
        <v>11</v>
      </c>
      <c r="R243" s="8">
        <f ca="1">(IF(Table1[[#This Row],[Status]]="Exited",Table1[[#This Row],[Exit Date]]-Table1[[#This Row],[Join Date]],TODAY()-Table1[[#This Row],[Join Date]]))/30</f>
        <v>44.133333333333333</v>
      </c>
      <c r="S243">
        <f ca="1">Table1[[#This Row],[Hire Date]]-Table1[[#This Row],[Job Posting Date]]</f>
        <v>18</v>
      </c>
      <c r="T243" s="7">
        <f ca="1">Table1[[#This Row],[Time to onboard]]/Table1[[#This Row],[Time to Fill]]*100</f>
        <v>61.111111111111114</v>
      </c>
      <c r="U243" s="8">
        <f ca="1">Table1[[#This Row],[Time to onboard]]/Table1[[#This Row],[Time to Fill]]*100</f>
        <v>61.111111111111114</v>
      </c>
      <c r="V243">
        <f ca="1">Table1[[#This Row],[Join Date]]-Table1[[#This Row],[Job Posting Date]]</f>
        <v>29</v>
      </c>
      <c r="W243">
        <f t="shared" ca="1" si="35"/>
        <v>189</v>
      </c>
      <c r="X243" s="8">
        <f ca="1">Table1[[#This Row],[Absentee Days]]/Table1[[#This Row],[Total Work Days]]*100</f>
        <v>1.5384615384615385</v>
      </c>
      <c r="Y243">
        <f ca="1">YEAR(Table1[[#This Row],[Join Date]])</f>
        <v>2021</v>
      </c>
      <c r="Z243">
        <f ca="1">IF(Table1[[#This Row],[Status]]="Active",1,0)</f>
        <v>1</v>
      </c>
      <c r="AA243">
        <f ca="1">IF(Table1[[#This Row],[Status]]="Exited",Table1[[#This Row],[Recruitment Cost]]+Table1[[#This Row],[Onboarding cost]]+Table1[[#This Row],[Training Cost]],0)</f>
        <v>0</v>
      </c>
    </row>
    <row r="244" spans="1:27">
      <c r="A244" t="str">
        <f t="shared" si="31"/>
        <v>E243</v>
      </c>
      <c r="B244" t="str" cm="1">
        <f t="array" aca="1" ref="B244" ca="1">INDEX(sheet2!$A$2:$A$6, RANDBETWEEN(1, 5))</f>
        <v>HR</v>
      </c>
      <c r="C244" t="str">
        <f ca="1">_xlfn.XLOOKUP(Table1[[#This Row],[Department]],sheet2!$A$2:$A$6,sheet2!$B$2:$B$6,_xleta.NA,0)</f>
        <v>HR Manager</v>
      </c>
      <c r="D244" s="1">
        <f t="shared" ca="1" si="36"/>
        <v>43852</v>
      </c>
      <c r="E244" s="1">
        <f ca="1">Table1[[#This Row],[Job Posting Date]]+ RANDBETWEEN(15, 90)</f>
        <v>43882</v>
      </c>
      <c r="F244" s="1">
        <f ca="1">Table1[[#This Row],[Hire Date]]+ RANDBETWEEN(1, 15)</f>
        <v>43888</v>
      </c>
      <c r="G244" s="1">
        <f ca="1">IF(RAND() &lt; 0.5,  Table1[[#This Row],[Join Date]]+ RANDBETWEEN(30, TODAY()- Table1[[#This Row],[Join Date]]), "-")</f>
        <v>44292</v>
      </c>
      <c r="H244" t="str">
        <f ca="1">IF(Table1[[#This Row],[Exit Date]]= "-", "Active", "Exited")</f>
        <v>Exited</v>
      </c>
      <c r="I244" s="5">
        <f t="shared" ca="1" si="37"/>
        <v>3752</v>
      </c>
      <c r="J244" t="str" cm="1">
        <f t="array" aca="1" ref="J244" ca="1">INDEX(sheet2!$C$2:$C$6, RANDBETWEEN(1, 5))</f>
        <v>Conflict Resolution</v>
      </c>
      <c r="K244" t="str">
        <f t="shared" ca="1" si="38"/>
        <v>Completed</v>
      </c>
      <c r="L244">
        <v>260</v>
      </c>
      <c r="M244">
        <f t="shared" ca="1" si="32"/>
        <v>8</v>
      </c>
      <c r="N244" t="str">
        <f t="shared" ca="1" si="33"/>
        <v>Female</v>
      </c>
      <c r="O244" s="6">
        <f t="shared" ca="1" si="34"/>
        <v>2286</v>
      </c>
      <c r="P244">
        <f ca="1">Table1[[#This Row],[Hire Date]]-Table1[[#This Row],[Job Posting Date]]</f>
        <v>30</v>
      </c>
      <c r="Q244" s="7">
        <f ca="1">Table1[[#This Row],[Join Date]]-Table1[[#This Row],[Hire Date]]</f>
        <v>6</v>
      </c>
      <c r="R244" s="8">
        <f ca="1">(IF(Table1[[#This Row],[Status]]="Exited",Table1[[#This Row],[Exit Date]]-Table1[[#This Row],[Join Date]],TODAY()-Table1[[#This Row],[Join Date]]))/30</f>
        <v>13.466666666666667</v>
      </c>
      <c r="S244">
        <f ca="1">Table1[[#This Row],[Hire Date]]-Table1[[#This Row],[Job Posting Date]]</f>
        <v>30</v>
      </c>
      <c r="T244" s="7">
        <f ca="1">Table1[[#This Row],[Time to onboard]]/Table1[[#This Row],[Time to Fill]]*100</f>
        <v>20</v>
      </c>
      <c r="U244" s="8">
        <f ca="1">Table1[[#This Row],[Time to onboard]]/Table1[[#This Row],[Time to Fill]]*100</f>
        <v>20</v>
      </c>
      <c r="V244">
        <f ca="1">Table1[[#This Row],[Join Date]]-Table1[[#This Row],[Job Posting Date]]</f>
        <v>36</v>
      </c>
      <c r="W244">
        <f t="shared" ca="1" si="35"/>
        <v>107</v>
      </c>
      <c r="X244" s="8">
        <f ca="1">Table1[[#This Row],[Absentee Days]]/Table1[[#This Row],[Total Work Days]]*100</f>
        <v>3.0769230769230771</v>
      </c>
      <c r="Y244">
        <f ca="1">YEAR(Table1[[#This Row],[Join Date]])</f>
        <v>2020</v>
      </c>
      <c r="Z244">
        <f ca="1">IF(Table1[[#This Row],[Status]]="Active",1,0)</f>
        <v>0</v>
      </c>
      <c r="AA244">
        <f ca="1">IF(Table1[[#This Row],[Status]]="Exited",Table1[[#This Row],[Recruitment Cost]]+Table1[[#This Row],[Onboarding cost]]+Table1[[#This Row],[Training Cost]],0)</f>
        <v>6145</v>
      </c>
    </row>
    <row r="245" spans="1:27">
      <c r="A245" t="str">
        <f t="shared" si="31"/>
        <v>E244</v>
      </c>
      <c r="B245" t="str" cm="1">
        <f t="array" aca="1" ref="B245" ca="1">INDEX(sheet2!$A$2:$A$6, RANDBETWEEN(1, 5))</f>
        <v>Sales</v>
      </c>
      <c r="C245" t="str">
        <f ca="1">_xlfn.XLOOKUP(Table1[[#This Row],[Department]],sheet2!$A$2:$A$6,sheet2!$B$2:$B$6,_xleta.NA,0)</f>
        <v>Marketing Manager</v>
      </c>
      <c r="D245" s="1">
        <f t="shared" ca="1" si="36"/>
        <v>43626</v>
      </c>
      <c r="E245" s="1">
        <f ca="1">Table1[[#This Row],[Job Posting Date]]+ RANDBETWEEN(15, 90)</f>
        <v>43676</v>
      </c>
      <c r="F245" s="1">
        <f ca="1">Table1[[#This Row],[Hire Date]]+ RANDBETWEEN(1, 15)</f>
        <v>43685</v>
      </c>
      <c r="G245" s="1" t="str">
        <f ca="1">IF(RAND() &lt; 0.5,  Table1[[#This Row],[Join Date]]+ RANDBETWEEN(30, TODAY()- Table1[[#This Row],[Join Date]]), "-")</f>
        <v>-</v>
      </c>
      <c r="H245" t="str">
        <f ca="1">IF(Table1[[#This Row],[Exit Date]]= "-", "Active", "Exited")</f>
        <v>Active</v>
      </c>
      <c r="I245" s="5">
        <f t="shared" ca="1" si="37"/>
        <v>1877</v>
      </c>
      <c r="J245" t="str" cm="1">
        <f t="array" aca="1" ref="J245" ca="1">INDEX(sheet2!$C$2:$C$6, RANDBETWEEN(1, 5))</f>
        <v>Communication Skills</v>
      </c>
      <c r="K245" t="str">
        <f t="shared" ca="1" si="38"/>
        <v>Not Completed</v>
      </c>
      <c r="L245">
        <v>260</v>
      </c>
      <c r="M245">
        <f t="shared" ca="1" si="32"/>
        <v>5</v>
      </c>
      <c r="N245" t="str">
        <f t="shared" ca="1" si="33"/>
        <v>Female</v>
      </c>
      <c r="O245" s="6">
        <f t="shared" ca="1" si="34"/>
        <v>1417</v>
      </c>
      <c r="P245">
        <f ca="1">Table1[[#This Row],[Hire Date]]-Table1[[#This Row],[Job Posting Date]]</f>
        <v>50</v>
      </c>
      <c r="Q245" s="7">
        <f ca="1">Table1[[#This Row],[Join Date]]-Table1[[#This Row],[Hire Date]]</f>
        <v>9</v>
      </c>
      <c r="R245" s="8">
        <f ca="1">(IF(Table1[[#This Row],[Status]]="Exited",Table1[[#This Row],[Exit Date]]-Table1[[#This Row],[Join Date]],TODAY()-Table1[[#This Row],[Join Date]]))/30</f>
        <v>65.933333333333337</v>
      </c>
      <c r="S245">
        <f ca="1">Table1[[#This Row],[Hire Date]]-Table1[[#This Row],[Job Posting Date]]</f>
        <v>50</v>
      </c>
      <c r="T245" s="7">
        <f ca="1">Table1[[#This Row],[Time to onboard]]/Table1[[#This Row],[Time to Fill]]*100</f>
        <v>18</v>
      </c>
      <c r="U245" s="8">
        <f ca="1">Table1[[#This Row],[Time to onboard]]/Table1[[#This Row],[Time to Fill]]*100</f>
        <v>18</v>
      </c>
      <c r="V245">
        <f ca="1">Table1[[#This Row],[Join Date]]-Table1[[#This Row],[Job Posting Date]]</f>
        <v>59</v>
      </c>
      <c r="W245">
        <f t="shared" ca="1" si="35"/>
        <v>189</v>
      </c>
      <c r="X245" s="8">
        <f ca="1">Table1[[#This Row],[Absentee Days]]/Table1[[#This Row],[Total Work Days]]*100</f>
        <v>1.9230769230769231</v>
      </c>
      <c r="Y245">
        <f ca="1">YEAR(Table1[[#This Row],[Join Date]])</f>
        <v>2019</v>
      </c>
      <c r="Z245">
        <f ca="1">IF(Table1[[#This Row],[Status]]="Active",1,0)</f>
        <v>1</v>
      </c>
      <c r="AA245">
        <f ca="1">IF(Table1[[#This Row],[Status]]="Exited",Table1[[#This Row],[Recruitment Cost]]+Table1[[#This Row],[Onboarding cost]]+Table1[[#This Row],[Training Cost]],0)</f>
        <v>0</v>
      </c>
    </row>
    <row r="246" spans="1:27">
      <c r="A246" t="str">
        <f t="shared" si="31"/>
        <v>E245</v>
      </c>
      <c r="B246" t="str" cm="1">
        <f t="array" aca="1" ref="B246" ca="1">INDEX(sheet2!$A$2:$A$6, RANDBETWEEN(1, 5))</f>
        <v>IT</v>
      </c>
      <c r="C246" t="str">
        <f ca="1">_xlfn.XLOOKUP(Table1[[#This Row],[Department]],sheet2!$A$2:$A$6,sheet2!$B$2:$B$6,_xleta.NA,0)</f>
        <v>Software Engineer</v>
      </c>
      <c r="D246" s="1">
        <f t="shared" ca="1" si="36"/>
        <v>44512</v>
      </c>
      <c r="E246" s="1">
        <f ca="1">Table1[[#This Row],[Job Posting Date]]+ RANDBETWEEN(15, 90)</f>
        <v>44594</v>
      </c>
      <c r="F246" s="1">
        <f ca="1">Table1[[#This Row],[Hire Date]]+ RANDBETWEEN(1, 15)</f>
        <v>44607</v>
      </c>
      <c r="G246" s="1" t="str">
        <f ca="1">IF(RAND() &lt; 0.5,  Table1[[#This Row],[Join Date]]+ RANDBETWEEN(30, TODAY()- Table1[[#This Row],[Join Date]]), "-")</f>
        <v>-</v>
      </c>
      <c r="H246" t="str">
        <f ca="1">IF(Table1[[#This Row],[Exit Date]]= "-", "Active", "Exited")</f>
        <v>Active</v>
      </c>
      <c r="I246" s="5">
        <f t="shared" ca="1" si="37"/>
        <v>4554</v>
      </c>
      <c r="J246" t="str" cm="1">
        <f t="array" aca="1" ref="J246" ca="1">INDEX(sheet2!$C$2:$C$6, RANDBETWEEN(1, 5))</f>
        <v>Leadership Development</v>
      </c>
      <c r="K246" t="str">
        <f t="shared" ca="1" si="38"/>
        <v>Completed</v>
      </c>
      <c r="L246">
        <v>260</v>
      </c>
      <c r="M246">
        <f t="shared" ca="1" si="32"/>
        <v>6</v>
      </c>
      <c r="N246" t="str">
        <f t="shared" ca="1" si="33"/>
        <v>Female</v>
      </c>
      <c r="O246" s="6">
        <f t="shared" ca="1" si="34"/>
        <v>1763</v>
      </c>
      <c r="P246">
        <f ca="1">Table1[[#This Row],[Hire Date]]-Table1[[#This Row],[Job Posting Date]]</f>
        <v>82</v>
      </c>
      <c r="Q246" s="7">
        <f ca="1">Table1[[#This Row],[Join Date]]-Table1[[#This Row],[Hire Date]]</f>
        <v>13</v>
      </c>
      <c r="R246" s="8">
        <f ca="1">(IF(Table1[[#This Row],[Status]]="Exited",Table1[[#This Row],[Exit Date]]-Table1[[#This Row],[Join Date]],TODAY()-Table1[[#This Row],[Join Date]]))/30</f>
        <v>35.200000000000003</v>
      </c>
      <c r="S246">
        <f ca="1">Table1[[#This Row],[Hire Date]]-Table1[[#This Row],[Job Posting Date]]</f>
        <v>82</v>
      </c>
      <c r="T246" s="7">
        <f ca="1">Table1[[#This Row],[Time to onboard]]/Table1[[#This Row],[Time to Fill]]*100</f>
        <v>15.853658536585366</v>
      </c>
      <c r="U246" s="8">
        <f ca="1">Table1[[#This Row],[Time to onboard]]/Table1[[#This Row],[Time to Fill]]*100</f>
        <v>15.853658536585366</v>
      </c>
      <c r="V246">
        <f ca="1">Table1[[#This Row],[Join Date]]-Table1[[#This Row],[Job Posting Date]]</f>
        <v>95</v>
      </c>
      <c r="W246">
        <f t="shared" ca="1" si="35"/>
        <v>117</v>
      </c>
      <c r="X246" s="8">
        <f ca="1">Table1[[#This Row],[Absentee Days]]/Table1[[#This Row],[Total Work Days]]*100</f>
        <v>2.3076923076923079</v>
      </c>
      <c r="Y246">
        <f ca="1">YEAR(Table1[[#This Row],[Join Date]])</f>
        <v>2022</v>
      </c>
      <c r="Z246">
        <f ca="1">IF(Table1[[#This Row],[Status]]="Active",1,0)</f>
        <v>1</v>
      </c>
      <c r="AA246">
        <f ca="1">IF(Table1[[#This Row],[Status]]="Exited",Table1[[#This Row],[Recruitment Cost]]+Table1[[#This Row],[Onboarding cost]]+Table1[[#This Row],[Training Cost]],0)</f>
        <v>0</v>
      </c>
    </row>
    <row r="247" spans="1:27">
      <c r="A247" t="str">
        <f t="shared" si="31"/>
        <v>E246</v>
      </c>
      <c r="B247" t="str" cm="1">
        <f t="array" aca="1" ref="B247" ca="1">INDEX(sheet2!$A$2:$A$6, RANDBETWEEN(1, 5))</f>
        <v>IT</v>
      </c>
      <c r="C247" t="str">
        <f ca="1">_xlfn.XLOOKUP(Table1[[#This Row],[Department]],sheet2!$A$2:$A$6,sheet2!$B$2:$B$6,_xleta.NA,0)</f>
        <v>Software Engineer</v>
      </c>
      <c r="D247" s="1">
        <f t="shared" ca="1" si="36"/>
        <v>43960</v>
      </c>
      <c r="E247" s="1">
        <f ca="1">Table1[[#This Row],[Job Posting Date]]+ RANDBETWEEN(15, 90)</f>
        <v>44026</v>
      </c>
      <c r="F247" s="1">
        <f ca="1">Table1[[#This Row],[Hire Date]]+ RANDBETWEEN(1, 15)</f>
        <v>44039</v>
      </c>
      <c r="G247" s="1" t="str">
        <f ca="1">IF(RAND() &lt; 0.5,  Table1[[#This Row],[Join Date]]+ RANDBETWEEN(30, TODAY()- Table1[[#This Row],[Join Date]]), "-")</f>
        <v>-</v>
      </c>
      <c r="H247" t="str">
        <f ca="1">IF(Table1[[#This Row],[Exit Date]]= "-", "Active", "Exited")</f>
        <v>Active</v>
      </c>
      <c r="I247" s="5">
        <f t="shared" ca="1" si="37"/>
        <v>4030</v>
      </c>
      <c r="J247" t="str" cm="1">
        <f t="array" aca="1" ref="J247" ca="1">INDEX(sheet2!$C$2:$C$6, RANDBETWEEN(1, 5))</f>
        <v>Advanced Excel Skills </v>
      </c>
      <c r="K247" t="str">
        <f t="shared" ca="1" si="38"/>
        <v>Completed</v>
      </c>
      <c r="L247">
        <v>260</v>
      </c>
      <c r="M247">
        <f t="shared" ca="1" si="32"/>
        <v>2</v>
      </c>
      <c r="N247" t="str">
        <f t="shared" ca="1" si="33"/>
        <v>Female</v>
      </c>
      <c r="O247" s="6">
        <f t="shared" ca="1" si="34"/>
        <v>2307</v>
      </c>
      <c r="P247">
        <f ca="1">Table1[[#This Row],[Hire Date]]-Table1[[#This Row],[Job Posting Date]]</f>
        <v>66</v>
      </c>
      <c r="Q247" s="7">
        <f ca="1">Table1[[#This Row],[Join Date]]-Table1[[#This Row],[Hire Date]]</f>
        <v>13</v>
      </c>
      <c r="R247" s="8">
        <f ca="1">(IF(Table1[[#This Row],[Status]]="Exited",Table1[[#This Row],[Exit Date]]-Table1[[#This Row],[Join Date]],TODAY()-Table1[[#This Row],[Join Date]]))/30</f>
        <v>54.133333333333333</v>
      </c>
      <c r="S247">
        <f ca="1">Table1[[#This Row],[Hire Date]]-Table1[[#This Row],[Job Posting Date]]</f>
        <v>66</v>
      </c>
      <c r="T247" s="7">
        <f ca="1">Table1[[#This Row],[Time to onboard]]/Table1[[#This Row],[Time to Fill]]*100</f>
        <v>19.696969696969695</v>
      </c>
      <c r="U247" s="8">
        <f ca="1">Table1[[#This Row],[Time to onboard]]/Table1[[#This Row],[Time to Fill]]*100</f>
        <v>19.696969696969695</v>
      </c>
      <c r="V247">
        <f ca="1">Table1[[#This Row],[Join Date]]-Table1[[#This Row],[Job Posting Date]]</f>
        <v>79</v>
      </c>
      <c r="W247">
        <f t="shared" ca="1" si="35"/>
        <v>110</v>
      </c>
      <c r="X247" s="8">
        <f ca="1">Table1[[#This Row],[Absentee Days]]/Table1[[#This Row],[Total Work Days]]*100</f>
        <v>0.76923076923076927</v>
      </c>
      <c r="Y247">
        <f ca="1">YEAR(Table1[[#This Row],[Join Date]])</f>
        <v>2020</v>
      </c>
      <c r="Z247">
        <f ca="1">IF(Table1[[#This Row],[Status]]="Active",1,0)</f>
        <v>1</v>
      </c>
      <c r="AA247">
        <f ca="1">IF(Table1[[#This Row],[Status]]="Exited",Table1[[#This Row],[Recruitment Cost]]+Table1[[#This Row],[Onboarding cost]]+Table1[[#This Row],[Training Cost]],0)</f>
        <v>0</v>
      </c>
    </row>
    <row r="248" spans="1:27">
      <c r="A248" t="str">
        <f t="shared" si="31"/>
        <v>E247</v>
      </c>
      <c r="B248" t="str" cm="1">
        <f t="array" aca="1" ref="B248" ca="1">INDEX(sheet2!$A$2:$A$6, RANDBETWEEN(1, 5))</f>
        <v>Analytics</v>
      </c>
      <c r="C248" t="str">
        <f ca="1">_xlfn.XLOOKUP(Table1[[#This Row],[Department]],sheet2!$A$2:$A$6,sheet2!$B$2:$B$6,_xleta.NA,0)</f>
        <v>Data Analyst</v>
      </c>
      <c r="D248" s="1">
        <f t="shared" ca="1" si="36"/>
        <v>43692</v>
      </c>
      <c r="E248" s="1">
        <f ca="1">Table1[[#This Row],[Job Posting Date]]+ RANDBETWEEN(15, 90)</f>
        <v>43747</v>
      </c>
      <c r="F248" s="1">
        <f ca="1">Table1[[#This Row],[Hire Date]]+ RANDBETWEEN(1, 15)</f>
        <v>43748</v>
      </c>
      <c r="G248" s="1">
        <f ca="1">IF(RAND() &lt; 0.5,  Table1[[#This Row],[Join Date]]+ RANDBETWEEN(30, TODAY()- Table1[[#This Row],[Join Date]]), "-")</f>
        <v>44415</v>
      </c>
      <c r="H248" t="str">
        <f ca="1">IF(Table1[[#This Row],[Exit Date]]= "-", "Active", "Exited")</f>
        <v>Exited</v>
      </c>
      <c r="I248" s="5">
        <f t="shared" ca="1" si="37"/>
        <v>4283</v>
      </c>
      <c r="J248" t="str" cm="1">
        <f t="array" aca="1" ref="J248" ca="1">INDEX(sheet2!$C$2:$C$6, RANDBETWEEN(1, 5))</f>
        <v>Advanced Excel Skills </v>
      </c>
      <c r="K248" t="str">
        <f t="shared" ca="1" si="38"/>
        <v>Not Completed</v>
      </c>
      <c r="L248">
        <v>260</v>
      </c>
      <c r="M248">
        <f t="shared" ca="1" si="32"/>
        <v>13</v>
      </c>
      <c r="N248" t="str">
        <f t="shared" ca="1" si="33"/>
        <v>Male</v>
      </c>
      <c r="O248" s="6">
        <f t="shared" ca="1" si="34"/>
        <v>2393</v>
      </c>
      <c r="P248">
        <f ca="1">Table1[[#This Row],[Hire Date]]-Table1[[#This Row],[Job Posting Date]]</f>
        <v>55</v>
      </c>
      <c r="Q248" s="7">
        <f ca="1">Table1[[#This Row],[Join Date]]-Table1[[#This Row],[Hire Date]]</f>
        <v>1</v>
      </c>
      <c r="R248" s="8">
        <f ca="1">(IF(Table1[[#This Row],[Status]]="Exited",Table1[[#This Row],[Exit Date]]-Table1[[#This Row],[Join Date]],TODAY()-Table1[[#This Row],[Join Date]]))/30</f>
        <v>22.233333333333334</v>
      </c>
      <c r="S248">
        <f ca="1">Table1[[#This Row],[Hire Date]]-Table1[[#This Row],[Job Posting Date]]</f>
        <v>55</v>
      </c>
      <c r="T248" s="7">
        <f ca="1">Table1[[#This Row],[Time to onboard]]/Table1[[#This Row],[Time to Fill]]*100</f>
        <v>1.8181818181818181</v>
      </c>
      <c r="U248" s="8">
        <f ca="1">Table1[[#This Row],[Time to onboard]]/Table1[[#This Row],[Time to Fill]]*100</f>
        <v>1.8181818181818181</v>
      </c>
      <c r="V248">
        <f ca="1">Table1[[#This Row],[Join Date]]-Table1[[#This Row],[Job Posting Date]]</f>
        <v>56</v>
      </c>
      <c r="W248">
        <f t="shared" ca="1" si="35"/>
        <v>122</v>
      </c>
      <c r="X248" s="8">
        <f ca="1">Table1[[#This Row],[Absentee Days]]/Table1[[#This Row],[Total Work Days]]*100</f>
        <v>5</v>
      </c>
      <c r="Y248">
        <f ca="1">YEAR(Table1[[#This Row],[Join Date]])</f>
        <v>2019</v>
      </c>
      <c r="Z248">
        <f ca="1">IF(Table1[[#This Row],[Status]]="Active",1,0)</f>
        <v>0</v>
      </c>
      <c r="AA248">
        <f ca="1">IF(Table1[[#This Row],[Status]]="Exited",Table1[[#This Row],[Recruitment Cost]]+Table1[[#This Row],[Onboarding cost]]+Table1[[#This Row],[Training Cost]],0)</f>
        <v>6798</v>
      </c>
    </row>
    <row r="249" spans="1:27">
      <c r="A249" t="str">
        <f t="shared" si="31"/>
        <v>E248</v>
      </c>
      <c r="B249" t="str" cm="1">
        <f t="array" aca="1" ref="B249" ca="1">INDEX(sheet2!$A$2:$A$6, RANDBETWEEN(1, 5))</f>
        <v>Analytics</v>
      </c>
      <c r="C249" t="str">
        <f ca="1">_xlfn.XLOOKUP(Table1[[#This Row],[Department]],sheet2!$A$2:$A$6,sheet2!$B$2:$B$6,_xleta.NA,0)</f>
        <v>Data Analyst</v>
      </c>
      <c r="D249" s="1">
        <f t="shared" ca="1" si="36"/>
        <v>43459</v>
      </c>
      <c r="E249" s="1">
        <f ca="1">Table1[[#This Row],[Job Posting Date]]+ RANDBETWEEN(15, 90)</f>
        <v>43486</v>
      </c>
      <c r="F249" s="1">
        <f ca="1">Table1[[#This Row],[Hire Date]]+ RANDBETWEEN(1, 15)</f>
        <v>43488</v>
      </c>
      <c r="G249" s="1">
        <f ca="1">IF(RAND() &lt; 0.5,  Table1[[#This Row],[Join Date]]+ RANDBETWEEN(30, TODAY()- Table1[[#This Row],[Join Date]]), "-")</f>
        <v>45578</v>
      </c>
      <c r="H249" t="str">
        <f ca="1">IF(Table1[[#This Row],[Exit Date]]= "-", "Active", "Exited")</f>
        <v>Exited</v>
      </c>
      <c r="I249" s="5">
        <f t="shared" ca="1" si="37"/>
        <v>4962</v>
      </c>
      <c r="J249" t="str" cm="1">
        <f t="array" aca="1" ref="J249" ca="1">INDEX(sheet2!$C$2:$C$6, RANDBETWEEN(1, 5))</f>
        <v>Advanced Excel Skills </v>
      </c>
      <c r="K249" t="str">
        <f t="shared" ca="1" si="38"/>
        <v>Completed</v>
      </c>
      <c r="L249">
        <v>260</v>
      </c>
      <c r="M249">
        <f t="shared" ca="1" si="32"/>
        <v>18</v>
      </c>
      <c r="N249" t="str">
        <f t="shared" ca="1" si="33"/>
        <v>Male</v>
      </c>
      <c r="O249" s="6">
        <f t="shared" ca="1" si="34"/>
        <v>1609</v>
      </c>
      <c r="P249">
        <f ca="1">Table1[[#This Row],[Hire Date]]-Table1[[#This Row],[Job Posting Date]]</f>
        <v>27</v>
      </c>
      <c r="Q249" s="7">
        <f ca="1">Table1[[#This Row],[Join Date]]-Table1[[#This Row],[Hire Date]]</f>
        <v>2</v>
      </c>
      <c r="R249" s="8">
        <f ca="1">(IF(Table1[[#This Row],[Status]]="Exited",Table1[[#This Row],[Exit Date]]-Table1[[#This Row],[Join Date]],TODAY()-Table1[[#This Row],[Join Date]]))/30</f>
        <v>69.666666666666671</v>
      </c>
      <c r="S249">
        <f ca="1">Table1[[#This Row],[Hire Date]]-Table1[[#This Row],[Job Posting Date]]</f>
        <v>27</v>
      </c>
      <c r="T249" s="7">
        <f ca="1">Table1[[#This Row],[Time to onboard]]/Table1[[#This Row],[Time to Fill]]*100</f>
        <v>7.4074074074074066</v>
      </c>
      <c r="U249" s="8">
        <f ca="1">Table1[[#This Row],[Time to onboard]]/Table1[[#This Row],[Time to Fill]]*100</f>
        <v>7.4074074074074066</v>
      </c>
      <c r="V249">
        <f ca="1">Table1[[#This Row],[Join Date]]-Table1[[#This Row],[Job Posting Date]]</f>
        <v>29</v>
      </c>
      <c r="W249">
        <f t="shared" ca="1" si="35"/>
        <v>103</v>
      </c>
      <c r="X249" s="8">
        <f ca="1">Table1[[#This Row],[Absentee Days]]/Table1[[#This Row],[Total Work Days]]*100</f>
        <v>6.9230769230769234</v>
      </c>
      <c r="Y249">
        <f ca="1">YEAR(Table1[[#This Row],[Join Date]])</f>
        <v>2019</v>
      </c>
      <c r="Z249">
        <f ca="1">IF(Table1[[#This Row],[Status]]="Active",1,0)</f>
        <v>0</v>
      </c>
      <c r="AA249">
        <f ca="1">IF(Table1[[#This Row],[Status]]="Exited",Table1[[#This Row],[Recruitment Cost]]+Table1[[#This Row],[Onboarding cost]]+Table1[[#This Row],[Training Cost]],0)</f>
        <v>6674</v>
      </c>
    </row>
    <row r="250" spans="1:27">
      <c r="A250" t="str">
        <f t="shared" si="31"/>
        <v>E249</v>
      </c>
      <c r="B250" t="str" cm="1">
        <f t="array" aca="1" ref="B250" ca="1">INDEX(sheet2!$A$2:$A$6, RANDBETWEEN(1, 5))</f>
        <v>IT</v>
      </c>
      <c r="C250" t="str">
        <f ca="1">_xlfn.XLOOKUP(Table1[[#This Row],[Department]],sheet2!$A$2:$A$6,sheet2!$B$2:$B$6,_xleta.NA,0)</f>
        <v>Software Engineer</v>
      </c>
      <c r="D250" s="1">
        <f t="shared" ca="1" si="36"/>
        <v>44142</v>
      </c>
      <c r="E250" s="1">
        <f ca="1">Table1[[#This Row],[Job Posting Date]]+ RANDBETWEEN(15, 90)</f>
        <v>44227</v>
      </c>
      <c r="F250" s="1">
        <f ca="1">Table1[[#This Row],[Hire Date]]+ RANDBETWEEN(1, 15)</f>
        <v>44235</v>
      </c>
      <c r="G250" s="1" t="str">
        <f ca="1">IF(RAND() &lt; 0.5,  Table1[[#This Row],[Join Date]]+ RANDBETWEEN(30, TODAY()- Table1[[#This Row],[Join Date]]), "-")</f>
        <v>-</v>
      </c>
      <c r="H250" t="str">
        <f ca="1">IF(Table1[[#This Row],[Exit Date]]= "-", "Active", "Exited")</f>
        <v>Active</v>
      </c>
      <c r="I250" s="5">
        <f t="shared" ca="1" si="37"/>
        <v>2931</v>
      </c>
      <c r="J250" t="str" cm="1">
        <f t="array" aca="1" ref="J250" ca="1">INDEX(sheet2!$C$2:$C$6, RANDBETWEEN(1, 5))</f>
        <v>Ethics and Responsibilities</v>
      </c>
      <c r="K250" t="str">
        <f t="shared" ca="1" si="38"/>
        <v>Completed</v>
      </c>
      <c r="L250">
        <v>260</v>
      </c>
      <c r="M250">
        <f t="shared" ca="1" si="32"/>
        <v>6</v>
      </c>
      <c r="N250" t="str">
        <f t="shared" ca="1" si="33"/>
        <v>Male</v>
      </c>
      <c r="O250" s="6">
        <f t="shared" ca="1" si="34"/>
        <v>1682</v>
      </c>
      <c r="P250">
        <f ca="1">Table1[[#This Row],[Hire Date]]-Table1[[#This Row],[Job Posting Date]]</f>
        <v>85</v>
      </c>
      <c r="Q250" s="7">
        <f ca="1">Table1[[#This Row],[Join Date]]-Table1[[#This Row],[Hire Date]]</f>
        <v>8</v>
      </c>
      <c r="R250" s="8">
        <f ca="1">(IF(Table1[[#This Row],[Status]]="Exited",Table1[[#This Row],[Exit Date]]-Table1[[#This Row],[Join Date]],TODAY()-Table1[[#This Row],[Join Date]]))/30</f>
        <v>47.6</v>
      </c>
      <c r="S250">
        <f ca="1">Table1[[#This Row],[Hire Date]]-Table1[[#This Row],[Job Posting Date]]</f>
        <v>85</v>
      </c>
      <c r="T250" s="7">
        <f ca="1">Table1[[#This Row],[Time to onboard]]/Table1[[#This Row],[Time to Fill]]*100</f>
        <v>9.4117647058823533</v>
      </c>
      <c r="U250" s="8">
        <f ca="1">Table1[[#This Row],[Time to onboard]]/Table1[[#This Row],[Time to Fill]]*100</f>
        <v>9.4117647058823533</v>
      </c>
      <c r="V250">
        <f ca="1">Table1[[#This Row],[Join Date]]-Table1[[#This Row],[Job Posting Date]]</f>
        <v>93</v>
      </c>
      <c r="W250">
        <f t="shared" ca="1" si="35"/>
        <v>177</v>
      </c>
      <c r="X250" s="8">
        <f ca="1">Table1[[#This Row],[Absentee Days]]/Table1[[#This Row],[Total Work Days]]*100</f>
        <v>2.3076923076923079</v>
      </c>
      <c r="Y250">
        <f ca="1">YEAR(Table1[[#This Row],[Join Date]])</f>
        <v>2021</v>
      </c>
      <c r="Z250">
        <f ca="1">IF(Table1[[#This Row],[Status]]="Active",1,0)</f>
        <v>1</v>
      </c>
      <c r="AA250">
        <f ca="1">IF(Table1[[#This Row],[Status]]="Exited",Table1[[#This Row],[Recruitment Cost]]+Table1[[#This Row],[Onboarding cost]]+Table1[[#This Row],[Training Cost]],0)</f>
        <v>0</v>
      </c>
    </row>
    <row r="251" spans="1:27">
      <c r="A251" t="str">
        <f t="shared" si="31"/>
        <v>E250</v>
      </c>
      <c r="B251" t="str" cm="1">
        <f t="array" aca="1" ref="B251" ca="1">INDEX(sheet2!$A$2:$A$6, RANDBETWEEN(1, 5))</f>
        <v>Finance</v>
      </c>
      <c r="C251" t="str">
        <f ca="1">_xlfn.XLOOKUP(Table1[[#This Row],[Department]],sheet2!$A$2:$A$6,sheet2!$B$2:$B$6,_xleta.NA,0)</f>
        <v>Finance Manager</v>
      </c>
      <c r="D251" s="1">
        <f t="shared" ca="1" si="36"/>
        <v>43273</v>
      </c>
      <c r="E251" s="1">
        <f ca="1">Table1[[#This Row],[Job Posting Date]]+ RANDBETWEEN(15, 90)</f>
        <v>43362</v>
      </c>
      <c r="F251" s="1">
        <f ca="1">Table1[[#This Row],[Hire Date]]+ RANDBETWEEN(1, 15)</f>
        <v>43366</v>
      </c>
      <c r="G251" s="1">
        <f ca="1">IF(RAND() &lt; 0.5,  Table1[[#This Row],[Join Date]]+ RANDBETWEEN(30, TODAY()- Table1[[#This Row],[Join Date]]), "-")</f>
        <v>44039</v>
      </c>
      <c r="H251" t="str">
        <f ca="1">IF(Table1[[#This Row],[Exit Date]]= "-", "Active", "Exited")</f>
        <v>Exited</v>
      </c>
      <c r="I251" s="5">
        <f t="shared" ca="1" si="37"/>
        <v>3447</v>
      </c>
      <c r="J251" t="str" cm="1">
        <f t="array" aca="1" ref="J251" ca="1">INDEX(sheet2!$C$2:$C$6, RANDBETWEEN(1, 5))</f>
        <v>Conflict Resolution</v>
      </c>
      <c r="K251" t="str">
        <f t="shared" ca="1" si="38"/>
        <v>Not Completed</v>
      </c>
      <c r="L251">
        <v>260</v>
      </c>
      <c r="M251">
        <f t="shared" ca="1" si="32"/>
        <v>18</v>
      </c>
      <c r="N251" t="str">
        <f t="shared" ca="1" si="33"/>
        <v>Male</v>
      </c>
      <c r="O251" s="6">
        <f t="shared" ca="1" si="34"/>
        <v>1206</v>
      </c>
      <c r="P251">
        <f ca="1">Table1[[#This Row],[Hire Date]]-Table1[[#This Row],[Job Posting Date]]</f>
        <v>89</v>
      </c>
      <c r="Q251" s="7">
        <f ca="1">Table1[[#This Row],[Join Date]]-Table1[[#This Row],[Hire Date]]</f>
        <v>4</v>
      </c>
      <c r="R251" s="8">
        <f ca="1">(IF(Table1[[#This Row],[Status]]="Exited",Table1[[#This Row],[Exit Date]]-Table1[[#This Row],[Join Date]],TODAY()-Table1[[#This Row],[Join Date]]))/30</f>
        <v>22.433333333333334</v>
      </c>
      <c r="S251">
        <f ca="1">Table1[[#This Row],[Hire Date]]-Table1[[#This Row],[Job Posting Date]]</f>
        <v>89</v>
      </c>
      <c r="T251" s="7">
        <f ca="1">Table1[[#This Row],[Time to onboard]]/Table1[[#This Row],[Time to Fill]]*100</f>
        <v>4.4943820224719104</v>
      </c>
      <c r="U251" s="8">
        <f ca="1">Table1[[#This Row],[Time to onboard]]/Table1[[#This Row],[Time to Fill]]*100</f>
        <v>4.4943820224719104</v>
      </c>
      <c r="V251">
        <f ca="1">Table1[[#This Row],[Join Date]]-Table1[[#This Row],[Job Posting Date]]</f>
        <v>93</v>
      </c>
      <c r="W251">
        <f t="shared" ca="1" si="35"/>
        <v>112</v>
      </c>
      <c r="X251" s="8">
        <f ca="1">Table1[[#This Row],[Absentee Days]]/Table1[[#This Row],[Total Work Days]]*100</f>
        <v>6.9230769230769234</v>
      </c>
      <c r="Y251">
        <f ca="1">YEAR(Table1[[#This Row],[Join Date]])</f>
        <v>2018</v>
      </c>
      <c r="Z251">
        <f ca="1">IF(Table1[[#This Row],[Status]]="Active",1,0)</f>
        <v>0</v>
      </c>
      <c r="AA251">
        <f ca="1">IF(Table1[[#This Row],[Status]]="Exited",Table1[[#This Row],[Recruitment Cost]]+Table1[[#This Row],[Onboarding cost]]+Table1[[#This Row],[Training Cost]],0)</f>
        <v>4765</v>
      </c>
    </row>
    <row r="252" spans="1:27">
      <c r="A252" t="str">
        <f t="shared" si="31"/>
        <v>E251</v>
      </c>
      <c r="B252" t="str" cm="1">
        <f t="array" aca="1" ref="B252" ca="1">INDEX(sheet2!$A$2:$A$6, RANDBETWEEN(1, 5))</f>
        <v>Analytics</v>
      </c>
      <c r="C252" t="str">
        <f ca="1">_xlfn.XLOOKUP(Table1[[#This Row],[Department]],sheet2!$A$2:$A$6,sheet2!$B$2:$B$6,_xleta.NA,0)</f>
        <v>Data Analyst</v>
      </c>
      <c r="D252" s="1">
        <f t="shared" ca="1" si="36"/>
        <v>44467</v>
      </c>
      <c r="E252" s="1">
        <f ca="1">Table1[[#This Row],[Job Posting Date]]+ RANDBETWEEN(15, 90)</f>
        <v>44533</v>
      </c>
      <c r="F252" s="1">
        <f ca="1">Table1[[#This Row],[Hire Date]]+ RANDBETWEEN(1, 15)</f>
        <v>44539</v>
      </c>
      <c r="G252" s="1" t="str">
        <f ca="1">IF(RAND() &lt; 0.5,  Table1[[#This Row],[Join Date]]+ RANDBETWEEN(30, TODAY()- Table1[[#This Row],[Join Date]]), "-")</f>
        <v>-</v>
      </c>
      <c r="H252" t="str">
        <f ca="1">IF(Table1[[#This Row],[Exit Date]]= "-", "Active", "Exited")</f>
        <v>Active</v>
      </c>
      <c r="I252" s="5">
        <f t="shared" ca="1" si="37"/>
        <v>1893</v>
      </c>
      <c r="J252" t="str" cm="1">
        <f t="array" aca="1" ref="J252" ca="1">INDEX(sheet2!$C$2:$C$6, RANDBETWEEN(1, 5))</f>
        <v>Conflict Resolution</v>
      </c>
      <c r="K252" t="str">
        <f t="shared" ca="1" si="38"/>
        <v>Completed</v>
      </c>
      <c r="L252">
        <v>260</v>
      </c>
      <c r="M252">
        <f t="shared" ca="1" si="32"/>
        <v>18</v>
      </c>
      <c r="N252" t="str">
        <f t="shared" ca="1" si="33"/>
        <v>Other</v>
      </c>
      <c r="O252" s="6">
        <f t="shared" ca="1" si="34"/>
        <v>1986</v>
      </c>
      <c r="P252">
        <f ca="1">Table1[[#This Row],[Hire Date]]-Table1[[#This Row],[Job Posting Date]]</f>
        <v>66</v>
      </c>
      <c r="Q252" s="7">
        <f ca="1">Table1[[#This Row],[Join Date]]-Table1[[#This Row],[Hire Date]]</f>
        <v>6</v>
      </c>
      <c r="R252" s="8">
        <f ca="1">(IF(Table1[[#This Row],[Status]]="Exited",Table1[[#This Row],[Exit Date]]-Table1[[#This Row],[Join Date]],TODAY()-Table1[[#This Row],[Join Date]]))/30</f>
        <v>37.466666666666669</v>
      </c>
      <c r="S252">
        <f ca="1">Table1[[#This Row],[Hire Date]]-Table1[[#This Row],[Job Posting Date]]</f>
        <v>66</v>
      </c>
      <c r="T252" s="7">
        <f ca="1">Table1[[#This Row],[Time to onboard]]/Table1[[#This Row],[Time to Fill]]*100</f>
        <v>9.0909090909090917</v>
      </c>
      <c r="U252" s="8">
        <f ca="1">Table1[[#This Row],[Time to onboard]]/Table1[[#This Row],[Time to Fill]]*100</f>
        <v>9.0909090909090917</v>
      </c>
      <c r="V252">
        <f ca="1">Table1[[#This Row],[Join Date]]-Table1[[#This Row],[Job Posting Date]]</f>
        <v>72</v>
      </c>
      <c r="W252">
        <f t="shared" ca="1" si="35"/>
        <v>195</v>
      </c>
      <c r="X252" s="8">
        <f ca="1">Table1[[#This Row],[Absentee Days]]/Table1[[#This Row],[Total Work Days]]*100</f>
        <v>6.9230769230769234</v>
      </c>
      <c r="Y252">
        <f ca="1">YEAR(Table1[[#This Row],[Join Date]])</f>
        <v>2021</v>
      </c>
      <c r="Z252">
        <f ca="1">IF(Table1[[#This Row],[Status]]="Active",1,0)</f>
        <v>1</v>
      </c>
      <c r="AA252">
        <f ca="1">IF(Table1[[#This Row],[Status]]="Exited",Table1[[#This Row],[Recruitment Cost]]+Table1[[#This Row],[Onboarding cost]]+Table1[[#This Row],[Training Cost]],0)</f>
        <v>0</v>
      </c>
    </row>
    <row r="253" spans="1:27">
      <c r="A253" t="str">
        <f t="shared" si="31"/>
        <v>E252</v>
      </c>
      <c r="B253" t="str" cm="1">
        <f t="array" aca="1" ref="B253" ca="1">INDEX(sheet2!$A$2:$A$6, RANDBETWEEN(1, 5))</f>
        <v>Sales</v>
      </c>
      <c r="C253" t="str">
        <f ca="1">_xlfn.XLOOKUP(Table1[[#This Row],[Department]],sheet2!$A$2:$A$6,sheet2!$B$2:$B$6,_xleta.NA,0)</f>
        <v>Marketing Manager</v>
      </c>
      <c r="D253" s="1">
        <f t="shared" ca="1" si="36"/>
        <v>44862</v>
      </c>
      <c r="E253" s="1">
        <f ca="1">Table1[[#This Row],[Job Posting Date]]+ RANDBETWEEN(15, 90)</f>
        <v>44948</v>
      </c>
      <c r="F253" s="1">
        <f ca="1">Table1[[#This Row],[Hire Date]]+ RANDBETWEEN(1, 15)</f>
        <v>44963</v>
      </c>
      <c r="G253" s="1">
        <f ca="1">IF(RAND() &lt; 0.5,  Table1[[#This Row],[Join Date]]+ RANDBETWEEN(30, TODAY()- Table1[[#This Row],[Join Date]]), "-")</f>
        <v>45310</v>
      </c>
      <c r="H253" t="str">
        <f ca="1">IF(Table1[[#This Row],[Exit Date]]= "-", "Active", "Exited")</f>
        <v>Exited</v>
      </c>
      <c r="I253" s="5">
        <f t="shared" ca="1" si="37"/>
        <v>1813</v>
      </c>
      <c r="J253" t="str" cm="1">
        <f t="array" aca="1" ref="J253" ca="1">INDEX(sheet2!$C$2:$C$6, RANDBETWEEN(1, 5))</f>
        <v>Ethics and Responsibilities</v>
      </c>
      <c r="K253" t="str">
        <f t="shared" ca="1" si="38"/>
        <v>Completed</v>
      </c>
      <c r="L253">
        <v>260</v>
      </c>
      <c r="M253">
        <f t="shared" ca="1" si="32"/>
        <v>6</v>
      </c>
      <c r="N253" t="str">
        <f t="shared" ca="1" si="33"/>
        <v>Male</v>
      </c>
      <c r="O253" s="6">
        <f t="shared" ca="1" si="34"/>
        <v>2494</v>
      </c>
      <c r="P253">
        <f ca="1">Table1[[#This Row],[Hire Date]]-Table1[[#This Row],[Job Posting Date]]</f>
        <v>86</v>
      </c>
      <c r="Q253" s="7">
        <f ca="1">Table1[[#This Row],[Join Date]]-Table1[[#This Row],[Hire Date]]</f>
        <v>15</v>
      </c>
      <c r="R253" s="8">
        <f ca="1">(IF(Table1[[#This Row],[Status]]="Exited",Table1[[#This Row],[Exit Date]]-Table1[[#This Row],[Join Date]],TODAY()-Table1[[#This Row],[Join Date]]))/30</f>
        <v>11.566666666666666</v>
      </c>
      <c r="S253">
        <f ca="1">Table1[[#This Row],[Hire Date]]-Table1[[#This Row],[Job Posting Date]]</f>
        <v>86</v>
      </c>
      <c r="T253" s="7">
        <f ca="1">Table1[[#This Row],[Time to onboard]]/Table1[[#This Row],[Time to Fill]]*100</f>
        <v>17.441860465116278</v>
      </c>
      <c r="U253" s="8">
        <f ca="1">Table1[[#This Row],[Time to onboard]]/Table1[[#This Row],[Time to Fill]]*100</f>
        <v>17.441860465116278</v>
      </c>
      <c r="V253">
        <f ca="1">Table1[[#This Row],[Join Date]]-Table1[[#This Row],[Job Posting Date]]</f>
        <v>101</v>
      </c>
      <c r="W253">
        <f t="shared" ca="1" si="35"/>
        <v>112</v>
      </c>
      <c r="X253" s="8">
        <f ca="1">Table1[[#This Row],[Absentee Days]]/Table1[[#This Row],[Total Work Days]]*100</f>
        <v>2.3076923076923079</v>
      </c>
      <c r="Y253">
        <f ca="1">YEAR(Table1[[#This Row],[Join Date]])</f>
        <v>2023</v>
      </c>
      <c r="Z253">
        <f ca="1">IF(Table1[[#This Row],[Status]]="Active",1,0)</f>
        <v>0</v>
      </c>
      <c r="AA253">
        <f ca="1">IF(Table1[[#This Row],[Status]]="Exited",Table1[[#This Row],[Recruitment Cost]]+Table1[[#This Row],[Onboarding cost]]+Table1[[#This Row],[Training Cost]],0)</f>
        <v>4419</v>
      </c>
    </row>
    <row r="254" spans="1:27">
      <c r="A254" t="str">
        <f t="shared" si="31"/>
        <v>E253</v>
      </c>
      <c r="B254" t="str" cm="1">
        <f t="array" aca="1" ref="B254" ca="1">INDEX(sheet2!$A$2:$A$6, RANDBETWEEN(1, 5))</f>
        <v>Sales</v>
      </c>
      <c r="C254" t="str">
        <f ca="1">_xlfn.XLOOKUP(Table1[[#This Row],[Department]],sheet2!$A$2:$A$6,sheet2!$B$2:$B$6,_xleta.NA,0)</f>
        <v>Marketing Manager</v>
      </c>
      <c r="D254" s="1">
        <f t="shared" ca="1" si="36"/>
        <v>44759</v>
      </c>
      <c r="E254" s="1">
        <f ca="1">Table1[[#This Row],[Job Posting Date]]+ RANDBETWEEN(15, 90)</f>
        <v>44814</v>
      </c>
      <c r="F254" s="1">
        <f ca="1">Table1[[#This Row],[Hire Date]]+ RANDBETWEEN(1, 15)</f>
        <v>44823</v>
      </c>
      <c r="G254" s="1">
        <f ca="1">IF(RAND() &lt; 0.5,  Table1[[#This Row],[Join Date]]+ RANDBETWEEN(30, TODAY()- Table1[[#This Row],[Join Date]]), "-")</f>
        <v>45228</v>
      </c>
      <c r="H254" t="str">
        <f ca="1">IF(Table1[[#This Row],[Exit Date]]= "-", "Active", "Exited")</f>
        <v>Exited</v>
      </c>
      <c r="I254" s="5">
        <f t="shared" ca="1" si="37"/>
        <v>2099</v>
      </c>
      <c r="J254" t="str" cm="1">
        <f t="array" aca="1" ref="J254" ca="1">INDEX(sheet2!$C$2:$C$6, RANDBETWEEN(1, 5))</f>
        <v>Communication Skills</v>
      </c>
      <c r="K254" t="str">
        <f t="shared" ca="1" si="38"/>
        <v>Completed</v>
      </c>
      <c r="L254">
        <v>260</v>
      </c>
      <c r="M254">
        <f t="shared" ca="1" si="32"/>
        <v>16</v>
      </c>
      <c r="N254" t="str">
        <f t="shared" ca="1" si="33"/>
        <v>Female</v>
      </c>
      <c r="O254" s="6">
        <f t="shared" ca="1" si="34"/>
        <v>1493</v>
      </c>
      <c r="P254">
        <f ca="1">Table1[[#This Row],[Hire Date]]-Table1[[#This Row],[Job Posting Date]]</f>
        <v>55</v>
      </c>
      <c r="Q254" s="7">
        <f ca="1">Table1[[#This Row],[Join Date]]-Table1[[#This Row],[Hire Date]]</f>
        <v>9</v>
      </c>
      <c r="R254" s="8">
        <f ca="1">(IF(Table1[[#This Row],[Status]]="Exited",Table1[[#This Row],[Exit Date]]-Table1[[#This Row],[Join Date]],TODAY()-Table1[[#This Row],[Join Date]]))/30</f>
        <v>13.5</v>
      </c>
      <c r="S254">
        <f ca="1">Table1[[#This Row],[Hire Date]]-Table1[[#This Row],[Job Posting Date]]</f>
        <v>55</v>
      </c>
      <c r="T254" s="7">
        <f ca="1">Table1[[#This Row],[Time to onboard]]/Table1[[#This Row],[Time to Fill]]*100</f>
        <v>16.363636363636363</v>
      </c>
      <c r="U254" s="8">
        <f ca="1">Table1[[#This Row],[Time to onboard]]/Table1[[#This Row],[Time to Fill]]*100</f>
        <v>16.363636363636363</v>
      </c>
      <c r="V254">
        <f ca="1">Table1[[#This Row],[Join Date]]-Table1[[#This Row],[Job Posting Date]]</f>
        <v>64</v>
      </c>
      <c r="W254">
        <f t="shared" ca="1" si="35"/>
        <v>168</v>
      </c>
      <c r="X254" s="8">
        <f ca="1">Table1[[#This Row],[Absentee Days]]/Table1[[#This Row],[Total Work Days]]*100</f>
        <v>6.1538461538461542</v>
      </c>
      <c r="Y254">
        <f ca="1">YEAR(Table1[[#This Row],[Join Date]])</f>
        <v>2022</v>
      </c>
      <c r="Z254">
        <f ca="1">IF(Table1[[#This Row],[Status]]="Active",1,0)</f>
        <v>0</v>
      </c>
      <c r="AA254">
        <f ca="1">IF(Table1[[#This Row],[Status]]="Exited",Table1[[#This Row],[Recruitment Cost]]+Table1[[#This Row],[Onboarding cost]]+Table1[[#This Row],[Training Cost]],0)</f>
        <v>3760</v>
      </c>
    </row>
    <row r="255" spans="1:27">
      <c r="A255" t="str">
        <f t="shared" si="31"/>
        <v>E254</v>
      </c>
      <c r="B255" t="str" cm="1">
        <f t="array" aca="1" ref="B255" ca="1">INDEX(sheet2!$A$2:$A$6, RANDBETWEEN(1, 5))</f>
        <v>Analytics</v>
      </c>
      <c r="C255" t="str">
        <f ca="1">_xlfn.XLOOKUP(Table1[[#This Row],[Department]],sheet2!$A$2:$A$6,sheet2!$B$2:$B$6,_xleta.NA,0)</f>
        <v>Data Analyst</v>
      </c>
      <c r="D255" s="1">
        <f t="shared" ca="1" si="36"/>
        <v>43573</v>
      </c>
      <c r="E255" s="1">
        <f ca="1">Table1[[#This Row],[Job Posting Date]]+ RANDBETWEEN(15, 90)</f>
        <v>43639</v>
      </c>
      <c r="F255" s="1">
        <f ca="1">Table1[[#This Row],[Hire Date]]+ RANDBETWEEN(1, 15)</f>
        <v>43641</v>
      </c>
      <c r="G255" s="1">
        <f ca="1">IF(RAND() &lt; 0.5,  Table1[[#This Row],[Join Date]]+ RANDBETWEEN(30, TODAY()- Table1[[#This Row],[Join Date]]), "-")</f>
        <v>44507</v>
      </c>
      <c r="H255" t="str">
        <f ca="1">IF(Table1[[#This Row],[Exit Date]]= "-", "Active", "Exited")</f>
        <v>Exited</v>
      </c>
      <c r="I255" s="5">
        <f t="shared" ca="1" si="37"/>
        <v>3098</v>
      </c>
      <c r="J255" t="str" cm="1">
        <f t="array" aca="1" ref="J255" ca="1">INDEX(sheet2!$C$2:$C$6, RANDBETWEEN(1, 5))</f>
        <v>Ethics and Responsibilities</v>
      </c>
      <c r="K255" t="str">
        <f t="shared" ca="1" si="38"/>
        <v>Not Completed</v>
      </c>
      <c r="L255">
        <v>260</v>
      </c>
      <c r="M255">
        <f t="shared" ca="1" si="32"/>
        <v>1</v>
      </c>
      <c r="N255" t="str">
        <f t="shared" ca="1" si="33"/>
        <v>Male</v>
      </c>
      <c r="O255" s="6">
        <f t="shared" ca="1" si="34"/>
        <v>1841</v>
      </c>
      <c r="P255">
        <f ca="1">Table1[[#This Row],[Hire Date]]-Table1[[#This Row],[Job Posting Date]]</f>
        <v>66</v>
      </c>
      <c r="Q255" s="7">
        <f ca="1">Table1[[#This Row],[Join Date]]-Table1[[#This Row],[Hire Date]]</f>
        <v>2</v>
      </c>
      <c r="R255" s="8">
        <f ca="1">(IF(Table1[[#This Row],[Status]]="Exited",Table1[[#This Row],[Exit Date]]-Table1[[#This Row],[Join Date]],TODAY()-Table1[[#This Row],[Join Date]]))/30</f>
        <v>28.866666666666667</v>
      </c>
      <c r="S255">
        <f ca="1">Table1[[#This Row],[Hire Date]]-Table1[[#This Row],[Job Posting Date]]</f>
        <v>66</v>
      </c>
      <c r="T255" s="7">
        <f ca="1">Table1[[#This Row],[Time to onboard]]/Table1[[#This Row],[Time to Fill]]*100</f>
        <v>3.0303030303030303</v>
      </c>
      <c r="U255" s="8">
        <f ca="1">Table1[[#This Row],[Time to onboard]]/Table1[[#This Row],[Time to Fill]]*100</f>
        <v>3.0303030303030303</v>
      </c>
      <c r="V255">
        <f ca="1">Table1[[#This Row],[Join Date]]-Table1[[#This Row],[Job Posting Date]]</f>
        <v>68</v>
      </c>
      <c r="W255">
        <f t="shared" ca="1" si="35"/>
        <v>150</v>
      </c>
      <c r="X255" s="8">
        <f ca="1">Table1[[#This Row],[Absentee Days]]/Table1[[#This Row],[Total Work Days]]*100</f>
        <v>0.38461538461538464</v>
      </c>
      <c r="Y255">
        <f ca="1">YEAR(Table1[[#This Row],[Join Date]])</f>
        <v>2019</v>
      </c>
      <c r="Z255">
        <f ca="1">IF(Table1[[#This Row],[Status]]="Active",1,0)</f>
        <v>0</v>
      </c>
      <c r="AA255">
        <f ca="1">IF(Table1[[#This Row],[Status]]="Exited",Table1[[#This Row],[Recruitment Cost]]+Table1[[#This Row],[Onboarding cost]]+Table1[[#This Row],[Training Cost]],0)</f>
        <v>5089</v>
      </c>
    </row>
    <row r="256" spans="1:27">
      <c r="A256" t="str">
        <f t="shared" si="31"/>
        <v>E255</v>
      </c>
      <c r="B256" t="str" cm="1">
        <f t="array" aca="1" ref="B256" ca="1">INDEX(sheet2!$A$2:$A$6, RANDBETWEEN(1, 5))</f>
        <v>IT</v>
      </c>
      <c r="C256" t="str">
        <f ca="1">_xlfn.XLOOKUP(Table1[[#This Row],[Department]],sheet2!$A$2:$A$6,sheet2!$B$2:$B$6,_xleta.NA,0)</f>
        <v>Software Engineer</v>
      </c>
      <c r="D256" s="1">
        <f t="shared" ca="1" si="36"/>
        <v>44004</v>
      </c>
      <c r="E256" s="1">
        <f ca="1">Table1[[#This Row],[Job Posting Date]]+ RANDBETWEEN(15, 90)</f>
        <v>44028</v>
      </c>
      <c r="F256" s="1">
        <f ca="1">Table1[[#This Row],[Hire Date]]+ RANDBETWEEN(1, 15)</f>
        <v>44042</v>
      </c>
      <c r="G256" s="1" t="str">
        <f ca="1">IF(RAND() &lt; 0.5,  Table1[[#This Row],[Join Date]]+ RANDBETWEEN(30, TODAY()- Table1[[#This Row],[Join Date]]), "-")</f>
        <v>-</v>
      </c>
      <c r="H256" t="str">
        <f ca="1">IF(Table1[[#This Row],[Exit Date]]= "-", "Active", "Exited")</f>
        <v>Active</v>
      </c>
      <c r="I256" s="5">
        <f t="shared" ca="1" si="37"/>
        <v>4023</v>
      </c>
      <c r="J256" t="str" cm="1">
        <f t="array" aca="1" ref="J256" ca="1">INDEX(sheet2!$C$2:$C$6, RANDBETWEEN(1, 5))</f>
        <v>Ethics and Responsibilities</v>
      </c>
      <c r="K256" t="str">
        <f t="shared" ca="1" si="38"/>
        <v>Completed</v>
      </c>
      <c r="L256">
        <v>260</v>
      </c>
      <c r="M256">
        <f t="shared" ca="1" si="32"/>
        <v>15</v>
      </c>
      <c r="N256" t="str">
        <f t="shared" ca="1" si="33"/>
        <v>Female</v>
      </c>
      <c r="O256" s="6">
        <f t="shared" ca="1" si="34"/>
        <v>1342</v>
      </c>
      <c r="P256">
        <f ca="1">Table1[[#This Row],[Hire Date]]-Table1[[#This Row],[Job Posting Date]]</f>
        <v>24</v>
      </c>
      <c r="Q256" s="7">
        <f ca="1">Table1[[#This Row],[Join Date]]-Table1[[#This Row],[Hire Date]]</f>
        <v>14</v>
      </c>
      <c r="R256" s="8">
        <f ca="1">(IF(Table1[[#This Row],[Status]]="Exited",Table1[[#This Row],[Exit Date]]-Table1[[#This Row],[Join Date]],TODAY()-Table1[[#This Row],[Join Date]]))/30</f>
        <v>54.033333333333331</v>
      </c>
      <c r="S256">
        <f ca="1">Table1[[#This Row],[Hire Date]]-Table1[[#This Row],[Job Posting Date]]</f>
        <v>24</v>
      </c>
      <c r="T256" s="7">
        <f ca="1">Table1[[#This Row],[Time to onboard]]/Table1[[#This Row],[Time to Fill]]*100</f>
        <v>58.333333333333336</v>
      </c>
      <c r="U256" s="8">
        <f ca="1">Table1[[#This Row],[Time to onboard]]/Table1[[#This Row],[Time to Fill]]*100</f>
        <v>58.333333333333336</v>
      </c>
      <c r="V256">
        <f ca="1">Table1[[#This Row],[Join Date]]-Table1[[#This Row],[Job Posting Date]]</f>
        <v>38</v>
      </c>
      <c r="W256">
        <f t="shared" ca="1" si="35"/>
        <v>133</v>
      </c>
      <c r="X256" s="8">
        <f ca="1">Table1[[#This Row],[Absentee Days]]/Table1[[#This Row],[Total Work Days]]*100</f>
        <v>5.7692307692307692</v>
      </c>
      <c r="Y256">
        <f ca="1">YEAR(Table1[[#This Row],[Join Date]])</f>
        <v>2020</v>
      </c>
      <c r="Z256">
        <f ca="1">IF(Table1[[#This Row],[Status]]="Active",1,0)</f>
        <v>1</v>
      </c>
      <c r="AA256">
        <f ca="1">IF(Table1[[#This Row],[Status]]="Exited",Table1[[#This Row],[Recruitment Cost]]+Table1[[#This Row],[Onboarding cost]]+Table1[[#This Row],[Training Cost]],0)</f>
        <v>0</v>
      </c>
    </row>
    <row r="257" spans="1:27">
      <c r="A257" t="str">
        <f t="shared" si="31"/>
        <v>E256</v>
      </c>
      <c r="B257" t="str" cm="1">
        <f t="array" aca="1" ref="B257" ca="1">INDEX(sheet2!$A$2:$A$6, RANDBETWEEN(1, 5))</f>
        <v>Analytics</v>
      </c>
      <c r="C257" t="str">
        <f ca="1">_xlfn.XLOOKUP(Table1[[#This Row],[Department]],sheet2!$A$2:$A$6,sheet2!$B$2:$B$6,_xleta.NA,0)</f>
        <v>Data Analyst</v>
      </c>
      <c r="D257" s="1">
        <f t="shared" ca="1" si="36"/>
        <v>43522</v>
      </c>
      <c r="E257" s="1">
        <f ca="1">Table1[[#This Row],[Job Posting Date]]+ RANDBETWEEN(15, 90)</f>
        <v>43597</v>
      </c>
      <c r="F257" s="1">
        <f ca="1">Table1[[#This Row],[Hire Date]]+ RANDBETWEEN(1, 15)</f>
        <v>43608</v>
      </c>
      <c r="G257" s="1" t="str">
        <f ca="1">IF(RAND() &lt; 0.5,  Table1[[#This Row],[Join Date]]+ RANDBETWEEN(30, TODAY()- Table1[[#This Row],[Join Date]]), "-")</f>
        <v>-</v>
      </c>
      <c r="H257" t="str">
        <f ca="1">IF(Table1[[#This Row],[Exit Date]]= "-", "Active", "Exited")</f>
        <v>Active</v>
      </c>
      <c r="I257" s="5">
        <f t="shared" ca="1" si="37"/>
        <v>1868</v>
      </c>
      <c r="J257" t="str" cm="1">
        <f t="array" aca="1" ref="J257" ca="1">INDEX(sheet2!$C$2:$C$6, RANDBETWEEN(1, 5))</f>
        <v>Advanced Excel Skills </v>
      </c>
      <c r="K257" t="str">
        <f t="shared" ca="1" si="38"/>
        <v>Completed</v>
      </c>
      <c r="L257">
        <v>260</v>
      </c>
      <c r="M257">
        <f t="shared" ca="1" si="32"/>
        <v>5</v>
      </c>
      <c r="N257" t="str">
        <f t="shared" ca="1" si="33"/>
        <v>Male</v>
      </c>
      <c r="O257" s="6">
        <f t="shared" ca="1" si="34"/>
        <v>1227</v>
      </c>
      <c r="P257">
        <f ca="1">Table1[[#This Row],[Hire Date]]-Table1[[#This Row],[Job Posting Date]]</f>
        <v>75</v>
      </c>
      <c r="Q257" s="7">
        <f ca="1">Table1[[#This Row],[Join Date]]-Table1[[#This Row],[Hire Date]]</f>
        <v>11</v>
      </c>
      <c r="R257" s="8">
        <f ca="1">(IF(Table1[[#This Row],[Status]]="Exited",Table1[[#This Row],[Exit Date]]-Table1[[#This Row],[Join Date]],TODAY()-Table1[[#This Row],[Join Date]]))/30</f>
        <v>68.5</v>
      </c>
      <c r="S257">
        <f ca="1">Table1[[#This Row],[Hire Date]]-Table1[[#This Row],[Job Posting Date]]</f>
        <v>75</v>
      </c>
      <c r="T257" s="7">
        <f ca="1">Table1[[#This Row],[Time to onboard]]/Table1[[#This Row],[Time to Fill]]*100</f>
        <v>14.666666666666666</v>
      </c>
      <c r="U257" s="8">
        <f ca="1">Table1[[#This Row],[Time to onboard]]/Table1[[#This Row],[Time to Fill]]*100</f>
        <v>14.666666666666666</v>
      </c>
      <c r="V257">
        <f ca="1">Table1[[#This Row],[Join Date]]-Table1[[#This Row],[Job Posting Date]]</f>
        <v>86</v>
      </c>
      <c r="W257">
        <f t="shared" ca="1" si="35"/>
        <v>100</v>
      </c>
      <c r="X257" s="8">
        <f ca="1">Table1[[#This Row],[Absentee Days]]/Table1[[#This Row],[Total Work Days]]*100</f>
        <v>1.9230769230769231</v>
      </c>
      <c r="Y257">
        <f ca="1">YEAR(Table1[[#This Row],[Join Date]])</f>
        <v>2019</v>
      </c>
      <c r="Z257">
        <f ca="1">IF(Table1[[#This Row],[Status]]="Active",1,0)</f>
        <v>1</v>
      </c>
      <c r="AA257">
        <f ca="1">IF(Table1[[#This Row],[Status]]="Exited",Table1[[#This Row],[Recruitment Cost]]+Table1[[#This Row],[Onboarding cost]]+Table1[[#This Row],[Training Cost]],0)</f>
        <v>0</v>
      </c>
    </row>
    <row r="258" spans="1:27">
      <c r="A258" t="str">
        <f t="shared" ref="A258:A321" si="39">"E" &amp; TEXT(ROW(A257), "000")</f>
        <v>E257</v>
      </c>
      <c r="B258" t="str" cm="1">
        <f t="array" aca="1" ref="B258" ca="1">INDEX(sheet2!$A$2:$A$6, RANDBETWEEN(1, 5))</f>
        <v>Sales</v>
      </c>
      <c r="C258" t="str">
        <f ca="1">_xlfn.XLOOKUP(Table1[[#This Row],[Department]],sheet2!$A$2:$A$6,sheet2!$B$2:$B$6,_xleta.NA,0)</f>
        <v>Marketing Manager</v>
      </c>
      <c r="D258" s="1">
        <f t="shared" ca="1" si="36"/>
        <v>43467</v>
      </c>
      <c r="E258" s="1">
        <f ca="1">Table1[[#This Row],[Job Posting Date]]+ RANDBETWEEN(15, 90)</f>
        <v>43511</v>
      </c>
      <c r="F258" s="1">
        <f ca="1">Table1[[#This Row],[Hire Date]]+ RANDBETWEEN(1, 15)</f>
        <v>43523</v>
      </c>
      <c r="G258" s="1" t="str">
        <f ca="1">IF(RAND() &lt; 0.5,  Table1[[#This Row],[Join Date]]+ RANDBETWEEN(30, TODAY()- Table1[[#This Row],[Join Date]]), "-")</f>
        <v>-</v>
      </c>
      <c r="H258" t="str">
        <f ca="1">IF(Table1[[#This Row],[Exit Date]]= "-", "Active", "Exited")</f>
        <v>Active</v>
      </c>
      <c r="I258" s="5">
        <f t="shared" ca="1" si="37"/>
        <v>2694</v>
      </c>
      <c r="J258" t="str" cm="1">
        <f t="array" aca="1" ref="J258" ca="1">INDEX(sheet2!$C$2:$C$6, RANDBETWEEN(1, 5))</f>
        <v>Leadership Development</v>
      </c>
      <c r="K258" t="str">
        <f t="shared" ca="1" si="38"/>
        <v>Completed</v>
      </c>
      <c r="L258">
        <v>260</v>
      </c>
      <c r="M258">
        <f t="shared" ref="M258:M321" ca="1" si="40">RANDBETWEEN(0, 20)</f>
        <v>12</v>
      </c>
      <c r="N258" t="str">
        <f t="shared" ref="N258:N321" ca="1" si="41">CHOOSE(RANDBETWEEN(1, 3), "Male", "Female", "Other")</f>
        <v>Female</v>
      </c>
      <c r="O258" s="6">
        <f t="shared" ref="O258:O321" ca="1" si="42">RANDBETWEEN(1200, 2500)</f>
        <v>2040</v>
      </c>
      <c r="P258">
        <f ca="1">Table1[[#This Row],[Hire Date]]-Table1[[#This Row],[Job Posting Date]]</f>
        <v>44</v>
      </c>
      <c r="Q258" s="7">
        <f ca="1">Table1[[#This Row],[Join Date]]-Table1[[#This Row],[Hire Date]]</f>
        <v>12</v>
      </c>
      <c r="R258" s="8">
        <f ca="1">(IF(Table1[[#This Row],[Status]]="Exited",Table1[[#This Row],[Exit Date]]-Table1[[#This Row],[Join Date]],TODAY()-Table1[[#This Row],[Join Date]]))/30</f>
        <v>71.333333333333329</v>
      </c>
      <c r="S258">
        <f ca="1">Table1[[#This Row],[Hire Date]]-Table1[[#This Row],[Job Posting Date]]</f>
        <v>44</v>
      </c>
      <c r="T258" s="7">
        <f ca="1">Table1[[#This Row],[Time to onboard]]/Table1[[#This Row],[Time to Fill]]*100</f>
        <v>27.27272727272727</v>
      </c>
      <c r="U258" s="8">
        <f ca="1">Table1[[#This Row],[Time to onboard]]/Table1[[#This Row],[Time to Fill]]*100</f>
        <v>27.27272727272727</v>
      </c>
      <c r="V258">
        <f ca="1">Table1[[#This Row],[Join Date]]-Table1[[#This Row],[Job Posting Date]]</f>
        <v>56</v>
      </c>
      <c r="W258">
        <f t="shared" ref="W258:W321" ca="1" si="43">RANDBETWEEN(100,200)</f>
        <v>156</v>
      </c>
      <c r="X258" s="8">
        <f ca="1">Table1[[#This Row],[Absentee Days]]/Table1[[#This Row],[Total Work Days]]*100</f>
        <v>4.6153846153846159</v>
      </c>
      <c r="Y258">
        <f ca="1">YEAR(Table1[[#This Row],[Join Date]])</f>
        <v>2019</v>
      </c>
      <c r="Z258">
        <f ca="1">IF(Table1[[#This Row],[Status]]="Active",1,0)</f>
        <v>1</v>
      </c>
      <c r="AA258">
        <f ca="1">IF(Table1[[#This Row],[Status]]="Exited",Table1[[#This Row],[Recruitment Cost]]+Table1[[#This Row],[Onboarding cost]]+Table1[[#This Row],[Training Cost]],0)</f>
        <v>0</v>
      </c>
    </row>
    <row r="259" spans="1:27">
      <c r="A259" t="str">
        <f t="shared" si="39"/>
        <v>E258</v>
      </c>
      <c r="B259" t="str" cm="1">
        <f t="array" aca="1" ref="B259" ca="1">INDEX(sheet2!$A$2:$A$6, RANDBETWEEN(1, 5))</f>
        <v>Finance</v>
      </c>
      <c r="C259" t="str">
        <f ca="1">_xlfn.XLOOKUP(Table1[[#This Row],[Department]],sheet2!$A$2:$A$6,sheet2!$B$2:$B$6,_xleta.NA,0)</f>
        <v>Finance Manager</v>
      </c>
      <c r="D259" s="1">
        <f t="shared" ca="1" si="36"/>
        <v>43304</v>
      </c>
      <c r="E259" s="1">
        <f ca="1">Table1[[#This Row],[Job Posting Date]]+ RANDBETWEEN(15, 90)</f>
        <v>43332</v>
      </c>
      <c r="F259" s="1">
        <f ca="1">Table1[[#This Row],[Hire Date]]+ RANDBETWEEN(1, 15)</f>
        <v>43341</v>
      </c>
      <c r="G259" s="1">
        <f ca="1">IF(RAND() &lt; 0.5,  Table1[[#This Row],[Join Date]]+ RANDBETWEEN(30, TODAY()- Table1[[#This Row],[Join Date]]), "-")</f>
        <v>43958</v>
      </c>
      <c r="H259" t="str">
        <f ca="1">IF(Table1[[#This Row],[Exit Date]]= "-", "Active", "Exited")</f>
        <v>Exited</v>
      </c>
      <c r="I259" s="5">
        <f t="shared" ca="1" si="37"/>
        <v>2294</v>
      </c>
      <c r="J259" t="str" cm="1">
        <f t="array" aca="1" ref="J259" ca="1">INDEX(sheet2!$C$2:$C$6, RANDBETWEEN(1, 5))</f>
        <v>Communication Skills</v>
      </c>
      <c r="K259" t="str">
        <f t="shared" ca="1" si="38"/>
        <v>Completed</v>
      </c>
      <c r="L259">
        <v>260</v>
      </c>
      <c r="M259">
        <f t="shared" ca="1" si="40"/>
        <v>4</v>
      </c>
      <c r="N259" t="str">
        <f t="shared" ca="1" si="41"/>
        <v>Other</v>
      </c>
      <c r="O259" s="6">
        <f t="shared" ca="1" si="42"/>
        <v>1436</v>
      </c>
      <c r="P259">
        <f ca="1">Table1[[#This Row],[Hire Date]]-Table1[[#This Row],[Job Posting Date]]</f>
        <v>28</v>
      </c>
      <c r="Q259" s="7">
        <f ca="1">Table1[[#This Row],[Join Date]]-Table1[[#This Row],[Hire Date]]</f>
        <v>9</v>
      </c>
      <c r="R259" s="8">
        <f ca="1">(IF(Table1[[#This Row],[Status]]="Exited",Table1[[#This Row],[Exit Date]]-Table1[[#This Row],[Join Date]],TODAY()-Table1[[#This Row],[Join Date]]))/30</f>
        <v>20.566666666666666</v>
      </c>
      <c r="S259">
        <f ca="1">Table1[[#This Row],[Hire Date]]-Table1[[#This Row],[Job Posting Date]]</f>
        <v>28</v>
      </c>
      <c r="T259" s="7">
        <f ca="1">Table1[[#This Row],[Time to onboard]]/Table1[[#This Row],[Time to Fill]]*100</f>
        <v>32.142857142857146</v>
      </c>
      <c r="U259" s="8">
        <f ca="1">Table1[[#This Row],[Time to onboard]]/Table1[[#This Row],[Time to Fill]]*100</f>
        <v>32.142857142857146</v>
      </c>
      <c r="V259">
        <f ca="1">Table1[[#This Row],[Join Date]]-Table1[[#This Row],[Job Posting Date]]</f>
        <v>37</v>
      </c>
      <c r="W259">
        <f t="shared" ca="1" si="43"/>
        <v>118</v>
      </c>
      <c r="X259" s="8">
        <f ca="1">Table1[[#This Row],[Absentee Days]]/Table1[[#This Row],[Total Work Days]]*100</f>
        <v>1.5384615384615385</v>
      </c>
      <c r="Y259">
        <f ca="1">YEAR(Table1[[#This Row],[Join Date]])</f>
        <v>2018</v>
      </c>
      <c r="Z259">
        <f ca="1">IF(Table1[[#This Row],[Status]]="Active",1,0)</f>
        <v>0</v>
      </c>
      <c r="AA259">
        <f ca="1">IF(Table1[[#This Row],[Status]]="Exited",Table1[[#This Row],[Recruitment Cost]]+Table1[[#This Row],[Onboarding cost]]+Table1[[#This Row],[Training Cost]],0)</f>
        <v>3848</v>
      </c>
    </row>
    <row r="260" spans="1:27">
      <c r="A260" t="str">
        <f t="shared" si="39"/>
        <v>E259</v>
      </c>
      <c r="B260" t="str" cm="1">
        <f t="array" aca="1" ref="B260" ca="1">INDEX(sheet2!$A$2:$A$6, RANDBETWEEN(1, 5))</f>
        <v>Sales</v>
      </c>
      <c r="C260" t="str">
        <f ca="1">_xlfn.XLOOKUP(Table1[[#This Row],[Department]],sheet2!$A$2:$A$6,sheet2!$B$2:$B$6,_xleta.NA,0)</f>
        <v>Marketing Manager</v>
      </c>
      <c r="D260" s="1">
        <f t="shared" ca="1" si="36"/>
        <v>43953</v>
      </c>
      <c r="E260" s="1">
        <f ca="1">Table1[[#This Row],[Job Posting Date]]+ RANDBETWEEN(15, 90)</f>
        <v>44021</v>
      </c>
      <c r="F260" s="1">
        <f ca="1">Table1[[#This Row],[Hire Date]]+ RANDBETWEEN(1, 15)</f>
        <v>44026</v>
      </c>
      <c r="G260" s="1" t="str">
        <f ca="1">IF(RAND() &lt; 0.5,  Table1[[#This Row],[Join Date]]+ RANDBETWEEN(30, TODAY()- Table1[[#This Row],[Join Date]]), "-")</f>
        <v>-</v>
      </c>
      <c r="H260" t="str">
        <f ca="1">IF(Table1[[#This Row],[Exit Date]]= "-", "Active", "Exited")</f>
        <v>Active</v>
      </c>
      <c r="I260" s="5">
        <f t="shared" ca="1" si="37"/>
        <v>2786</v>
      </c>
      <c r="J260" t="str" cm="1">
        <f t="array" aca="1" ref="J260" ca="1">INDEX(sheet2!$C$2:$C$6, RANDBETWEEN(1, 5))</f>
        <v>Leadership Development</v>
      </c>
      <c r="K260" t="str">
        <f t="shared" ca="1" si="38"/>
        <v>Completed</v>
      </c>
      <c r="L260">
        <v>260</v>
      </c>
      <c r="M260">
        <f t="shared" ca="1" si="40"/>
        <v>6</v>
      </c>
      <c r="N260" t="str">
        <f t="shared" ca="1" si="41"/>
        <v>Other</v>
      </c>
      <c r="O260" s="6">
        <f t="shared" ca="1" si="42"/>
        <v>1882</v>
      </c>
      <c r="P260">
        <f ca="1">Table1[[#This Row],[Hire Date]]-Table1[[#This Row],[Job Posting Date]]</f>
        <v>68</v>
      </c>
      <c r="Q260" s="7">
        <f ca="1">Table1[[#This Row],[Join Date]]-Table1[[#This Row],[Hire Date]]</f>
        <v>5</v>
      </c>
      <c r="R260" s="8">
        <f ca="1">(IF(Table1[[#This Row],[Status]]="Exited",Table1[[#This Row],[Exit Date]]-Table1[[#This Row],[Join Date]],TODAY()-Table1[[#This Row],[Join Date]]))/30</f>
        <v>54.56666666666667</v>
      </c>
      <c r="S260">
        <f ca="1">Table1[[#This Row],[Hire Date]]-Table1[[#This Row],[Job Posting Date]]</f>
        <v>68</v>
      </c>
      <c r="T260" s="7">
        <f ca="1">Table1[[#This Row],[Time to onboard]]/Table1[[#This Row],[Time to Fill]]*100</f>
        <v>7.3529411764705888</v>
      </c>
      <c r="U260" s="8">
        <f ca="1">Table1[[#This Row],[Time to onboard]]/Table1[[#This Row],[Time to Fill]]*100</f>
        <v>7.3529411764705888</v>
      </c>
      <c r="V260">
        <f ca="1">Table1[[#This Row],[Join Date]]-Table1[[#This Row],[Job Posting Date]]</f>
        <v>73</v>
      </c>
      <c r="W260">
        <f t="shared" ca="1" si="43"/>
        <v>186</v>
      </c>
      <c r="X260" s="8">
        <f ca="1">Table1[[#This Row],[Absentee Days]]/Table1[[#This Row],[Total Work Days]]*100</f>
        <v>2.3076923076923079</v>
      </c>
      <c r="Y260">
        <f ca="1">YEAR(Table1[[#This Row],[Join Date]])</f>
        <v>2020</v>
      </c>
      <c r="Z260">
        <f ca="1">IF(Table1[[#This Row],[Status]]="Active",1,0)</f>
        <v>1</v>
      </c>
      <c r="AA260">
        <f ca="1">IF(Table1[[#This Row],[Status]]="Exited",Table1[[#This Row],[Recruitment Cost]]+Table1[[#This Row],[Onboarding cost]]+Table1[[#This Row],[Training Cost]],0)</f>
        <v>0</v>
      </c>
    </row>
    <row r="261" spans="1:27">
      <c r="A261" t="str">
        <f t="shared" si="39"/>
        <v>E260</v>
      </c>
      <c r="B261" t="str" cm="1">
        <f t="array" aca="1" ref="B261" ca="1">INDEX(sheet2!$A$2:$A$6, RANDBETWEEN(1, 5))</f>
        <v>IT</v>
      </c>
      <c r="C261" t="str">
        <f ca="1">_xlfn.XLOOKUP(Table1[[#This Row],[Department]],sheet2!$A$2:$A$6,sheet2!$B$2:$B$6,_xleta.NA,0)</f>
        <v>Software Engineer</v>
      </c>
      <c r="D261" s="1">
        <f t="shared" ca="1" si="36"/>
        <v>44243</v>
      </c>
      <c r="E261" s="1">
        <f ca="1">Table1[[#This Row],[Job Posting Date]]+ RANDBETWEEN(15, 90)</f>
        <v>44265</v>
      </c>
      <c r="F261" s="1">
        <f ca="1">Table1[[#This Row],[Hire Date]]+ RANDBETWEEN(1, 15)</f>
        <v>44266</v>
      </c>
      <c r="G261" s="1" t="str">
        <f ca="1">IF(RAND() &lt; 0.5,  Table1[[#This Row],[Join Date]]+ RANDBETWEEN(30, TODAY()- Table1[[#This Row],[Join Date]]), "-")</f>
        <v>-</v>
      </c>
      <c r="H261" t="str">
        <f ca="1">IF(Table1[[#This Row],[Exit Date]]= "-", "Active", "Exited")</f>
        <v>Active</v>
      </c>
      <c r="I261" s="5">
        <f t="shared" ca="1" si="37"/>
        <v>4336</v>
      </c>
      <c r="J261" t="str" cm="1">
        <f t="array" aca="1" ref="J261" ca="1">INDEX(sheet2!$C$2:$C$6, RANDBETWEEN(1, 5))</f>
        <v>Ethics and Responsibilities</v>
      </c>
      <c r="K261" t="str">
        <f t="shared" ca="1" si="38"/>
        <v>Completed</v>
      </c>
      <c r="L261">
        <v>260</v>
      </c>
      <c r="M261">
        <f t="shared" ca="1" si="40"/>
        <v>7</v>
      </c>
      <c r="N261" t="str">
        <f t="shared" ca="1" si="41"/>
        <v>Other</v>
      </c>
      <c r="O261" s="6">
        <f t="shared" ca="1" si="42"/>
        <v>1842</v>
      </c>
      <c r="P261">
        <f ca="1">Table1[[#This Row],[Hire Date]]-Table1[[#This Row],[Job Posting Date]]</f>
        <v>22</v>
      </c>
      <c r="Q261" s="7">
        <f ca="1">Table1[[#This Row],[Join Date]]-Table1[[#This Row],[Hire Date]]</f>
        <v>1</v>
      </c>
      <c r="R261" s="8">
        <f ca="1">(IF(Table1[[#This Row],[Status]]="Exited",Table1[[#This Row],[Exit Date]]-Table1[[#This Row],[Join Date]],TODAY()-Table1[[#This Row],[Join Date]]))/30</f>
        <v>46.56666666666667</v>
      </c>
      <c r="S261">
        <f ca="1">Table1[[#This Row],[Hire Date]]-Table1[[#This Row],[Job Posting Date]]</f>
        <v>22</v>
      </c>
      <c r="T261" s="7">
        <f ca="1">Table1[[#This Row],[Time to onboard]]/Table1[[#This Row],[Time to Fill]]*100</f>
        <v>4.5454545454545459</v>
      </c>
      <c r="U261" s="8">
        <f ca="1">Table1[[#This Row],[Time to onboard]]/Table1[[#This Row],[Time to Fill]]*100</f>
        <v>4.5454545454545459</v>
      </c>
      <c r="V261">
        <f ca="1">Table1[[#This Row],[Join Date]]-Table1[[#This Row],[Job Posting Date]]</f>
        <v>23</v>
      </c>
      <c r="W261">
        <f t="shared" ca="1" si="43"/>
        <v>111</v>
      </c>
      <c r="X261" s="8">
        <f ca="1">Table1[[#This Row],[Absentee Days]]/Table1[[#This Row],[Total Work Days]]*100</f>
        <v>2.6923076923076925</v>
      </c>
      <c r="Y261">
        <f ca="1">YEAR(Table1[[#This Row],[Join Date]])</f>
        <v>2021</v>
      </c>
      <c r="Z261">
        <f ca="1">IF(Table1[[#This Row],[Status]]="Active",1,0)</f>
        <v>1</v>
      </c>
      <c r="AA261">
        <f ca="1">IF(Table1[[#This Row],[Status]]="Exited",Table1[[#This Row],[Recruitment Cost]]+Table1[[#This Row],[Onboarding cost]]+Table1[[#This Row],[Training Cost]],0)</f>
        <v>0</v>
      </c>
    </row>
    <row r="262" spans="1:27">
      <c r="A262" t="str">
        <f t="shared" si="39"/>
        <v>E261</v>
      </c>
      <c r="B262" t="str" cm="1">
        <f t="array" aca="1" ref="B262" ca="1">INDEX(sheet2!$A$2:$A$6, RANDBETWEEN(1, 5))</f>
        <v>HR</v>
      </c>
      <c r="C262" t="str">
        <f ca="1">_xlfn.XLOOKUP(Table1[[#This Row],[Department]],sheet2!$A$2:$A$6,sheet2!$B$2:$B$6,_xleta.NA,0)</f>
        <v>HR Manager</v>
      </c>
      <c r="D262" s="1">
        <f t="shared" ca="1" si="36"/>
        <v>43766</v>
      </c>
      <c r="E262" s="1">
        <f ca="1">Table1[[#This Row],[Job Posting Date]]+ RANDBETWEEN(15, 90)</f>
        <v>43812</v>
      </c>
      <c r="F262" s="1">
        <f ca="1">Table1[[#This Row],[Hire Date]]+ RANDBETWEEN(1, 15)</f>
        <v>43815</v>
      </c>
      <c r="G262" s="1" t="str">
        <f ca="1">IF(RAND() &lt; 0.5,  Table1[[#This Row],[Join Date]]+ RANDBETWEEN(30, TODAY()- Table1[[#This Row],[Join Date]]), "-")</f>
        <v>-</v>
      </c>
      <c r="H262" t="str">
        <f ca="1">IF(Table1[[#This Row],[Exit Date]]= "-", "Active", "Exited")</f>
        <v>Active</v>
      </c>
      <c r="I262" s="5">
        <f t="shared" ca="1" si="37"/>
        <v>2741</v>
      </c>
      <c r="J262" t="str" cm="1">
        <f t="array" aca="1" ref="J262" ca="1">INDEX(sheet2!$C$2:$C$6, RANDBETWEEN(1, 5))</f>
        <v>Ethics and Responsibilities</v>
      </c>
      <c r="K262" t="str">
        <f t="shared" ca="1" si="38"/>
        <v>Not Completed</v>
      </c>
      <c r="L262">
        <v>260</v>
      </c>
      <c r="M262">
        <f t="shared" ca="1" si="40"/>
        <v>9</v>
      </c>
      <c r="N262" t="str">
        <f t="shared" ca="1" si="41"/>
        <v>Other</v>
      </c>
      <c r="O262" s="6">
        <f t="shared" ca="1" si="42"/>
        <v>1413</v>
      </c>
      <c r="P262">
        <f ca="1">Table1[[#This Row],[Hire Date]]-Table1[[#This Row],[Job Posting Date]]</f>
        <v>46</v>
      </c>
      <c r="Q262" s="7">
        <f ca="1">Table1[[#This Row],[Join Date]]-Table1[[#This Row],[Hire Date]]</f>
        <v>3</v>
      </c>
      <c r="R262" s="8">
        <f ca="1">(IF(Table1[[#This Row],[Status]]="Exited",Table1[[#This Row],[Exit Date]]-Table1[[#This Row],[Join Date]],TODAY()-Table1[[#This Row],[Join Date]]))/30</f>
        <v>61.6</v>
      </c>
      <c r="S262">
        <f ca="1">Table1[[#This Row],[Hire Date]]-Table1[[#This Row],[Job Posting Date]]</f>
        <v>46</v>
      </c>
      <c r="T262" s="7">
        <f ca="1">Table1[[#This Row],[Time to onboard]]/Table1[[#This Row],[Time to Fill]]*100</f>
        <v>6.5217391304347823</v>
      </c>
      <c r="U262" s="8">
        <f ca="1">Table1[[#This Row],[Time to onboard]]/Table1[[#This Row],[Time to Fill]]*100</f>
        <v>6.5217391304347823</v>
      </c>
      <c r="V262">
        <f ca="1">Table1[[#This Row],[Join Date]]-Table1[[#This Row],[Job Posting Date]]</f>
        <v>49</v>
      </c>
      <c r="W262">
        <f t="shared" ca="1" si="43"/>
        <v>129</v>
      </c>
      <c r="X262" s="8">
        <f ca="1">Table1[[#This Row],[Absentee Days]]/Table1[[#This Row],[Total Work Days]]*100</f>
        <v>3.4615384615384617</v>
      </c>
      <c r="Y262">
        <f ca="1">YEAR(Table1[[#This Row],[Join Date]])</f>
        <v>2019</v>
      </c>
      <c r="Z262">
        <f ca="1">IF(Table1[[#This Row],[Status]]="Active",1,0)</f>
        <v>1</v>
      </c>
      <c r="AA262">
        <f ca="1">IF(Table1[[#This Row],[Status]]="Exited",Table1[[#This Row],[Recruitment Cost]]+Table1[[#This Row],[Onboarding cost]]+Table1[[#This Row],[Training Cost]],0)</f>
        <v>0</v>
      </c>
    </row>
    <row r="263" spans="1:27">
      <c r="A263" t="str">
        <f t="shared" si="39"/>
        <v>E262</v>
      </c>
      <c r="B263" t="str" cm="1">
        <f t="array" aca="1" ref="B263" ca="1">INDEX(sheet2!$A$2:$A$6, RANDBETWEEN(1, 5))</f>
        <v>IT</v>
      </c>
      <c r="C263" t="str">
        <f ca="1">_xlfn.XLOOKUP(Table1[[#This Row],[Department]],sheet2!$A$2:$A$6,sheet2!$B$2:$B$6,_xleta.NA,0)</f>
        <v>Software Engineer</v>
      </c>
      <c r="D263" s="1">
        <f t="shared" ca="1" si="36"/>
        <v>44605</v>
      </c>
      <c r="E263" s="1">
        <f ca="1">Table1[[#This Row],[Job Posting Date]]+ RANDBETWEEN(15, 90)</f>
        <v>44692</v>
      </c>
      <c r="F263" s="1">
        <f ca="1">Table1[[#This Row],[Hire Date]]+ RANDBETWEEN(1, 15)</f>
        <v>44701</v>
      </c>
      <c r="G263" s="1" t="str">
        <f ca="1">IF(RAND() &lt; 0.5,  Table1[[#This Row],[Join Date]]+ RANDBETWEEN(30, TODAY()- Table1[[#This Row],[Join Date]]), "-")</f>
        <v>-</v>
      </c>
      <c r="H263" t="str">
        <f ca="1">IF(Table1[[#This Row],[Exit Date]]= "-", "Active", "Exited")</f>
        <v>Active</v>
      </c>
      <c r="I263" s="5">
        <f t="shared" ca="1" si="37"/>
        <v>4333</v>
      </c>
      <c r="J263" t="str" cm="1">
        <f t="array" aca="1" ref="J263" ca="1">INDEX(sheet2!$C$2:$C$6, RANDBETWEEN(1, 5))</f>
        <v>Communication Skills</v>
      </c>
      <c r="K263" t="str">
        <f t="shared" ca="1" si="38"/>
        <v>Not Completed</v>
      </c>
      <c r="L263">
        <v>260</v>
      </c>
      <c r="M263">
        <f t="shared" ca="1" si="40"/>
        <v>6</v>
      </c>
      <c r="N263" t="str">
        <f t="shared" ca="1" si="41"/>
        <v>Other</v>
      </c>
      <c r="O263" s="6">
        <f t="shared" ca="1" si="42"/>
        <v>1987</v>
      </c>
      <c r="P263">
        <f ca="1">Table1[[#This Row],[Hire Date]]-Table1[[#This Row],[Job Posting Date]]</f>
        <v>87</v>
      </c>
      <c r="Q263" s="7">
        <f ca="1">Table1[[#This Row],[Join Date]]-Table1[[#This Row],[Hire Date]]</f>
        <v>9</v>
      </c>
      <c r="R263" s="8">
        <f ca="1">(IF(Table1[[#This Row],[Status]]="Exited",Table1[[#This Row],[Exit Date]]-Table1[[#This Row],[Join Date]],TODAY()-Table1[[#This Row],[Join Date]]))/30</f>
        <v>32.06666666666667</v>
      </c>
      <c r="S263">
        <f ca="1">Table1[[#This Row],[Hire Date]]-Table1[[#This Row],[Job Posting Date]]</f>
        <v>87</v>
      </c>
      <c r="T263" s="7">
        <f ca="1">Table1[[#This Row],[Time to onboard]]/Table1[[#This Row],[Time to Fill]]*100</f>
        <v>10.344827586206897</v>
      </c>
      <c r="U263" s="8">
        <f ca="1">Table1[[#This Row],[Time to onboard]]/Table1[[#This Row],[Time to Fill]]*100</f>
        <v>10.344827586206897</v>
      </c>
      <c r="V263">
        <f ca="1">Table1[[#This Row],[Join Date]]-Table1[[#This Row],[Job Posting Date]]</f>
        <v>96</v>
      </c>
      <c r="W263">
        <f t="shared" ca="1" si="43"/>
        <v>166</v>
      </c>
      <c r="X263" s="8">
        <f ca="1">Table1[[#This Row],[Absentee Days]]/Table1[[#This Row],[Total Work Days]]*100</f>
        <v>2.3076923076923079</v>
      </c>
      <c r="Y263">
        <f ca="1">YEAR(Table1[[#This Row],[Join Date]])</f>
        <v>2022</v>
      </c>
      <c r="Z263">
        <f ca="1">IF(Table1[[#This Row],[Status]]="Active",1,0)</f>
        <v>1</v>
      </c>
      <c r="AA263">
        <f ca="1">IF(Table1[[#This Row],[Status]]="Exited",Table1[[#This Row],[Recruitment Cost]]+Table1[[#This Row],[Onboarding cost]]+Table1[[#This Row],[Training Cost]],0)</f>
        <v>0</v>
      </c>
    </row>
    <row r="264" spans="1:27">
      <c r="A264" t="str">
        <f t="shared" si="39"/>
        <v>E263</v>
      </c>
      <c r="B264" t="str" cm="1">
        <f t="array" aca="1" ref="B264" ca="1">INDEX(sheet2!$A$2:$A$6, RANDBETWEEN(1, 5))</f>
        <v>Analytics</v>
      </c>
      <c r="C264" t="str">
        <f ca="1">_xlfn.XLOOKUP(Table1[[#This Row],[Department]],sheet2!$A$2:$A$6,sheet2!$B$2:$B$6,_xleta.NA,0)</f>
        <v>Data Analyst</v>
      </c>
      <c r="D264" s="1">
        <f t="shared" ca="1" si="36"/>
        <v>44603</v>
      </c>
      <c r="E264" s="1">
        <f ca="1">Table1[[#This Row],[Job Posting Date]]+ RANDBETWEEN(15, 90)</f>
        <v>44681</v>
      </c>
      <c r="F264" s="1">
        <f ca="1">Table1[[#This Row],[Hire Date]]+ RANDBETWEEN(1, 15)</f>
        <v>44695</v>
      </c>
      <c r="G264" s="1">
        <f ca="1">IF(RAND() &lt; 0.5,  Table1[[#This Row],[Join Date]]+ RANDBETWEEN(30, TODAY()- Table1[[#This Row],[Join Date]]), "-")</f>
        <v>45335</v>
      </c>
      <c r="H264" t="str">
        <f ca="1">IF(Table1[[#This Row],[Exit Date]]= "-", "Active", "Exited")</f>
        <v>Exited</v>
      </c>
      <c r="I264" s="5">
        <f t="shared" ca="1" si="37"/>
        <v>4538</v>
      </c>
      <c r="J264" t="str" cm="1">
        <f t="array" aca="1" ref="J264" ca="1">INDEX(sheet2!$C$2:$C$6, RANDBETWEEN(1, 5))</f>
        <v>Communication Skills</v>
      </c>
      <c r="K264" t="str">
        <f t="shared" ca="1" si="38"/>
        <v>Completed</v>
      </c>
      <c r="L264">
        <v>260</v>
      </c>
      <c r="M264">
        <f t="shared" ca="1" si="40"/>
        <v>3</v>
      </c>
      <c r="N264" t="str">
        <f t="shared" ca="1" si="41"/>
        <v>Other</v>
      </c>
      <c r="O264" s="6">
        <f t="shared" ca="1" si="42"/>
        <v>2492</v>
      </c>
      <c r="P264">
        <f ca="1">Table1[[#This Row],[Hire Date]]-Table1[[#This Row],[Job Posting Date]]</f>
        <v>78</v>
      </c>
      <c r="Q264" s="7">
        <f ca="1">Table1[[#This Row],[Join Date]]-Table1[[#This Row],[Hire Date]]</f>
        <v>14</v>
      </c>
      <c r="R264" s="8">
        <f ca="1">(IF(Table1[[#This Row],[Status]]="Exited",Table1[[#This Row],[Exit Date]]-Table1[[#This Row],[Join Date]],TODAY()-Table1[[#This Row],[Join Date]]))/30</f>
        <v>21.333333333333332</v>
      </c>
      <c r="S264">
        <f ca="1">Table1[[#This Row],[Hire Date]]-Table1[[#This Row],[Job Posting Date]]</f>
        <v>78</v>
      </c>
      <c r="T264" s="7">
        <f ca="1">Table1[[#This Row],[Time to onboard]]/Table1[[#This Row],[Time to Fill]]*100</f>
        <v>17.948717948717949</v>
      </c>
      <c r="U264" s="8">
        <f ca="1">Table1[[#This Row],[Time to onboard]]/Table1[[#This Row],[Time to Fill]]*100</f>
        <v>17.948717948717949</v>
      </c>
      <c r="V264">
        <f ca="1">Table1[[#This Row],[Join Date]]-Table1[[#This Row],[Job Posting Date]]</f>
        <v>92</v>
      </c>
      <c r="W264">
        <f t="shared" ca="1" si="43"/>
        <v>102</v>
      </c>
      <c r="X264" s="8">
        <f ca="1">Table1[[#This Row],[Absentee Days]]/Table1[[#This Row],[Total Work Days]]*100</f>
        <v>1.153846153846154</v>
      </c>
      <c r="Y264">
        <f ca="1">YEAR(Table1[[#This Row],[Join Date]])</f>
        <v>2022</v>
      </c>
      <c r="Z264">
        <f ca="1">IF(Table1[[#This Row],[Status]]="Active",1,0)</f>
        <v>0</v>
      </c>
      <c r="AA264">
        <f ca="1">IF(Table1[[#This Row],[Status]]="Exited",Table1[[#This Row],[Recruitment Cost]]+Table1[[#This Row],[Onboarding cost]]+Table1[[#This Row],[Training Cost]],0)</f>
        <v>7132</v>
      </c>
    </row>
    <row r="265" spans="1:27">
      <c r="A265" t="str">
        <f t="shared" si="39"/>
        <v>E264</v>
      </c>
      <c r="B265" t="str" cm="1">
        <f t="array" aca="1" ref="B265" ca="1">INDEX(sheet2!$A$2:$A$6, RANDBETWEEN(1, 5))</f>
        <v>Finance</v>
      </c>
      <c r="C265" t="str">
        <f ca="1">_xlfn.XLOOKUP(Table1[[#This Row],[Department]],sheet2!$A$2:$A$6,sheet2!$B$2:$B$6,_xleta.NA,0)</f>
        <v>Finance Manager</v>
      </c>
      <c r="D265" s="1">
        <f t="shared" ca="1" si="36"/>
        <v>44378</v>
      </c>
      <c r="E265" s="1">
        <f ca="1">Table1[[#This Row],[Job Posting Date]]+ RANDBETWEEN(15, 90)</f>
        <v>44420</v>
      </c>
      <c r="F265" s="1">
        <f ca="1">Table1[[#This Row],[Hire Date]]+ RANDBETWEEN(1, 15)</f>
        <v>44427</v>
      </c>
      <c r="G265" s="1">
        <f ca="1">IF(RAND() &lt; 0.5,  Table1[[#This Row],[Join Date]]+ RANDBETWEEN(30, TODAY()- Table1[[#This Row],[Join Date]]), "-")</f>
        <v>44748</v>
      </c>
      <c r="H265" t="str">
        <f ca="1">IF(Table1[[#This Row],[Exit Date]]= "-", "Active", "Exited")</f>
        <v>Exited</v>
      </c>
      <c r="I265" s="5">
        <f t="shared" ca="1" si="37"/>
        <v>4293</v>
      </c>
      <c r="J265" t="str" cm="1">
        <f t="array" aca="1" ref="J265" ca="1">INDEX(sheet2!$C$2:$C$6, RANDBETWEEN(1, 5))</f>
        <v>Communication Skills</v>
      </c>
      <c r="K265" t="str">
        <f t="shared" ca="1" si="38"/>
        <v>Completed</v>
      </c>
      <c r="L265">
        <v>260</v>
      </c>
      <c r="M265">
        <f t="shared" ca="1" si="40"/>
        <v>19</v>
      </c>
      <c r="N265" t="str">
        <f t="shared" ca="1" si="41"/>
        <v>Other</v>
      </c>
      <c r="O265" s="6">
        <f t="shared" ca="1" si="42"/>
        <v>2296</v>
      </c>
      <c r="P265">
        <f ca="1">Table1[[#This Row],[Hire Date]]-Table1[[#This Row],[Job Posting Date]]</f>
        <v>42</v>
      </c>
      <c r="Q265" s="7">
        <f ca="1">Table1[[#This Row],[Join Date]]-Table1[[#This Row],[Hire Date]]</f>
        <v>7</v>
      </c>
      <c r="R265" s="8">
        <f ca="1">(IF(Table1[[#This Row],[Status]]="Exited",Table1[[#This Row],[Exit Date]]-Table1[[#This Row],[Join Date]],TODAY()-Table1[[#This Row],[Join Date]]))/30</f>
        <v>10.7</v>
      </c>
      <c r="S265">
        <f ca="1">Table1[[#This Row],[Hire Date]]-Table1[[#This Row],[Job Posting Date]]</f>
        <v>42</v>
      </c>
      <c r="T265" s="7">
        <f ca="1">Table1[[#This Row],[Time to onboard]]/Table1[[#This Row],[Time to Fill]]*100</f>
        <v>16.666666666666664</v>
      </c>
      <c r="U265" s="8">
        <f ca="1">Table1[[#This Row],[Time to onboard]]/Table1[[#This Row],[Time to Fill]]*100</f>
        <v>16.666666666666664</v>
      </c>
      <c r="V265">
        <f ca="1">Table1[[#This Row],[Join Date]]-Table1[[#This Row],[Job Posting Date]]</f>
        <v>49</v>
      </c>
      <c r="W265">
        <f t="shared" ca="1" si="43"/>
        <v>168</v>
      </c>
      <c r="X265" s="8">
        <f ca="1">Table1[[#This Row],[Absentee Days]]/Table1[[#This Row],[Total Work Days]]*100</f>
        <v>7.3076923076923084</v>
      </c>
      <c r="Y265">
        <f ca="1">YEAR(Table1[[#This Row],[Join Date]])</f>
        <v>2021</v>
      </c>
      <c r="Z265">
        <f ca="1">IF(Table1[[#This Row],[Status]]="Active",1,0)</f>
        <v>0</v>
      </c>
      <c r="AA265">
        <f ca="1">IF(Table1[[#This Row],[Status]]="Exited",Table1[[#This Row],[Recruitment Cost]]+Table1[[#This Row],[Onboarding cost]]+Table1[[#This Row],[Training Cost]],0)</f>
        <v>6757</v>
      </c>
    </row>
    <row r="266" spans="1:27">
      <c r="A266" t="str">
        <f t="shared" si="39"/>
        <v>E265</v>
      </c>
      <c r="B266" t="str" cm="1">
        <f t="array" aca="1" ref="B266" ca="1">INDEX(sheet2!$A$2:$A$6, RANDBETWEEN(1, 5))</f>
        <v>Finance</v>
      </c>
      <c r="C266" t="str">
        <f ca="1">_xlfn.XLOOKUP(Table1[[#This Row],[Department]],sheet2!$A$2:$A$6,sheet2!$B$2:$B$6,_xleta.NA,0)</f>
        <v>Finance Manager</v>
      </c>
      <c r="D266" s="1">
        <f t="shared" ca="1" si="36"/>
        <v>44589</v>
      </c>
      <c r="E266" s="1">
        <f ca="1">Table1[[#This Row],[Job Posting Date]]+ RANDBETWEEN(15, 90)</f>
        <v>44616</v>
      </c>
      <c r="F266" s="1">
        <f ca="1">Table1[[#This Row],[Hire Date]]+ RANDBETWEEN(1, 15)</f>
        <v>44625</v>
      </c>
      <c r="G266" s="1" t="str">
        <f ca="1">IF(RAND() &lt; 0.5,  Table1[[#This Row],[Join Date]]+ RANDBETWEEN(30, TODAY()- Table1[[#This Row],[Join Date]]), "-")</f>
        <v>-</v>
      </c>
      <c r="H266" t="str">
        <f ca="1">IF(Table1[[#This Row],[Exit Date]]= "-", "Active", "Exited")</f>
        <v>Active</v>
      </c>
      <c r="I266" s="5">
        <f t="shared" ca="1" si="37"/>
        <v>2495</v>
      </c>
      <c r="J266" t="str" cm="1">
        <f t="array" aca="1" ref="J266" ca="1">INDEX(sheet2!$C$2:$C$6, RANDBETWEEN(1, 5))</f>
        <v>Communication Skills</v>
      </c>
      <c r="K266" t="str">
        <f t="shared" ca="1" si="38"/>
        <v>Completed</v>
      </c>
      <c r="L266">
        <v>260</v>
      </c>
      <c r="M266">
        <f t="shared" ca="1" si="40"/>
        <v>12</v>
      </c>
      <c r="N266" t="str">
        <f t="shared" ca="1" si="41"/>
        <v>Other</v>
      </c>
      <c r="O266" s="6">
        <f t="shared" ca="1" si="42"/>
        <v>1742</v>
      </c>
      <c r="P266">
        <f ca="1">Table1[[#This Row],[Hire Date]]-Table1[[#This Row],[Job Posting Date]]</f>
        <v>27</v>
      </c>
      <c r="Q266" s="7">
        <f ca="1">Table1[[#This Row],[Join Date]]-Table1[[#This Row],[Hire Date]]</f>
        <v>9</v>
      </c>
      <c r="R266" s="8">
        <f ca="1">(IF(Table1[[#This Row],[Status]]="Exited",Table1[[#This Row],[Exit Date]]-Table1[[#This Row],[Join Date]],TODAY()-Table1[[#This Row],[Join Date]]))/30</f>
        <v>34.6</v>
      </c>
      <c r="S266">
        <f ca="1">Table1[[#This Row],[Hire Date]]-Table1[[#This Row],[Job Posting Date]]</f>
        <v>27</v>
      </c>
      <c r="T266" s="7">
        <f ca="1">Table1[[#This Row],[Time to onboard]]/Table1[[#This Row],[Time to Fill]]*100</f>
        <v>33.333333333333329</v>
      </c>
      <c r="U266" s="8">
        <f ca="1">Table1[[#This Row],[Time to onboard]]/Table1[[#This Row],[Time to Fill]]*100</f>
        <v>33.333333333333329</v>
      </c>
      <c r="V266">
        <f ca="1">Table1[[#This Row],[Join Date]]-Table1[[#This Row],[Job Posting Date]]</f>
        <v>36</v>
      </c>
      <c r="W266">
        <f t="shared" ca="1" si="43"/>
        <v>184</v>
      </c>
      <c r="X266" s="8">
        <f ca="1">Table1[[#This Row],[Absentee Days]]/Table1[[#This Row],[Total Work Days]]*100</f>
        <v>4.6153846153846159</v>
      </c>
      <c r="Y266">
        <f ca="1">YEAR(Table1[[#This Row],[Join Date]])</f>
        <v>2022</v>
      </c>
      <c r="Z266">
        <f ca="1">IF(Table1[[#This Row],[Status]]="Active",1,0)</f>
        <v>1</v>
      </c>
      <c r="AA266">
        <f ca="1">IF(Table1[[#This Row],[Status]]="Exited",Table1[[#This Row],[Recruitment Cost]]+Table1[[#This Row],[Onboarding cost]]+Table1[[#This Row],[Training Cost]],0)</f>
        <v>0</v>
      </c>
    </row>
    <row r="267" spans="1:27">
      <c r="A267" t="str">
        <f t="shared" si="39"/>
        <v>E266</v>
      </c>
      <c r="B267" t="str" cm="1">
        <f t="array" aca="1" ref="B267" ca="1">INDEX(sheet2!$A$2:$A$6, RANDBETWEEN(1, 5))</f>
        <v>Sales</v>
      </c>
      <c r="C267" t="str">
        <f ca="1">_xlfn.XLOOKUP(Table1[[#This Row],[Department]],sheet2!$A$2:$A$6,sheet2!$B$2:$B$6,_xleta.NA,0)</f>
        <v>Marketing Manager</v>
      </c>
      <c r="D267" s="1">
        <f t="shared" ca="1" si="36"/>
        <v>44485</v>
      </c>
      <c r="E267" s="1">
        <f ca="1">Table1[[#This Row],[Job Posting Date]]+ RANDBETWEEN(15, 90)</f>
        <v>44509</v>
      </c>
      <c r="F267" s="1">
        <f ca="1">Table1[[#This Row],[Hire Date]]+ RANDBETWEEN(1, 15)</f>
        <v>44524</v>
      </c>
      <c r="G267" s="1" t="str">
        <f ca="1">IF(RAND() &lt; 0.5,  Table1[[#This Row],[Join Date]]+ RANDBETWEEN(30, TODAY()- Table1[[#This Row],[Join Date]]), "-")</f>
        <v>-</v>
      </c>
      <c r="H267" t="str">
        <f ca="1">IF(Table1[[#This Row],[Exit Date]]= "-", "Active", "Exited")</f>
        <v>Active</v>
      </c>
      <c r="I267" s="5">
        <f t="shared" ca="1" si="37"/>
        <v>3800</v>
      </c>
      <c r="J267" t="str" cm="1">
        <f t="array" aca="1" ref="J267" ca="1">INDEX(sheet2!$C$2:$C$6, RANDBETWEEN(1, 5))</f>
        <v>Ethics and Responsibilities</v>
      </c>
      <c r="K267" t="str">
        <f t="shared" ca="1" si="38"/>
        <v>Not Completed</v>
      </c>
      <c r="L267">
        <v>260</v>
      </c>
      <c r="M267">
        <f t="shared" ca="1" si="40"/>
        <v>19</v>
      </c>
      <c r="N267" t="str">
        <f t="shared" ca="1" si="41"/>
        <v>Other</v>
      </c>
      <c r="O267" s="6">
        <f t="shared" ca="1" si="42"/>
        <v>1511</v>
      </c>
      <c r="P267">
        <f ca="1">Table1[[#This Row],[Hire Date]]-Table1[[#This Row],[Job Posting Date]]</f>
        <v>24</v>
      </c>
      <c r="Q267" s="7">
        <f ca="1">Table1[[#This Row],[Join Date]]-Table1[[#This Row],[Hire Date]]</f>
        <v>15</v>
      </c>
      <c r="R267" s="8">
        <f ca="1">(IF(Table1[[#This Row],[Status]]="Exited",Table1[[#This Row],[Exit Date]]-Table1[[#This Row],[Join Date]],TODAY()-Table1[[#This Row],[Join Date]]))/30</f>
        <v>37.966666666666669</v>
      </c>
      <c r="S267">
        <f ca="1">Table1[[#This Row],[Hire Date]]-Table1[[#This Row],[Job Posting Date]]</f>
        <v>24</v>
      </c>
      <c r="T267" s="7">
        <f ca="1">Table1[[#This Row],[Time to onboard]]/Table1[[#This Row],[Time to Fill]]*100</f>
        <v>62.5</v>
      </c>
      <c r="U267" s="8">
        <f ca="1">Table1[[#This Row],[Time to onboard]]/Table1[[#This Row],[Time to Fill]]*100</f>
        <v>62.5</v>
      </c>
      <c r="V267">
        <f ca="1">Table1[[#This Row],[Join Date]]-Table1[[#This Row],[Job Posting Date]]</f>
        <v>39</v>
      </c>
      <c r="W267">
        <f t="shared" ca="1" si="43"/>
        <v>118</v>
      </c>
      <c r="X267" s="8">
        <f ca="1">Table1[[#This Row],[Absentee Days]]/Table1[[#This Row],[Total Work Days]]*100</f>
        <v>7.3076923076923084</v>
      </c>
      <c r="Y267">
        <f ca="1">YEAR(Table1[[#This Row],[Join Date]])</f>
        <v>2021</v>
      </c>
      <c r="Z267">
        <f ca="1">IF(Table1[[#This Row],[Status]]="Active",1,0)</f>
        <v>1</v>
      </c>
      <c r="AA267">
        <f ca="1">IF(Table1[[#This Row],[Status]]="Exited",Table1[[#This Row],[Recruitment Cost]]+Table1[[#This Row],[Onboarding cost]]+Table1[[#This Row],[Training Cost]],0)</f>
        <v>0</v>
      </c>
    </row>
    <row r="268" spans="1:27">
      <c r="A268" t="str">
        <f t="shared" si="39"/>
        <v>E267</v>
      </c>
      <c r="B268" t="str" cm="1">
        <f t="array" aca="1" ref="B268" ca="1">INDEX(sheet2!$A$2:$A$6, RANDBETWEEN(1, 5))</f>
        <v>Analytics</v>
      </c>
      <c r="C268" t="str">
        <f ca="1">_xlfn.XLOOKUP(Table1[[#This Row],[Department]],sheet2!$A$2:$A$6,sheet2!$B$2:$B$6,_xleta.NA,0)</f>
        <v>Data Analyst</v>
      </c>
      <c r="D268" s="1">
        <f t="shared" ca="1" si="36"/>
        <v>44036</v>
      </c>
      <c r="E268" s="1">
        <f ca="1">Table1[[#This Row],[Job Posting Date]]+ RANDBETWEEN(15, 90)</f>
        <v>44078</v>
      </c>
      <c r="F268" s="1">
        <f ca="1">Table1[[#This Row],[Hire Date]]+ RANDBETWEEN(1, 15)</f>
        <v>44085</v>
      </c>
      <c r="G268" s="1" t="str">
        <f ca="1">IF(RAND() &lt; 0.5,  Table1[[#This Row],[Join Date]]+ RANDBETWEEN(30, TODAY()- Table1[[#This Row],[Join Date]]), "-")</f>
        <v>-</v>
      </c>
      <c r="H268" t="str">
        <f ca="1">IF(Table1[[#This Row],[Exit Date]]= "-", "Active", "Exited")</f>
        <v>Active</v>
      </c>
      <c r="I268" s="5">
        <f t="shared" ca="1" si="37"/>
        <v>4601</v>
      </c>
      <c r="J268" t="str" cm="1">
        <f t="array" aca="1" ref="J268" ca="1">INDEX(sheet2!$C$2:$C$6, RANDBETWEEN(1, 5))</f>
        <v>Communication Skills</v>
      </c>
      <c r="K268" t="str">
        <f t="shared" ca="1" si="38"/>
        <v>Not Completed</v>
      </c>
      <c r="L268">
        <v>260</v>
      </c>
      <c r="M268">
        <f t="shared" ca="1" si="40"/>
        <v>16</v>
      </c>
      <c r="N268" t="str">
        <f t="shared" ca="1" si="41"/>
        <v>Male</v>
      </c>
      <c r="O268" s="6">
        <f t="shared" ca="1" si="42"/>
        <v>1358</v>
      </c>
      <c r="P268">
        <f ca="1">Table1[[#This Row],[Hire Date]]-Table1[[#This Row],[Job Posting Date]]</f>
        <v>42</v>
      </c>
      <c r="Q268" s="7">
        <f ca="1">Table1[[#This Row],[Join Date]]-Table1[[#This Row],[Hire Date]]</f>
        <v>7</v>
      </c>
      <c r="R268" s="8">
        <f ca="1">(IF(Table1[[#This Row],[Status]]="Exited",Table1[[#This Row],[Exit Date]]-Table1[[#This Row],[Join Date]],TODAY()-Table1[[#This Row],[Join Date]]))/30</f>
        <v>52.6</v>
      </c>
      <c r="S268">
        <f ca="1">Table1[[#This Row],[Hire Date]]-Table1[[#This Row],[Job Posting Date]]</f>
        <v>42</v>
      </c>
      <c r="T268" s="7">
        <f ca="1">Table1[[#This Row],[Time to onboard]]/Table1[[#This Row],[Time to Fill]]*100</f>
        <v>16.666666666666664</v>
      </c>
      <c r="U268" s="8">
        <f ca="1">Table1[[#This Row],[Time to onboard]]/Table1[[#This Row],[Time to Fill]]*100</f>
        <v>16.666666666666664</v>
      </c>
      <c r="V268">
        <f ca="1">Table1[[#This Row],[Join Date]]-Table1[[#This Row],[Job Posting Date]]</f>
        <v>49</v>
      </c>
      <c r="W268">
        <f t="shared" ca="1" si="43"/>
        <v>145</v>
      </c>
      <c r="X268" s="8">
        <f ca="1">Table1[[#This Row],[Absentee Days]]/Table1[[#This Row],[Total Work Days]]*100</f>
        <v>6.1538461538461542</v>
      </c>
      <c r="Y268">
        <f ca="1">YEAR(Table1[[#This Row],[Join Date]])</f>
        <v>2020</v>
      </c>
      <c r="Z268">
        <f ca="1">IF(Table1[[#This Row],[Status]]="Active",1,0)</f>
        <v>1</v>
      </c>
      <c r="AA268">
        <f ca="1">IF(Table1[[#This Row],[Status]]="Exited",Table1[[#This Row],[Recruitment Cost]]+Table1[[#This Row],[Onboarding cost]]+Table1[[#This Row],[Training Cost]],0)</f>
        <v>0</v>
      </c>
    </row>
    <row r="269" spans="1:27">
      <c r="A269" t="str">
        <f t="shared" si="39"/>
        <v>E268</v>
      </c>
      <c r="B269" t="str" cm="1">
        <f t="array" aca="1" ref="B269" ca="1">INDEX(sheet2!$A$2:$A$6, RANDBETWEEN(1, 5))</f>
        <v>Analytics</v>
      </c>
      <c r="C269" t="str">
        <f ca="1">_xlfn.XLOOKUP(Table1[[#This Row],[Department]],sheet2!$A$2:$A$6,sheet2!$B$2:$B$6,_xleta.NA,0)</f>
        <v>Data Analyst</v>
      </c>
      <c r="D269" s="1">
        <f t="shared" ca="1" si="36"/>
        <v>44084</v>
      </c>
      <c r="E269" s="1">
        <f ca="1">Table1[[#This Row],[Job Posting Date]]+ RANDBETWEEN(15, 90)</f>
        <v>44168</v>
      </c>
      <c r="F269" s="1">
        <f ca="1">Table1[[#This Row],[Hire Date]]+ RANDBETWEEN(1, 15)</f>
        <v>44174</v>
      </c>
      <c r="G269" s="1">
        <f ca="1">IF(RAND() &lt; 0.5,  Table1[[#This Row],[Join Date]]+ RANDBETWEEN(30, TODAY()- Table1[[#This Row],[Join Date]]), "-")</f>
        <v>44468</v>
      </c>
      <c r="H269" t="str">
        <f ca="1">IF(Table1[[#This Row],[Exit Date]]= "-", "Active", "Exited")</f>
        <v>Exited</v>
      </c>
      <c r="I269" s="5">
        <f t="shared" ca="1" si="37"/>
        <v>4033</v>
      </c>
      <c r="J269" t="str" cm="1">
        <f t="array" aca="1" ref="J269" ca="1">INDEX(sheet2!$C$2:$C$6, RANDBETWEEN(1, 5))</f>
        <v>Advanced Excel Skills </v>
      </c>
      <c r="K269" t="str">
        <f t="shared" ca="1" si="38"/>
        <v>Completed</v>
      </c>
      <c r="L269">
        <v>260</v>
      </c>
      <c r="M269">
        <f t="shared" ca="1" si="40"/>
        <v>15</v>
      </c>
      <c r="N269" t="str">
        <f t="shared" ca="1" si="41"/>
        <v>Male</v>
      </c>
      <c r="O269" s="6">
        <f t="shared" ca="1" si="42"/>
        <v>2160</v>
      </c>
      <c r="P269">
        <f ca="1">Table1[[#This Row],[Hire Date]]-Table1[[#This Row],[Job Posting Date]]</f>
        <v>84</v>
      </c>
      <c r="Q269" s="7">
        <f ca="1">Table1[[#This Row],[Join Date]]-Table1[[#This Row],[Hire Date]]</f>
        <v>6</v>
      </c>
      <c r="R269" s="8">
        <f ca="1">(IF(Table1[[#This Row],[Status]]="Exited",Table1[[#This Row],[Exit Date]]-Table1[[#This Row],[Join Date]],TODAY()-Table1[[#This Row],[Join Date]]))/30</f>
        <v>9.8000000000000007</v>
      </c>
      <c r="S269">
        <f ca="1">Table1[[#This Row],[Hire Date]]-Table1[[#This Row],[Job Posting Date]]</f>
        <v>84</v>
      </c>
      <c r="T269" s="7">
        <f ca="1">Table1[[#This Row],[Time to onboard]]/Table1[[#This Row],[Time to Fill]]*100</f>
        <v>7.1428571428571423</v>
      </c>
      <c r="U269" s="8">
        <f ca="1">Table1[[#This Row],[Time to onboard]]/Table1[[#This Row],[Time to Fill]]*100</f>
        <v>7.1428571428571423</v>
      </c>
      <c r="V269">
        <f ca="1">Table1[[#This Row],[Join Date]]-Table1[[#This Row],[Job Posting Date]]</f>
        <v>90</v>
      </c>
      <c r="W269">
        <f t="shared" ca="1" si="43"/>
        <v>105</v>
      </c>
      <c r="X269" s="8">
        <f ca="1">Table1[[#This Row],[Absentee Days]]/Table1[[#This Row],[Total Work Days]]*100</f>
        <v>5.7692307692307692</v>
      </c>
      <c r="Y269">
        <f ca="1">YEAR(Table1[[#This Row],[Join Date]])</f>
        <v>2020</v>
      </c>
      <c r="Z269">
        <f ca="1">IF(Table1[[#This Row],[Status]]="Active",1,0)</f>
        <v>0</v>
      </c>
      <c r="AA269">
        <f ca="1">IF(Table1[[#This Row],[Status]]="Exited",Table1[[#This Row],[Recruitment Cost]]+Table1[[#This Row],[Onboarding cost]]+Table1[[#This Row],[Training Cost]],0)</f>
        <v>6298</v>
      </c>
    </row>
    <row r="270" spans="1:27">
      <c r="A270" t="str">
        <f t="shared" si="39"/>
        <v>E269</v>
      </c>
      <c r="B270" t="str" cm="1">
        <f t="array" aca="1" ref="B270" ca="1">INDEX(sheet2!$A$2:$A$6, RANDBETWEEN(1, 5))</f>
        <v>Sales</v>
      </c>
      <c r="C270" t="str">
        <f ca="1">_xlfn.XLOOKUP(Table1[[#This Row],[Department]],sheet2!$A$2:$A$6,sheet2!$B$2:$B$6,_xleta.NA,0)</f>
        <v>Marketing Manager</v>
      </c>
      <c r="D270" s="1">
        <f t="shared" ca="1" si="36"/>
        <v>43267</v>
      </c>
      <c r="E270" s="1">
        <f ca="1">Table1[[#This Row],[Job Posting Date]]+ RANDBETWEEN(15, 90)</f>
        <v>43352</v>
      </c>
      <c r="F270" s="1">
        <f ca="1">Table1[[#This Row],[Hire Date]]+ RANDBETWEEN(1, 15)</f>
        <v>43354</v>
      </c>
      <c r="G270" s="1" t="str">
        <f ca="1">IF(RAND() &lt; 0.5,  Table1[[#This Row],[Join Date]]+ RANDBETWEEN(30, TODAY()- Table1[[#This Row],[Join Date]]), "-")</f>
        <v>-</v>
      </c>
      <c r="H270" t="str">
        <f ca="1">IF(Table1[[#This Row],[Exit Date]]= "-", "Active", "Exited")</f>
        <v>Active</v>
      </c>
      <c r="I270" s="5">
        <f t="shared" ca="1" si="37"/>
        <v>1650</v>
      </c>
      <c r="J270" t="str" cm="1">
        <f t="array" aca="1" ref="J270" ca="1">INDEX(sheet2!$C$2:$C$6, RANDBETWEEN(1, 5))</f>
        <v>Communication Skills</v>
      </c>
      <c r="K270" t="str">
        <f t="shared" ca="1" si="38"/>
        <v>Completed</v>
      </c>
      <c r="L270">
        <v>260</v>
      </c>
      <c r="M270">
        <f t="shared" ca="1" si="40"/>
        <v>16</v>
      </c>
      <c r="N270" t="str">
        <f t="shared" ca="1" si="41"/>
        <v>Other</v>
      </c>
      <c r="O270" s="6">
        <f t="shared" ca="1" si="42"/>
        <v>2394</v>
      </c>
      <c r="P270">
        <f ca="1">Table1[[#This Row],[Hire Date]]-Table1[[#This Row],[Job Posting Date]]</f>
        <v>85</v>
      </c>
      <c r="Q270" s="7">
        <f ca="1">Table1[[#This Row],[Join Date]]-Table1[[#This Row],[Hire Date]]</f>
        <v>2</v>
      </c>
      <c r="R270" s="8">
        <f ca="1">(IF(Table1[[#This Row],[Status]]="Exited",Table1[[#This Row],[Exit Date]]-Table1[[#This Row],[Join Date]],TODAY()-Table1[[#This Row],[Join Date]]))/30</f>
        <v>76.966666666666669</v>
      </c>
      <c r="S270">
        <f ca="1">Table1[[#This Row],[Hire Date]]-Table1[[#This Row],[Job Posting Date]]</f>
        <v>85</v>
      </c>
      <c r="T270" s="7">
        <f ca="1">Table1[[#This Row],[Time to onboard]]/Table1[[#This Row],[Time to Fill]]*100</f>
        <v>2.3529411764705883</v>
      </c>
      <c r="U270" s="8">
        <f ca="1">Table1[[#This Row],[Time to onboard]]/Table1[[#This Row],[Time to Fill]]*100</f>
        <v>2.3529411764705883</v>
      </c>
      <c r="V270">
        <f ca="1">Table1[[#This Row],[Join Date]]-Table1[[#This Row],[Job Posting Date]]</f>
        <v>87</v>
      </c>
      <c r="W270">
        <f t="shared" ca="1" si="43"/>
        <v>177</v>
      </c>
      <c r="X270" s="8">
        <f ca="1">Table1[[#This Row],[Absentee Days]]/Table1[[#This Row],[Total Work Days]]*100</f>
        <v>6.1538461538461542</v>
      </c>
      <c r="Y270">
        <f ca="1">YEAR(Table1[[#This Row],[Join Date]])</f>
        <v>2018</v>
      </c>
      <c r="Z270">
        <f ca="1">IF(Table1[[#This Row],[Status]]="Active",1,0)</f>
        <v>1</v>
      </c>
      <c r="AA270">
        <f ca="1">IF(Table1[[#This Row],[Status]]="Exited",Table1[[#This Row],[Recruitment Cost]]+Table1[[#This Row],[Onboarding cost]]+Table1[[#This Row],[Training Cost]],0)</f>
        <v>0</v>
      </c>
    </row>
    <row r="271" spans="1:27">
      <c r="A271" t="str">
        <f t="shared" si="39"/>
        <v>E270</v>
      </c>
      <c r="B271" t="str" cm="1">
        <f t="array" aca="1" ref="B271" ca="1">INDEX(sheet2!$A$2:$A$6, RANDBETWEEN(1, 5))</f>
        <v>HR</v>
      </c>
      <c r="C271" t="str">
        <f ca="1">_xlfn.XLOOKUP(Table1[[#This Row],[Department]],sheet2!$A$2:$A$6,sheet2!$B$2:$B$6,_xleta.NA,0)</f>
        <v>HR Manager</v>
      </c>
      <c r="D271" s="1">
        <f t="shared" ca="1" si="36"/>
        <v>44144</v>
      </c>
      <c r="E271" s="1">
        <f ca="1">Table1[[#This Row],[Job Posting Date]]+ RANDBETWEEN(15, 90)</f>
        <v>44224</v>
      </c>
      <c r="F271" s="1">
        <f ca="1">Table1[[#This Row],[Hire Date]]+ RANDBETWEEN(1, 15)</f>
        <v>44232</v>
      </c>
      <c r="G271" s="1" t="str">
        <f ca="1">IF(RAND() &lt; 0.5,  Table1[[#This Row],[Join Date]]+ RANDBETWEEN(30, TODAY()- Table1[[#This Row],[Join Date]]), "-")</f>
        <v>-</v>
      </c>
      <c r="H271" t="str">
        <f ca="1">IF(Table1[[#This Row],[Exit Date]]= "-", "Active", "Exited")</f>
        <v>Active</v>
      </c>
      <c r="I271" s="5">
        <f t="shared" ca="1" si="37"/>
        <v>4058</v>
      </c>
      <c r="J271" t="str" cm="1">
        <f t="array" aca="1" ref="J271" ca="1">INDEX(sheet2!$C$2:$C$6, RANDBETWEEN(1, 5))</f>
        <v>Conflict Resolution</v>
      </c>
      <c r="K271" t="str">
        <f t="shared" ca="1" si="38"/>
        <v>Completed</v>
      </c>
      <c r="L271">
        <v>260</v>
      </c>
      <c r="M271">
        <f t="shared" ca="1" si="40"/>
        <v>0</v>
      </c>
      <c r="N271" t="str">
        <f t="shared" ca="1" si="41"/>
        <v>Other</v>
      </c>
      <c r="O271" s="6">
        <f t="shared" ca="1" si="42"/>
        <v>1892</v>
      </c>
      <c r="P271">
        <f ca="1">Table1[[#This Row],[Hire Date]]-Table1[[#This Row],[Job Posting Date]]</f>
        <v>80</v>
      </c>
      <c r="Q271" s="7">
        <f ca="1">Table1[[#This Row],[Join Date]]-Table1[[#This Row],[Hire Date]]</f>
        <v>8</v>
      </c>
      <c r="R271" s="8">
        <f ca="1">(IF(Table1[[#This Row],[Status]]="Exited",Table1[[#This Row],[Exit Date]]-Table1[[#This Row],[Join Date]],TODAY()-Table1[[#This Row],[Join Date]]))/30</f>
        <v>47.7</v>
      </c>
      <c r="S271">
        <f ca="1">Table1[[#This Row],[Hire Date]]-Table1[[#This Row],[Job Posting Date]]</f>
        <v>80</v>
      </c>
      <c r="T271" s="7">
        <f ca="1">Table1[[#This Row],[Time to onboard]]/Table1[[#This Row],[Time to Fill]]*100</f>
        <v>10</v>
      </c>
      <c r="U271" s="8">
        <f ca="1">Table1[[#This Row],[Time to onboard]]/Table1[[#This Row],[Time to Fill]]*100</f>
        <v>10</v>
      </c>
      <c r="V271">
        <f ca="1">Table1[[#This Row],[Join Date]]-Table1[[#This Row],[Job Posting Date]]</f>
        <v>88</v>
      </c>
      <c r="W271">
        <f t="shared" ca="1" si="43"/>
        <v>138</v>
      </c>
      <c r="X271" s="8">
        <f ca="1">Table1[[#This Row],[Absentee Days]]/Table1[[#This Row],[Total Work Days]]*100</f>
        <v>0</v>
      </c>
      <c r="Y271">
        <f ca="1">YEAR(Table1[[#This Row],[Join Date]])</f>
        <v>2021</v>
      </c>
      <c r="Z271">
        <f ca="1">IF(Table1[[#This Row],[Status]]="Active",1,0)</f>
        <v>1</v>
      </c>
      <c r="AA271">
        <f ca="1">IF(Table1[[#This Row],[Status]]="Exited",Table1[[#This Row],[Recruitment Cost]]+Table1[[#This Row],[Onboarding cost]]+Table1[[#This Row],[Training Cost]],0)</f>
        <v>0</v>
      </c>
    </row>
    <row r="272" spans="1:27">
      <c r="A272" t="str">
        <f t="shared" si="39"/>
        <v>E271</v>
      </c>
      <c r="B272" t="str" cm="1">
        <f t="array" aca="1" ref="B272" ca="1">INDEX(sheet2!$A$2:$A$6, RANDBETWEEN(1, 5))</f>
        <v>HR</v>
      </c>
      <c r="C272" t="str">
        <f ca="1">_xlfn.XLOOKUP(Table1[[#This Row],[Department]],sheet2!$A$2:$A$6,sheet2!$B$2:$B$6,_xleta.NA,0)</f>
        <v>HR Manager</v>
      </c>
      <c r="D272" s="1">
        <f t="shared" ca="1" si="36"/>
        <v>43153</v>
      </c>
      <c r="E272" s="1">
        <f ca="1">Table1[[#This Row],[Job Posting Date]]+ RANDBETWEEN(15, 90)</f>
        <v>43216</v>
      </c>
      <c r="F272" s="1">
        <f ca="1">Table1[[#This Row],[Hire Date]]+ RANDBETWEEN(1, 15)</f>
        <v>43220</v>
      </c>
      <c r="G272" s="1">
        <f ca="1">IF(RAND() &lt; 0.5,  Table1[[#This Row],[Join Date]]+ RANDBETWEEN(30, TODAY()- Table1[[#This Row],[Join Date]]), "-")</f>
        <v>43957</v>
      </c>
      <c r="H272" t="str">
        <f ca="1">IF(Table1[[#This Row],[Exit Date]]= "-", "Active", "Exited")</f>
        <v>Exited</v>
      </c>
      <c r="I272" s="5">
        <f t="shared" ca="1" si="37"/>
        <v>1909</v>
      </c>
      <c r="J272" t="str" cm="1">
        <f t="array" aca="1" ref="J272" ca="1">INDEX(sheet2!$C$2:$C$6, RANDBETWEEN(1, 5))</f>
        <v>Advanced Excel Skills </v>
      </c>
      <c r="K272" t="str">
        <f t="shared" ca="1" si="38"/>
        <v>Completed</v>
      </c>
      <c r="L272">
        <v>260</v>
      </c>
      <c r="M272">
        <f t="shared" ca="1" si="40"/>
        <v>14</v>
      </c>
      <c r="N272" t="str">
        <f t="shared" ca="1" si="41"/>
        <v>Female</v>
      </c>
      <c r="O272" s="6">
        <f t="shared" ca="1" si="42"/>
        <v>1316</v>
      </c>
      <c r="P272">
        <f ca="1">Table1[[#This Row],[Hire Date]]-Table1[[#This Row],[Job Posting Date]]</f>
        <v>63</v>
      </c>
      <c r="Q272" s="7">
        <f ca="1">Table1[[#This Row],[Join Date]]-Table1[[#This Row],[Hire Date]]</f>
        <v>4</v>
      </c>
      <c r="R272" s="8">
        <f ca="1">(IF(Table1[[#This Row],[Status]]="Exited",Table1[[#This Row],[Exit Date]]-Table1[[#This Row],[Join Date]],TODAY()-Table1[[#This Row],[Join Date]]))/30</f>
        <v>24.566666666666666</v>
      </c>
      <c r="S272">
        <f ca="1">Table1[[#This Row],[Hire Date]]-Table1[[#This Row],[Job Posting Date]]</f>
        <v>63</v>
      </c>
      <c r="T272" s="7">
        <f ca="1">Table1[[#This Row],[Time to onboard]]/Table1[[#This Row],[Time to Fill]]*100</f>
        <v>6.3492063492063489</v>
      </c>
      <c r="U272" s="8">
        <f ca="1">Table1[[#This Row],[Time to onboard]]/Table1[[#This Row],[Time to Fill]]*100</f>
        <v>6.3492063492063489</v>
      </c>
      <c r="V272">
        <f ca="1">Table1[[#This Row],[Join Date]]-Table1[[#This Row],[Job Posting Date]]</f>
        <v>67</v>
      </c>
      <c r="W272">
        <f t="shared" ca="1" si="43"/>
        <v>110</v>
      </c>
      <c r="X272" s="8">
        <f ca="1">Table1[[#This Row],[Absentee Days]]/Table1[[#This Row],[Total Work Days]]*100</f>
        <v>5.384615384615385</v>
      </c>
      <c r="Y272">
        <f ca="1">YEAR(Table1[[#This Row],[Join Date]])</f>
        <v>2018</v>
      </c>
      <c r="Z272">
        <f ca="1">IF(Table1[[#This Row],[Status]]="Active",1,0)</f>
        <v>0</v>
      </c>
      <c r="AA272">
        <f ca="1">IF(Table1[[#This Row],[Status]]="Exited",Table1[[#This Row],[Recruitment Cost]]+Table1[[#This Row],[Onboarding cost]]+Table1[[#This Row],[Training Cost]],0)</f>
        <v>3335</v>
      </c>
    </row>
    <row r="273" spans="1:27">
      <c r="A273" t="str">
        <f t="shared" si="39"/>
        <v>E272</v>
      </c>
      <c r="B273" t="str" cm="1">
        <f t="array" aca="1" ref="B273" ca="1">INDEX(sheet2!$A$2:$A$6, RANDBETWEEN(1, 5))</f>
        <v>Sales</v>
      </c>
      <c r="C273" t="str">
        <f ca="1">_xlfn.XLOOKUP(Table1[[#This Row],[Department]],sheet2!$A$2:$A$6,sheet2!$B$2:$B$6,_xleta.NA,0)</f>
        <v>Marketing Manager</v>
      </c>
      <c r="D273" s="1">
        <f t="shared" ca="1" si="36"/>
        <v>43351</v>
      </c>
      <c r="E273" s="1">
        <f ca="1">Table1[[#This Row],[Job Posting Date]]+ RANDBETWEEN(15, 90)</f>
        <v>43423</v>
      </c>
      <c r="F273" s="1">
        <f ca="1">Table1[[#This Row],[Hire Date]]+ RANDBETWEEN(1, 15)</f>
        <v>43424</v>
      </c>
      <c r="G273" s="1">
        <f ca="1">IF(RAND() &lt; 0.5,  Table1[[#This Row],[Join Date]]+ RANDBETWEEN(30, TODAY()- Table1[[#This Row],[Join Date]]), "-")</f>
        <v>45167</v>
      </c>
      <c r="H273" t="str">
        <f ca="1">IF(Table1[[#This Row],[Exit Date]]= "-", "Active", "Exited")</f>
        <v>Exited</v>
      </c>
      <c r="I273" s="5">
        <f t="shared" ca="1" si="37"/>
        <v>1757</v>
      </c>
      <c r="J273" t="str" cm="1">
        <f t="array" aca="1" ref="J273" ca="1">INDEX(sheet2!$C$2:$C$6, RANDBETWEEN(1, 5))</f>
        <v>Advanced Excel Skills </v>
      </c>
      <c r="K273" t="str">
        <f t="shared" ca="1" si="38"/>
        <v>Completed</v>
      </c>
      <c r="L273">
        <v>260</v>
      </c>
      <c r="M273">
        <f t="shared" ca="1" si="40"/>
        <v>0</v>
      </c>
      <c r="N273" t="str">
        <f t="shared" ca="1" si="41"/>
        <v>Male</v>
      </c>
      <c r="O273" s="6">
        <f t="shared" ca="1" si="42"/>
        <v>2144</v>
      </c>
      <c r="P273">
        <f ca="1">Table1[[#This Row],[Hire Date]]-Table1[[#This Row],[Job Posting Date]]</f>
        <v>72</v>
      </c>
      <c r="Q273" s="7">
        <f ca="1">Table1[[#This Row],[Join Date]]-Table1[[#This Row],[Hire Date]]</f>
        <v>1</v>
      </c>
      <c r="R273" s="8">
        <f ca="1">(IF(Table1[[#This Row],[Status]]="Exited",Table1[[#This Row],[Exit Date]]-Table1[[#This Row],[Join Date]],TODAY()-Table1[[#This Row],[Join Date]]))/30</f>
        <v>58.1</v>
      </c>
      <c r="S273">
        <f ca="1">Table1[[#This Row],[Hire Date]]-Table1[[#This Row],[Job Posting Date]]</f>
        <v>72</v>
      </c>
      <c r="T273" s="7">
        <f ca="1">Table1[[#This Row],[Time to onboard]]/Table1[[#This Row],[Time to Fill]]*100</f>
        <v>1.3888888888888888</v>
      </c>
      <c r="U273" s="8">
        <f ca="1">Table1[[#This Row],[Time to onboard]]/Table1[[#This Row],[Time to Fill]]*100</f>
        <v>1.3888888888888888</v>
      </c>
      <c r="V273">
        <f ca="1">Table1[[#This Row],[Join Date]]-Table1[[#This Row],[Job Posting Date]]</f>
        <v>73</v>
      </c>
      <c r="W273">
        <f t="shared" ca="1" si="43"/>
        <v>116</v>
      </c>
      <c r="X273" s="8">
        <f ca="1">Table1[[#This Row],[Absentee Days]]/Table1[[#This Row],[Total Work Days]]*100</f>
        <v>0</v>
      </c>
      <c r="Y273">
        <f ca="1">YEAR(Table1[[#This Row],[Join Date]])</f>
        <v>2018</v>
      </c>
      <c r="Z273">
        <f ca="1">IF(Table1[[#This Row],[Status]]="Active",1,0)</f>
        <v>0</v>
      </c>
      <c r="AA273">
        <f ca="1">IF(Table1[[#This Row],[Status]]="Exited",Table1[[#This Row],[Recruitment Cost]]+Table1[[#This Row],[Onboarding cost]]+Table1[[#This Row],[Training Cost]],0)</f>
        <v>4017</v>
      </c>
    </row>
    <row r="274" spans="1:27">
      <c r="A274" t="str">
        <f t="shared" si="39"/>
        <v>E273</v>
      </c>
      <c r="B274" t="str" cm="1">
        <f t="array" aca="1" ref="B274" ca="1">INDEX(sheet2!$A$2:$A$6, RANDBETWEEN(1, 5))</f>
        <v>Finance</v>
      </c>
      <c r="C274" t="str">
        <f ca="1">_xlfn.XLOOKUP(Table1[[#This Row],[Department]],sheet2!$A$2:$A$6,sheet2!$B$2:$B$6,_xleta.NA,0)</f>
        <v>Finance Manager</v>
      </c>
      <c r="D274" s="1">
        <f t="shared" ca="1" si="36"/>
        <v>44516</v>
      </c>
      <c r="E274" s="1">
        <f ca="1">Table1[[#This Row],[Job Posting Date]]+ RANDBETWEEN(15, 90)</f>
        <v>44549</v>
      </c>
      <c r="F274" s="1">
        <f ca="1">Table1[[#This Row],[Hire Date]]+ RANDBETWEEN(1, 15)</f>
        <v>44553</v>
      </c>
      <c r="G274" s="1" t="str">
        <f ca="1">IF(RAND() &lt; 0.5,  Table1[[#This Row],[Join Date]]+ RANDBETWEEN(30, TODAY()- Table1[[#This Row],[Join Date]]), "-")</f>
        <v>-</v>
      </c>
      <c r="H274" t="str">
        <f ca="1">IF(Table1[[#This Row],[Exit Date]]= "-", "Active", "Exited")</f>
        <v>Active</v>
      </c>
      <c r="I274" s="5">
        <f t="shared" ca="1" si="37"/>
        <v>2791</v>
      </c>
      <c r="J274" t="str" cm="1">
        <f t="array" aca="1" ref="J274" ca="1">INDEX(sheet2!$C$2:$C$6, RANDBETWEEN(1, 5))</f>
        <v>Conflict Resolution</v>
      </c>
      <c r="K274" t="str">
        <f t="shared" ca="1" si="38"/>
        <v>Completed</v>
      </c>
      <c r="L274">
        <v>260</v>
      </c>
      <c r="M274">
        <f t="shared" ca="1" si="40"/>
        <v>4</v>
      </c>
      <c r="N274" t="str">
        <f t="shared" ca="1" si="41"/>
        <v>Male</v>
      </c>
      <c r="O274" s="6">
        <f t="shared" ca="1" si="42"/>
        <v>2087</v>
      </c>
      <c r="P274">
        <f ca="1">Table1[[#This Row],[Hire Date]]-Table1[[#This Row],[Job Posting Date]]</f>
        <v>33</v>
      </c>
      <c r="Q274" s="7">
        <f ca="1">Table1[[#This Row],[Join Date]]-Table1[[#This Row],[Hire Date]]</f>
        <v>4</v>
      </c>
      <c r="R274" s="8">
        <f ca="1">(IF(Table1[[#This Row],[Status]]="Exited",Table1[[#This Row],[Exit Date]]-Table1[[#This Row],[Join Date]],TODAY()-Table1[[#This Row],[Join Date]]))/30</f>
        <v>37</v>
      </c>
      <c r="S274">
        <f ca="1">Table1[[#This Row],[Hire Date]]-Table1[[#This Row],[Job Posting Date]]</f>
        <v>33</v>
      </c>
      <c r="T274" s="7">
        <f ca="1">Table1[[#This Row],[Time to onboard]]/Table1[[#This Row],[Time to Fill]]*100</f>
        <v>12.121212121212121</v>
      </c>
      <c r="U274" s="8">
        <f ca="1">Table1[[#This Row],[Time to onboard]]/Table1[[#This Row],[Time to Fill]]*100</f>
        <v>12.121212121212121</v>
      </c>
      <c r="V274">
        <f ca="1">Table1[[#This Row],[Join Date]]-Table1[[#This Row],[Job Posting Date]]</f>
        <v>37</v>
      </c>
      <c r="W274">
        <f t="shared" ca="1" si="43"/>
        <v>125</v>
      </c>
      <c r="X274" s="8">
        <f ca="1">Table1[[#This Row],[Absentee Days]]/Table1[[#This Row],[Total Work Days]]*100</f>
        <v>1.5384615384615385</v>
      </c>
      <c r="Y274">
        <f ca="1">YEAR(Table1[[#This Row],[Join Date]])</f>
        <v>2021</v>
      </c>
      <c r="Z274">
        <f ca="1">IF(Table1[[#This Row],[Status]]="Active",1,0)</f>
        <v>1</v>
      </c>
      <c r="AA274">
        <f ca="1">IF(Table1[[#This Row],[Status]]="Exited",Table1[[#This Row],[Recruitment Cost]]+Table1[[#This Row],[Onboarding cost]]+Table1[[#This Row],[Training Cost]],0)</f>
        <v>0</v>
      </c>
    </row>
    <row r="275" spans="1:27">
      <c r="A275" t="str">
        <f t="shared" si="39"/>
        <v>E274</v>
      </c>
      <c r="B275" t="str" cm="1">
        <f t="array" aca="1" ref="B275" ca="1">INDEX(sheet2!$A$2:$A$6, RANDBETWEEN(1, 5))</f>
        <v>Analytics</v>
      </c>
      <c r="C275" t="str">
        <f ca="1">_xlfn.XLOOKUP(Table1[[#This Row],[Department]],sheet2!$A$2:$A$6,sheet2!$B$2:$B$6,_xleta.NA,0)</f>
        <v>Data Analyst</v>
      </c>
      <c r="D275" s="1">
        <f t="shared" ca="1" si="36"/>
        <v>44702</v>
      </c>
      <c r="E275" s="1">
        <f ca="1">Table1[[#This Row],[Job Posting Date]]+ RANDBETWEEN(15, 90)</f>
        <v>44741</v>
      </c>
      <c r="F275" s="1">
        <f ca="1">Table1[[#This Row],[Hire Date]]+ RANDBETWEEN(1, 15)</f>
        <v>44753</v>
      </c>
      <c r="G275" s="1">
        <f ca="1">IF(RAND() &lt; 0.5,  Table1[[#This Row],[Join Date]]+ RANDBETWEEN(30, TODAY()- Table1[[#This Row],[Join Date]]), "-")</f>
        <v>45280</v>
      </c>
      <c r="H275" t="str">
        <f ca="1">IF(Table1[[#This Row],[Exit Date]]= "-", "Active", "Exited")</f>
        <v>Exited</v>
      </c>
      <c r="I275" s="5">
        <f t="shared" ca="1" si="37"/>
        <v>3869</v>
      </c>
      <c r="J275" t="str" cm="1">
        <f t="array" aca="1" ref="J275" ca="1">INDEX(sheet2!$C$2:$C$6, RANDBETWEEN(1, 5))</f>
        <v>Leadership Development</v>
      </c>
      <c r="K275" t="str">
        <f t="shared" ca="1" si="38"/>
        <v>Completed</v>
      </c>
      <c r="L275">
        <v>260</v>
      </c>
      <c r="M275">
        <f t="shared" ca="1" si="40"/>
        <v>4</v>
      </c>
      <c r="N275" t="str">
        <f t="shared" ca="1" si="41"/>
        <v>Female</v>
      </c>
      <c r="O275" s="6">
        <f t="shared" ca="1" si="42"/>
        <v>1313</v>
      </c>
      <c r="P275">
        <f ca="1">Table1[[#This Row],[Hire Date]]-Table1[[#This Row],[Job Posting Date]]</f>
        <v>39</v>
      </c>
      <c r="Q275" s="7">
        <f ca="1">Table1[[#This Row],[Join Date]]-Table1[[#This Row],[Hire Date]]</f>
        <v>12</v>
      </c>
      <c r="R275" s="8">
        <f ca="1">(IF(Table1[[#This Row],[Status]]="Exited",Table1[[#This Row],[Exit Date]]-Table1[[#This Row],[Join Date]],TODAY()-Table1[[#This Row],[Join Date]]))/30</f>
        <v>17.566666666666666</v>
      </c>
      <c r="S275">
        <f ca="1">Table1[[#This Row],[Hire Date]]-Table1[[#This Row],[Job Posting Date]]</f>
        <v>39</v>
      </c>
      <c r="T275" s="7">
        <f ca="1">Table1[[#This Row],[Time to onboard]]/Table1[[#This Row],[Time to Fill]]*100</f>
        <v>30.76923076923077</v>
      </c>
      <c r="U275" s="8">
        <f ca="1">Table1[[#This Row],[Time to onboard]]/Table1[[#This Row],[Time to Fill]]*100</f>
        <v>30.76923076923077</v>
      </c>
      <c r="V275">
        <f ca="1">Table1[[#This Row],[Join Date]]-Table1[[#This Row],[Job Posting Date]]</f>
        <v>51</v>
      </c>
      <c r="W275">
        <f t="shared" ca="1" si="43"/>
        <v>103</v>
      </c>
      <c r="X275" s="8">
        <f ca="1">Table1[[#This Row],[Absentee Days]]/Table1[[#This Row],[Total Work Days]]*100</f>
        <v>1.5384615384615385</v>
      </c>
      <c r="Y275">
        <f ca="1">YEAR(Table1[[#This Row],[Join Date]])</f>
        <v>2022</v>
      </c>
      <c r="Z275">
        <f ca="1">IF(Table1[[#This Row],[Status]]="Active",1,0)</f>
        <v>0</v>
      </c>
      <c r="AA275">
        <f ca="1">IF(Table1[[#This Row],[Status]]="Exited",Table1[[#This Row],[Recruitment Cost]]+Table1[[#This Row],[Onboarding cost]]+Table1[[#This Row],[Training Cost]],0)</f>
        <v>5285</v>
      </c>
    </row>
    <row r="276" spans="1:27">
      <c r="A276" t="str">
        <f t="shared" si="39"/>
        <v>E275</v>
      </c>
      <c r="B276" t="str" cm="1">
        <f t="array" aca="1" ref="B276" ca="1">INDEX(sheet2!$A$2:$A$6, RANDBETWEEN(1, 5))</f>
        <v>IT</v>
      </c>
      <c r="C276" t="str">
        <f ca="1">_xlfn.XLOOKUP(Table1[[#This Row],[Department]],sheet2!$A$2:$A$6,sheet2!$B$2:$B$6,_xleta.NA,0)</f>
        <v>Software Engineer</v>
      </c>
      <c r="D276" s="1">
        <f t="shared" ca="1" si="36"/>
        <v>44707</v>
      </c>
      <c r="E276" s="1">
        <f ca="1">Table1[[#This Row],[Job Posting Date]]+ RANDBETWEEN(15, 90)</f>
        <v>44755</v>
      </c>
      <c r="F276" s="1">
        <f ca="1">Table1[[#This Row],[Hire Date]]+ RANDBETWEEN(1, 15)</f>
        <v>44766</v>
      </c>
      <c r="G276" s="1">
        <f ca="1">IF(RAND() &lt; 0.5,  Table1[[#This Row],[Join Date]]+ RANDBETWEEN(30, TODAY()- Table1[[#This Row],[Join Date]]), "-")</f>
        <v>45262</v>
      </c>
      <c r="H276" t="str">
        <f ca="1">IF(Table1[[#This Row],[Exit Date]]= "-", "Active", "Exited")</f>
        <v>Exited</v>
      </c>
      <c r="I276" s="5">
        <f t="shared" ca="1" si="37"/>
        <v>4924</v>
      </c>
      <c r="J276" t="str" cm="1">
        <f t="array" aca="1" ref="J276" ca="1">INDEX(sheet2!$C$2:$C$6, RANDBETWEEN(1, 5))</f>
        <v>Advanced Excel Skills </v>
      </c>
      <c r="K276" t="str">
        <f t="shared" ca="1" si="38"/>
        <v>Completed</v>
      </c>
      <c r="L276">
        <v>260</v>
      </c>
      <c r="M276">
        <f t="shared" ca="1" si="40"/>
        <v>3</v>
      </c>
      <c r="N276" t="str">
        <f t="shared" ca="1" si="41"/>
        <v>Female</v>
      </c>
      <c r="O276" s="6">
        <f t="shared" ca="1" si="42"/>
        <v>2146</v>
      </c>
      <c r="P276">
        <f ca="1">Table1[[#This Row],[Hire Date]]-Table1[[#This Row],[Job Posting Date]]</f>
        <v>48</v>
      </c>
      <c r="Q276" s="7">
        <f ca="1">Table1[[#This Row],[Join Date]]-Table1[[#This Row],[Hire Date]]</f>
        <v>11</v>
      </c>
      <c r="R276" s="8">
        <f ca="1">(IF(Table1[[#This Row],[Status]]="Exited",Table1[[#This Row],[Exit Date]]-Table1[[#This Row],[Join Date]],TODAY()-Table1[[#This Row],[Join Date]]))/30</f>
        <v>16.533333333333335</v>
      </c>
      <c r="S276">
        <f ca="1">Table1[[#This Row],[Hire Date]]-Table1[[#This Row],[Job Posting Date]]</f>
        <v>48</v>
      </c>
      <c r="T276" s="7">
        <f ca="1">Table1[[#This Row],[Time to onboard]]/Table1[[#This Row],[Time to Fill]]*100</f>
        <v>22.916666666666664</v>
      </c>
      <c r="U276" s="8">
        <f ca="1">Table1[[#This Row],[Time to onboard]]/Table1[[#This Row],[Time to Fill]]*100</f>
        <v>22.916666666666664</v>
      </c>
      <c r="V276">
        <f ca="1">Table1[[#This Row],[Join Date]]-Table1[[#This Row],[Job Posting Date]]</f>
        <v>59</v>
      </c>
      <c r="W276">
        <f t="shared" ca="1" si="43"/>
        <v>199</v>
      </c>
      <c r="X276" s="8">
        <f ca="1">Table1[[#This Row],[Absentee Days]]/Table1[[#This Row],[Total Work Days]]*100</f>
        <v>1.153846153846154</v>
      </c>
      <c r="Y276">
        <f ca="1">YEAR(Table1[[#This Row],[Join Date]])</f>
        <v>2022</v>
      </c>
      <c r="Z276">
        <f ca="1">IF(Table1[[#This Row],[Status]]="Active",1,0)</f>
        <v>0</v>
      </c>
      <c r="AA276">
        <f ca="1">IF(Table1[[#This Row],[Status]]="Exited",Table1[[#This Row],[Recruitment Cost]]+Table1[[#This Row],[Onboarding cost]]+Table1[[#This Row],[Training Cost]],0)</f>
        <v>7269</v>
      </c>
    </row>
    <row r="277" spans="1:27">
      <c r="A277" t="str">
        <f t="shared" si="39"/>
        <v>E276</v>
      </c>
      <c r="B277" t="str" cm="1">
        <f t="array" aca="1" ref="B277" ca="1">INDEX(sheet2!$A$2:$A$6, RANDBETWEEN(1, 5))</f>
        <v>Analytics</v>
      </c>
      <c r="C277" t="str">
        <f ca="1">_xlfn.XLOOKUP(Table1[[#This Row],[Department]],sheet2!$A$2:$A$6,sheet2!$B$2:$B$6,_xleta.NA,0)</f>
        <v>Data Analyst</v>
      </c>
      <c r="D277" s="1">
        <f t="shared" ca="1" si="36"/>
        <v>44495</v>
      </c>
      <c r="E277" s="1">
        <f ca="1">Table1[[#This Row],[Job Posting Date]]+ RANDBETWEEN(15, 90)</f>
        <v>44578</v>
      </c>
      <c r="F277" s="1">
        <f ca="1">Table1[[#This Row],[Hire Date]]+ RANDBETWEEN(1, 15)</f>
        <v>44581</v>
      </c>
      <c r="G277" s="1">
        <f ca="1">IF(RAND() &lt; 0.5,  Table1[[#This Row],[Join Date]]+ RANDBETWEEN(30, TODAY()- Table1[[#This Row],[Join Date]]), "-")</f>
        <v>44838</v>
      </c>
      <c r="H277" t="str">
        <f ca="1">IF(Table1[[#This Row],[Exit Date]]= "-", "Active", "Exited")</f>
        <v>Exited</v>
      </c>
      <c r="I277" s="5">
        <f t="shared" ca="1" si="37"/>
        <v>1853</v>
      </c>
      <c r="J277" t="str" cm="1">
        <f t="array" aca="1" ref="J277" ca="1">INDEX(sheet2!$C$2:$C$6, RANDBETWEEN(1, 5))</f>
        <v>Advanced Excel Skills </v>
      </c>
      <c r="K277" t="str">
        <f t="shared" ca="1" si="38"/>
        <v>Not Completed</v>
      </c>
      <c r="L277">
        <v>260</v>
      </c>
      <c r="M277">
        <f t="shared" ca="1" si="40"/>
        <v>20</v>
      </c>
      <c r="N277" t="str">
        <f t="shared" ca="1" si="41"/>
        <v>Male</v>
      </c>
      <c r="O277" s="6">
        <f t="shared" ca="1" si="42"/>
        <v>2043</v>
      </c>
      <c r="P277">
        <f ca="1">Table1[[#This Row],[Hire Date]]-Table1[[#This Row],[Job Posting Date]]</f>
        <v>83</v>
      </c>
      <c r="Q277" s="7">
        <f ca="1">Table1[[#This Row],[Join Date]]-Table1[[#This Row],[Hire Date]]</f>
        <v>3</v>
      </c>
      <c r="R277" s="8">
        <f ca="1">(IF(Table1[[#This Row],[Status]]="Exited",Table1[[#This Row],[Exit Date]]-Table1[[#This Row],[Join Date]],TODAY()-Table1[[#This Row],[Join Date]]))/30</f>
        <v>8.5666666666666664</v>
      </c>
      <c r="S277">
        <f ca="1">Table1[[#This Row],[Hire Date]]-Table1[[#This Row],[Job Posting Date]]</f>
        <v>83</v>
      </c>
      <c r="T277" s="7">
        <f ca="1">Table1[[#This Row],[Time to onboard]]/Table1[[#This Row],[Time to Fill]]*100</f>
        <v>3.6144578313253009</v>
      </c>
      <c r="U277" s="8">
        <f ca="1">Table1[[#This Row],[Time to onboard]]/Table1[[#This Row],[Time to Fill]]*100</f>
        <v>3.6144578313253009</v>
      </c>
      <c r="V277">
        <f ca="1">Table1[[#This Row],[Join Date]]-Table1[[#This Row],[Job Posting Date]]</f>
        <v>86</v>
      </c>
      <c r="W277">
        <f t="shared" ca="1" si="43"/>
        <v>143</v>
      </c>
      <c r="X277" s="8">
        <f ca="1">Table1[[#This Row],[Absentee Days]]/Table1[[#This Row],[Total Work Days]]*100</f>
        <v>7.6923076923076925</v>
      </c>
      <c r="Y277">
        <f ca="1">YEAR(Table1[[#This Row],[Join Date]])</f>
        <v>2022</v>
      </c>
      <c r="Z277">
        <f ca="1">IF(Table1[[#This Row],[Status]]="Active",1,0)</f>
        <v>0</v>
      </c>
      <c r="AA277">
        <f ca="1">IF(Table1[[#This Row],[Status]]="Exited",Table1[[#This Row],[Recruitment Cost]]+Table1[[#This Row],[Onboarding cost]]+Table1[[#This Row],[Training Cost]],0)</f>
        <v>4039</v>
      </c>
    </row>
    <row r="278" spans="1:27">
      <c r="A278" t="str">
        <f t="shared" si="39"/>
        <v>E277</v>
      </c>
      <c r="B278" t="str" cm="1">
        <f t="array" aca="1" ref="B278" ca="1">INDEX(sheet2!$A$2:$A$6, RANDBETWEEN(1, 5))</f>
        <v>HR</v>
      </c>
      <c r="C278" t="str">
        <f ca="1">_xlfn.XLOOKUP(Table1[[#This Row],[Department]],sheet2!$A$2:$A$6,sheet2!$B$2:$B$6,_xleta.NA,0)</f>
        <v>HR Manager</v>
      </c>
      <c r="D278" s="1">
        <f t="shared" ca="1" si="36"/>
        <v>44806</v>
      </c>
      <c r="E278" s="1">
        <f ca="1">Table1[[#This Row],[Job Posting Date]]+ RANDBETWEEN(15, 90)</f>
        <v>44871</v>
      </c>
      <c r="F278" s="1">
        <f ca="1">Table1[[#This Row],[Hire Date]]+ RANDBETWEEN(1, 15)</f>
        <v>44884</v>
      </c>
      <c r="G278" s="1" t="str">
        <f ca="1">IF(RAND() &lt; 0.5,  Table1[[#This Row],[Join Date]]+ RANDBETWEEN(30, TODAY()- Table1[[#This Row],[Join Date]]), "-")</f>
        <v>-</v>
      </c>
      <c r="H278" t="str">
        <f ca="1">IF(Table1[[#This Row],[Exit Date]]= "-", "Active", "Exited")</f>
        <v>Active</v>
      </c>
      <c r="I278" s="5">
        <f t="shared" ca="1" si="37"/>
        <v>2551</v>
      </c>
      <c r="J278" t="str" cm="1">
        <f t="array" aca="1" ref="J278" ca="1">INDEX(sheet2!$C$2:$C$6, RANDBETWEEN(1, 5))</f>
        <v>Leadership Development</v>
      </c>
      <c r="K278" t="str">
        <f t="shared" ca="1" si="38"/>
        <v>Completed</v>
      </c>
      <c r="L278">
        <v>260</v>
      </c>
      <c r="M278">
        <f t="shared" ca="1" si="40"/>
        <v>12</v>
      </c>
      <c r="N278" t="str">
        <f t="shared" ca="1" si="41"/>
        <v>Other</v>
      </c>
      <c r="O278" s="6">
        <f t="shared" ca="1" si="42"/>
        <v>2344</v>
      </c>
      <c r="P278">
        <f ca="1">Table1[[#This Row],[Hire Date]]-Table1[[#This Row],[Job Posting Date]]</f>
        <v>65</v>
      </c>
      <c r="Q278" s="7">
        <f ca="1">Table1[[#This Row],[Join Date]]-Table1[[#This Row],[Hire Date]]</f>
        <v>13</v>
      </c>
      <c r="R278" s="8">
        <f ca="1">(IF(Table1[[#This Row],[Status]]="Exited",Table1[[#This Row],[Exit Date]]-Table1[[#This Row],[Join Date]],TODAY()-Table1[[#This Row],[Join Date]]))/30</f>
        <v>25.966666666666665</v>
      </c>
      <c r="S278">
        <f ca="1">Table1[[#This Row],[Hire Date]]-Table1[[#This Row],[Job Posting Date]]</f>
        <v>65</v>
      </c>
      <c r="T278" s="7">
        <f ca="1">Table1[[#This Row],[Time to onboard]]/Table1[[#This Row],[Time to Fill]]*100</f>
        <v>20</v>
      </c>
      <c r="U278" s="8">
        <f ca="1">Table1[[#This Row],[Time to onboard]]/Table1[[#This Row],[Time to Fill]]*100</f>
        <v>20</v>
      </c>
      <c r="V278">
        <f ca="1">Table1[[#This Row],[Join Date]]-Table1[[#This Row],[Job Posting Date]]</f>
        <v>78</v>
      </c>
      <c r="W278">
        <f t="shared" ca="1" si="43"/>
        <v>103</v>
      </c>
      <c r="X278" s="8">
        <f ca="1">Table1[[#This Row],[Absentee Days]]/Table1[[#This Row],[Total Work Days]]*100</f>
        <v>4.6153846153846159</v>
      </c>
      <c r="Y278">
        <f ca="1">YEAR(Table1[[#This Row],[Join Date]])</f>
        <v>2022</v>
      </c>
      <c r="Z278">
        <f ca="1">IF(Table1[[#This Row],[Status]]="Active",1,0)</f>
        <v>1</v>
      </c>
      <c r="AA278">
        <f ca="1">IF(Table1[[#This Row],[Status]]="Exited",Table1[[#This Row],[Recruitment Cost]]+Table1[[#This Row],[Onboarding cost]]+Table1[[#This Row],[Training Cost]],0)</f>
        <v>0</v>
      </c>
    </row>
    <row r="279" spans="1:27">
      <c r="A279" t="str">
        <f t="shared" si="39"/>
        <v>E278</v>
      </c>
      <c r="B279" t="str" cm="1">
        <f t="array" aca="1" ref="B279" ca="1">INDEX(sheet2!$A$2:$A$6, RANDBETWEEN(1, 5))</f>
        <v>Sales</v>
      </c>
      <c r="C279" t="str">
        <f ca="1">_xlfn.XLOOKUP(Table1[[#This Row],[Department]],sheet2!$A$2:$A$6,sheet2!$B$2:$B$6,_xleta.NA,0)</f>
        <v>Marketing Manager</v>
      </c>
      <c r="D279" s="1">
        <f t="shared" ca="1" si="36"/>
        <v>43686</v>
      </c>
      <c r="E279" s="1">
        <f ca="1">Table1[[#This Row],[Job Posting Date]]+ RANDBETWEEN(15, 90)</f>
        <v>43769</v>
      </c>
      <c r="F279" s="1">
        <f ca="1">Table1[[#This Row],[Hire Date]]+ RANDBETWEEN(1, 15)</f>
        <v>43774</v>
      </c>
      <c r="G279" s="1" t="str">
        <f ca="1">IF(RAND() &lt; 0.5,  Table1[[#This Row],[Join Date]]+ RANDBETWEEN(30, TODAY()- Table1[[#This Row],[Join Date]]), "-")</f>
        <v>-</v>
      </c>
      <c r="H279" t="str">
        <f ca="1">IF(Table1[[#This Row],[Exit Date]]= "-", "Active", "Exited")</f>
        <v>Active</v>
      </c>
      <c r="I279" s="5">
        <f t="shared" ca="1" si="37"/>
        <v>3981</v>
      </c>
      <c r="J279" t="str" cm="1">
        <f t="array" aca="1" ref="J279" ca="1">INDEX(sheet2!$C$2:$C$6, RANDBETWEEN(1, 5))</f>
        <v>Communication Skills</v>
      </c>
      <c r="K279" t="str">
        <f t="shared" ca="1" si="38"/>
        <v>Completed</v>
      </c>
      <c r="L279">
        <v>260</v>
      </c>
      <c r="M279">
        <f t="shared" ca="1" si="40"/>
        <v>20</v>
      </c>
      <c r="N279" t="str">
        <f t="shared" ca="1" si="41"/>
        <v>Other</v>
      </c>
      <c r="O279" s="6">
        <f t="shared" ca="1" si="42"/>
        <v>2019</v>
      </c>
      <c r="P279">
        <f ca="1">Table1[[#This Row],[Hire Date]]-Table1[[#This Row],[Job Posting Date]]</f>
        <v>83</v>
      </c>
      <c r="Q279" s="7">
        <f ca="1">Table1[[#This Row],[Join Date]]-Table1[[#This Row],[Hire Date]]</f>
        <v>5</v>
      </c>
      <c r="R279" s="8">
        <f ca="1">(IF(Table1[[#This Row],[Status]]="Exited",Table1[[#This Row],[Exit Date]]-Table1[[#This Row],[Join Date]],TODAY()-Table1[[#This Row],[Join Date]]))/30</f>
        <v>62.966666666666669</v>
      </c>
      <c r="S279">
        <f ca="1">Table1[[#This Row],[Hire Date]]-Table1[[#This Row],[Job Posting Date]]</f>
        <v>83</v>
      </c>
      <c r="T279" s="7">
        <f ca="1">Table1[[#This Row],[Time to onboard]]/Table1[[#This Row],[Time to Fill]]*100</f>
        <v>6.024096385542169</v>
      </c>
      <c r="U279" s="8">
        <f ca="1">Table1[[#This Row],[Time to onboard]]/Table1[[#This Row],[Time to Fill]]*100</f>
        <v>6.024096385542169</v>
      </c>
      <c r="V279">
        <f ca="1">Table1[[#This Row],[Join Date]]-Table1[[#This Row],[Job Posting Date]]</f>
        <v>88</v>
      </c>
      <c r="W279">
        <f t="shared" ca="1" si="43"/>
        <v>139</v>
      </c>
      <c r="X279" s="8">
        <f ca="1">Table1[[#This Row],[Absentee Days]]/Table1[[#This Row],[Total Work Days]]*100</f>
        <v>7.6923076923076925</v>
      </c>
      <c r="Y279">
        <f ca="1">YEAR(Table1[[#This Row],[Join Date]])</f>
        <v>2019</v>
      </c>
      <c r="Z279">
        <f ca="1">IF(Table1[[#This Row],[Status]]="Active",1,0)</f>
        <v>1</v>
      </c>
      <c r="AA279">
        <f ca="1">IF(Table1[[#This Row],[Status]]="Exited",Table1[[#This Row],[Recruitment Cost]]+Table1[[#This Row],[Onboarding cost]]+Table1[[#This Row],[Training Cost]],0)</f>
        <v>0</v>
      </c>
    </row>
    <row r="280" spans="1:27">
      <c r="A280" t="str">
        <f t="shared" si="39"/>
        <v>E279</v>
      </c>
      <c r="B280" t="str" cm="1">
        <f t="array" aca="1" ref="B280" ca="1">INDEX(sheet2!$A$2:$A$6, RANDBETWEEN(1, 5))</f>
        <v>Analytics</v>
      </c>
      <c r="C280" t="str">
        <f ca="1">_xlfn.XLOOKUP(Table1[[#This Row],[Department]],sheet2!$A$2:$A$6,sheet2!$B$2:$B$6,_xleta.NA,0)</f>
        <v>Data Analyst</v>
      </c>
      <c r="D280" s="1">
        <f t="shared" ca="1" si="36"/>
        <v>44015</v>
      </c>
      <c r="E280" s="1">
        <f ca="1">Table1[[#This Row],[Job Posting Date]]+ RANDBETWEEN(15, 90)</f>
        <v>44105</v>
      </c>
      <c r="F280" s="1">
        <f ca="1">Table1[[#This Row],[Hire Date]]+ RANDBETWEEN(1, 15)</f>
        <v>44106</v>
      </c>
      <c r="G280" s="1">
        <f ca="1">IF(RAND() &lt; 0.5,  Table1[[#This Row],[Join Date]]+ RANDBETWEEN(30, TODAY()- Table1[[#This Row],[Join Date]]), "-")</f>
        <v>45001</v>
      </c>
      <c r="H280" t="str">
        <f ca="1">IF(Table1[[#This Row],[Exit Date]]= "-", "Active", "Exited")</f>
        <v>Exited</v>
      </c>
      <c r="I280" s="5">
        <f t="shared" ca="1" si="37"/>
        <v>4769</v>
      </c>
      <c r="J280" t="str" cm="1">
        <f t="array" aca="1" ref="J280" ca="1">INDEX(sheet2!$C$2:$C$6, RANDBETWEEN(1, 5))</f>
        <v>Conflict Resolution</v>
      </c>
      <c r="K280" t="str">
        <f t="shared" ca="1" si="38"/>
        <v>Completed</v>
      </c>
      <c r="L280">
        <v>260</v>
      </c>
      <c r="M280">
        <f t="shared" ca="1" si="40"/>
        <v>6</v>
      </c>
      <c r="N280" t="str">
        <f t="shared" ca="1" si="41"/>
        <v>Male</v>
      </c>
      <c r="O280" s="6">
        <f t="shared" ca="1" si="42"/>
        <v>1551</v>
      </c>
      <c r="P280">
        <f ca="1">Table1[[#This Row],[Hire Date]]-Table1[[#This Row],[Job Posting Date]]</f>
        <v>90</v>
      </c>
      <c r="Q280" s="7">
        <f ca="1">Table1[[#This Row],[Join Date]]-Table1[[#This Row],[Hire Date]]</f>
        <v>1</v>
      </c>
      <c r="R280" s="8">
        <f ca="1">(IF(Table1[[#This Row],[Status]]="Exited",Table1[[#This Row],[Exit Date]]-Table1[[#This Row],[Join Date]],TODAY()-Table1[[#This Row],[Join Date]]))/30</f>
        <v>29.833333333333332</v>
      </c>
      <c r="S280">
        <f ca="1">Table1[[#This Row],[Hire Date]]-Table1[[#This Row],[Job Posting Date]]</f>
        <v>90</v>
      </c>
      <c r="T280" s="7">
        <f ca="1">Table1[[#This Row],[Time to onboard]]/Table1[[#This Row],[Time to Fill]]*100</f>
        <v>1.1111111111111112</v>
      </c>
      <c r="U280" s="8">
        <f ca="1">Table1[[#This Row],[Time to onboard]]/Table1[[#This Row],[Time to Fill]]*100</f>
        <v>1.1111111111111112</v>
      </c>
      <c r="V280">
        <f ca="1">Table1[[#This Row],[Join Date]]-Table1[[#This Row],[Job Posting Date]]</f>
        <v>91</v>
      </c>
      <c r="W280">
        <f t="shared" ca="1" si="43"/>
        <v>173</v>
      </c>
      <c r="X280" s="8">
        <f ca="1">Table1[[#This Row],[Absentee Days]]/Table1[[#This Row],[Total Work Days]]*100</f>
        <v>2.3076923076923079</v>
      </c>
      <c r="Y280">
        <f ca="1">YEAR(Table1[[#This Row],[Join Date]])</f>
        <v>2020</v>
      </c>
      <c r="Z280">
        <f ca="1">IF(Table1[[#This Row],[Status]]="Active",1,0)</f>
        <v>0</v>
      </c>
      <c r="AA280">
        <f ca="1">IF(Table1[[#This Row],[Status]]="Exited",Table1[[#This Row],[Recruitment Cost]]+Table1[[#This Row],[Onboarding cost]]+Table1[[#This Row],[Training Cost]],0)</f>
        <v>6493</v>
      </c>
    </row>
    <row r="281" spans="1:27">
      <c r="A281" t="str">
        <f t="shared" si="39"/>
        <v>E280</v>
      </c>
      <c r="B281" t="str" cm="1">
        <f t="array" aca="1" ref="B281" ca="1">INDEX(sheet2!$A$2:$A$6, RANDBETWEEN(1, 5))</f>
        <v>Sales</v>
      </c>
      <c r="C281" t="str">
        <f ca="1">_xlfn.XLOOKUP(Table1[[#This Row],[Department]],sheet2!$A$2:$A$6,sheet2!$B$2:$B$6,_xleta.NA,0)</f>
        <v>Marketing Manager</v>
      </c>
      <c r="D281" s="1">
        <f t="shared" ca="1" si="36"/>
        <v>44913</v>
      </c>
      <c r="E281" s="1">
        <f ca="1">Table1[[#This Row],[Job Posting Date]]+ RANDBETWEEN(15, 90)</f>
        <v>44983</v>
      </c>
      <c r="F281" s="1">
        <f ca="1">Table1[[#This Row],[Hire Date]]+ RANDBETWEEN(1, 15)</f>
        <v>44989</v>
      </c>
      <c r="G281" s="1">
        <f ca="1">IF(RAND() &lt; 0.5,  Table1[[#This Row],[Join Date]]+ RANDBETWEEN(30, TODAY()- Table1[[#This Row],[Join Date]]), "-")</f>
        <v>45449</v>
      </c>
      <c r="H281" t="str">
        <f ca="1">IF(Table1[[#This Row],[Exit Date]]= "-", "Active", "Exited")</f>
        <v>Exited</v>
      </c>
      <c r="I281" s="5">
        <f t="shared" ca="1" si="37"/>
        <v>4202</v>
      </c>
      <c r="J281" t="str" cm="1">
        <f t="array" aca="1" ref="J281" ca="1">INDEX(sheet2!$C$2:$C$6, RANDBETWEEN(1, 5))</f>
        <v>Advanced Excel Skills </v>
      </c>
      <c r="K281" t="str">
        <f t="shared" ca="1" si="38"/>
        <v>Completed</v>
      </c>
      <c r="L281">
        <v>260</v>
      </c>
      <c r="M281">
        <f t="shared" ca="1" si="40"/>
        <v>15</v>
      </c>
      <c r="N281" t="str">
        <f t="shared" ca="1" si="41"/>
        <v>Other</v>
      </c>
      <c r="O281" s="6">
        <f t="shared" ca="1" si="42"/>
        <v>1475</v>
      </c>
      <c r="P281">
        <f ca="1">Table1[[#This Row],[Hire Date]]-Table1[[#This Row],[Job Posting Date]]</f>
        <v>70</v>
      </c>
      <c r="Q281" s="7">
        <f ca="1">Table1[[#This Row],[Join Date]]-Table1[[#This Row],[Hire Date]]</f>
        <v>6</v>
      </c>
      <c r="R281" s="8">
        <f ca="1">(IF(Table1[[#This Row],[Status]]="Exited",Table1[[#This Row],[Exit Date]]-Table1[[#This Row],[Join Date]],TODAY()-Table1[[#This Row],[Join Date]]))/30</f>
        <v>15.333333333333334</v>
      </c>
      <c r="S281">
        <f ca="1">Table1[[#This Row],[Hire Date]]-Table1[[#This Row],[Job Posting Date]]</f>
        <v>70</v>
      </c>
      <c r="T281" s="7">
        <f ca="1">Table1[[#This Row],[Time to onboard]]/Table1[[#This Row],[Time to Fill]]*100</f>
        <v>8.5714285714285712</v>
      </c>
      <c r="U281" s="8">
        <f ca="1">Table1[[#This Row],[Time to onboard]]/Table1[[#This Row],[Time to Fill]]*100</f>
        <v>8.5714285714285712</v>
      </c>
      <c r="V281">
        <f ca="1">Table1[[#This Row],[Join Date]]-Table1[[#This Row],[Job Posting Date]]</f>
        <v>76</v>
      </c>
      <c r="W281">
        <f t="shared" ca="1" si="43"/>
        <v>172</v>
      </c>
      <c r="X281" s="8">
        <f ca="1">Table1[[#This Row],[Absentee Days]]/Table1[[#This Row],[Total Work Days]]*100</f>
        <v>5.7692307692307692</v>
      </c>
      <c r="Y281">
        <f ca="1">YEAR(Table1[[#This Row],[Join Date]])</f>
        <v>2023</v>
      </c>
      <c r="Z281">
        <f ca="1">IF(Table1[[#This Row],[Status]]="Active",1,0)</f>
        <v>0</v>
      </c>
      <c r="AA281">
        <f ca="1">IF(Table1[[#This Row],[Status]]="Exited",Table1[[#This Row],[Recruitment Cost]]+Table1[[#This Row],[Onboarding cost]]+Table1[[#This Row],[Training Cost]],0)</f>
        <v>5849</v>
      </c>
    </row>
    <row r="282" spans="1:27">
      <c r="A282" t="str">
        <f t="shared" si="39"/>
        <v>E281</v>
      </c>
      <c r="B282" t="str" cm="1">
        <f t="array" aca="1" ref="B282" ca="1">INDEX(sheet2!$A$2:$A$6, RANDBETWEEN(1, 5))</f>
        <v>Finance</v>
      </c>
      <c r="C282" t="str">
        <f ca="1">_xlfn.XLOOKUP(Table1[[#This Row],[Department]],sheet2!$A$2:$A$6,sheet2!$B$2:$B$6,_xleta.NA,0)</f>
        <v>Finance Manager</v>
      </c>
      <c r="D282" s="1">
        <f t="shared" ca="1" si="36"/>
        <v>44484</v>
      </c>
      <c r="E282" s="1">
        <f ca="1">Table1[[#This Row],[Job Posting Date]]+ RANDBETWEEN(15, 90)</f>
        <v>44506</v>
      </c>
      <c r="F282" s="1">
        <f ca="1">Table1[[#This Row],[Hire Date]]+ RANDBETWEEN(1, 15)</f>
        <v>44521</v>
      </c>
      <c r="G282" s="1">
        <f ca="1">IF(RAND() &lt; 0.5,  Table1[[#This Row],[Join Date]]+ RANDBETWEEN(30, TODAY()- Table1[[#This Row],[Join Date]]), "-")</f>
        <v>45428</v>
      </c>
      <c r="H282" t="str">
        <f ca="1">IF(Table1[[#This Row],[Exit Date]]= "-", "Active", "Exited")</f>
        <v>Exited</v>
      </c>
      <c r="I282" s="5">
        <f t="shared" ca="1" si="37"/>
        <v>2235</v>
      </c>
      <c r="J282" t="str" cm="1">
        <f t="array" aca="1" ref="J282" ca="1">INDEX(sheet2!$C$2:$C$6, RANDBETWEEN(1, 5))</f>
        <v>Communication Skills</v>
      </c>
      <c r="K282" t="str">
        <f t="shared" ca="1" si="38"/>
        <v>Completed</v>
      </c>
      <c r="L282">
        <v>260</v>
      </c>
      <c r="M282">
        <f t="shared" ca="1" si="40"/>
        <v>6</v>
      </c>
      <c r="N282" t="str">
        <f t="shared" ca="1" si="41"/>
        <v>Male</v>
      </c>
      <c r="O282" s="6">
        <f t="shared" ca="1" si="42"/>
        <v>2289</v>
      </c>
      <c r="P282">
        <f ca="1">Table1[[#This Row],[Hire Date]]-Table1[[#This Row],[Job Posting Date]]</f>
        <v>22</v>
      </c>
      <c r="Q282" s="7">
        <f ca="1">Table1[[#This Row],[Join Date]]-Table1[[#This Row],[Hire Date]]</f>
        <v>15</v>
      </c>
      <c r="R282" s="8">
        <f ca="1">(IF(Table1[[#This Row],[Status]]="Exited",Table1[[#This Row],[Exit Date]]-Table1[[#This Row],[Join Date]],TODAY()-Table1[[#This Row],[Join Date]]))/30</f>
        <v>30.233333333333334</v>
      </c>
      <c r="S282">
        <f ca="1">Table1[[#This Row],[Hire Date]]-Table1[[#This Row],[Job Posting Date]]</f>
        <v>22</v>
      </c>
      <c r="T282" s="7">
        <f ca="1">Table1[[#This Row],[Time to onboard]]/Table1[[#This Row],[Time to Fill]]*100</f>
        <v>68.181818181818173</v>
      </c>
      <c r="U282" s="8">
        <f ca="1">Table1[[#This Row],[Time to onboard]]/Table1[[#This Row],[Time to Fill]]*100</f>
        <v>68.181818181818173</v>
      </c>
      <c r="V282">
        <f ca="1">Table1[[#This Row],[Join Date]]-Table1[[#This Row],[Job Posting Date]]</f>
        <v>37</v>
      </c>
      <c r="W282">
        <f t="shared" ca="1" si="43"/>
        <v>171</v>
      </c>
      <c r="X282" s="8">
        <f ca="1">Table1[[#This Row],[Absentee Days]]/Table1[[#This Row],[Total Work Days]]*100</f>
        <v>2.3076923076923079</v>
      </c>
      <c r="Y282">
        <f ca="1">YEAR(Table1[[#This Row],[Join Date]])</f>
        <v>2021</v>
      </c>
      <c r="Z282">
        <f ca="1">IF(Table1[[#This Row],[Status]]="Active",1,0)</f>
        <v>0</v>
      </c>
      <c r="AA282">
        <f ca="1">IF(Table1[[#This Row],[Status]]="Exited",Table1[[#This Row],[Recruitment Cost]]+Table1[[#This Row],[Onboarding cost]]+Table1[[#This Row],[Training Cost]],0)</f>
        <v>4695</v>
      </c>
    </row>
    <row r="283" spans="1:27">
      <c r="A283" t="str">
        <f t="shared" si="39"/>
        <v>E282</v>
      </c>
      <c r="B283" t="str" cm="1">
        <f t="array" aca="1" ref="B283" ca="1">INDEX(sheet2!$A$2:$A$6, RANDBETWEEN(1, 5))</f>
        <v>Sales</v>
      </c>
      <c r="C283" t="str">
        <f ca="1">_xlfn.XLOOKUP(Table1[[#This Row],[Department]],sheet2!$A$2:$A$6,sheet2!$B$2:$B$6,_xleta.NA,0)</f>
        <v>Marketing Manager</v>
      </c>
      <c r="D283" s="1">
        <f t="shared" ca="1" si="36"/>
        <v>43279</v>
      </c>
      <c r="E283" s="1">
        <f ca="1">Table1[[#This Row],[Job Posting Date]]+ RANDBETWEEN(15, 90)</f>
        <v>43365</v>
      </c>
      <c r="F283" s="1">
        <f ca="1">Table1[[#This Row],[Hire Date]]+ RANDBETWEEN(1, 15)</f>
        <v>43368</v>
      </c>
      <c r="G283" s="1">
        <f ca="1">IF(RAND() &lt; 0.5,  Table1[[#This Row],[Join Date]]+ RANDBETWEEN(30, TODAY()- Table1[[#This Row],[Join Date]]), "-")</f>
        <v>44646</v>
      </c>
      <c r="H283" t="str">
        <f ca="1">IF(Table1[[#This Row],[Exit Date]]= "-", "Active", "Exited")</f>
        <v>Exited</v>
      </c>
      <c r="I283" s="5">
        <f t="shared" ca="1" si="37"/>
        <v>2803</v>
      </c>
      <c r="J283" t="str" cm="1">
        <f t="array" aca="1" ref="J283" ca="1">INDEX(sheet2!$C$2:$C$6, RANDBETWEEN(1, 5))</f>
        <v>Ethics and Responsibilities</v>
      </c>
      <c r="K283" t="str">
        <f t="shared" ca="1" si="38"/>
        <v>Completed</v>
      </c>
      <c r="L283">
        <v>260</v>
      </c>
      <c r="M283">
        <f t="shared" ca="1" si="40"/>
        <v>5</v>
      </c>
      <c r="N283" t="str">
        <f t="shared" ca="1" si="41"/>
        <v>Male</v>
      </c>
      <c r="O283" s="6">
        <f t="shared" ca="1" si="42"/>
        <v>1950</v>
      </c>
      <c r="P283">
        <f ca="1">Table1[[#This Row],[Hire Date]]-Table1[[#This Row],[Job Posting Date]]</f>
        <v>86</v>
      </c>
      <c r="Q283" s="7">
        <f ca="1">Table1[[#This Row],[Join Date]]-Table1[[#This Row],[Hire Date]]</f>
        <v>3</v>
      </c>
      <c r="R283" s="8">
        <f ca="1">(IF(Table1[[#This Row],[Status]]="Exited",Table1[[#This Row],[Exit Date]]-Table1[[#This Row],[Join Date]],TODAY()-Table1[[#This Row],[Join Date]]))/30</f>
        <v>42.6</v>
      </c>
      <c r="S283">
        <f ca="1">Table1[[#This Row],[Hire Date]]-Table1[[#This Row],[Job Posting Date]]</f>
        <v>86</v>
      </c>
      <c r="T283" s="7">
        <f ca="1">Table1[[#This Row],[Time to onboard]]/Table1[[#This Row],[Time to Fill]]*100</f>
        <v>3.4883720930232558</v>
      </c>
      <c r="U283" s="8">
        <f ca="1">Table1[[#This Row],[Time to onboard]]/Table1[[#This Row],[Time to Fill]]*100</f>
        <v>3.4883720930232558</v>
      </c>
      <c r="V283">
        <f ca="1">Table1[[#This Row],[Join Date]]-Table1[[#This Row],[Job Posting Date]]</f>
        <v>89</v>
      </c>
      <c r="W283">
        <f t="shared" ca="1" si="43"/>
        <v>159</v>
      </c>
      <c r="X283" s="8">
        <f ca="1">Table1[[#This Row],[Absentee Days]]/Table1[[#This Row],[Total Work Days]]*100</f>
        <v>1.9230769230769231</v>
      </c>
      <c r="Y283">
        <f ca="1">YEAR(Table1[[#This Row],[Join Date]])</f>
        <v>2018</v>
      </c>
      <c r="Z283">
        <f ca="1">IF(Table1[[#This Row],[Status]]="Active",1,0)</f>
        <v>0</v>
      </c>
      <c r="AA283">
        <f ca="1">IF(Table1[[#This Row],[Status]]="Exited",Table1[[#This Row],[Recruitment Cost]]+Table1[[#This Row],[Onboarding cost]]+Table1[[#This Row],[Training Cost]],0)</f>
        <v>4912</v>
      </c>
    </row>
    <row r="284" spans="1:27">
      <c r="A284" t="str">
        <f t="shared" si="39"/>
        <v>E283</v>
      </c>
      <c r="B284" t="str" cm="1">
        <f t="array" aca="1" ref="B284" ca="1">INDEX(sheet2!$A$2:$A$6, RANDBETWEEN(1, 5))</f>
        <v>Finance</v>
      </c>
      <c r="C284" t="str">
        <f ca="1">_xlfn.XLOOKUP(Table1[[#This Row],[Department]],sheet2!$A$2:$A$6,sheet2!$B$2:$B$6,_xleta.NA,0)</f>
        <v>Finance Manager</v>
      </c>
      <c r="D284" s="1">
        <f t="shared" ca="1" si="36"/>
        <v>43994</v>
      </c>
      <c r="E284" s="1">
        <f ca="1">Table1[[#This Row],[Job Posting Date]]+ RANDBETWEEN(15, 90)</f>
        <v>44014</v>
      </c>
      <c r="F284" s="1">
        <f ca="1">Table1[[#This Row],[Hire Date]]+ RANDBETWEEN(1, 15)</f>
        <v>44027</v>
      </c>
      <c r="G284" s="1" t="str">
        <f ca="1">IF(RAND() &lt; 0.5,  Table1[[#This Row],[Join Date]]+ RANDBETWEEN(30, TODAY()- Table1[[#This Row],[Join Date]]), "-")</f>
        <v>-</v>
      </c>
      <c r="H284" t="str">
        <f ca="1">IF(Table1[[#This Row],[Exit Date]]= "-", "Active", "Exited")</f>
        <v>Active</v>
      </c>
      <c r="I284" s="5">
        <f t="shared" ca="1" si="37"/>
        <v>4688</v>
      </c>
      <c r="J284" t="str" cm="1">
        <f t="array" aca="1" ref="J284" ca="1">INDEX(sheet2!$C$2:$C$6, RANDBETWEEN(1, 5))</f>
        <v>Leadership Development</v>
      </c>
      <c r="K284" t="str">
        <f t="shared" ca="1" si="38"/>
        <v>Not Completed</v>
      </c>
      <c r="L284">
        <v>260</v>
      </c>
      <c r="M284">
        <f t="shared" ca="1" si="40"/>
        <v>3</v>
      </c>
      <c r="N284" t="str">
        <f t="shared" ca="1" si="41"/>
        <v>Other</v>
      </c>
      <c r="O284" s="6">
        <f t="shared" ca="1" si="42"/>
        <v>2076</v>
      </c>
      <c r="P284">
        <f ca="1">Table1[[#This Row],[Hire Date]]-Table1[[#This Row],[Job Posting Date]]</f>
        <v>20</v>
      </c>
      <c r="Q284" s="7">
        <f ca="1">Table1[[#This Row],[Join Date]]-Table1[[#This Row],[Hire Date]]</f>
        <v>13</v>
      </c>
      <c r="R284" s="8">
        <f ca="1">(IF(Table1[[#This Row],[Status]]="Exited",Table1[[#This Row],[Exit Date]]-Table1[[#This Row],[Join Date]],TODAY()-Table1[[#This Row],[Join Date]]))/30</f>
        <v>54.533333333333331</v>
      </c>
      <c r="S284">
        <f ca="1">Table1[[#This Row],[Hire Date]]-Table1[[#This Row],[Job Posting Date]]</f>
        <v>20</v>
      </c>
      <c r="T284" s="7">
        <f ca="1">Table1[[#This Row],[Time to onboard]]/Table1[[#This Row],[Time to Fill]]*100</f>
        <v>65</v>
      </c>
      <c r="U284" s="8">
        <f ca="1">Table1[[#This Row],[Time to onboard]]/Table1[[#This Row],[Time to Fill]]*100</f>
        <v>65</v>
      </c>
      <c r="V284">
        <f ca="1">Table1[[#This Row],[Join Date]]-Table1[[#This Row],[Job Posting Date]]</f>
        <v>33</v>
      </c>
      <c r="W284">
        <f t="shared" ca="1" si="43"/>
        <v>109</v>
      </c>
      <c r="X284" s="8">
        <f ca="1">Table1[[#This Row],[Absentee Days]]/Table1[[#This Row],[Total Work Days]]*100</f>
        <v>1.153846153846154</v>
      </c>
      <c r="Y284">
        <f ca="1">YEAR(Table1[[#This Row],[Join Date]])</f>
        <v>2020</v>
      </c>
      <c r="Z284">
        <f ca="1">IF(Table1[[#This Row],[Status]]="Active",1,0)</f>
        <v>1</v>
      </c>
      <c r="AA284">
        <f ca="1">IF(Table1[[#This Row],[Status]]="Exited",Table1[[#This Row],[Recruitment Cost]]+Table1[[#This Row],[Onboarding cost]]+Table1[[#This Row],[Training Cost]],0)</f>
        <v>0</v>
      </c>
    </row>
    <row r="285" spans="1:27">
      <c r="A285" t="str">
        <f t="shared" si="39"/>
        <v>E284</v>
      </c>
      <c r="B285" t="str" cm="1">
        <f t="array" aca="1" ref="B285" ca="1">INDEX(sheet2!$A$2:$A$6, RANDBETWEEN(1, 5))</f>
        <v>HR</v>
      </c>
      <c r="C285" t="str">
        <f ca="1">_xlfn.XLOOKUP(Table1[[#This Row],[Department]],sheet2!$A$2:$A$6,sheet2!$B$2:$B$6,_xleta.NA,0)</f>
        <v>HR Manager</v>
      </c>
      <c r="D285" s="1">
        <f t="shared" ca="1" si="36"/>
        <v>44458</v>
      </c>
      <c r="E285" s="1">
        <f ca="1">Table1[[#This Row],[Job Posting Date]]+ RANDBETWEEN(15, 90)</f>
        <v>44485</v>
      </c>
      <c r="F285" s="1">
        <f ca="1">Table1[[#This Row],[Hire Date]]+ RANDBETWEEN(1, 15)</f>
        <v>44486</v>
      </c>
      <c r="G285" s="1" t="str">
        <f ca="1">IF(RAND() &lt; 0.5,  Table1[[#This Row],[Join Date]]+ RANDBETWEEN(30, TODAY()- Table1[[#This Row],[Join Date]]), "-")</f>
        <v>-</v>
      </c>
      <c r="H285" t="str">
        <f ca="1">IF(Table1[[#This Row],[Exit Date]]= "-", "Active", "Exited")</f>
        <v>Active</v>
      </c>
      <c r="I285" s="5">
        <f t="shared" ca="1" si="37"/>
        <v>1937</v>
      </c>
      <c r="J285" t="str" cm="1">
        <f t="array" aca="1" ref="J285" ca="1">INDEX(sheet2!$C$2:$C$6, RANDBETWEEN(1, 5))</f>
        <v>Advanced Excel Skills </v>
      </c>
      <c r="K285" t="str">
        <f t="shared" ca="1" si="38"/>
        <v>Not Completed</v>
      </c>
      <c r="L285">
        <v>260</v>
      </c>
      <c r="M285">
        <f t="shared" ca="1" si="40"/>
        <v>16</v>
      </c>
      <c r="N285" t="str">
        <f t="shared" ca="1" si="41"/>
        <v>Male</v>
      </c>
      <c r="O285" s="6">
        <f t="shared" ca="1" si="42"/>
        <v>2138</v>
      </c>
      <c r="P285">
        <f ca="1">Table1[[#This Row],[Hire Date]]-Table1[[#This Row],[Job Posting Date]]</f>
        <v>27</v>
      </c>
      <c r="Q285" s="7">
        <f ca="1">Table1[[#This Row],[Join Date]]-Table1[[#This Row],[Hire Date]]</f>
        <v>1</v>
      </c>
      <c r="R285" s="8">
        <f ca="1">(IF(Table1[[#This Row],[Status]]="Exited",Table1[[#This Row],[Exit Date]]-Table1[[#This Row],[Join Date]],TODAY()-Table1[[#This Row],[Join Date]]))/30</f>
        <v>39.233333333333334</v>
      </c>
      <c r="S285">
        <f ca="1">Table1[[#This Row],[Hire Date]]-Table1[[#This Row],[Job Posting Date]]</f>
        <v>27</v>
      </c>
      <c r="T285" s="7">
        <f ca="1">Table1[[#This Row],[Time to onboard]]/Table1[[#This Row],[Time to Fill]]*100</f>
        <v>3.7037037037037033</v>
      </c>
      <c r="U285" s="8">
        <f ca="1">Table1[[#This Row],[Time to onboard]]/Table1[[#This Row],[Time to Fill]]*100</f>
        <v>3.7037037037037033</v>
      </c>
      <c r="V285">
        <f ca="1">Table1[[#This Row],[Join Date]]-Table1[[#This Row],[Job Posting Date]]</f>
        <v>28</v>
      </c>
      <c r="W285">
        <f t="shared" ca="1" si="43"/>
        <v>161</v>
      </c>
      <c r="X285" s="8">
        <f ca="1">Table1[[#This Row],[Absentee Days]]/Table1[[#This Row],[Total Work Days]]*100</f>
        <v>6.1538461538461542</v>
      </c>
      <c r="Y285">
        <f ca="1">YEAR(Table1[[#This Row],[Join Date]])</f>
        <v>2021</v>
      </c>
      <c r="Z285">
        <f ca="1">IF(Table1[[#This Row],[Status]]="Active",1,0)</f>
        <v>1</v>
      </c>
      <c r="AA285">
        <f ca="1">IF(Table1[[#This Row],[Status]]="Exited",Table1[[#This Row],[Recruitment Cost]]+Table1[[#This Row],[Onboarding cost]]+Table1[[#This Row],[Training Cost]],0)</f>
        <v>0</v>
      </c>
    </row>
    <row r="286" spans="1:27">
      <c r="A286" t="str">
        <f t="shared" si="39"/>
        <v>E285</v>
      </c>
      <c r="B286" t="str" cm="1">
        <f t="array" aca="1" ref="B286" ca="1">INDEX(sheet2!$A$2:$A$6, RANDBETWEEN(1, 5))</f>
        <v>Finance</v>
      </c>
      <c r="C286" t="str">
        <f ca="1">_xlfn.XLOOKUP(Table1[[#This Row],[Department]],sheet2!$A$2:$A$6,sheet2!$B$2:$B$6,_xleta.NA,0)</f>
        <v>Finance Manager</v>
      </c>
      <c r="D286" s="1">
        <f t="shared" ca="1" si="36"/>
        <v>43691</v>
      </c>
      <c r="E286" s="1">
        <f ca="1">Table1[[#This Row],[Job Posting Date]]+ RANDBETWEEN(15, 90)</f>
        <v>43777</v>
      </c>
      <c r="F286" s="1">
        <f ca="1">Table1[[#This Row],[Hire Date]]+ RANDBETWEEN(1, 15)</f>
        <v>43785</v>
      </c>
      <c r="G286" s="1" t="str">
        <f ca="1">IF(RAND() &lt; 0.5,  Table1[[#This Row],[Join Date]]+ RANDBETWEEN(30, TODAY()- Table1[[#This Row],[Join Date]]), "-")</f>
        <v>-</v>
      </c>
      <c r="H286" t="str">
        <f ca="1">IF(Table1[[#This Row],[Exit Date]]= "-", "Active", "Exited")</f>
        <v>Active</v>
      </c>
      <c r="I286" s="5">
        <f t="shared" ca="1" si="37"/>
        <v>2260</v>
      </c>
      <c r="J286" t="str" cm="1">
        <f t="array" aca="1" ref="J286" ca="1">INDEX(sheet2!$C$2:$C$6, RANDBETWEEN(1, 5))</f>
        <v>Leadership Development</v>
      </c>
      <c r="K286" t="str">
        <f t="shared" ca="1" si="38"/>
        <v>Completed</v>
      </c>
      <c r="L286">
        <v>260</v>
      </c>
      <c r="M286">
        <f t="shared" ca="1" si="40"/>
        <v>18</v>
      </c>
      <c r="N286" t="str">
        <f t="shared" ca="1" si="41"/>
        <v>Female</v>
      </c>
      <c r="O286" s="6">
        <f t="shared" ca="1" si="42"/>
        <v>2385</v>
      </c>
      <c r="P286">
        <f ca="1">Table1[[#This Row],[Hire Date]]-Table1[[#This Row],[Job Posting Date]]</f>
        <v>86</v>
      </c>
      <c r="Q286" s="7">
        <f ca="1">Table1[[#This Row],[Join Date]]-Table1[[#This Row],[Hire Date]]</f>
        <v>8</v>
      </c>
      <c r="R286" s="8">
        <f ca="1">(IF(Table1[[#This Row],[Status]]="Exited",Table1[[#This Row],[Exit Date]]-Table1[[#This Row],[Join Date]],TODAY()-Table1[[#This Row],[Join Date]]))/30</f>
        <v>62.6</v>
      </c>
      <c r="S286">
        <f ca="1">Table1[[#This Row],[Hire Date]]-Table1[[#This Row],[Job Posting Date]]</f>
        <v>86</v>
      </c>
      <c r="T286" s="7">
        <f ca="1">Table1[[#This Row],[Time to onboard]]/Table1[[#This Row],[Time to Fill]]*100</f>
        <v>9.3023255813953494</v>
      </c>
      <c r="U286" s="8">
        <f ca="1">Table1[[#This Row],[Time to onboard]]/Table1[[#This Row],[Time to Fill]]*100</f>
        <v>9.3023255813953494</v>
      </c>
      <c r="V286">
        <f ca="1">Table1[[#This Row],[Join Date]]-Table1[[#This Row],[Job Posting Date]]</f>
        <v>94</v>
      </c>
      <c r="W286">
        <f t="shared" ca="1" si="43"/>
        <v>180</v>
      </c>
      <c r="X286" s="8">
        <f ca="1">Table1[[#This Row],[Absentee Days]]/Table1[[#This Row],[Total Work Days]]*100</f>
        <v>6.9230769230769234</v>
      </c>
      <c r="Y286">
        <f ca="1">YEAR(Table1[[#This Row],[Join Date]])</f>
        <v>2019</v>
      </c>
      <c r="Z286">
        <f ca="1">IF(Table1[[#This Row],[Status]]="Active",1,0)</f>
        <v>1</v>
      </c>
      <c r="AA286">
        <f ca="1">IF(Table1[[#This Row],[Status]]="Exited",Table1[[#This Row],[Recruitment Cost]]+Table1[[#This Row],[Onboarding cost]]+Table1[[#This Row],[Training Cost]],0)</f>
        <v>0</v>
      </c>
    </row>
    <row r="287" spans="1:27">
      <c r="A287" t="str">
        <f t="shared" si="39"/>
        <v>E286</v>
      </c>
      <c r="B287" t="str" cm="1">
        <f t="array" aca="1" ref="B287" ca="1">INDEX(sheet2!$A$2:$A$6, RANDBETWEEN(1, 5))</f>
        <v>HR</v>
      </c>
      <c r="C287" t="str">
        <f ca="1">_xlfn.XLOOKUP(Table1[[#This Row],[Department]],sheet2!$A$2:$A$6,sheet2!$B$2:$B$6,_xleta.NA,0)</f>
        <v>HR Manager</v>
      </c>
      <c r="D287" s="1">
        <f t="shared" ca="1" si="36"/>
        <v>44632</v>
      </c>
      <c r="E287" s="1">
        <f ca="1">Table1[[#This Row],[Job Posting Date]]+ RANDBETWEEN(15, 90)</f>
        <v>44706</v>
      </c>
      <c r="F287" s="1">
        <f ca="1">Table1[[#This Row],[Hire Date]]+ RANDBETWEEN(1, 15)</f>
        <v>44708</v>
      </c>
      <c r="G287" s="1" t="str">
        <f ca="1">IF(RAND() &lt; 0.5,  Table1[[#This Row],[Join Date]]+ RANDBETWEEN(30, TODAY()- Table1[[#This Row],[Join Date]]), "-")</f>
        <v>-</v>
      </c>
      <c r="H287" t="str">
        <f ca="1">IF(Table1[[#This Row],[Exit Date]]= "-", "Active", "Exited")</f>
        <v>Active</v>
      </c>
      <c r="I287" s="5">
        <f t="shared" ca="1" si="37"/>
        <v>3343</v>
      </c>
      <c r="J287" t="str" cm="1">
        <f t="array" aca="1" ref="J287" ca="1">INDEX(sheet2!$C$2:$C$6, RANDBETWEEN(1, 5))</f>
        <v>Leadership Development</v>
      </c>
      <c r="K287" t="str">
        <f t="shared" ca="1" si="38"/>
        <v>Not Completed</v>
      </c>
      <c r="L287">
        <v>260</v>
      </c>
      <c r="M287">
        <f t="shared" ca="1" si="40"/>
        <v>18</v>
      </c>
      <c r="N287" t="str">
        <f t="shared" ca="1" si="41"/>
        <v>Female</v>
      </c>
      <c r="O287" s="6">
        <f t="shared" ca="1" si="42"/>
        <v>1535</v>
      </c>
      <c r="P287">
        <f ca="1">Table1[[#This Row],[Hire Date]]-Table1[[#This Row],[Job Posting Date]]</f>
        <v>74</v>
      </c>
      <c r="Q287" s="7">
        <f ca="1">Table1[[#This Row],[Join Date]]-Table1[[#This Row],[Hire Date]]</f>
        <v>2</v>
      </c>
      <c r="R287" s="8">
        <f ca="1">(IF(Table1[[#This Row],[Status]]="Exited",Table1[[#This Row],[Exit Date]]-Table1[[#This Row],[Join Date]],TODAY()-Table1[[#This Row],[Join Date]]))/30</f>
        <v>31.833333333333332</v>
      </c>
      <c r="S287">
        <f ca="1">Table1[[#This Row],[Hire Date]]-Table1[[#This Row],[Job Posting Date]]</f>
        <v>74</v>
      </c>
      <c r="T287" s="7">
        <f ca="1">Table1[[#This Row],[Time to onboard]]/Table1[[#This Row],[Time to Fill]]*100</f>
        <v>2.7027027027027026</v>
      </c>
      <c r="U287" s="8">
        <f ca="1">Table1[[#This Row],[Time to onboard]]/Table1[[#This Row],[Time to Fill]]*100</f>
        <v>2.7027027027027026</v>
      </c>
      <c r="V287">
        <f ca="1">Table1[[#This Row],[Join Date]]-Table1[[#This Row],[Job Posting Date]]</f>
        <v>76</v>
      </c>
      <c r="W287">
        <f t="shared" ca="1" si="43"/>
        <v>136</v>
      </c>
      <c r="X287" s="8">
        <f ca="1">Table1[[#This Row],[Absentee Days]]/Table1[[#This Row],[Total Work Days]]*100</f>
        <v>6.9230769230769234</v>
      </c>
      <c r="Y287">
        <f ca="1">YEAR(Table1[[#This Row],[Join Date]])</f>
        <v>2022</v>
      </c>
      <c r="Z287">
        <f ca="1">IF(Table1[[#This Row],[Status]]="Active",1,0)</f>
        <v>1</v>
      </c>
      <c r="AA287">
        <f ca="1">IF(Table1[[#This Row],[Status]]="Exited",Table1[[#This Row],[Recruitment Cost]]+Table1[[#This Row],[Onboarding cost]]+Table1[[#This Row],[Training Cost]],0)</f>
        <v>0</v>
      </c>
    </row>
    <row r="288" spans="1:27">
      <c r="A288" t="str">
        <f t="shared" si="39"/>
        <v>E287</v>
      </c>
      <c r="B288" t="str" cm="1">
        <f t="array" aca="1" ref="B288" ca="1">INDEX(sheet2!$A$2:$A$6, RANDBETWEEN(1, 5))</f>
        <v>IT</v>
      </c>
      <c r="C288" t="str">
        <f ca="1">_xlfn.XLOOKUP(Table1[[#This Row],[Department]],sheet2!$A$2:$A$6,sheet2!$B$2:$B$6,_xleta.NA,0)</f>
        <v>Software Engineer</v>
      </c>
      <c r="D288" s="1">
        <f t="shared" ca="1" si="36"/>
        <v>44551</v>
      </c>
      <c r="E288" s="1">
        <f ca="1">Table1[[#This Row],[Job Posting Date]]+ RANDBETWEEN(15, 90)</f>
        <v>44570</v>
      </c>
      <c r="F288" s="1">
        <f ca="1">Table1[[#This Row],[Hire Date]]+ RANDBETWEEN(1, 15)</f>
        <v>44571</v>
      </c>
      <c r="G288" s="1">
        <f ca="1">IF(RAND() &lt; 0.5,  Table1[[#This Row],[Join Date]]+ RANDBETWEEN(30, TODAY()- Table1[[#This Row],[Join Date]]), "-")</f>
        <v>44820</v>
      </c>
      <c r="H288" t="str">
        <f ca="1">IF(Table1[[#This Row],[Exit Date]]= "-", "Active", "Exited")</f>
        <v>Exited</v>
      </c>
      <c r="I288" s="5">
        <f t="shared" ca="1" si="37"/>
        <v>2365</v>
      </c>
      <c r="J288" t="str" cm="1">
        <f t="array" aca="1" ref="J288" ca="1">INDEX(sheet2!$C$2:$C$6, RANDBETWEEN(1, 5))</f>
        <v>Ethics and Responsibilities</v>
      </c>
      <c r="K288" t="str">
        <f t="shared" ca="1" si="38"/>
        <v>Completed</v>
      </c>
      <c r="L288">
        <v>260</v>
      </c>
      <c r="M288">
        <f t="shared" ca="1" si="40"/>
        <v>14</v>
      </c>
      <c r="N288" t="str">
        <f t="shared" ca="1" si="41"/>
        <v>Female</v>
      </c>
      <c r="O288" s="6">
        <f t="shared" ca="1" si="42"/>
        <v>1862</v>
      </c>
      <c r="P288">
        <f ca="1">Table1[[#This Row],[Hire Date]]-Table1[[#This Row],[Job Posting Date]]</f>
        <v>19</v>
      </c>
      <c r="Q288" s="7">
        <f ca="1">Table1[[#This Row],[Join Date]]-Table1[[#This Row],[Hire Date]]</f>
        <v>1</v>
      </c>
      <c r="R288" s="8">
        <f ca="1">(IF(Table1[[#This Row],[Status]]="Exited",Table1[[#This Row],[Exit Date]]-Table1[[#This Row],[Join Date]],TODAY()-Table1[[#This Row],[Join Date]]))/30</f>
        <v>8.3000000000000007</v>
      </c>
      <c r="S288">
        <f ca="1">Table1[[#This Row],[Hire Date]]-Table1[[#This Row],[Job Posting Date]]</f>
        <v>19</v>
      </c>
      <c r="T288" s="7">
        <f ca="1">Table1[[#This Row],[Time to onboard]]/Table1[[#This Row],[Time to Fill]]*100</f>
        <v>5.2631578947368416</v>
      </c>
      <c r="U288" s="8">
        <f ca="1">Table1[[#This Row],[Time to onboard]]/Table1[[#This Row],[Time to Fill]]*100</f>
        <v>5.2631578947368416</v>
      </c>
      <c r="V288">
        <f ca="1">Table1[[#This Row],[Join Date]]-Table1[[#This Row],[Job Posting Date]]</f>
        <v>20</v>
      </c>
      <c r="W288">
        <f t="shared" ca="1" si="43"/>
        <v>101</v>
      </c>
      <c r="X288" s="8">
        <f ca="1">Table1[[#This Row],[Absentee Days]]/Table1[[#This Row],[Total Work Days]]*100</f>
        <v>5.384615384615385</v>
      </c>
      <c r="Y288">
        <f ca="1">YEAR(Table1[[#This Row],[Join Date]])</f>
        <v>2022</v>
      </c>
      <c r="Z288">
        <f ca="1">IF(Table1[[#This Row],[Status]]="Active",1,0)</f>
        <v>0</v>
      </c>
      <c r="AA288">
        <f ca="1">IF(Table1[[#This Row],[Status]]="Exited",Table1[[#This Row],[Recruitment Cost]]+Table1[[#This Row],[Onboarding cost]]+Table1[[#This Row],[Training Cost]],0)</f>
        <v>4328</v>
      </c>
    </row>
    <row r="289" spans="1:27">
      <c r="A289" t="str">
        <f t="shared" si="39"/>
        <v>E288</v>
      </c>
      <c r="B289" t="str" cm="1">
        <f t="array" aca="1" ref="B289" ca="1">INDEX(sheet2!$A$2:$A$6, RANDBETWEEN(1, 5))</f>
        <v>Finance</v>
      </c>
      <c r="C289" t="str">
        <f ca="1">_xlfn.XLOOKUP(Table1[[#This Row],[Department]],sheet2!$A$2:$A$6,sheet2!$B$2:$B$6,_xleta.NA,0)</f>
        <v>Finance Manager</v>
      </c>
      <c r="D289" s="1">
        <f t="shared" ca="1" si="36"/>
        <v>43177</v>
      </c>
      <c r="E289" s="1">
        <f ca="1">Table1[[#This Row],[Job Posting Date]]+ RANDBETWEEN(15, 90)</f>
        <v>43255</v>
      </c>
      <c r="F289" s="1">
        <f ca="1">Table1[[#This Row],[Hire Date]]+ RANDBETWEEN(1, 15)</f>
        <v>43268</v>
      </c>
      <c r="G289" s="1" t="str">
        <f ca="1">IF(RAND() &lt; 0.5,  Table1[[#This Row],[Join Date]]+ RANDBETWEEN(30, TODAY()- Table1[[#This Row],[Join Date]]), "-")</f>
        <v>-</v>
      </c>
      <c r="H289" t="str">
        <f ca="1">IF(Table1[[#This Row],[Exit Date]]= "-", "Active", "Exited")</f>
        <v>Active</v>
      </c>
      <c r="I289" s="5">
        <f t="shared" ca="1" si="37"/>
        <v>1699</v>
      </c>
      <c r="J289" t="str" cm="1">
        <f t="array" aca="1" ref="J289" ca="1">INDEX(sheet2!$C$2:$C$6, RANDBETWEEN(1, 5))</f>
        <v>Conflict Resolution</v>
      </c>
      <c r="K289" t="str">
        <f t="shared" ca="1" si="38"/>
        <v>Completed</v>
      </c>
      <c r="L289">
        <v>260</v>
      </c>
      <c r="M289">
        <f t="shared" ca="1" si="40"/>
        <v>14</v>
      </c>
      <c r="N289" t="str">
        <f t="shared" ca="1" si="41"/>
        <v>Female</v>
      </c>
      <c r="O289" s="6">
        <f t="shared" ca="1" si="42"/>
        <v>1927</v>
      </c>
      <c r="P289">
        <f ca="1">Table1[[#This Row],[Hire Date]]-Table1[[#This Row],[Job Posting Date]]</f>
        <v>78</v>
      </c>
      <c r="Q289" s="7">
        <f ca="1">Table1[[#This Row],[Join Date]]-Table1[[#This Row],[Hire Date]]</f>
        <v>13</v>
      </c>
      <c r="R289" s="8">
        <f ca="1">(IF(Table1[[#This Row],[Status]]="Exited",Table1[[#This Row],[Exit Date]]-Table1[[#This Row],[Join Date]],TODAY()-Table1[[#This Row],[Join Date]]))/30</f>
        <v>79.833333333333329</v>
      </c>
      <c r="S289">
        <f ca="1">Table1[[#This Row],[Hire Date]]-Table1[[#This Row],[Job Posting Date]]</f>
        <v>78</v>
      </c>
      <c r="T289" s="7">
        <f ca="1">Table1[[#This Row],[Time to onboard]]/Table1[[#This Row],[Time to Fill]]*100</f>
        <v>16.666666666666664</v>
      </c>
      <c r="U289" s="8">
        <f ca="1">Table1[[#This Row],[Time to onboard]]/Table1[[#This Row],[Time to Fill]]*100</f>
        <v>16.666666666666664</v>
      </c>
      <c r="V289">
        <f ca="1">Table1[[#This Row],[Join Date]]-Table1[[#This Row],[Job Posting Date]]</f>
        <v>91</v>
      </c>
      <c r="W289">
        <f t="shared" ca="1" si="43"/>
        <v>173</v>
      </c>
      <c r="X289" s="8">
        <f ca="1">Table1[[#This Row],[Absentee Days]]/Table1[[#This Row],[Total Work Days]]*100</f>
        <v>5.384615384615385</v>
      </c>
      <c r="Y289">
        <f ca="1">YEAR(Table1[[#This Row],[Join Date]])</f>
        <v>2018</v>
      </c>
      <c r="Z289">
        <f ca="1">IF(Table1[[#This Row],[Status]]="Active",1,0)</f>
        <v>1</v>
      </c>
      <c r="AA289">
        <f ca="1">IF(Table1[[#This Row],[Status]]="Exited",Table1[[#This Row],[Recruitment Cost]]+Table1[[#This Row],[Onboarding cost]]+Table1[[#This Row],[Training Cost]],0)</f>
        <v>0</v>
      </c>
    </row>
    <row r="290" spans="1:27">
      <c r="A290" t="str">
        <f t="shared" si="39"/>
        <v>E289</v>
      </c>
      <c r="B290" t="str" cm="1">
        <f t="array" aca="1" ref="B290" ca="1">INDEX(sheet2!$A$2:$A$6, RANDBETWEEN(1, 5))</f>
        <v>IT</v>
      </c>
      <c r="C290" t="str">
        <f ca="1">_xlfn.XLOOKUP(Table1[[#This Row],[Department]],sheet2!$A$2:$A$6,sheet2!$B$2:$B$6,_xleta.NA,0)</f>
        <v>Software Engineer</v>
      </c>
      <c r="D290" s="1">
        <f t="shared" ca="1" si="36"/>
        <v>44558</v>
      </c>
      <c r="E290" s="1">
        <f ca="1">Table1[[#This Row],[Job Posting Date]]+ RANDBETWEEN(15, 90)</f>
        <v>44636</v>
      </c>
      <c r="F290" s="1">
        <f ca="1">Table1[[#This Row],[Hire Date]]+ RANDBETWEEN(1, 15)</f>
        <v>44644</v>
      </c>
      <c r="G290" s="1" t="str">
        <f ca="1">IF(RAND() &lt; 0.5,  Table1[[#This Row],[Join Date]]+ RANDBETWEEN(30, TODAY()- Table1[[#This Row],[Join Date]]), "-")</f>
        <v>-</v>
      </c>
      <c r="H290" t="str">
        <f ca="1">IF(Table1[[#This Row],[Exit Date]]= "-", "Active", "Exited")</f>
        <v>Active</v>
      </c>
      <c r="I290" s="5">
        <f t="shared" ca="1" si="37"/>
        <v>1710</v>
      </c>
      <c r="J290" t="str" cm="1">
        <f t="array" aca="1" ref="J290" ca="1">INDEX(sheet2!$C$2:$C$6, RANDBETWEEN(1, 5))</f>
        <v>Conflict Resolution</v>
      </c>
      <c r="K290" t="str">
        <f t="shared" ca="1" si="38"/>
        <v>Not Completed</v>
      </c>
      <c r="L290">
        <v>260</v>
      </c>
      <c r="M290">
        <f t="shared" ca="1" si="40"/>
        <v>20</v>
      </c>
      <c r="N290" t="str">
        <f t="shared" ca="1" si="41"/>
        <v>Male</v>
      </c>
      <c r="O290" s="6">
        <f t="shared" ca="1" si="42"/>
        <v>1841</v>
      </c>
      <c r="P290">
        <f ca="1">Table1[[#This Row],[Hire Date]]-Table1[[#This Row],[Job Posting Date]]</f>
        <v>78</v>
      </c>
      <c r="Q290" s="7">
        <f ca="1">Table1[[#This Row],[Join Date]]-Table1[[#This Row],[Hire Date]]</f>
        <v>8</v>
      </c>
      <c r="R290" s="8">
        <f ca="1">(IF(Table1[[#This Row],[Status]]="Exited",Table1[[#This Row],[Exit Date]]-Table1[[#This Row],[Join Date]],TODAY()-Table1[[#This Row],[Join Date]]))/30</f>
        <v>33.966666666666669</v>
      </c>
      <c r="S290">
        <f ca="1">Table1[[#This Row],[Hire Date]]-Table1[[#This Row],[Job Posting Date]]</f>
        <v>78</v>
      </c>
      <c r="T290" s="7">
        <f ca="1">Table1[[#This Row],[Time to onboard]]/Table1[[#This Row],[Time to Fill]]*100</f>
        <v>10.256410256410255</v>
      </c>
      <c r="U290" s="8">
        <f ca="1">Table1[[#This Row],[Time to onboard]]/Table1[[#This Row],[Time to Fill]]*100</f>
        <v>10.256410256410255</v>
      </c>
      <c r="V290">
        <f ca="1">Table1[[#This Row],[Join Date]]-Table1[[#This Row],[Job Posting Date]]</f>
        <v>86</v>
      </c>
      <c r="W290">
        <f t="shared" ca="1" si="43"/>
        <v>169</v>
      </c>
      <c r="X290" s="8">
        <f ca="1">Table1[[#This Row],[Absentee Days]]/Table1[[#This Row],[Total Work Days]]*100</f>
        <v>7.6923076923076925</v>
      </c>
      <c r="Y290">
        <f ca="1">YEAR(Table1[[#This Row],[Join Date]])</f>
        <v>2022</v>
      </c>
      <c r="Z290">
        <f ca="1">IF(Table1[[#This Row],[Status]]="Active",1,0)</f>
        <v>1</v>
      </c>
      <c r="AA290">
        <f ca="1">IF(Table1[[#This Row],[Status]]="Exited",Table1[[#This Row],[Recruitment Cost]]+Table1[[#This Row],[Onboarding cost]]+Table1[[#This Row],[Training Cost]],0)</f>
        <v>0</v>
      </c>
    </row>
    <row r="291" spans="1:27">
      <c r="A291" t="str">
        <f t="shared" si="39"/>
        <v>E290</v>
      </c>
      <c r="B291" t="str" cm="1">
        <f t="array" aca="1" ref="B291" ca="1">INDEX(sheet2!$A$2:$A$6, RANDBETWEEN(1, 5))</f>
        <v>HR</v>
      </c>
      <c r="C291" t="str">
        <f ca="1">_xlfn.XLOOKUP(Table1[[#This Row],[Department]],sheet2!$A$2:$A$6,sheet2!$B$2:$B$6,_xleta.NA,0)</f>
        <v>HR Manager</v>
      </c>
      <c r="D291" s="1">
        <f t="shared" ca="1" si="36"/>
        <v>43790</v>
      </c>
      <c r="E291" s="1">
        <f ca="1">Table1[[#This Row],[Job Posting Date]]+ RANDBETWEEN(15, 90)</f>
        <v>43805</v>
      </c>
      <c r="F291" s="1">
        <f ca="1">Table1[[#This Row],[Hire Date]]+ RANDBETWEEN(1, 15)</f>
        <v>43813</v>
      </c>
      <c r="G291" s="1">
        <f ca="1">IF(RAND() &lt; 0.5,  Table1[[#This Row],[Join Date]]+ RANDBETWEEN(30, TODAY()- Table1[[#This Row],[Join Date]]), "-")</f>
        <v>45416</v>
      </c>
      <c r="H291" t="str">
        <f ca="1">IF(Table1[[#This Row],[Exit Date]]= "-", "Active", "Exited")</f>
        <v>Exited</v>
      </c>
      <c r="I291" s="5">
        <f t="shared" ca="1" si="37"/>
        <v>2167</v>
      </c>
      <c r="J291" t="str" cm="1">
        <f t="array" aca="1" ref="J291" ca="1">INDEX(sheet2!$C$2:$C$6, RANDBETWEEN(1, 5))</f>
        <v>Leadership Development</v>
      </c>
      <c r="K291" t="str">
        <f t="shared" ca="1" si="38"/>
        <v>Completed</v>
      </c>
      <c r="L291">
        <v>260</v>
      </c>
      <c r="M291">
        <f t="shared" ca="1" si="40"/>
        <v>14</v>
      </c>
      <c r="N291" t="str">
        <f t="shared" ca="1" si="41"/>
        <v>Other</v>
      </c>
      <c r="O291" s="6">
        <f t="shared" ca="1" si="42"/>
        <v>1308</v>
      </c>
      <c r="P291">
        <f ca="1">Table1[[#This Row],[Hire Date]]-Table1[[#This Row],[Job Posting Date]]</f>
        <v>15</v>
      </c>
      <c r="Q291" s="7">
        <f ca="1">Table1[[#This Row],[Join Date]]-Table1[[#This Row],[Hire Date]]</f>
        <v>8</v>
      </c>
      <c r="R291" s="8">
        <f ca="1">(IF(Table1[[#This Row],[Status]]="Exited",Table1[[#This Row],[Exit Date]]-Table1[[#This Row],[Join Date]],TODAY()-Table1[[#This Row],[Join Date]]))/30</f>
        <v>53.43333333333333</v>
      </c>
      <c r="S291">
        <f ca="1">Table1[[#This Row],[Hire Date]]-Table1[[#This Row],[Job Posting Date]]</f>
        <v>15</v>
      </c>
      <c r="T291" s="7">
        <f ca="1">Table1[[#This Row],[Time to onboard]]/Table1[[#This Row],[Time to Fill]]*100</f>
        <v>53.333333333333336</v>
      </c>
      <c r="U291" s="8">
        <f ca="1">Table1[[#This Row],[Time to onboard]]/Table1[[#This Row],[Time to Fill]]*100</f>
        <v>53.333333333333336</v>
      </c>
      <c r="V291">
        <f ca="1">Table1[[#This Row],[Join Date]]-Table1[[#This Row],[Job Posting Date]]</f>
        <v>23</v>
      </c>
      <c r="W291">
        <f t="shared" ca="1" si="43"/>
        <v>129</v>
      </c>
      <c r="X291" s="8">
        <f ca="1">Table1[[#This Row],[Absentee Days]]/Table1[[#This Row],[Total Work Days]]*100</f>
        <v>5.384615384615385</v>
      </c>
      <c r="Y291">
        <f ca="1">YEAR(Table1[[#This Row],[Join Date]])</f>
        <v>2019</v>
      </c>
      <c r="Z291">
        <f ca="1">IF(Table1[[#This Row],[Status]]="Active",1,0)</f>
        <v>0</v>
      </c>
      <c r="AA291">
        <f ca="1">IF(Table1[[#This Row],[Status]]="Exited",Table1[[#This Row],[Recruitment Cost]]+Table1[[#This Row],[Onboarding cost]]+Table1[[#This Row],[Training Cost]],0)</f>
        <v>3604</v>
      </c>
    </row>
    <row r="292" spans="1:27">
      <c r="A292" t="str">
        <f t="shared" si="39"/>
        <v>E291</v>
      </c>
      <c r="B292" t="str" cm="1">
        <f t="array" aca="1" ref="B292" ca="1">INDEX(sheet2!$A$2:$A$6, RANDBETWEEN(1, 5))</f>
        <v>IT</v>
      </c>
      <c r="C292" t="str">
        <f ca="1">_xlfn.XLOOKUP(Table1[[#This Row],[Department]],sheet2!$A$2:$A$6,sheet2!$B$2:$B$6,_xleta.NA,0)</f>
        <v>Software Engineer</v>
      </c>
      <c r="D292" s="1">
        <f t="shared" ca="1" si="36"/>
        <v>44816</v>
      </c>
      <c r="E292" s="1">
        <f ca="1">Table1[[#This Row],[Job Posting Date]]+ RANDBETWEEN(15, 90)</f>
        <v>44834</v>
      </c>
      <c r="F292" s="1">
        <f ca="1">Table1[[#This Row],[Hire Date]]+ RANDBETWEEN(1, 15)</f>
        <v>44845</v>
      </c>
      <c r="G292" s="1" t="str">
        <f ca="1">IF(RAND() &lt; 0.5,  Table1[[#This Row],[Join Date]]+ RANDBETWEEN(30, TODAY()- Table1[[#This Row],[Join Date]]), "-")</f>
        <v>-</v>
      </c>
      <c r="H292" t="str">
        <f ca="1">IF(Table1[[#This Row],[Exit Date]]= "-", "Active", "Exited")</f>
        <v>Active</v>
      </c>
      <c r="I292" s="5">
        <f t="shared" ca="1" si="37"/>
        <v>3628</v>
      </c>
      <c r="J292" t="str" cm="1">
        <f t="array" aca="1" ref="J292" ca="1">INDEX(sheet2!$C$2:$C$6, RANDBETWEEN(1, 5))</f>
        <v>Advanced Excel Skills </v>
      </c>
      <c r="K292" t="str">
        <f t="shared" ca="1" si="38"/>
        <v>Not Completed</v>
      </c>
      <c r="L292">
        <v>260</v>
      </c>
      <c r="M292">
        <f t="shared" ca="1" si="40"/>
        <v>4</v>
      </c>
      <c r="N292" t="str">
        <f t="shared" ca="1" si="41"/>
        <v>Female</v>
      </c>
      <c r="O292" s="6">
        <f t="shared" ca="1" si="42"/>
        <v>2366</v>
      </c>
      <c r="P292">
        <f ca="1">Table1[[#This Row],[Hire Date]]-Table1[[#This Row],[Job Posting Date]]</f>
        <v>18</v>
      </c>
      <c r="Q292" s="7">
        <f ca="1">Table1[[#This Row],[Join Date]]-Table1[[#This Row],[Hire Date]]</f>
        <v>11</v>
      </c>
      <c r="R292" s="8">
        <f ca="1">(IF(Table1[[#This Row],[Status]]="Exited",Table1[[#This Row],[Exit Date]]-Table1[[#This Row],[Join Date]],TODAY()-Table1[[#This Row],[Join Date]]))/30</f>
        <v>27.266666666666666</v>
      </c>
      <c r="S292">
        <f ca="1">Table1[[#This Row],[Hire Date]]-Table1[[#This Row],[Job Posting Date]]</f>
        <v>18</v>
      </c>
      <c r="T292" s="7">
        <f ca="1">Table1[[#This Row],[Time to onboard]]/Table1[[#This Row],[Time to Fill]]*100</f>
        <v>61.111111111111114</v>
      </c>
      <c r="U292" s="8">
        <f ca="1">Table1[[#This Row],[Time to onboard]]/Table1[[#This Row],[Time to Fill]]*100</f>
        <v>61.111111111111114</v>
      </c>
      <c r="V292">
        <f ca="1">Table1[[#This Row],[Join Date]]-Table1[[#This Row],[Job Posting Date]]</f>
        <v>29</v>
      </c>
      <c r="W292">
        <f t="shared" ca="1" si="43"/>
        <v>152</v>
      </c>
      <c r="X292" s="8">
        <f ca="1">Table1[[#This Row],[Absentee Days]]/Table1[[#This Row],[Total Work Days]]*100</f>
        <v>1.5384615384615385</v>
      </c>
      <c r="Y292">
        <f ca="1">YEAR(Table1[[#This Row],[Join Date]])</f>
        <v>2022</v>
      </c>
      <c r="Z292">
        <f ca="1">IF(Table1[[#This Row],[Status]]="Active",1,0)</f>
        <v>1</v>
      </c>
      <c r="AA292">
        <f ca="1">IF(Table1[[#This Row],[Status]]="Exited",Table1[[#This Row],[Recruitment Cost]]+Table1[[#This Row],[Onboarding cost]]+Table1[[#This Row],[Training Cost]],0)</f>
        <v>0</v>
      </c>
    </row>
    <row r="293" spans="1:27">
      <c r="A293" t="str">
        <f t="shared" si="39"/>
        <v>E292</v>
      </c>
      <c r="B293" t="str" cm="1">
        <f t="array" aca="1" ref="B293" ca="1">INDEX(sheet2!$A$2:$A$6, RANDBETWEEN(1, 5))</f>
        <v>Analytics</v>
      </c>
      <c r="C293" t="str">
        <f ca="1">_xlfn.XLOOKUP(Table1[[#This Row],[Department]],sheet2!$A$2:$A$6,sheet2!$B$2:$B$6,_xleta.NA,0)</f>
        <v>Data Analyst</v>
      </c>
      <c r="D293" s="1">
        <f t="shared" ca="1" si="36"/>
        <v>44327</v>
      </c>
      <c r="E293" s="1">
        <f ca="1">Table1[[#This Row],[Job Posting Date]]+ RANDBETWEEN(15, 90)</f>
        <v>44353</v>
      </c>
      <c r="F293" s="1">
        <f ca="1">Table1[[#This Row],[Hire Date]]+ RANDBETWEEN(1, 15)</f>
        <v>44359</v>
      </c>
      <c r="G293" s="1">
        <f ca="1">IF(RAND() &lt; 0.5,  Table1[[#This Row],[Join Date]]+ RANDBETWEEN(30, TODAY()- Table1[[#This Row],[Join Date]]), "-")</f>
        <v>44585</v>
      </c>
      <c r="H293" t="str">
        <f ca="1">IF(Table1[[#This Row],[Exit Date]]= "-", "Active", "Exited")</f>
        <v>Exited</v>
      </c>
      <c r="I293" s="5">
        <f t="shared" ca="1" si="37"/>
        <v>2326</v>
      </c>
      <c r="J293" t="str" cm="1">
        <f t="array" aca="1" ref="J293" ca="1">INDEX(sheet2!$C$2:$C$6, RANDBETWEEN(1, 5))</f>
        <v>Communication Skills</v>
      </c>
      <c r="K293" t="str">
        <f t="shared" ca="1" si="38"/>
        <v>Completed</v>
      </c>
      <c r="L293">
        <v>260</v>
      </c>
      <c r="M293">
        <f t="shared" ca="1" si="40"/>
        <v>1</v>
      </c>
      <c r="N293" t="str">
        <f t="shared" ca="1" si="41"/>
        <v>Female</v>
      </c>
      <c r="O293" s="6">
        <f t="shared" ca="1" si="42"/>
        <v>2183</v>
      </c>
      <c r="P293">
        <f ca="1">Table1[[#This Row],[Hire Date]]-Table1[[#This Row],[Job Posting Date]]</f>
        <v>26</v>
      </c>
      <c r="Q293" s="7">
        <f ca="1">Table1[[#This Row],[Join Date]]-Table1[[#This Row],[Hire Date]]</f>
        <v>6</v>
      </c>
      <c r="R293" s="8">
        <f ca="1">(IF(Table1[[#This Row],[Status]]="Exited",Table1[[#This Row],[Exit Date]]-Table1[[#This Row],[Join Date]],TODAY()-Table1[[#This Row],[Join Date]]))/30</f>
        <v>7.5333333333333332</v>
      </c>
      <c r="S293">
        <f ca="1">Table1[[#This Row],[Hire Date]]-Table1[[#This Row],[Job Posting Date]]</f>
        <v>26</v>
      </c>
      <c r="T293" s="7">
        <f ca="1">Table1[[#This Row],[Time to onboard]]/Table1[[#This Row],[Time to Fill]]*100</f>
        <v>23.076923076923077</v>
      </c>
      <c r="U293" s="8">
        <f ca="1">Table1[[#This Row],[Time to onboard]]/Table1[[#This Row],[Time to Fill]]*100</f>
        <v>23.076923076923077</v>
      </c>
      <c r="V293">
        <f ca="1">Table1[[#This Row],[Join Date]]-Table1[[#This Row],[Job Posting Date]]</f>
        <v>32</v>
      </c>
      <c r="W293">
        <f t="shared" ca="1" si="43"/>
        <v>156</v>
      </c>
      <c r="X293" s="8">
        <f ca="1">Table1[[#This Row],[Absentee Days]]/Table1[[#This Row],[Total Work Days]]*100</f>
        <v>0.38461538461538464</v>
      </c>
      <c r="Y293">
        <f ca="1">YEAR(Table1[[#This Row],[Join Date]])</f>
        <v>2021</v>
      </c>
      <c r="Z293">
        <f ca="1">IF(Table1[[#This Row],[Status]]="Active",1,0)</f>
        <v>0</v>
      </c>
      <c r="AA293">
        <f ca="1">IF(Table1[[#This Row],[Status]]="Exited",Table1[[#This Row],[Recruitment Cost]]+Table1[[#This Row],[Onboarding cost]]+Table1[[#This Row],[Training Cost]],0)</f>
        <v>4665</v>
      </c>
    </row>
    <row r="294" spans="1:27">
      <c r="A294" t="str">
        <f t="shared" si="39"/>
        <v>E293</v>
      </c>
      <c r="B294" t="str" cm="1">
        <f t="array" aca="1" ref="B294" ca="1">INDEX(sheet2!$A$2:$A$6, RANDBETWEEN(1, 5))</f>
        <v>Sales</v>
      </c>
      <c r="C294" t="str">
        <f ca="1">_xlfn.XLOOKUP(Table1[[#This Row],[Department]],sheet2!$A$2:$A$6,sheet2!$B$2:$B$6,_xleta.NA,0)</f>
        <v>Marketing Manager</v>
      </c>
      <c r="D294" s="1">
        <f t="shared" ref="D294:D357" ca="1" si="44">DATE(RANDBETWEEN(2018, 2022), RANDBETWEEN(1, 12), RANDBETWEEN(1, 28))</f>
        <v>43538</v>
      </c>
      <c r="E294" s="1">
        <f ca="1">Table1[[#This Row],[Job Posting Date]]+ RANDBETWEEN(15, 90)</f>
        <v>43616</v>
      </c>
      <c r="F294" s="1">
        <f ca="1">Table1[[#This Row],[Hire Date]]+ RANDBETWEEN(1, 15)</f>
        <v>43627</v>
      </c>
      <c r="G294" s="1" t="str">
        <f ca="1">IF(RAND() &lt; 0.5,  Table1[[#This Row],[Join Date]]+ RANDBETWEEN(30, TODAY()- Table1[[#This Row],[Join Date]]), "-")</f>
        <v>-</v>
      </c>
      <c r="H294" t="str">
        <f ca="1">IF(Table1[[#This Row],[Exit Date]]= "-", "Active", "Exited")</f>
        <v>Active</v>
      </c>
      <c r="I294" s="5">
        <f t="shared" ref="I294:I357" ca="1" si="45">RANDBETWEEN(1500, 5000)</f>
        <v>3729</v>
      </c>
      <c r="J294" t="str" cm="1">
        <f t="array" aca="1" ref="J294" ca="1">INDEX(sheet2!$C$2:$C$6, RANDBETWEEN(1, 5))</f>
        <v>Advanced Excel Skills </v>
      </c>
      <c r="K294" t="str">
        <f t="shared" ref="K294:K357" ca="1" si="46">IF(RAND() &lt; 0.7, "Completed", "Not Completed")</f>
        <v>Not Completed</v>
      </c>
      <c r="L294">
        <v>260</v>
      </c>
      <c r="M294">
        <f t="shared" ca="1" si="40"/>
        <v>19</v>
      </c>
      <c r="N294" t="str">
        <f t="shared" ca="1" si="41"/>
        <v>Other</v>
      </c>
      <c r="O294" s="6">
        <f t="shared" ca="1" si="42"/>
        <v>2010</v>
      </c>
      <c r="P294">
        <f ca="1">Table1[[#This Row],[Hire Date]]-Table1[[#This Row],[Job Posting Date]]</f>
        <v>78</v>
      </c>
      <c r="Q294" s="7">
        <f ca="1">Table1[[#This Row],[Join Date]]-Table1[[#This Row],[Hire Date]]</f>
        <v>11</v>
      </c>
      <c r="R294" s="8">
        <f ca="1">(IF(Table1[[#This Row],[Status]]="Exited",Table1[[#This Row],[Exit Date]]-Table1[[#This Row],[Join Date]],TODAY()-Table1[[#This Row],[Join Date]]))/30</f>
        <v>67.86666666666666</v>
      </c>
      <c r="S294">
        <f ca="1">Table1[[#This Row],[Hire Date]]-Table1[[#This Row],[Job Posting Date]]</f>
        <v>78</v>
      </c>
      <c r="T294" s="7">
        <f ca="1">Table1[[#This Row],[Time to onboard]]/Table1[[#This Row],[Time to Fill]]*100</f>
        <v>14.102564102564102</v>
      </c>
      <c r="U294" s="8">
        <f ca="1">Table1[[#This Row],[Time to onboard]]/Table1[[#This Row],[Time to Fill]]*100</f>
        <v>14.102564102564102</v>
      </c>
      <c r="V294">
        <f ca="1">Table1[[#This Row],[Join Date]]-Table1[[#This Row],[Job Posting Date]]</f>
        <v>89</v>
      </c>
      <c r="W294">
        <f t="shared" ca="1" si="43"/>
        <v>197</v>
      </c>
      <c r="X294" s="8">
        <f ca="1">Table1[[#This Row],[Absentee Days]]/Table1[[#This Row],[Total Work Days]]*100</f>
        <v>7.3076923076923084</v>
      </c>
      <c r="Y294">
        <f ca="1">YEAR(Table1[[#This Row],[Join Date]])</f>
        <v>2019</v>
      </c>
      <c r="Z294">
        <f ca="1">IF(Table1[[#This Row],[Status]]="Active",1,0)</f>
        <v>1</v>
      </c>
      <c r="AA294">
        <f ca="1">IF(Table1[[#This Row],[Status]]="Exited",Table1[[#This Row],[Recruitment Cost]]+Table1[[#This Row],[Onboarding cost]]+Table1[[#This Row],[Training Cost]],0)</f>
        <v>0</v>
      </c>
    </row>
    <row r="295" spans="1:27">
      <c r="A295" t="str">
        <f t="shared" si="39"/>
        <v>E294</v>
      </c>
      <c r="B295" t="str" cm="1">
        <f t="array" aca="1" ref="B295" ca="1">INDEX(sheet2!$A$2:$A$6, RANDBETWEEN(1, 5))</f>
        <v>Sales</v>
      </c>
      <c r="C295" t="str">
        <f ca="1">_xlfn.XLOOKUP(Table1[[#This Row],[Department]],sheet2!$A$2:$A$6,sheet2!$B$2:$B$6,_xleta.NA,0)</f>
        <v>Marketing Manager</v>
      </c>
      <c r="D295" s="1">
        <f t="shared" ca="1" si="44"/>
        <v>43170</v>
      </c>
      <c r="E295" s="1">
        <f ca="1">Table1[[#This Row],[Job Posting Date]]+ RANDBETWEEN(15, 90)</f>
        <v>43195</v>
      </c>
      <c r="F295" s="1">
        <f ca="1">Table1[[#This Row],[Hire Date]]+ RANDBETWEEN(1, 15)</f>
        <v>43204</v>
      </c>
      <c r="G295" s="1">
        <f ca="1">IF(RAND() &lt; 0.5,  Table1[[#This Row],[Join Date]]+ RANDBETWEEN(30, TODAY()- Table1[[#This Row],[Join Date]]), "-")</f>
        <v>44716</v>
      </c>
      <c r="H295" t="str">
        <f ca="1">IF(Table1[[#This Row],[Exit Date]]= "-", "Active", "Exited")</f>
        <v>Exited</v>
      </c>
      <c r="I295" s="5">
        <f t="shared" ca="1" si="45"/>
        <v>3006</v>
      </c>
      <c r="J295" t="str" cm="1">
        <f t="array" aca="1" ref="J295" ca="1">INDEX(sheet2!$C$2:$C$6, RANDBETWEEN(1, 5))</f>
        <v>Communication Skills</v>
      </c>
      <c r="K295" t="str">
        <f t="shared" ca="1" si="46"/>
        <v>Completed</v>
      </c>
      <c r="L295">
        <v>260</v>
      </c>
      <c r="M295">
        <f t="shared" ca="1" si="40"/>
        <v>2</v>
      </c>
      <c r="N295" t="str">
        <f t="shared" ca="1" si="41"/>
        <v>Female</v>
      </c>
      <c r="O295" s="6">
        <f t="shared" ca="1" si="42"/>
        <v>1280</v>
      </c>
      <c r="P295">
        <f ca="1">Table1[[#This Row],[Hire Date]]-Table1[[#This Row],[Job Posting Date]]</f>
        <v>25</v>
      </c>
      <c r="Q295" s="7">
        <f ca="1">Table1[[#This Row],[Join Date]]-Table1[[#This Row],[Hire Date]]</f>
        <v>9</v>
      </c>
      <c r="R295" s="8">
        <f ca="1">(IF(Table1[[#This Row],[Status]]="Exited",Table1[[#This Row],[Exit Date]]-Table1[[#This Row],[Join Date]],TODAY()-Table1[[#This Row],[Join Date]]))/30</f>
        <v>50.4</v>
      </c>
      <c r="S295">
        <f ca="1">Table1[[#This Row],[Hire Date]]-Table1[[#This Row],[Job Posting Date]]</f>
        <v>25</v>
      </c>
      <c r="T295" s="7">
        <f ca="1">Table1[[#This Row],[Time to onboard]]/Table1[[#This Row],[Time to Fill]]*100</f>
        <v>36</v>
      </c>
      <c r="U295" s="8">
        <f ca="1">Table1[[#This Row],[Time to onboard]]/Table1[[#This Row],[Time to Fill]]*100</f>
        <v>36</v>
      </c>
      <c r="V295">
        <f ca="1">Table1[[#This Row],[Join Date]]-Table1[[#This Row],[Job Posting Date]]</f>
        <v>34</v>
      </c>
      <c r="W295">
        <f t="shared" ca="1" si="43"/>
        <v>170</v>
      </c>
      <c r="X295" s="8">
        <f ca="1">Table1[[#This Row],[Absentee Days]]/Table1[[#This Row],[Total Work Days]]*100</f>
        <v>0.76923076923076927</v>
      </c>
      <c r="Y295">
        <f ca="1">YEAR(Table1[[#This Row],[Join Date]])</f>
        <v>2018</v>
      </c>
      <c r="Z295">
        <f ca="1">IF(Table1[[#This Row],[Status]]="Active",1,0)</f>
        <v>0</v>
      </c>
      <c r="AA295">
        <f ca="1">IF(Table1[[#This Row],[Status]]="Exited",Table1[[#This Row],[Recruitment Cost]]+Table1[[#This Row],[Onboarding cost]]+Table1[[#This Row],[Training Cost]],0)</f>
        <v>4456</v>
      </c>
    </row>
    <row r="296" spans="1:27">
      <c r="A296" t="str">
        <f t="shared" si="39"/>
        <v>E295</v>
      </c>
      <c r="B296" t="str" cm="1">
        <f t="array" aca="1" ref="B296" ca="1">INDEX(sheet2!$A$2:$A$6, RANDBETWEEN(1, 5))</f>
        <v>HR</v>
      </c>
      <c r="C296" t="str">
        <f ca="1">_xlfn.XLOOKUP(Table1[[#This Row],[Department]],sheet2!$A$2:$A$6,sheet2!$B$2:$B$6,_xleta.NA,0)</f>
        <v>HR Manager</v>
      </c>
      <c r="D296" s="1">
        <f t="shared" ca="1" si="44"/>
        <v>44293</v>
      </c>
      <c r="E296" s="1">
        <f ca="1">Table1[[#This Row],[Job Posting Date]]+ RANDBETWEEN(15, 90)</f>
        <v>44376</v>
      </c>
      <c r="F296" s="1">
        <f ca="1">Table1[[#This Row],[Hire Date]]+ RANDBETWEEN(1, 15)</f>
        <v>44379</v>
      </c>
      <c r="G296" s="1" t="str">
        <f ca="1">IF(RAND() &lt; 0.5,  Table1[[#This Row],[Join Date]]+ RANDBETWEEN(30, TODAY()- Table1[[#This Row],[Join Date]]), "-")</f>
        <v>-</v>
      </c>
      <c r="H296" t="str">
        <f ca="1">IF(Table1[[#This Row],[Exit Date]]= "-", "Active", "Exited")</f>
        <v>Active</v>
      </c>
      <c r="I296" s="5">
        <f t="shared" ca="1" si="45"/>
        <v>2511</v>
      </c>
      <c r="J296" t="str" cm="1">
        <f t="array" aca="1" ref="J296" ca="1">INDEX(sheet2!$C$2:$C$6, RANDBETWEEN(1, 5))</f>
        <v>Conflict Resolution</v>
      </c>
      <c r="K296" t="str">
        <f t="shared" ca="1" si="46"/>
        <v>Completed</v>
      </c>
      <c r="L296">
        <v>260</v>
      </c>
      <c r="M296">
        <f t="shared" ca="1" si="40"/>
        <v>13</v>
      </c>
      <c r="N296" t="str">
        <f t="shared" ca="1" si="41"/>
        <v>Male</v>
      </c>
      <c r="O296" s="6">
        <f t="shared" ca="1" si="42"/>
        <v>2292</v>
      </c>
      <c r="P296">
        <f ca="1">Table1[[#This Row],[Hire Date]]-Table1[[#This Row],[Job Posting Date]]</f>
        <v>83</v>
      </c>
      <c r="Q296" s="7">
        <f ca="1">Table1[[#This Row],[Join Date]]-Table1[[#This Row],[Hire Date]]</f>
        <v>3</v>
      </c>
      <c r="R296" s="8">
        <f ca="1">(IF(Table1[[#This Row],[Status]]="Exited",Table1[[#This Row],[Exit Date]]-Table1[[#This Row],[Join Date]],TODAY()-Table1[[#This Row],[Join Date]]))/30</f>
        <v>42.8</v>
      </c>
      <c r="S296">
        <f ca="1">Table1[[#This Row],[Hire Date]]-Table1[[#This Row],[Job Posting Date]]</f>
        <v>83</v>
      </c>
      <c r="T296" s="7">
        <f ca="1">Table1[[#This Row],[Time to onboard]]/Table1[[#This Row],[Time to Fill]]*100</f>
        <v>3.6144578313253009</v>
      </c>
      <c r="U296" s="8">
        <f ca="1">Table1[[#This Row],[Time to onboard]]/Table1[[#This Row],[Time to Fill]]*100</f>
        <v>3.6144578313253009</v>
      </c>
      <c r="V296">
        <f ca="1">Table1[[#This Row],[Join Date]]-Table1[[#This Row],[Job Posting Date]]</f>
        <v>86</v>
      </c>
      <c r="W296">
        <f t="shared" ca="1" si="43"/>
        <v>120</v>
      </c>
      <c r="X296" s="8">
        <f ca="1">Table1[[#This Row],[Absentee Days]]/Table1[[#This Row],[Total Work Days]]*100</f>
        <v>5</v>
      </c>
      <c r="Y296">
        <f ca="1">YEAR(Table1[[#This Row],[Join Date]])</f>
        <v>2021</v>
      </c>
      <c r="Z296">
        <f ca="1">IF(Table1[[#This Row],[Status]]="Active",1,0)</f>
        <v>1</v>
      </c>
      <c r="AA296">
        <f ca="1">IF(Table1[[#This Row],[Status]]="Exited",Table1[[#This Row],[Recruitment Cost]]+Table1[[#This Row],[Onboarding cost]]+Table1[[#This Row],[Training Cost]],0)</f>
        <v>0</v>
      </c>
    </row>
    <row r="297" spans="1:27">
      <c r="A297" t="str">
        <f t="shared" si="39"/>
        <v>E296</v>
      </c>
      <c r="B297" t="str" cm="1">
        <f t="array" aca="1" ref="B297" ca="1">INDEX(sheet2!$A$2:$A$6, RANDBETWEEN(1, 5))</f>
        <v>HR</v>
      </c>
      <c r="C297" t="str">
        <f ca="1">_xlfn.XLOOKUP(Table1[[#This Row],[Department]],sheet2!$A$2:$A$6,sheet2!$B$2:$B$6,_xleta.NA,0)</f>
        <v>HR Manager</v>
      </c>
      <c r="D297" s="1">
        <f t="shared" ca="1" si="44"/>
        <v>43333</v>
      </c>
      <c r="E297" s="1">
        <f ca="1">Table1[[#This Row],[Job Posting Date]]+ RANDBETWEEN(15, 90)</f>
        <v>43379</v>
      </c>
      <c r="F297" s="1">
        <f ca="1">Table1[[#This Row],[Hire Date]]+ RANDBETWEEN(1, 15)</f>
        <v>43393</v>
      </c>
      <c r="G297" s="1">
        <f ca="1">IF(RAND() &lt; 0.5,  Table1[[#This Row],[Join Date]]+ RANDBETWEEN(30, TODAY()- Table1[[#This Row],[Join Date]]), "-")</f>
        <v>45285</v>
      </c>
      <c r="H297" t="str">
        <f ca="1">IF(Table1[[#This Row],[Exit Date]]= "-", "Active", "Exited")</f>
        <v>Exited</v>
      </c>
      <c r="I297" s="5">
        <f t="shared" ca="1" si="45"/>
        <v>4118</v>
      </c>
      <c r="J297" t="str" cm="1">
        <f t="array" aca="1" ref="J297" ca="1">INDEX(sheet2!$C$2:$C$6, RANDBETWEEN(1, 5))</f>
        <v>Leadership Development</v>
      </c>
      <c r="K297" t="str">
        <f t="shared" ca="1" si="46"/>
        <v>Not Completed</v>
      </c>
      <c r="L297">
        <v>260</v>
      </c>
      <c r="M297">
        <f t="shared" ca="1" si="40"/>
        <v>1</v>
      </c>
      <c r="N297" t="str">
        <f t="shared" ca="1" si="41"/>
        <v>Other</v>
      </c>
      <c r="O297" s="6">
        <f t="shared" ca="1" si="42"/>
        <v>1693</v>
      </c>
      <c r="P297">
        <f ca="1">Table1[[#This Row],[Hire Date]]-Table1[[#This Row],[Job Posting Date]]</f>
        <v>46</v>
      </c>
      <c r="Q297" s="7">
        <f ca="1">Table1[[#This Row],[Join Date]]-Table1[[#This Row],[Hire Date]]</f>
        <v>14</v>
      </c>
      <c r="R297" s="8">
        <f ca="1">(IF(Table1[[#This Row],[Status]]="Exited",Table1[[#This Row],[Exit Date]]-Table1[[#This Row],[Join Date]],TODAY()-Table1[[#This Row],[Join Date]]))/30</f>
        <v>63.06666666666667</v>
      </c>
      <c r="S297">
        <f ca="1">Table1[[#This Row],[Hire Date]]-Table1[[#This Row],[Job Posting Date]]</f>
        <v>46</v>
      </c>
      <c r="T297" s="7">
        <f ca="1">Table1[[#This Row],[Time to onboard]]/Table1[[#This Row],[Time to Fill]]*100</f>
        <v>30.434782608695656</v>
      </c>
      <c r="U297" s="8">
        <f ca="1">Table1[[#This Row],[Time to onboard]]/Table1[[#This Row],[Time to Fill]]*100</f>
        <v>30.434782608695656</v>
      </c>
      <c r="V297">
        <f ca="1">Table1[[#This Row],[Join Date]]-Table1[[#This Row],[Job Posting Date]]</f>
        <v>60</v>
      </c>
      <c r="W297">
        <f t="shared" ca="1" si="43"/>
        <v>139</v>
      </c>
      <c r="X297" s="8">
        <f ca="1">Table1[[#This Row],[Absentee Days]]/Table1[[#This Row],[Total Work Days]]*100</f>
        <v>0.38461538461538464</v>
      </c>
      <c r="Y297">
        <f ca="1">YEAR(Table1[[#This Row],[Join Date]])</f>
        <v>2018</v>
      </c>
      <c r="Z297">
        <f ca="1">IF(Table1[[#This Row],[Status]]="Active",1,0)</f>
        <v>0</v>
      </c>
      <c r="AA297">
        <f ca="1">IF(Table1[[#This Row],[Status]]="Exited",Table1[[#This Row],[Recruitment Cost]]+Table1[[#This Row],[Onboarding cost]]+Table1[[#This Row],[Training Cost]],0)</f>
        <v>5950</v>
      </c>
    </row>
    <row r="298" spans="1:27">
      <c r="A298" t="str">
        <f t="shared" si="39"/>
        <v>E297</v>
      </c>
      <c r="B298" t="str" cm="1">
        <f t="array" aca="1" ref="B298" ca="1">INDEX(sheet2!$A$2:$A$6, RANDBETWEEN(1, 5))</f>
        <v>HR</v>
      </c>
      <c r="C298" t="str">
        <f ca="1">_xlfn.XLOOKUP(Table1[[#This Row],[Department]],sheet2!$A$2:$A$6,sheet2!$B$2:$B$6,_xleta.NA,0)</f>
        <v>HR Manager</v>
      </c>
      <c r="D298" s="1">
        <f t="shared" ca="1" si="44"/>
        <v>43655</v>
      </c>
      <c r="E298" s="1">
        <f ca="1">Table1[[#This Row],[Job Posting Date]]+ RANDBETWEEN(15, 90)</f>
        <v>43679</v>
      </c>
      <c r="F298" s="1">
        <f ca="1">Table1[[#This Row],[Hire Date]]+ RANDBETWEEN(1, 15)</f>
        <v>43680</v>
      </c>
      <c r="G298" s="1" t="str">
        <f ca="1">IF(RAND() &lt; 0.5,  Table1[[#This Row],[Join Date]]+ RANDBETWEEN(30, TODAY()- Table1[[#This Row],[Join Date]]), "-")</f>
        <v>-</v>
      </c>
      <c r="H298" t="str">
        <f ca="1">IF(Table1[[#This Row],[Exit Date]]= "-", "Active", "Exited")</f>
        <v>Active</v>
      </c>
      <c r="I298" s="5">
        <f t="shared" ca="1" si="45"/>
        <v>4398</v>
      </c>
      <c r="J298" t="str" cm="1">
        <f t="array" aca="1" ref="J298" ca="1">INDEX(sheet2!$C$2:$C$6, RANDBETWEEN(1, 5))</f>
        <v>Conflict Resolution</v>
      </c>
      <c r="K298" t="str">
        <f t="shared" ca="1" si="46"/>
        <v>Completed</v>
      </c>
      <c r="L298">
        <v>260</v>
      </c>
      <c r="M298">
        <f t="shared" ca="1" si="40"/>
        <v>16</v>
      </c>
      <c r="N298" t="str">
        <f t="shared" ca="1" si="41"/>
        <v>Female</v>
      </c>
      <c r="O298" s="6">
        <f t="shared" ca="1" si="42"/>
        <v>1469</v>
      </c>
      <c r="P298">
        <f ca="1">Table1[[#This Row],[Hire Date]]-Table1[[#This Row],[Job Posting Date]]</f>
        <v>24</v>
      </c>
      <c r="Q298" s="7">
        <f ca="1">Table1[[#This Row],[Join Date]]-Table1[[#This Row],[Hire Date]]</f>
        <v>1</v>
      </c>
      <c r="R298" s="8">
        <f ca="1">(IF(Table1[[#This Row],[Status]]="Exited",Table1[[#This Row],[Exit Date]]-Table1[[#This Row],[Join Date]],TODAY()-Table1[[#This Row],[Join Date]]))/30</f>
        <v>66.099999999999994</v>
      </c>
      <c r="S298">
        <f ca="1">Table1[[#This Row],[Hire Date]]-Table1[[#This Row],[Job Posting Date]]</f>
        <v>24</v>
      </c>
      <c r="T298" s="7">
        <f ca="1">Table1[[#This Row],[Time to onboard]]/Table1[[#This Row],[Time to Fill]]*100</f>
        <v>4.1666666666666661</v>
      </c>
      <c r="U298" s="8">
        <f ca="1">Table1[[#This Row],[Time to onboard]]/Table1[[#This Row],[Time to Fill]]*100</f>
        <v>4.1666666666666661</v>
      </c>
      <c r="V298">
        <f ca="1">Table1[[#This Row],[Join Date]]-Table1[[#This Row],[Job Posting Date]]</f>
        <v>25</v>
      </c>
      <c r="W298">
        <f t="shared" ca="1" si="43"/>
        <v>105</v>
      </c>
      <c r="X298" s="8">
        <f ca="1">Table1[[#This Row],[Absentee Days]]/Table1[[#This Row],[Total Work Days]]*100</f>
        <v>6.1538461538461542</v>
      </c>
      <c r="Y298">
        <f ca="1">YEAR(Table1[[#This Row],[Join Date]])</f>
        <v>2019</v>
      </c>
      <c r="Z298">
        <f ca="1">IF(Table1[[#This Row],[Status]]="Active",1,0)</f>
        <v>1</v>
      </c>
      <c r="AA298">
        <f ca="1">IF(Table1[[#This Row],[Status]]="Exited",Table1[[#This Row],[Recruitment Cost]]+Table1[[#This Row],[Onboarding cost]]+Table1[[#This Row],[Training Cost]],0)</f>
        <v>0</v>
      </c>
    </row>
    <row r="299" spans="1:27">
      <c r="A299" t="str">
        <f t="shared" si="39"/>
        <v>E298</v>
      </c>
      <c r="B299" t="str" cm="1">
        <f t="array" aca="1" ref="B299" ca="1">INDEX(sheet2!$A$2:$A$6, RANDBETWEEN(1, 5))</f>
        <v>Sales</v>
      </c>
      <c r="C299" t="str">
        <f ca="1">_xlfn.XLOOKUP(Table1[[#This Row],[Department]],sheet2!$A$2:$A$6,sheet2!$B$2:$B$6,_xleta.NA,0)</f>
        <v>Marketing Manager</v>
      </c>
      <c r="D299" s="1">
        <f t="shared" ca="1" si="44"/>
        <v>44655</v>
      </c>
      <c r="E299" s="1">
        <f ca="1">Table1[[#This Row],[Job Posting Date]]+ RANDBETWEEN(15, 90)</f>
        <v>44731</v>
      </c>
      <c r="F299" s="1">
        <f ca="1">Table1[[#This Row],[Hire Date]]+ RANDBETWEEN(1, 15)</f>
        <v>44746</v>
      </c>
      <c r="G299" s="1" t="str">
        <f ca="1">IF(RAND() &lt; 0.5,  Table1[[#This Row],[Join Date]]+ RANDBETWEEN(30, TODAY()- Table1[[#This Row],[Join Date]]), "-")</f>
        <v>-</v>
      </c>
      <c r="H299" t="str">
        <f ca="1">IF(Table1[[#This Row],[Exit Date]]= "-", "Active", "Exited")</f>
        <v>Active</v>
      </c>
      <c r="I299" s="5">
        <f t="shared" ca="1" si="45"/>
        <v>2821</v>
      </c>
      <c r="J299" t="str" cm="1">
        <f t="array" aca="1" ref="J299" ca="1">INDEX(sheet2!$C$2:$C$6, RANDBETWEEN(1, 5))</f>
        <v>Leadership Development</v>
      </c>
      <c r="K299" t="str">
        <f t="shared" ca="1" si="46"/>
        <v>Completed</v>
      </c>
      <c r="L299">
        <v>260</v>
      </c>
      <c r="M299">
        <f t="shared" ca="1" si="40"/>
        <v>11</v>
      </c>
      <c r="N299" t="str">
        <f t="shared" ca="1" si="41"/>
        <v>Female</v>
      </c>
      <c r="O299" s="6">
        <f t="shared" ca="1" si="42"/>
        <v>1880</v>
      </c>
      <c r="P299">
        <f ca="1">Table1[[#This Row],[Hire Date]]-Table1[[#This Row],[Job Posting Date]]</f>
        <v>76</v>
      </c>
      <c r="Q299" s="7">
        <f ca="1">Table1[[#This Row],[Join Date]]-Table1[[#This Row],[Hire Date]]</f>
        <v>15</v>
      </c>
      <c r="R299" s="8">
        <f ca="1">(IF(Table1[[#This Row],[Status]]="Exited",Table1[[#This Row],[Exit Date]]-Table1[[#This Row],[Join Date]],TODAY()-Table1[[#This Row],[Join Date]]))/30</f>
        <v>30.566666666666666</v>
      </c>
      <c r="S299">
        <f ca="1">Table1[[#This Row],[Hire Date]]-Table1[[#This Row],[Job Posting Date]]</f>
        <v>76</v>
      </c>
      <c r="T299" s="7">
        <f ca="1">Table1[[#This Row],[Time to onboard]]/Table1[[#This Row],[Time to Fill]]*100</f>
        <v>19.736842105263158</v>
      </c>
      <c r="U299" s="8">
        <f ca="1">Table1[[#This Row],[Time to onboard]]/Table1[[#This Row],[Time to Fill]]*100</f>
        <v>19.736842105263158</v>
      </c>
      <c r="V299">
        <f ca="1">Table1[[#This Row],[Join Date]]-Table1[[#This Row],[Job Posting Date]]</f>
        <v>91</v>
      </c>
      <c r="W299">
        <f t="shared" ca="1" si="43"/>
        <v>200</v>
      </c>
      <c r="X299" s="8">
        <f ca="1">Table1[[#This Row],[Absentee Days]]/Table1[[#This Row],[Total Work Days]]*100</f>
        <v>4.2307692307692308</v>
      </c>
      <c r="Y299">
        <f ca="1">YEAR(Table1[[#This Row],[Join Date]])</f>
        <v>2022</v>
      </c>
      <c r="Z299">
        <f ca="1">IF(Table1[[#This Row],[Status]]="Active",1,0)</f>
        <v>1</v>
      </c>
      <c r="AA299">
        <f ca="1">IF(Table1[[#This Row],[Status]]="Exited",Table1[[#This Row],[Recruitment Cost]]+Table1[[#This Row],[Onboarding cost]]+Table1[[#This Row],[Training Cost]],0)</f>
        <v>0</v>
      </c>
    </row>
    <row r="300" spans="1:27">
      <c r="A300" t="str">
        <f t="shared" si="39"/>
        <v>E299</v>
      </c>
      <c r="B300" t="str" cm="1">
        <f t="array" aca="1" ref="B300" ca="1">INDEX(sheet2!$A$2:$A$6, RANDBETWEEN(1, 5))</f>
        <v>HR</v>
      </c>
      <c r="C300" t="str">
        <f ca="1">_xlfn.XLOOKUP(Table1[[#This Row],[Department]],sheet2!$A$2:$A$6,sheet2!$B$2:$B$6,_xleta.NA,0)</f>
        <v>HR Manager</v>
      </c>
      <c r="D300" s="1">
        <f t="shared" ca="1" si="44"/>
        <v>44102</v>
      </c>
      <c r="E300" s="1">
        <f ca="1">Table1[[#This Row],[Job Posting Date]]+ RANDBETWEEN(15, 90)</f>
        <v>44127</v>
      </c>
      <c r="F300" s="1">
        <f ca="1">Table1[[#This Row],[Hire Date]]+ RANDBETWEEN(1, 15)</f>
        <v>44135</v>
      </c>
      <c r="G300" s="1">
        <f ca="1">IF(RAND() &lt; 0.5,  Table1[[#This Row],[Join Date]]+ RANDBETWEEN(30, TODAY()- Table1[[#This Row],[Join Date]]), "-")</f>
        <v>45303</v>
      </c>
      <c r="H300" t="str">
        <f ca="1">IF(Table1[[#This Row],[Exit Date]]= "-", "Active", "Exited")</f>
        <v>Exited</v>
      </c>
      <c r="I300" s="5">
        <f t="shared" ca="1" si="45"/>
        <v>3907</v>
      </c>
      <c r="J300" t="str" cm="1">
        <f t="array" aca="1" ref="J300" ca="1">INDEX(sheet2!$C$2:$C$6, RANDBETWEEN(1, 5))</f>
        <v>Communication Skills</v>
      </c>
      <c r="K300" t="str">
        <f t="shared" ca="1" si="46"/>
        <v>Not Completed</v>
      </c>
      <c r="L300">
        <v>260</v>
      </c>
      <c r="M300">
        <f t="shared" ca="1" si="40"/>
        <v>4</v>
      </c>
      <c r="N300" t="str">
        <f t="shared" ca="1" si="41"/>
        <v>Other</v>
      </c>
      <c r="O300" s="6">
        <f t="shared" ca="1" si="42"/>
        <v>2393</v>
      </c>
      <c r="P300">
        <f ca="1">Table1[[#This Row],[Hire Date]]-Table1[[#This Row],[Job Posting Date]]</f>
        <v>25</v>
      </c>
      <c r="Q300" s="7">
        <f ca="1">Table1[[#This Row],[Join Date]]-Table1[[#This Row],[Hire Date]]</f>
        <v>8</v>
      </c>
      <c r="R300" s="8">
        <f ca="1">(IF(Table1[[#This Row],[Status]]="Exited",Table1[[#This Row],[Exit Date]]-Table1[[#This Row],[Join Date]],TODAY()-Table1[[#This Row],[Join Date]]))/30</f>
        <v>38.93333333333333</v>
      </c>
      <c r="S300">
        <f ca="1">Table1[[#This Row],[Hire Date]]-Table1[[#This Row],[Job Posting Date]]</f>
        <v>25</v>
      </c>
      <c r="T300" s="7">
        <f ca="1">Table1[[#This Row],[Time to onboard]]/Table1[[#This Row],[Time to Fill]]*100</f>
        <v>32</v>
      </c>
      <c r="U300" s="8">
        <f ca="1">Table1[[#This Row],[Time to onboard]]/Table1[[#This Row],[Time to Fill]]*100</f>
        <v>32</v>
      </c>
      <c r="V300">
        <f ca="1">Table1[[#This Row],[Join Date]]-Table1[[#This Row],[Job Posting Date]]</f>
        <v>33</v>
      </c>
      <c r="W300">
        <f t="shared" ca="1" si="43"/>
        <v>157</v>
      </c>
      <c r="X300" s="8">
        <f ca="1">Table1[[#This Row],[Absentee Days]]/Table1[[#This Row],[Total Work Days]]*100</f>
        <v>1.5384615384615385</v>
      </c>
      <c r="Y300">
        <f ca="1">YEAR(Table1[[#This Row],[Join Date]])</f>
        <v>2020</v>
      </c>
      <c r="Z300">
        <f ca="1">IF(Table1[[#This Row],[Status]]="Active",1,0)</f>
        <v>0</v>
      </c>
      <c r="AA300">
        <f ca="1">IF(Table1[[#This Row],[Status]]="Exited",Table1[[#This Row],[Recruitment Cost]]+Table1[[#This Row],[Onboarding cost]]+Table1[[#This Row],[Training Cost]],0)</f>
        <v>6457</v>
      </c>
    </row>
    <row r="301" spans="1:27">
      <c r="A301" t="str">
        <f t="shared" si="39"/>
        <v>E300</v>
      </c>
      <c r="B301" t="str" cm="1">
        <f t="array" aca="1" ref="B301" ca="1">INDEX(sheet2!$A$2:$A$6, RANDBETWEEN(1, 5))</f>
        <v>Sales</v>
      </c>
      <c r="C301" t="str">
        <f ca="1">_xlfn.XLOOKUP(Table1[[#This Row],[Department]],sheet2!$A$2:$A$6,sheet2!$B$2:$B$6,_xleta.NA,0)</f>
        <v>Marketing Manager</v>
      </c>
      <c r="D301" s="1">
        <f t="shared" ca="1" si="44"/>
        <v>43943</v>
      </c>
      <c r="E301" s="1">
        <f ca="1">Table1[[#This Row],[Job Posting Date]]+ RANDBETWEEN(15, 90)</f>
        <v>43973</v>
      </c>
      <c r="F301" s="1">
        <f ca="1">Table1[[#This Row],[Hire Date]]+ RANDBETWEEN(1, 15)</f>
        <v>43978</v>
      </c>
      <c r="G301" s="1" t="str">
        <f ca="1">IF(RAND() &lt; 0.5,  Table1[[#This Row],[Join Date]]+ RANDBETWEEN(30, TODAY()- Table1[[#This Row],[Join Date]]), "-")</f>
        <v>-</v>
      </c>
      <c r="H301" t="str">
        <f ca="1">IF(Table1[[#This Row],[Exit Date]]= "-", "Active", "Exited")</f>
        <v>Active</v>
      </c>
      <c r="I301" s="5">
        <f t="shared" ca="1" si="45"/>
        <v>2386</v>
      </c>
      <c r="J301" t="str" cm="1">
        <f t="array" aca="1" ref="J301" ca="1">INDEX(sheet2!$C$2:$C$6, RANDBETWEEN(1, 5))</f>
        <v>Communication Skills</v>
      </c>
      <c r="K301" t="str">
        <f t="shared" ca="1" si="46"/>
        <v>Completed</v>
      </c>
      <c r="L301">
        <v>260</v>
      </c>
      <c r="M301">
        <f t="shared" ca="1" si="40"/>
        <v>4</v>
      </c>
      <c r="N301" t="str">
        <f t="shared" ca="1" si="41"/>
        <v>Male</v>
      </c>
      <c r="O301" s="6">
        <f t="shared" ca="1" si="42"/>
        <v>1946</v>
      </c>
      <c r="P301">
        <f ca="1">Table1[[#This Row],[Hire Date]]-Table1[[#This Row],[Job Posting Date]]</f>
        <v>30</v>
      </c>
      <c r="Q301" s="7">
        <f ca="1">Table1[[#This Row],[Join Date]]-Table1[[#This Row],[Hire Date]]</f>
        <v>5</v>
      </c>
      <c r="R301" s="8">
        <f ca="1">(IF(Table1[[#This Row],[Status]]="Exited",Table1[[#This Row],[Exit Date]]-Table1[[#This Row],[Join Date]],TODAY()-Table1[[#This Row],[Join Date]]))/30</f>
        <v>56.166666666666664</v>
      </c>
      <c r="S301">
        <f ca="1">Table1[[#This Row],[Hire Date]]-Table1[[#This Row],[Job Posting Date]]</f>
        <v>30</v>
      </c>
      <c r="T301" s="7">
        <f ca="1">Table1[[#This Row],[Time to onboard]]/Table1[[#This Row],[Time to Fill]]*100</f>
        <v>16.666666666666664</v>
      </c>
      <c r="U301" s="8">
        <f ca="1">Table1[[#This Row],[Time to onboard]]/Table1[[#This Row],[Time to Fill]]*100</f>
        <v>16.666666666666664</v>
      </c>
      <c r="V301">
        <f ca="1">Table1[[#This Row],[Join Date]]-Table1[[#This Row],[Job Posting Date]]</f>
        <v>35</v>
      </c>
      <c r="W301">
        <f t="shared" ca="1" si="43"/>
        <v>108</v>
      </c>
      <c r="X301" s="8">
        <f ca="1">Table1[[#This Row],[Absentee Days]]/Table1[[#This Row],[Total Work Days]]*100</f>
        <v>1.5384615384615385</v>
      </c>
      <c r="Y301">
        <f ca="1">YEAR(Table1[[#This Row],[Join Date]])</f>
        <v>2020</v>
      </c>
      <c r="Z301">
        <f ca="1">IF(Table1[[#This Row],[Status]]="Active",1,0)</f>
        <v>1</v>
      </c>
      <c r="AA301">
        <f ca="1">IF(Table1[[#This Row],[Status]]="Exited",Table1[[#This Row],[Recruitment Cost]]+Table1[[#This Row],[Onboarding cost]]+Table1[[#This Row],[Training Cost]],0)</f>
        <v>0</v>
      </c>
    </row>
    <row r="302" spans="1:27">
      <c r="A302" t="str">
        <f t="shared" si="39"/>
        <v>E301</v>
      </c>
      <c r="B302" t="str" cm="1">
        <f t="array" aca="1" ref="B302" ca="1">INDEX(sheet2!$A$2:$A$6, RANDBETWEEN(1, 5))</f>
        <v>IT</v>
      </c>
      <c r="C302" t="str">
        <f ca="1">_xlfn.XLOOKUP(Table1[[#This Row],[Department]],sheet2!$A$2:$A$6,sheet2!$B$2:$B$6,_xleta.NA,0)</f>
        <v>Software Engineer</v>
      </c>
      <c r="D302" s="1">
        <f t="shared" ca="1" si="44"/>
        <v>43210</v>
      </c>
      <c r="E302" s="1">
        <f ca="1">Table1[[#This Row],[Job Posting Date]]+ RANDBETWEEN(15, 90)</f>
        <v>43299</v>
      </c>
      <c r="F302" s="1">
        <f ca="1">Table1[[#This Row],[Hire Date]]+ RANDBETWEEN(1, 15)</f>
        <v>43303</v>
      </c>
      <c r="G302" s="1">
        <f ca="1">IF(RAND() &lt; 0.5,  Table1[[#This Row],[Join Date]]+ RANDBETWEEN(30, TODAY()- Table1[[#This Row],[Join Date]]), "-")</f>
        <v>45484</v>
      </c>
      <c r="H302" t="str">
        <f ca="1">IF(Table1[[#This Row],[Exit Date]]= "-", "Active", "Exited")</f>
        <v>Exited</v>
      </c>
      <c r="I302" s="5">
        <f t="shared" ca="1" si="45"/>
        <v>4043</v>
      </c>
      <c r="J302" t="str" cm="1">
        <f t="array" aca="1" ref="J302" ca="1">INDEX(sheet2!$C$2:$C$6, RANDBETWEEN(1, 5))</f>
        <v>Ethics and Responsibilities</v>
      </c>
      <c r="K302" t="str">
        <f t="shared" ca="1" si="46"/>
        <v>Completed</v>
      </c>
      <c r="L302">
        <v>260</v>
      </c>
      <c r="M302">
        <f t="shared" ca="1" si="40"/>
        <v>20</v>
      </c>
      <c r="N302" t="str">
        <f t="shared" ca="1" si="41"/>
        <v>Other</v>
      </c>
      <c r="O302" s="6">
        <f t="shared" ca="1" si="42"/>
        <v>1562</v>
      </c>
      <c r="P302">
        <f ca="1">Table1[[#This Row],[Hire Date]]-Table1[[#This Row],[Job Posting Date]]</f>
        <v>89</v>
      </c>
      <c r="Q302" s="7">
        <f ca="1">Table1[[#This Row],[Join Date]]-Table1[[#This Row],[Hire Date]]</f>
        <v>4</v>
      </c>
      <c r="R302" s="8">
        <f ca="1">(IF(Table1[[#This Row],[Status]]="Exited",Table1[[#This Row],[Exit Date]]-Table1[[#This Row],[Join Date]],TODAY()-Table1[[#This Row],[Join Date]]))/30</f>
        <v>72.7</v>
      </c>
      <c r="S302">
        <f ca="1">Table1[[#This Row],[Hire Date]]-Table1[[#This Row],[Job Posting Date]]</f>
        <v>89</v>
      </c>
      <c r="T302" s="7">
        <f ca="1">Table1[[#This Row],[Time to onboard]]/Table1[[#This Row],[Time to Fill]]*100</f>
        <v>4.4943820224719104</v>
      </c>
      <c r="U302" s="8">
        <f ca="1">Table1[[#This Row],[Time to onboard]]/Table1[[#This Row],[Time to Fill]]*100</f>
        <v>4.4943820224719104</v>
      </c>
      <c r="V302">
        <f ca="1">Table1[[#This Row],[Join Date]]-Table1[[#This Row],[Job Posting Date]]</f>
        <v>93</v>
      </c>
      <c r="W302">
        <f t="shared" ca="1" si="43"/>
        <v>198</v>
      </c>
      <c r="X302" s="8">
        <f ca="1">Table1[[#This Row],[Absentee Days]]/Table1[[#This Row],[Total Work Days]]*100</f>
        <v>7.6923076923076925</v>
      </c>
      <c r="Y302">
        <f ca="1">YEAR(Table1[[#This Row],[Join Date]])</f>
        <v>2018</v>
      </c>
      <c r="Z302">
        <f ca="1">IF(Table1[[#This Row],[Status]]="Active",1,0)</f>
        <v>0</v>
      </c>
      <c r="AA302">
        <f ca="1">IF(Table1[[#This Row],[Status]]="Exited",Table1[[#This Row],[Recruitment Cost]]+Table1[[#This Row],[Onboarding cost]]+Table1[[#This Row],[Training Cost]],0)</f>
        <v>5803</v>
      </c>
    </row>
    <row r="303" spans="1:27">
      <c r="A303" t="str">
        <f t="shared" si="39"/>
        <v>E302</v>
      </c>
      <c r="B303" t="str" cm="1">
        <f t="array" aca="1" ref="B303" ca="1">INDEX(sheet2!$A$2:$A$6, RANDBETWEEN(1, 5))</f>
        <v>Analytics</v>
      </c>
      <c r="C303" t="str">
        <f ca="1">_xlfn.XLOOKUP(Table1[[#This Row],[Department]],sheet2!$A$2:$A$6,sheet2!$B$2:$B$6,_xleta.NA,0)</f>
        <v>Data Analyst</v>
      </c>
      <c r="D303" s="1">
        <f t="shared" ca="1" si="44"/>
        <v>43911</v>
      </c>
      <c r="E303" s="1">
        <f ca="1">Table1[[#This Row],[Job Posting Date]]+ RANDBETWEEN(15, 90)</f>
        <v>43982</v>
      </c>
      <c r="F303" s="1">
        <f ca="1">Table1[[#This Row],[Hire Date]]+ RANDBETWEEN(1, 15)</f>
        <v>43987</v>
      </c>
      <c r="G303" s="1" t="str">
        <f ca="1">IF(RAND() &lt; 0.5,  Table1[[#This Row],[Join Date]]+ RANDBETWEEN(30, TODAY()- Table1[[#This Row],[Join Date]]), "-")</f>
        <v>-</v>
      </c>
      <c r="H303" t="str">
        <f ca="1">IF(Table1[[#This Row],[Exit Date]]= "-", "Active", "Exited")</f>
        <v>Active</v>
      </c>
      <c r="I303" s="5">
        <f t="shared" ca="1" si="45"/>
        <v>4214</v>
      </c>
      <c r="J303" t="str" cm="1">
        <f t="array" aca="1" ref="J303" ca="1">INDEX(sheet2!$C$2:$C$6, RANDBETWEEN(1, 5))</f>
        <v>Advanced Excel Skills </v>
      </c>
      <c r="K303" t="str">
        <f t="shared" ca="1" si="46"/>
        <v>Not Completed</v>
      </c>
      <c r="L303">
        <v>260</v>
      </c>
      <c r="M303">
        <f t="shared" ca="1" si="40"/>
        <v>7</v>
      </c>
      <c r="N303" t="str">
        <f t="shared" ca="1" si="41"/>
        <v>Other</v>
      </c>
      <c r="O303" s="6">
        <f t="shared" ca="1" si="42"/>
        <v>1755</v>
      </c>
      <c r="P303">
        <f ca="1">Table1[[#This Row],[Hire Date]]-Table1[[#This Row],[Job Posting Date]]</f>
        <v>71</v>
      </c>
      <c r="Q303" s="7">
        <f ca="1">Table1[[#This Row],[Join Date]]-Table1[[#This Row],[Hire Date]]</f>
        <v>5</v>
      </c>
      <c r="R303" s="8">
        <f ca="1">(IF(Table1[[#This Row],[Status]]="Exited",Table1[[#This Row],[Exit Date]]-Table1[[#This Row],[Join Date]],TODAY()-Table1[[#This Row],[Join Date]]))/30</f>
        <v>55.866666666666667</v>
      </c>
      <c r="S303">
        <f ca="1">Table1[[#This Row],[Hire Date]]-Table1[[#This Row],[Job Posting Date]]</f>
        <v>71</v>
      </c>
      <c r="T303" s="7">
        <f ca="1">Table1[[#This Row],[Time to onboard]]/Table1[[#This Row],[Time to Fill]]*100</f>
        <v>7.042253521126761</v>
      </c>
      <c r="U303" s="8">
        <f ca="1">Table1[[#This Row],[Time to onboard]]/Table1[[#This Row],[Time to Fill]]*100</f>
        <v>7.042253521126761</v>
      </c>
      <c r="V303">
        <f ca="1">Table1[[#This Row],[Join Date]]-Table1[[#This Row],[Job Posting Date]]</f>
        <v>76</v>
      </c>
      <c r="W303">
        <f t="shared" ca="1" si="43"/>
        <v>181</v>
      </c>
      <c r="X303" s="8">
        <f ca="1">Table1[[#This Row],[Absentee Days]]/Table1[[#This Row],[Total Work Days]]*100</f>
        <v>2.6923076923076925</v>
      </c>
      <c r="Y303">
        <f ca="1">YEAR(Table1[[#This Row],[Join Date]])</f>
        <v>2020</v>
      </c>
      <c r="Z303">
        <f ca="1">IF(Table1[[#This Row],[Status]]="Active",1,0)</f>
        <v>1</v>
      </c>
      <c r="AA303">
        <f ca="1">IF(Table1[[#This Row],[Status]]="Exited",Table1[[#This Row],[Recruitment Cost]]+Table1[[#This Row],[Onboarding cost]]+Table1[[#This Row],[Training Cost]],0)</f>
        <v>0</v>
      </c>
    </row>
    <row r="304" spans="1:27">
      <c r="A304" t="str">
        <f t="shared" si="39"/>
        <v>E303</v>
      </c>
      <c r="B304" t="str" cm="1">
        <f t="array" aca="1" ref="B304" ca="1">INDEX(sheet2!$A$2:$A$6, RANDBETWEEN(1, 5))</f>
        <v>Finance</v>
      </c>
      <c r="C304" t="str">
        <f ca="1">_xlfn.XLOOKUP(Table1[[#This Row],[Department]],sheet2!$A$2:$A$6,sheet2!$B$2:$B$6,_xleta.NA,0)</f>
        <v>Finance Manager</v>
      </c>
      <c r="D304" s="1">
        <f t="shared" ca="1" si="44"/>
        <v>44244</v>
      </c>
      <c r="E304" s="1">
        <f ca="1">Table1[[#This Row],[Job Posting Date]]+ RANDBETWEEN(15, 90)</f>
        <v>44307</v>
      </c>
      <c r="F304" s="1">
        <f ca="1">Table1[[#This Row],[Hire Date]]+ RANDBETWEEN(1, 15)</f>
        <v>44314</v>
      </c>
      <c r="G304" s="1">
        <f ca="1">IF(RAND() &lt; 0.5,  Table1[[#This Row],[Join Date]]+ RANDBETWEEN(30, TODAY()- Table1[[#This Row],[Join Date]]), "-")</f>
        <v>44423</v>
      </c>
      <c r="H304" t="str">
        <f ca="1">IF(Table1[[#This Row],[Exit Date]]= "-", "Active", "Exited")</f>
        <v>Exited</v>
      </c>
      <c r="I304" s="5">
        <f t="shared" ca="1" si="45"/>
        <v>2691</v>
      </c>
      <c r="J304" t="str" cm="1">
        <f t="array" aca="1" ref="J304" ca="1">INDEX(sheet2!$C$2:$C$6, RANDBETWEEN(1, 5))</f>
        <v>Leadership Development</v>
      </c>
      <c r="K304" t="str">
        <f t="shared" ca="1" si="46"/>
        <v>Not Completed</v>
      </c>
      <c r="L304">
        <v>260</v>
      </c>
      <c r="M304">
        <f t="shared" ca="1" si="40"/>
        <v>18</v>
      </c>
      <c r="N304" t="str">
        <f t="shared" ca="1" si="41"/>
        <v>Other</v>
      </c>
      <c r="O304" s="6">
        <f t="shared" ca="1" si="42"/>
        <v>1291</v>
      </c>
      <c r="P304">
        <f ca="1">Table1[[#This Row],[Hire Date]]-Table1[[#This Row],[Job Posting Date]]</f>
        <v>63</v>
      </c>
      <c r="Q304" s="7">
        <f ca="1">Table1[[#This Row],[Join Date]]-Table1[[#This Row],[Hire Date]]</f>
        <v>7</v>
      </c>
      <c r="R304" s="8">
        <f ca="1">(IF(Table1[[#This Row],[Status]]="Exited",Table1[[#This Row],[Exit Date]]-Table1[[#This Row],[Join Date]],TODAY()-Table1[[#This Row],[Join Date]]))/30</f>
        <v>3.6333333333333333</v>
      </c>
      <c r="S304">
        <f ca="1">Table1[[#This Row],[Hire Date]]-Table1[[#This Row],[Job Posting Date]]</f>
        <v>63</v>
      </c>
      <c r="T304" s="7">
        <f ca="1">Table1[[#This Row],[Time to onboard]]/Table1[[#This Row],[Time to Fill]]*100</f>
        <v>11.111111111111111</v>
      </c>
      <c r="U304" s="8">
        <f ca="1">Table1[[#This Row],[Time to onboard]]/Table1[[#This Row],[Time to Fill]]*100</f>
        <v>11.111111111111111</v>
      </c>
      <c r="V304">
        <f ca="1">Table1[[#This Row],[Join Date]]-Table1[[#This Row],[Job Posting Date]]</f>
        <v>70</v>
      </c>
      <c r="W304">
        <f t="shared" ca="1" si="43"/>
        <v>178</v>
      </c>
      <c r="X304" s="8">
        <f ca="1">Table1[[#This Row],[Absentee Days]]/Table1[[#This Row],[Total Work Days]]*100</f>
        <v>6.9230769230769234</v>
      </c>
      <c r="Y304">
        <f ca="1">YEAR(Table1[[#This Row],[Join Date]])</f>
        <v>2021</v>
      </c>
      <c r="Z304">
        <f ca="1">IF(Table1[[#This Row],[Status]]="Active",1,0)</f>
        <v>0</v>
      </c>
      <c r="AA304">
        <f ca="1">IF(Table1[[#This Row],[Status]]="Exited",Table1[[#This Row],[Recruitment Cost]]+Table1[[#This Row],[Onboarding cost]]+Table1[[#This Row],[Training Cost]],0)</f>
        <v>4160</v>
      </c>
    </row>
    <row r="305" spans="1:27">
      <c r="A305" t="str">
        <f t="shared" si="39"/>
        <v>E304</v>
      </c>
      <c r="B305" t="str" cm="1">
        <f t="array" aca="1" ref="B305" ca="1">INDEX(sheet2!$A$2:$A$6, RANDBETWEEN(1, 5))</f>
        <v>HR</v>
      </c>
      <c r="C305" t="str">
        <f ca="1">_xlfn.XLOOKUP(Table1[[#This Row],[Department]],sheet2!$A$2:$A$6,sheet2!$B$2:$B$6,_xleta.NA,0)</f>
        <v>HR Manager</v>
      </c>
      <c r="D305" s="1">
        <f t="shared" ca="1" si="44"/>
        <v>44605</v>
      </c>
      <c r="E305" s="1">
        <f ca="1">Table1[[#This Row],[Job Posting Date]]+ RANDBETWEEN(15, 90)</f>
        <v>44686</v>
      </c>
      <c r="F305" s="1">
        <f ca="1">Table1[[#This Row],[Hire Date]]+ RANDBETWEEN(1, 15)</f>
        <v>44694</v>
      </c>
      <c r="G305" s="1">
        <f ca="1">IF(RAND() &lt; 0.5,  Table1[[#This Row],[Join Date]]+ RANDBETWEEN(30, TODAY()- Table1[[#This Row],[Join Date]]), "-")</f>
        <v>44902</v>
      </c>
      <c r="H305" t="str">
        <f ca="1">IF(Table1[[#This Row],[Exit Date]]= "-", "Active", "Exited")</f>
        <v>Exited</v>
      </c>
      <c r="I305" s="5">
        <f t="shared" ca="1" si="45"/>
        <v>4096</v>
      </c>
      <c r="J305" t="str" cm="1">
        <f t="array" aca="1" ref="J305" ca="1">INDEX(sheet2!$C$2:$C$6, RANDBETWEEN(1, 5))</f>
        <v>Advanced Excel Skills </v>
      </c>
      <c r="K305" t="str">
        <f t="shared" ca="1" si="46"/>
        <v>Completed</v>
      </c>
      <c r="L305">
        <v>260</v>
      </c>
      <c r="M305">
        <f t="shared" ca="1" si="40"/>
        <v>9</v>
      </c>
      <c r="N305" t="str">
        <f t="shared" ca="1" si="41"/>
        <v>Female</v>
      </c>
      <c r="O305" s="6">
        <f t="shared" ca="1" si="42"/>
        <v>2246</v>
      </c>
      <c r="P305">
        <f ca="1">Table1[[#This Row],[Hire Date]]-Table1[[#This Row],[Job Posting Date]]</f>
        <v>81</v>
      </c>
      <c r="Q305" s="7">
        <f ca="1">Table1[[#This Row],[Join Date]]-Table1[[#This Row],[Hire Date]]</f>
        <v>8</v>
      </c>
      <c r="R305" s="8">
        <f ca="1">(IF(Table1[[#This Row],[Status]]="Exited",Table1[[#This Row],[Exit Date]]-Table1[[#This Row],[Join Date]],TODAY()-Table1[[#This Row],[Join Date]]))/30</f>
        <v>6.9333333333333336</v>
      </c>
      <c r="S305">
        <f ca="1">Table1[[#This Row],[Hire Date]]-Table1[[#This Row],[Job Posting Date]]</f>
        <v>81</v>
      </c>
      <c r="T305" s="7">
        <f ca="1">Table1[[#This Row],[Time to onboard]]/Table1[[#This Row],[Time to Fill]]*100</f>
        <v>9.8765432098765427</v>
      </c>
      <c r="U305" s="8">
        <f ca="1">Table1[[#This Row],[Time to onboard]]/Table1[[#This Row],[Time to Fill]]*100</f>
        <v>9.8765432098765427</v>
      </c>
      <c r="V305">
        <f ca="1">Table1[[#This Row],[Join Date]]-Table1[[#This Row],[Job Posting Date]]</f>
        <v>89</v>
      </c>
      <c r="W305">
        <f t="shared" ca="1" si="43"/>
        <v>189</v>
      </c>
      <c r="X305" s="8">
        <f ca="1">Table1[[#This Row],[Absentee Days]]/Table1[[#This Row],[Total Work Days]]*100</f>
        <v>3.4615384615384617</v>
      </c>
      <c r="Y305">
        <f ca="1">YEAR(Table1[[#This Row],[Join Date]])</f>
        <v>2022</v>
      </c>
      <c r="Z305">
        <f ca="1">IF(Table1[[#This Row],[Status]]="Active",1,0)</f>
        <v>0</v>
      </c>
      <c r="AA305">
        <f ca="1">IF(Table1[[#This Row],[Status]]="Exited",Table1[[#This Row],[Recruitment Cost]]+Table1[[#This Row],[Onboarding cost]]+Table1[[#This Row],[Training Cost]],0)</f>
        <v>6531</v>
      </c>
    </row>
    <row r="306" spans="1:27">
      <c r="A306" t="str">
        <f t="shared" si="39"/>
        <v>E305</v>
      </c>
      <c r="B306" t="str" cm="1">
        <f t="array" aca="1" ref="B306" ca="1">INDEX(sheet2!$A$2:$A$6, RANDBETWEEN(1, 5))</f>
        <v>Sales</v>
      </c>
      <c r="C306" t="str">
        <f ca="1">_xlfn.XLOOKUP(Table1[[#This Row],[Department]],sheet2!$A$2:$A$6,sheet2!$B$2:$B$6,_xleta.NA,0)</f>
        <v>Marketing Manager</v>
      </c>
      <c r="D306" s="1">
        <f t="shared" ca="1" si="44"/>
        <v>43513</v>
      </c>
      <c r="E306" s="1">
        <f ca="1">Table1[[#This Row],[Job Posting Date]]+ RANDBETWEEN(15, 90)</f>
        <v>43532</v>
      </c>
      <c r="F306" s="1">
        <f ca="1">Table1[[#This Row],[Hire Date]]+ RANDBETWEEN(1, 15)</f>
        <v>43534</v>
      </c>
      <c r="G306" s="1">
        <f ca="1">IF(RAND() &lt; 0.5,  Table1[[#This Row],[Join Date]]+ RANDBETWEEN(30, TODAY()- Table1[[#This Row],[Join Date]]), "-")</f>
        <v>44428</v>
      </c>
      <c r="H306" t="str">
        <f ca="1">IF(Table1[[#This Row],[Exit Date]]= "-", "Active", "Exited")</f>
        <v>Exited</v>
      </c>
      <c r="I306" s="5">
        <f t="shared" ca="1" si="45"/>
        <v>1863</v>
      </c>
      <c r="J306" t="str" cm="1">
        <f t="array" aca="1" ref="J306" ca="1">INDEX(sheet2!$C$2:$C$6, RANDBETWEEN(1, 5))</f>
        <v>Advanced Excel Skills </v>
      </c>
      <c r="K306" t="str">
        <f t="shared" ca="1" si="46"/>
        <v>Completed</v>
      </c>
      <c r="L306">
        <v>260</v>
      </c>
      <c r="M306">
        <f t="shared" ca="1" si="40"/>
        <v>18</v>
      </c>
      <c r="N306" t="str">
        <f t="shared" ca="1" si="41"/>
        <v>Female</v>
      </c>
      <c r="O306" s="6">
        <f t="shared" ca="1" si="42"/>
        <v>1811</v>
      </c>
      <c r="P306">
        <f ca="1">Table1[[#This Row],[Hire Date]]-Table1[[#This Row],[Job Posting Date]]</f>
        <v>19</v>
      </c>
      <c r="Q306" s="7">
        <f ca="1">Table1[[#This Row],[Join Date]]-Table1[[#This Row],[Hire Date]]</f>
        <v>2</v>
      </c>
      <c r="R306" s="8">
        <f ca="1">(IF(Table1[[#This Row],[Status]]="Exited",Table1[[#This Row],[Exit Date]]-Table1[[#This Row],[Join Date]],TODAY()-Table1[[#This Row],[Join Date]]))/30</f>
        <v>29.8</v>
      </c>
      <c r="S306">
        <f ca="1">Table1[[#This Row],[Hire Date]]-Table1[[#This Row],[Job Posting Date]]</f>
        <v>19</v>
      </c>
      <c r="T306" s="7">
        <f ca="1">Table1[[#This Row],[Time to onboard]]/Table1[[#This Row],[Time to Fill]]*100</f>
        <v>10.526315789473683</v>
      </c>
      <c r="U306" s="8">
        <f ca="1">Table1[[#This Row],[Time to onboard]]/Table1[[#This Row],[Time to Fill]]*100</f>
        <v>10.526315789473683</v>
      </c>
      <c r="V306">
        <f ca="1">Table1[[#This Row],[Join Date]]-Table1[[#This Row],[Job Posting Date]]</f>
        <v>21</v>
      </c>
      <c r="W306">
        <f t="shared" ca="1" si="43"/>
        <v>140</v>
      </c>
      <c r="X306" s="8">
        <f ca="1">Table1[[#This Row],[Absentee Days]]/Table1[[#This Row],[Total Work Days]]*100</f>
        <v>6.9230769230769234</v>
      </c>
      <c r="Y306">
        <f ca="1">YEAR(Table1[[#This Row],[Join Date]])</f>
        <v>2019</v>
      </c>
      <c r="Z306">
        <f ca="1">IF(Table1[[#This Row],[Status]]="Active",1,0)</f>
        <v>0</v>
      </c>
      <c r="AA306">
        <f ca="1">IF(Table1[[#This Row],[Status]]="Exited",Table1[[#This Row],[Recruitment Cost]]+Table1[[#This Row],[Onboarding cost]]+Table1[[#This Row],[Training Cost]],0)</f>
        <v>3814</v>
      </c>
    </row>
    <row r="307" spans="1:27">
      <c r="A307" t="str">
        <f t="shared" si="39"/>
        <v>E306</v>
      </c>
      <c r="B307" t="str" cm="1">
        <f t="array" aca="1" ref="B307" ca="1">INDEX(sheet2!$A$2:$A$6, RANDBETWEEN(1, 5))</f>
        <v>Finance</v>
      </c>
      <c r="C307" t="str">
        <f ca="1">_xlfn.XLOOKUP(Table1[[#This Row],[Department]],sheet2!$A$2:$A$6,sheet2!$B$2:$B$6,_xleta.NA,0)</f>
        <v>Finance Manager</v>
      </c>
      <c r="D307" s="1">
        <f t="shared" ca="1" si="44"/>
        <v>44786</v>
      </c>
      <c r="E307" s="1">
        <f ca="1">Table1[[#This Row],[Job Posting Date]]+ RANDBETWEEN(15, 90)</f>
        <v>44827</v>
      </c>
      <c r="F307" s="1">
        <f ca="1">Table1[[#This Row],[Hire Date]]+ RANDBETWEEN(1, 15)</f>
        <v>44839</v>
      </c>
      <c r="G307" s="1" t="str">
        <f ca="1">IF(RAND() &lt; 0.5,  Table1[[#This Row],[Join Date]]+ RANDBETWEEN(30, TODAY()- Table1[[#This Row],[Join Date]]), "-")</f>
        <v>-</v>
      </c>
      <c r="H307" t="str">
        <f ca="1">IF(Table1[[#This Row],[Exit Date]]= "-", "Active", "Exited")</f>
        <v>Active</v>
      </c>
      <c r="I307" s="5">
        <f t="shared" ca="1" si="45"/>
        <v>2142</v>
      </c>
      <c r="J307" t="str" cm="1">
        <f t="array" aca="1" ref="J307" ca="1">INDEX(sheet2!$C$2:$C$6, RANDBETWEEN(1, 5))</f>
        <v>Ethics and Responsibilities</v>
      </c>
      <c r="K307" t="str">
        <f t="shared" ca="1" si="46"/>
        <v>Not Completed</v>
      </c>
      <c r="L307">
        <v>260</v>
      </c>
      <c r="M307">
        <f t="shared" ca="1" si="40"/>
        <v>11</v>
      </c>
      <c r="N307" t="str">
        <f t="shared" ca="1" si="41"/>
        <v>Other</v>
      </c>
      <c r="O307" s="6">
        <f t="shared" ca="1" si="42"/>
        <v>2466</v>
      </c>
      <c r="P307">
        <f ca="1">Table1[[#This Row],[Hire Date]]-Table1[[#This Row],[Job Posting Date]]</f>
        <v>41</v>
      </c>
      <c r="Q307" s="7">
        <f ca="1">Table1[[#This Row],[Join Date]]-Table1[[#This Row],[Hire Date]]</f>
        <v>12</v>
      </c>
      <c r="R307" s="8">
        <f ca="1">(IF(Table1[[#This Row],[Status]]="Exited",Table1[[#This Row],[Exit Date]]-Table1[[#This Row],[Join Date]],TODAY()-Table1[[#This Row],[Join Date]]))/30</f>
        <v>27.466666666666665</v>
      </c>
      <c r="S307">
        <f ca="1">Table1[[#This Row],[Hire Date]]-Table1[[#This Row],[Job Posting Date]]</f>
        <v>41</v>
      </c>
      <c r="T307" s="7">
        <f ca="1">Table1[[#This Row],[Time to onboard]]/Table1[[#This Row],[Time to Fill]]*100</f>
        <v>29.268292682926827</v>
      </c>
      <c r="U307" s="8">
        <f ca="1">Table1[[#This Row],[Time to onboard]]/Table1[[#This Row],[Time to Fill]]*100</f>
        <v>29.268292682926827</v>
      </c>
      <c r="V307">
        <f ca="1">Table1[[#This Row],[Join Date]]-Table1[[#This Row],[Job Posting Date]]</f>
        <v>53</v>
      </c>
      <c r="W307">
        <f t="shared" ca="1" si="43"/>
        <v>177</v>
      </c>
      <c r="X307" s="8">
        <f ca="1">Table1[[#This Row],[Absentee Days]]/Table1[[#This Row],[Total Work Days]]*100</f>
        <v>4.2307692307692308</v>
      </c>
      <c r="Y307">
        <f ca="1">YEAR(Table1[[#This Row],[Join Date]])</f>
        <v>2022</v>
      </c>
      <c r="Z307">
        <f ca="1">IF(Table1[[#This Row],[Status]]="Active",1,0)</f>
        <v>1</v>
      </c>
      <c r="AA307">
        <f ca="1">IF(Table1[[#This Row],[Status]]="Exited",Table1[[#This Row],[Recruitment Cost]]+Table1[[#This Row],[Onboarding cost]]+Table1[[#This Row],[Training Cost]],0)</f>
        <v>0</v>
      </c>
    </row>
    <row r="308" spans="1:27">
      <c r="A308" t="str">
        <f t="shared" si="39"/>
        <v>E307</v>
      </c>
      <c r="B308" t="str" cm="1">
        <f t="array" aca="1" ref="B308" ca="1">INDEX(sheet2!$A$2:$A$6, RANDBETWEEN(1, 5))</f>
        <v>Sales</v>
      </c>
      <c r="C308" t="str">
        <f ca="1">_xlfn.XLOOKUP(Table1[[#This Row],[Department]],sheet2!$A$2:$A$6,sheet2!$B$2:$B$6,_xleta.NA,0)</f>
        <v>Marketing Manager</v>
      </c>
      <c r="D308" s="1">
        <f t="shared" ca="1" si="44"/>
        <v>43523</v>
      </c>
      <c r="E308" s="1">
        <f ca="1">Table1[[#This Row],[Job Posting Date]]+ RANDBETWEEN(15, 90)</f>
        <v>43577</v>
      </c>
      <c r="F308" s="1">
        <f ca="1">Table1[[#This Row],[Hire Date]]+ RANDBETWEEN(1, 15)</f>
        <v>43581</v>
      </c>
      <c r="G308" s="1" t="str">
        <f ca="1">IF(RAND() &lt; 0.5,  Table1[[#This Row],[Join Date]]+ RANDBETWEEN(30, TODAY()- Table1[[#This Row],[Join Date]]), "-")</f>
        <v>-</v>
      </c>
      <c r="H308" t="str">
        <f ca="1">IF(Table1[[#This Row],[Exit Date]]= "-", "Active", "Exited")</f>
        <v>Active</v>
      </c>
      <c r="I308" s="5">
        <f t="shared" ca="1" si="45"/>
        <v>3009</v>
      </c>
      <c r="J308" t="str" cm="1">
        <f t="array" aca="1" ref="J308" ca="1">INDEX(sheet2!$C$2:$C$6, RANDBETWEEN(1, 5))</f>
        <v>Communication Skills</v>
      </c>
      <c r="K308" t="str">
        <f t="shared" ca="1" si="46"/>
        <v>Completed</v>
      </c>
      <c r="L308">
        <v>260</v>
      </c>
      <c r="M308">
        <f t="shared" ca="1" si="40"/>
        <v>2</v>
      </c>
      <c r="N308" t="str">
        <f t="shared" ca="1" si="41"/>
        <v>Female</v>
      </c>
      <c r="O308" s="6">
        <f t="shared" ca="1" si="42"/>
        <v>1634</v>
      </c>
      <c r="P308">
        <f ca="1">Table1[[#This Row],[Hire Date]]-Table1[[#This Row],[Job Posting Date]]</f>
        <v>54</v>
      </c>
      <c r="Q308" s="7">
        <f ca="1">Table1[[#This Row],[Join Date]]-Table1[[#This Row],[Hire Date]]</f>
        <v>4</v>
      </c>
      <c r="R308" s="8">
        <f ca="1">(IF(Table1[[#This Row],[Status]]="Exited",Table1[[#This Row],[Exit Date]]-Table1[[#This Row],[Join Date]],TODAY()-Table1[[#This Row],[Join Date]]))/30</f>
        <v>69.400000000000006</v>
      </c>
      <c r="S308">
        <f ca="1">Table1[[#This Row],[Hire Date]]-Table1[[#This Row],[Job Posting Date]]</f>
        <v>54</v>
      </c>
      <c r="T308" s="7">
        <f ca="1">Table1[[#This Row],[Time to onboard]]/Table1[[#This Row],[Time to Fill]]*100</f>
        <v>7.4074074074074066</v>
      </c>
      <c r="U308" s="8">
        <f ca="1">Table1[[#This Row],[Time to onboard]]/Table1[[#This Row],[Time to Fill]]*100</f>
        <v>7.4074074074074066</v>
      </c>
      <c r="V308">
        <f ca="1">Table1[[#This Row],[Join Date]]-Table1[[#This Row],[Job Posting Date]]</f>
        <v>58</v>
      </c>
      <c r="W308">
        <f t="shared" ca="1" si="43"/>
        <v>183</v>
      </c>
      <c r="X308" s="8">
        <f ca="1">Table1[[#This Row],[Absentee Days]]/Table1[[#This Row],[Total Work Days]]*100</f>
        <v>0.76923076923076927</v>
      </c>
      <c r="Y308">
        <f ca="1">YEAR(Table1[[#This Row],[Join Date]])</f>
        <v>2019</v>
      </c>
      <c r="Z308">
        <f ca="1">IF(Table1[[#This Row],[Status]]="Active",1,0)</f>
        <v>1</v>
      </c>
      <c r="AA308">
        <f ca="1">IF(Table1[[#This Row],[Status]]="Exited",Table1[[#This Row],[Recruitment Cost]]+Table1[[#This Row],[Onboarding cost]]+Table1[[#This Row],[Training Cost]],0)</f>
        <v>0</v>
      </c>
    </row>
    <row r="309" spans="1:27">
      <c r="A309" t="str">
        <f t="shared" si="39"/>
        <v>E308</v>
      </c>
      <c r="B309" t="str" cm="1">
        <f t="array" aca="1" ref="B309" ca="1">INDEX(sheet2!$A$2:$A$6, RANDBETWEEN(1, 5))</f>
        <v>Finance</v>
      </c>
      <c r="C309" t="str">
        <f ca="1">_xlfn.XLOOKUP(Table1[[#This Row],[Department]],sheet2!$A$2:$A$6,sheet2!$B$2:$B$6,_xleta.NA,0)</f>
        <v>Finance Manager</v>
      </c>
      <c r="D309" s="1">
        <f t="shared" ca="1" si="44"/>
        <v>43599</v>
      </c>
      <c r="E309" s="1">
        <f ca="1">Table1[[#This Row],[Job Posting Date]]+ RANDBETWEEN(15, 90)</f>
        <v>43632</v>
      </c>
      <c r="F309" s="1">
        <f ca="1">Table1[[#This Row],[Hire Date]]+ RANDBETWEEN(1, 15)</f>
        <v>43647</v>
      </c>
      <c r="G309" s="1">
        <f ca="1">IF(RAND() &lt; 0.5,  Table1[[#This Row],[Join Date]]+ RANDBETWEEN(30, TODAY()- Table1[[#This Row],[Join Date]]), "-")</f>
        <v>44930</v>
      </c>
      <c r="H309" t="str">
        <f ca="1">IF(Table1[[#This Row],[Exit Date]]= "-", "Active", "Exited")</f>
        <v>Exited</v>
      </c>
      <c r="I309" s="5">
        <f t="shared" ca="1" si="45"/>
        <v>3387</v>
      </c>
      <c r="J309" t="str" cm="1">
        <f t="array" aca="1" ref="J309" ca="1">INDEX(sheet2!$C$2:$C$6, RANDBETWEEN(1, 5))</f>
        <v>Ethics and Responsibilities</v>
      </c>
      <c r="K309" t="str">
        <f t="shared" ca="1" si="46"/>
        <v>Completed</v>
      </c>
      <c r="L309">
        <v>260</v>
      </c>
      <c r="M309">
        <f t="shared" ca="1" si="40"/>
        <v>19</v>
      </c>
      <c r="N309" t="str">
        <f t="shared" ca="1" si="41"/>
        <v>Female</v>
      </c>
      <c r="O309" s="6">
        <f t="shared" ca="1" si="42"/>
        <v>1808</v>
      </c>
      <c r="P309">
        <f ca="1">Table1[[#This Row],[Hire Date]]-Table1[[#This Row],[Job Posting Date]]</f>
        <v>33</v>
      </c>
      <c r="Q309" s="7">
        <f ca="1">Table1[[#This Row],[Join Date]]-Table1[[#This Row],[Hire Date]]</f>
        <v>15</v>
      </c>
      <c r="R309" s="8">
        <f ca="1">(IF(Table1[[#This Row],[Status]]="Exited",Table1[[#This Row],[Exit Date]]-Table1[[#This Row],[Join Date]],TODAY()-Table1[[#This Row],[Join Date]]))/30</f>
        <v>42.766666666666666</v>
      </c>
      <c r="S309">
        <f ca="1">Table1[[#This Row],[Hire Date]]-Table1[[#This Row],[Job Posting Date]]</f>
        <v>33</v>
      </c>
      <c r="T309" s="7">
        <f ca="1">Table1[[#This Row],[Time to onboard]]/Table1[[#This Row],[Time to Fill]]*100</f>
        <v>45.454545454545453</v>
      </c>
      <c r="U309" s="8">
        <f ca="1">Table1[[#This Row],[Time to onboard]]/Table1[[#This Row],[Time to Fill]]*100</f>
        <v>45.454545454545453</v>
      </c>
      <c r="V309">
        <f ca="1">Table1[[#This Row],[Join Date]]-Table1[[#This Row],[Job Posting Date]]</f>
        <v>48</v>
      </c>
      <c r="W309">
        <f t="shared" ca="1" si="43"/>
        <v>184</v>
      </c>
      <c r="X309" s="8">
        <f ca="1">Table1[[#This Row],[Absentee Days]]/Table1[[#This Row],[Total Work Days]]*100</f>
        <v>7.3076923076923084</v>
      </c>
      <c r="Y309">
        <f ca="1">YEAR(Table1[[#This Row],[Join Date]])</f>
        <v>2019</v>
      </c>
      <c r="Z309">
        <f ca="1">IF(Table1[[#This Row],[Status]]="Active",1,0)</f>
        <v>0</v>
      </c>
      <c r="AA309">
        <f ca="1">IF(Table1[[#This Row],[Status]]="Exited",Table1[[#This Row],[Recruitment Cost]]+Table1[[#This Row],[Onboarding cost]]+Table1[[#This Row],[Training Cost]],0)</f>
        <v>5379</v>
      </c>
    </row>
    <row r="310" spans="1:27">
      <c r="A310" t="str">
        <f t="shared" si="39"/>
        <v>E309</v>
      </c>
      <c r="B310" t="str" cm="1">
        <f t="array" aca="1" ref="B310" ca="1">INDEX(sheet2!$A$2:$A$6, RANDBETWEEN(1, 5))</f>
        <v>HR</v>
      </c>
      <c r="C310" t="str">
        <f ca="1">_xlfn.XLOOKUP(Table1[[#This Row],[Department]],sheet2!$A$2:$A$6,sheet2!$B$2:$B$6,_xleta.NA,0)</f>
        <v>HR Manager</v>
      </c>
      <c r="D310" s="1">
        <f t="shared" ca="1" si="44"/>
        <v>44465</v>
      </c>
      <c r="E310" s="1">
        <f ca="1">Table1[[#This Row],[Job Posting Date]]+ RANDBETWEEN(15, 90)</f>
        <v>44539</v>
      </c>
      <c r="F310" s="1">
        <f ca="1">Table1[[#This Row],[Hire Date]]+ RANDBETWEEN(1, 15)</f>
        <v>44543</v>
      </c>
      <c r="G310" s="1" t="str">
        <f ca="1">IF(RAND() &lt; 0.5,  Table1[[#This Row],[Join Date]]+ RANDBETWEEN(30, TODAY()- Table1[[#This Row],[Join Date]]), "-")</f>
        <v>-</v>
      </c>
      <c r="H310" t="str">
        <f ca="1">IF(Table1[[#This Row],[Exit Date]]= "-", "Active", "Exited")</f>
        <v>Active</v>
      </c>
      <c r="I310" s="5">
        <f t="shared" ca="1" si="45"/>
        <v>2807</v>
      </c>
      <c r="J310" t="str" cm="1">
        <f t="array" aca="1" ref="J310" ca="1">INDEX(sheet2!$C$2:$C$6, RANDBETWEEN(1, 5))</f>
        <v>Communication Skills</v>
      </c>
      <c r="K310" t="str">
        <f t="shared" ca="1" si="46"/>
        <v>Completed</v>
      </c>
      <c r="L310">
        <v>260</v>
      </c>
      <c r="M310">
        <f t="shared" ca="1" si="40"/>
        <v>15</v>
      </c>
      <c r="N310" t="str">
        <f t="shared" ca="1" si="41"/>
        <v>Male</v>
      </c>
      <c r="O310" s="6">
        <f t="shared" ca="1" si="42"/>
        <v>1776</v>
      </c>
      <c r="P310">
        <f ca="1">Table1[[#This Row],[Hire Date]]-Table1[[#This Row],[Job Posting Date]]</f>
        <v>74</v>
      </c>
      <c r="Q310" s="7">
        <f ca="1">Table1[[#This Row],[Join Date]]-Table1[[#This Row],[Hire Date]]</f>
        <v>4</v>
      </c>
      <c r="R310" s="8">
        <f ca="1">(IF(Table1[[#This Row],[Status]]="Exited",Table1[[#This Row],[Exit Date]]-Table1[[#This Row],[Join Date]],TODAY()-Table1[[#This Row],[Join Date]]))/30</f>
        <v>37.333333333333336</v>
      </c>
      <c r="S310">
        <f ca="1">Table1[[#This Row],[Hire Date]]-Table1[[#This Row],[Job Posting Date]]</f>
        <v>74</v>
      </c>
      <c r="T310" s="7">
        <f ca="1">Table1[[#This Row],[Time to onboard]]/Table1[[#This Row],[Time to Fill]]*100</f>
        <v>5.4054054054054053</v>
      </c>
      <c r="U310" s="8">
        <f ca="1">Table1[[#This Row],[Time to onboard]]/Table1[[#This Row],[Time to Fill]]*100</f>
        <v>5.4054054054054053</v>
      </c>
      <c r="V310">
        <f ca="1">Table1[[#This Row],[Join Date]]-Table1[[#This Row],[Job Posting Date]]</f>
        <v>78</v>
      </c>
      <c r="W310">
        <f t="shared" ca="1" si="43"/>
        <v>155</v>
      </c>
      <c r="X310" s="8">
        <f ca="1">Table1[[#This Row],[Absentee Days]]/Table1[[#This Row],[Total Work Days]]*100</f>
        <v>5.7692307692307692</v>
      </c>
      <c r="Y310">
        <f ca="1">YEAR(Table1[[#This Row],[Join Date]])</f>
        <v>2021</v>
      </c>
      <c r="Z310">
        <f ca="1">IF(Table1[[#This Row],[Status]]="Active",1,0)</f>
        <v>1</v>
      </c>
      <c r="AA310">
        <f ca="1">IF(Table1[[#This Row],[Status]]="Exited",Table1[[#This Row],[Recruitment Cost]]+Table1[[#This Row],[Onboarding cost]]+Table1[[#This Row],[Training Cost]],0)</f>
        <v>0</v>
      </c>
    </row>
    <row r="311" spans="1:27">
      <c r="A311" t="str">
        <f t="shared" si="39"/>
        <v>E310</v>
      </c>
      <c r="B311" t="str" cm="1">
        <f t="array" aca="1" ref="B311" ca="1">INDEX(sheet2!$A$2:$A$6, RANDBETWEEN(1, 5))</f>
        <v>Analytics</v>
      </c>
      <c r="C311" t="str">
        <f ca="1">_xlfn.XLOOKUP(Table1[[#This Row],[Department]],sheet2!$A$2:$A$6,sheet2!$B$2:$B$6,_xleta.NA,0)</f>
        <v>Data Analyst</v>
      </c>
      <c r="D311" s="1">
        <f t="shared" ca="1" si="44"/>
        <v>43591</v>
      </c>
      <c r="E311" s="1">
        <f ca="1">Table1[[#This Row],[Job Posting Date]]+ RANDBETWEEN(15, 90)</f>
        <v>43656</v>
      </c>
      <c r="F311" s="1">
        <f ca="1">Table1[[#This Row],[Hire Date]]+ RANDBETWEEN(1, 15)</f>
        <v>43666</v>
      </c>
      <c r="G311" s="1" t="str">
        <f ca="1">IF(RAND() &lt; 0.5,  Table1[[#This Row],[Join Date]]+ RANDBETWEEN(30, TODAY()- Table1[[#This Row],[Join Date]]), "-")</f>
        <v>-</v>
      </c>
      <c r="H311" t="str">
        <f ca="1">IF(Table1[[#This Row],[Exit Date]]= "-", "Active", "Exited")</f>
        <v>Active</v>
      </c>
      <c r="I311" s="5">
        <f t="shared" ca="1" si="45"/>
        <v>4864</v>
      </c>
      <c r="J311" t="str" cm="1">
        <f t="array" aca="1" ref="J311" ca="1">INDEX(sheet2!$C$2:$C$6, RANDBETWEEN(1, 5))</f>
        <v>Ethics and Responsibilities</v>
      </c>
      <c r="K311" t="str">
        <f t="shared" ca="1" si="46"/>
        <v>Not Completed</v>
      </c>
      <c r="L311">
        <v>260</v>
      </c>
      <c r="M311">
        <f t="shared" ca="1" si="40"/>
        <v>18</v>
      </c>
      <c r="N311" t="str">
        <f t="shared" ca="1" si="41"/>
        <v>Other</v>
      </c>
      <c r="O311" s="6">
        <f t="shared" ca="1" si="42"/>
        <v>1428</v>
      </c>
      <c r="P311">
        <f ca="1">Table1[[#This Row],[Hire Date]]-Table1[[#This Row],[Job Posting Date]]</f>
        <v>65</v>
      </c>
      <c r="Q311" s="7">
        <f ca="1">Table1[[#This Row],[Join Date]]-Table1[[#This Row],[Hire Date]]</f>
        <v>10</v>
      </c>
      <c r="R311" s="8">
        <f ca="1">(IF(Table1[[#This Row],[Status]]="Exited",Table1[[#This Row],[Exit Date]]-Table1[[#This Row],[Join Date]],TODAY()-Table1[[#This Row],[Join Date]]))/30</f>
        <v>66.566666666666663</v>
      </c>
      <c r="S311">
        <f ca="1">Table1[[#This Row],[Hire Date]]-Table1[[#This Row],[Job Posting Date]]</f>
        <v>65</v>
      </c>
      <c r="T311" s="7">
        <f ca="1">Table1[[#This Row],[Time to onboard]]/Table1[[#This Row],[Time to Fill]]*100</f>
        <v>15.384615384615385</v>
      </c>
      <c r="U311" s="8">
        <f ca="1">Table1[[#This Row],[Time to onboard]]/Table1[[#This Row],[Time to Fill]]*100</f>
        <v>15.384615384615385</v>
      </c>
      <c r="V311">
        <f ca="1">Table1[[#This Row],[Join Date]]-Table1[[#This Row],[Job Posting Date]]</f>
        <v>75</v>
      </c>
      <c r="W311">
        <f t="shared" ca="1" si="43"/>
        <v>134</v>
      </c>
      <c r="X311" s="8">
        <f ca="1">Table1[[#This Row],[Absentee Days]]/Table1[[#This Row],[Total Work Days]]*100</f>
        <v>6.9230769230769234</v>
      </c>
      <c r="Y311">
        <f ca="1">YEAR(Table1[[#This Row],[Join Date]])</f>
        <v>2019</v>
      </c>
      <c r="Z311">
        <f ca="1">IF(Table1[[#This Row],[Status]]="Active",1,0)</f>
        <v>1</v>
      </c>
      <c r="AA311">
        <f ca="1">IF(Table1[[#This Row],[Status]]="Exited",Table1[[#This Row],[Recruitment Cost]]+Table1[[#This Row],[Onboarding cost]]+Table1[[#This Row],[Training Cost]],0)</f>
        <v>0</v>
      </c>
    </row>
    <row r="312" spans="1:27">
      <c r="A312" t="str">
        <f t="shared" si="39"/>
        <v>E311</v>
      </c>
      <c r="B312" t="str" cm="1">
        <f t="array" aca="1" ref="B312" ca="1">INDEX(sheet2!$A$2:$A$6, RANDBETWEEN(1, 5))</f>
        <v>IT</v>
      </c>
      <c r="C312" t="str">
        <f ca="1">_xlfn.XLOOKUP(Table1[[#This Row],[Department]],sheet2!$A$2:$A$6,sheet2!$B$2:$B$6,_xleta.NA,0)</f>
        <v>Software Engineer</v>
      </c>
      <c r="D312" s="1">
        <f t="shared" ca="1" si="44"/>
        <v>43656</v>
      </c>
      <c r="E312" s="1">
        <f ca="1">Table1[[#This Row],[Job Posting Date]]+ RANDBETWEEN(15, 90)</f>
        <v>43728</v>
      </c>
      <c r="F312" s="1">
        <f ca="1">Table1[[#This Row],[Hire Date]]+ RANDBETWEEN(1, 15)</f>
        <v>43740</v>
      </c>
      <c r="G312" s="1" t="str">
        <f ca="1">IF(RAND() &lt; 0.5,  Table1[[#This Row],[Join Date]]+ RANDBETWEEN(30, TODAY()- Table1[[#This Row],[Join Date]]), "-")</f>
        <v>-</v>
      </c>
      <c r="H312" t="str">
        <f ca="1">IF(Table1[[#This Row],[Exit Date]]= "-", "Active", "Exited")</f>
        <v>Active</v>
      </c>
      <c r="I312" s="5">
        <f t="shared" ca="1" si="45"/>
        <v>3471</v>
      </c>
      <c r="J312" t="str" cm="1">
        <f t="array" aca="1" ref="J312" ca="1">INDEX(sheet2!$C$2:$C$6, RANDBETWEEN(1, 5))</f>
        <v>Communication Skills</v>
      </c>
      <c r="K312" t="str">
        <f t="shared" ca="1" si="46"/>
        <v>Not Completed</v>
      </c>
      <c r="L312">
        <v>260</v>
      </c>
      <c r="M312">
        <f t="shared" ca="1" si="40"/>
        <v>1</v>
      </c>
      <c r="N312" t="str">
        <f t="shared" ca="1" si="41"/>
        <v>Other</v>
      </c>
      <c r="O312" s="6">
        <f t="shared" ca="1" si="42"/>
        <v>2237</v>
      </c>
      <c r="P312">
        <f ca="1">Table1[[#This Row],[Hire Date]]-Table1[[#This Row],[Job Posting Date]]</f>
        <v>72</v>
      </c>
      <c r="Q312" s="7">
        <f ca="1">Table1[[#This Row],[Join Date]]-Table1[[#This Row],[Hire Date]]</f>
        <v>12</v>
      </c>
      <c r="R312" s="8">
        <f ca="1">(IF(Table1[[#This Row],[Status]]="Exited",Table1[[#This Row],[Exit Date]]-Table1[[#This Row],[Join Date]],TODAY()-Table1[[#This Row],[Join Date]]))/30</f>
        <v>64.099999999999994</v>
      </c>
      <c r="S312">
        <f ca="1">Table1[[#This Row],[Hire Date]]-Table1[[#This Row],[Job Posting Date]]</f>
        <v>72</v>
      </c>
      <c r="T312" s="7">
        <f ca="1">Table1[[#This Row],[Time to onboard]]/Table1[[#This Row],[Time to Fill]]*100</f>
        <v>16.666666666666664</v>
      </c>
      <c r="U312" s="8">
        <f ca="1">Table1[[#This Row],[Time to onboard]]/Table1[[#This Row],[Time to Fill]]*100</f>
        <v>16.666666666666664</v>
      </c>
      <c r="V312">
        <f ca="1">Table1[[#This Row],[Join Date]]-Table1[[#This Row],[Job Posting Date]]</f>
        <v>84</v>
      </c>
      <c r="W312">
        <f t="shared" ca="1" si="43"/>
        <v>149</v>
      </c>
      <c r="X312" s="8">
        <f ca="1">Table1[[#This Row],[Absentee Days]]/Table1[[#This Row],[Total Work Days]]*100</f>
        <v>0.38461538461538464</v>
      </c>
      <c r="Y312">
        <f ca="1">YEAR(Table1[[#This Row],[Join Date]])</f>
        <v>2019</v>
      </c>
      <c r="Z312">
        <f ca="1">IF(Table1[[#This Row],[Status]]="Active",1,0)</f>
        <v>1</v>
      </c>
      <c r="AA312">
        <f ca="1">IF(Table1[[#This Row],[Status]]="Exited",Table1[[#This Row],[Recruitment Cost]]+Table1[[#This Row],[Onboarding cost]]+Table1[[#This Row],[Training Cost]],0)</f>
        <v>0</v>
      </c>
    </row>
    <row r="313" spans="1:27">
      <c r="A313" t="str">
        <f t="shared" si="39"/>
        <v>E312</v>
      </c>
      <c r="B313" t="str" cm="1">
        <f t="array" aca="1" ref="B313" ca="1">INDEX(sheet2!$A$2:$A$6, RANDBETWEEN(1, 5))</f>
        <v>IT</v>
      </c>
      <c r="C313" t="str">
        <f ca="1">_xlfn.XLOOKUP(Table1[[#This Row],[Department]],sheet2!$A$2:$A$6,sheet2!$B$2:$B$6,_xleta.NA,0)</f>
        <v>Software Engineer</v>
      </c>
      <c r="D313" s="1">
        <f t="shared" ca="1" si="44"/>
        <v>44261</v>
      </c>
      <c r="E313" s="1">
        <f ca="1">Table1[[#This Row],[Job Posting Date]]+ RANDBETWEEN(15, 90)</f>
        <v>44282</v>
      </c>
      <c r="F313" s="1">
        <f ca="1">Table1[[#This Row],[Hire Date]]+ RANDBETWEEN(1, 15)</f>
        <v>44291</v>
      </c>
      <c r="G313" s="1" t="str">
        <f ca="1">IF(RAND() &lt; 0.5,  Table1[[#This Row],[Join Date]]+ RANDBETWEEN(30, TODAY()- Table1[[#This Row],[Join Date]]), "-")</f>
        <v>-</v>
      </c>
      <c r="H313" t="str">
        <f ca="1">IF(Table1[[#This Row],[Exit Date]]= "-", "Active", "Exited")</f>
        <v>Active</v>
      </c>
      <c r="I313" s="5">
        <f t="shared" ca="1" si="45"/>
        <v>4374</v>
      </c>
      <c r="J313" t="str" cm="1">
        <f t="array" aca="1" ref="J313" ca="1">INDEX(sheet2!$C$2:$C$6, RANDBETWEEN(1, 5))</f>
        <v>Leadership Development</v>
      </c>
      <c r="K313" t="str">
        <f t="shared" ca="1" si="46"/>
        <v>Completed</v>
      </c>
      <c r="L313">
        <v>260</v>
      </c>
      <c r="M313">
        <f t="shared" ca="1" si="40"/>
        <v>19</v>
      </c>
      <c r="N313" t="str">
        <f t="shared" ca="1" si="41"/>
        <v>Male</v>
      </c>
      <c r="O313" s="6">
        <f t="shared" ca="1" si="42"/>
        <v>1240</v>
      </c>
      <c r="P313">
        <f ca="1">Table1[[#This Row],[Hire Date]]-Table1[[#This Row],[Job Posting Date]]</f>
        <v>21</v>
      </c>
      <c r="Q313" s="7">
        <f ca="1">Table1[[#This Row],[Join Date]]-Table1[[#This Row],[Hire Date]]</f>
        <v>9</v>
      </c>
      <c r="R313" s="8">
        <f ca="1">(IF(Table1[[#This Row],[Status]]="Exited",Table1[[#This Row],[Exit Date]]-Table1[[#This Row],[Join Date]],TODAY()-Table1[[#This Row],[Join Date]]))/30</f>
        <v>45.733333333333334</v>
      </c>
      <c r="S313">
        <f ca="1">Table1[[#This Row],[Hire Date]]-Table1[[#This Row],[Job Posting Date]]</f>
        <v>21</v>
      </c>
      <c r="T313" s="7">
        <f ca="1">Table1[[#This Row],[Time to onboard]]/Table1[[#This Row],[Time to Fill]]*100</f>
        <v>42.857142857142854</v>
      </c>
      <c r="U313" s="8">
        <f ca="1">Table1[[#This Row],[Time to onboard]]/Table1[[#This Row],[Time to Fill]]*100</f>
        <v>42.857142857142854</v>
      </c>
      <c r="V313">
        <f ca="1">Table1[[#This Row],[Join Date]]-Table1[[#This Row],[Job Posting Date]]</f>
        <v>30</v>
      </c>
      <c r="W313">
        <f t="shared" ca="1" si="43"/>
        <v>171</v>
      </c>
      <c r="X313" s="8">
        <f ca="1">Table1[[#This Row],[Absentee Days]]/Table1[[#This Row],[Total Work Days]]*100</f>
        <v>7.3076923076923084</v>
      </c>
      <c r="Y313">
        <f ca="1">YEAR(Table1[[#This Row],[Join Date]])</f>
        <v>2021</v>
      </c>
      <c r="Z313">
        <f ca="1">IF(Table1[[#This Row],[Status]]="Active",1,0)</f>
        <v>1</v>
      </c>
      <c r="AA313">
        <f ca="1">IF(Table1[[#This Row],[Status]]="Exited",Table1[[#This Row],[Recruitment Cost]]+Table1[[#This Row],[Onboarding cost]]+Table1[[#This Row],[Training Cost]],0)</f>
        <v>0</v>
      </c>
    </row>
    <row r="314" spans="1:27">
      <c r="A314" t="str">
        <f t="shared" si="39"/>
        <v>E313</v>
      </c>
      <c r="B314" t="str" cm="1">
        <f t="array" aca="1" ref="B314" ca="1">INDEX(sheet2!$A$2:$A$6, RANDBETWEEN(1, 5))</f>
        <v>Finance</v>
      </c>
      <c r="C314" t="str">
        <f ca="1">_xlfn.XLOOKUP(Table1[[#This Row],[Department]],sheet2!$A$2:$A$6,sheet2!$B$2:$B$6,_xleta.NA,0)</f>
        <v>Finance Manager</v>
      </c>
      <c r="D314" s="1">
        <f t="shared" ca="1" si="44"/>
        <v>43536</v>
      </c>
      <c r="E314" s="1">
        <f ca="1">Table1[[#This Row],[Job Posting Date]]+ RANDBETWEEN(15, 90)</f>
        <v>43592</v>
      </c>
      <c r="F314" s="1">
        <f ca="1">Table1[[#This Row],[Hire Date]]+ RANDBETWEEN(1, 15)</f>
        <v>43607</v>
      </c>
      <c r="G314" s="1" t="str">
        <f ca="1">IF(RAND() &lt; 0.5,  Table1[[#This Row],[Join Date]]+ RANDBETWEEN(30, TODAY()- Table1[[#This Row],[Join Date]]), "-")</f>
        <v>-</v>
      </c>
      <c r="H314" t="str">
        <f ca="1">IF(Table1[[#This Row],[Exit Date]]= "-", "Active", "Exited")</f>
        <v>Active</v>
      </c>
      <c r="I314" s="5">
        <f t="shared" ca="1" si="45"/>
        <v>2280</v>
      </c>
      <c r="J314" t="str" cm="1">
        <f t="array" aca="1" ref="J314" ca="1">INDEX(sheet2!$C$2:$C$6, RANDBETWEEN(1, 5))</f>
        <v>Communication Skills</v>
      </c>
      <c r="K314" t="str">
        <f t="shared" ca="1" si="46"/>
        <v>Completed</v>
      </c>
      <c r="L314">
        <v>260</v>
      </c>
      <c r="M314">
        <f t="shared" ca="1" si="40"/>
        <v>18</v>
      </c>
      <c r="N314" t="str">
        <f t="shared" ca="1" si="41"/>
        <v>Female</v>
      </c>
      <c r="O314" s="6">
        <f t="shared" ca="1" si="42"/>
        <v>1980</v>
      </c>
      <c r="P314">
        <f ca="1">Table1[[#This Row],[Hire Date]]-Table1[[#This Row],[Job Posting Date]]</f>
        <v>56</v>
      </c>
      <c r="Q314" s="7">
        <f ca="1">Table1[[#This Row],[Join Date]]-Table1[[#This Row],[Hire Date]]</f>
        <v>15</v>
      </c>
      <c r="R314" s="8">
        <f ca="1">(IF(Table1[[#This Row],[Status]]="Exited",Table1[[#This Row],[Exit Date]]-Table1[[#This Row],[Join Date]],TODAY()-Table1[[#This Row],[Join Date]]))/30</f>
        <v>68.533333333333331</v>
      </c>
      <c r="S314">
        <f ca="1">Table1[[#This Row],[Hire Date]]-Table1[[#This Row],[Job Posting Date]]</f>
        <v>56</v>
      </c>
      <c r="T314" s="7">
        <f ca="1">Table1[[#This Row],[Time to onboard]]/Table1[[#This Row],[Time to Fill]]*100</f>
        <v>26.785714285714285</v>
      </c>
      <c r="U314" s="8">
        <f ca="1">Table1[[#This Row],[Time to onboard]]/Table1[[#This Row],[Time to Fill]]*100</f>
        <v>26.785714285714285</v>
      </c>
      <c r="V314">
        <f ca="1">Table1[[#This Row],[Join Date]]-Table1[[#This Row],[Job Posting Date]]</f>
        <v>71</v>
      </c>
      <c r="W314">
        <f t="shared" ca="1" si="43"/>
        <v>198</v>
      </c>
      <c r="X314" s="8">
        <f ca="1">Table1[[#This Row],[Absentee Days]]/Table1[[#This Row],[Total Work Days]]*100</f>
        <v>6.9230769230769234</v>
      </c>
      <c r="Y314">
        <f ca="1">YEAR(Table1[[#This Row],[Join Date]])</f>
        <v>2019</v>
      </c>
      <c r="Z314">
        <f ca="1">IF(Table1[[#This Row],[Status]]="Active",1,0)</f>
        <v>1</v>
      </c>
      <c r="AA314">
        <f ca="1">IF(Table1[[#This Row],[Status]]="Exited",Table1[[#This Row],[Recruitment Cost]]+Table1[[#This Row],[Onboarding cost]]+Table1[[#This Row],[Training Cost]],0)</f>
        <v>0</v>
      </c>
    </row>
    <row r="315" spans="1:27">
      <c r="A315" t="str">
        <f t="shared" si="39"/>
        <v>E314</v>
      </c>
      <c r="B315" t="str" cm="1">
        <f t="array" aca="1" ref="B315" ca="1">INDEX(sheet2!$A$2:$A$6, RANDBETWEEN(1, 5))</f>
        <v>Sales</v>
      </c>
      <c r="C315" t="str">
        <f ca="1">_xlfn.XLOOKUP(Table1[[#This Row],[Department]],sheet2!$A$2:$A$6,sheet2!$B$2:$B$6,_xleta.NA,0)</f>
        <v>Marketing Manager</v>
      </c>
      <c r="D315" s="1">
        <f t="shared" ca="1" si="44"/>
        <v>44761</v>
      </c>
      <c r="E315" s="1">
        <f ca="1">Table1[[#This Row],[Job Posting Date]]+ RANDBETWEEN(15, 90)</f>
        <v>44824</v>
      </c>
      <c r="F315" s="1">
        <f ca="1">Table1[[#This Row],[Hire Date]]+ RANDBETWEEN(1, 15)</f>
        <v>44828</v>
      </c>
      <c r="G315" s="1">
        <f ca="1">IF(RAND() &lt; 0.5,  Table1[[#This Row],[Join Date]]+ RANDBETWEEN(30, TODAY()- Table1[[#This Row],[Join Date]]), "-")</f>
        <v>45181</v>
      </c>
      <c r="H315" t="str">
        <f ca="1">IF(Table1[[#This Row],[Exit Date]]= "-", "Active", "Exited")</f>
        <v>Exited</v>
      </c>
      <c r="I315" s="5">
        <f t="shared" ca="1" si="45"/>
        <v>1663</v>
      </c>
      <c r="J315" t="str" cm="1">
        <f t="array" aca="1" ref="J315" ca="1">INDEX(sheet2!$C$2:$C$6, RANDBETWEEN(1, 5))</f>
        <v>Leadership Development</v>
      </c>
      <c r="K315" t="str">
        <f t="shared" ca="1" si="46"/>
        <v>Completed</v>
      </c>
      <c r="L315">
        <v>260</v>
      </c>
      <c r="M315">
        <f t="shared" ca="1" si="40"/>
        <v>12</v>
      </c>
      <c r="N315" t="str">
        <f t="shared" ca="1" si="41"/>
        <v>Other</v>
      </c>
      <c r="O315" s="6">
        <f t="shared" ca="1" si="42"/>
        <v>1564</v>
      </c>
      <c r="P315">
        <f ca="1">Table1[[#This Row],[Hire Date]]-Table1[[#This Row],[Job Posting Date]]</f>
        <v>63</v>
      </c>
      <c r="Q315" s="7">
        <f ca="1">Table1[[#This Row],[Join Date]]-Table1[[#This Row],[Hire Date]]</f>
        <v>4</v>
      </c>
      <c r="R315" s="8">
        <f ca="1">(IF(Table1[[#This Row],[Status]]="Exited",Table1[[#This Row],[Exit Date]]-Table1[[#This Row],[Join Date]],TODAY()-Table1[[#This Row],[Join Date]]))/30</f>
        <v>11.766666666666667</v>
      </c>
      <c r="S315">
        <f ca="1">Table1[[#This Row],[Hire Date]]-Table1[[#This Row],[Job Posting Date]]</f>
        <v>63</v>
      </c>
      <c r="T315" s="7">
        <f ca="1">Table1[[#This Row],[Time to onboard]]/Table1[[#This Row],[Time to Fill]]*100</f>
        <v>6.3492063492063489</v>
      </c>
      <c r="U315" s="8">
        <f ca="1">Table1[[#This Row],[Time to onboard]]/Table1[[#This Row],[Time to Fill]]*100</f>
        <v>6.3492063492063489</v>
      </c>
      <c r="V315">
        <f ca="1">Table1[[#This Row],[Join Date]]-Table1[[#This Row],[Job Posting Date]]</f>
        <v>67</v>
      </c>
      <c r="W315">
        <f t="shared" ca="1" si="43"/>
        <v>122</v>
      </c>
      <c r="X315" s="8">
        <f ca="1">Table1[[#This Row],[Absentee Days]]/Table1[[#This Row],[Total Work Days]]*100</f>
        <v>4.6153846153846159</v>
      </c>
      <c r="Y315">
        <f ca="1">YEAR(Table1[[#This Row],[Join Date]])</f>
        <v>2022</v>
      </c>
      <c r="Z315">
        <f ca="1">IF(Table1[[#This Row],[Status]]="Active",1,0)</f>
        <v>0</v>
      </c>
      <c r="AA315">
        <f ca="1">IF(Table1[[#This Row],[Status]]="Exited",Table1[[#This Row],[Recruitment Cost]]+Table1[[#This Row],[Onboarding cost]]+Table1[[#This Row],[Training Cost]],0)</f>
        <v>3349</v>
      </c>
    </row>
    <row r="316" spans="1:27">
      <c r="A316" t="str">
        <f t="shared" si="39"/>
        <v>E315</v>
      </c>
      <c r="B316" t="str" cm="1">
        <f t="array" aca="1" ref="B316" ca="1">INDEX(sheet2!$A$2:$A$6, RANDBETWEEN(1, 5))</f>
        <v>Finance</v>
      </c>
      <c r="C316" t="str">
        <f ca="1">_xlfn.XLOOKUP(Table1[[#This Row],[Department]],sheet2!$A$2:$A$6,sheet2!$B$2:$B$6,_xleta.NA,0)</f>
        <v>Finance Manager</v>
      </c>
      <c r="D316" s="1">
        <f t="shared" ca="1" si="44"/>
        <v>43514</v>
      </c>
      <c r="E316" s="1">
        <f ca="1">Table1[[#This Row],[Job Posting Date]]+ RANDBETWEEN(15, 90)</f>
        <v>43569</v>
      </c>
      <c r="F316" s="1">
        <f ca="1">Table1[[#This Row],[Hire Date]]+ RANDBETWEEN(1, 15)</f>
        <v>43578</v>
      </c>
      <c r="G316" s="1">
        <f ca="1">IF(RAND() &lt; 0.5,  Table1[[#This Row],[Join Date]]+ RANDBETWEEN(30, TODAY()- Table1[[#This Row],[Join Date]]), "-")</f>
        <v>44366</v>
      </c>
      <c r="H316" t="str">
        <f ca="1">IF(Table1[[#This Row],[Exit Date]]= "-", "Active", "Exited")</f>
        <v>Exited</v>
      </c>
      <c r="I316" s="5">
        <f t="shared" ca="1" si="45"/>
        <v>2297</v>
      </c>
      <c r="J316" t="str" cm="1">
        <f t="array" aca="1" ref="J316" ca="1">INDEX(sheet2!$C$2:$C$6, RANDBETWEEN(1, 5))</f>
        <v>Advanced Excel Skills </v>
      </c>
      <c r="K316" t="str">
        <f t="shared" ca="1" si="46"/>
        <v>Not Completed</v>
      </c>
      <c r="L316">
        <v>260</v>
      </c>
      <c r="M316">
        <f t="shared" ca="1" si="40"/>
        <v>7</v>
      </c>
      <c r="N316" t="str">
        <f t="shared" ca="1" si="41"/>
        <v>Female</v>
      </c>
      <c r="O316" s="6">
        <f t="shared" ca="1" si="42"/>
        <v>2411</v>
      </c>
      <c r="P316">
        <f ca="1">Table1[[#This Row],[Hire Date]]-Table1[[#This Row],[Job Posting Date]]</f>
        <v>55</v>
      </c>
      <c r="Q316" s="7">
        <f ca="1">Table1[[#This Row],[Join Date]]-Table1[[#This Row],[Hire Date]]</f>
        <v>9</v>
      </c>
      <c r="R316" s="8">
        <f ca="1">(IF(Table1[[#This Row],[Status]]="Exited",Table1[[#This Row],[Exit Date]]-Table1[[#This Row],[Join Date]],TODAY()-Table1[[#This Row],[Join Date]]))/30</f>
        <v>26.266666666666666</v>
      </c>
      <c r="S316">
        <f ca="1">Table1[[#This Row],[Hire Date]]-Table1[[#This Row],[Job Posting Date]]</f>
        <v>55</v>
      </c>
      <c r="T316" s="7">
        <f ca="1">Table1[[#This Row],[Time to onboard]]/Table1[[#This Row],[Time to Fill]]*100</f>
        <v>16.363636363636363</v>
      </c>
      <c r="U316" s="8">
        <f ca="1">Table1[[#This Row],[Time to onboard]]/Table1[[#This Row],[Time to Fill]]*100</f>
        <v>16.363636363636363</v>
      </c>
      <c r="V316">
        <f ca="1">Table1[[#This Row],[Join Date]]-Table1[[#This Row],[Job Posting Date]]</f>
        <v>64</v>
      </c>
      <c r="W316">
        <f t="shared" ca="1" si="43"/>
        <v>101</v>
      </c>
      <c r="X316" s="8">
        <f ca="1">Table1[[#This Row],[Absentee Days]]/Table1[[#This Row],[Total Work Days]]*100</f>
        <v>2.6923076923076925</v>
      </c>
      <c r="Y316">
        <f ca="1">YEAR(Table1[[#This Row],[Join Date]])</f>
        <v>2019</v>
      </c>
      <c r="Z316">
        <f ca="1">IF(Table1[[#This Row],[Status]]="Active",1,0)</f>
        <v>0</v>
      </c>
      <c r="AA316">
        <f ca="1">IF(Table1[[#This Row],[Status]]="Exited",Table1[[#This Row],[Recruitment Cost]]+Table1[[#This Row],[Onboarding cost]]+Table1[[#This Row],[Training Cost]],0)</f>
        <v>4809</v>
      </c>
    </row>
    <row r="317" spans="1:27">
      <c r="A317" t="str">
        <f t="shared" si="39"/>
        <v>E316</v>
      </c>
      <c r="B317" t="str" cm="1">
        <f t="array" aca="1" ref="B317" ca="1">INDEX(sheet2!$A$2:$A$6, RANDBETWEEN(1, 5))</f>
        <v>HR</v>
      </c>
      <c r="C317" t="str">
        <f ca="1">_xlfn.XLOOKUP(Table1[[#This Row],[Department]],sheet2!$A$2:$A$6,sheet2!$B$2:$B$6,_xleta.NA,0)</f>
        <v>HR Manager</v>
      </c>
      <c r="D317" s="1">
        <f t="shared" ca="1" si="44"/>
        <v>43977</v>
      </c>
      <c r="E317" s="1">
        <f ca="1">Table1[[#This Row],[Job Posting Date]]+ RANDBETWEEN(15, 90)</f>
        <v>44020</v>
      </c>
      <c r="F317" s="1">
        <f ca="1">Table1[[#This Row],[Hire Date]]+ RANDBETWEEN(1, 15)</f>
        <v>44024</v>
      </c>
      <c r="G317" s="1" t="str">
        <f ca="1">IF(RAND() &lt; 0.5,  Table1[[#This Row],[Join Date]]+ RANDBETWEEN(30, TODAY()- Table1[[#This Row],[Join Date]]), "-")</f>
        <v>-</v>
      </c>
      <c r="H317" t="str">
        <f ca="1">IF(Table1[[#This Row],[Exit Date]]= "-", "Active", "Exited")</f>
        <v>Active</v>
      </c>
      <c r="I317" s="5">
        <f t="shared" ca="1" si="45"/>
        <v>2824</v>
      </c>
      <c r="J317" t="str" cm="1">
        <f t="array" aca="1" ref="J317" ca="1">INDEX(sheet2!$C$2:$C$6, RANDBETWEEN(1, 5))</f>
        <v>Advanced Excel Skills </v>
      </c>
      <c r="K317" t="str">
        <f t="shared" ca="1" si="46"/>
        <v>Completed</v>
      </c>
      <c r="L317">
        <v>260</v>
      </c>
      <c r="M317">
        <f t="shared" ca="1" si="40"/>
        <v>10</v>
      </c>
      <c r="N317" t="str">
        <f t="shared" ca="1" si="41"/>
        <v>Male</v>
      </c>
      <c r="O317" s="6">
        <f t="shared" ca="1" si="42"/>
        <v>1212</v>
      </c>
      <c r="P317">
        <f ca="1">Table1[[#This Row],[Hire Date]]-Table1[[#This Row],[Job Posting Date]]</f>
        <v>43</v>
      </c>
      <c r="Q317" s="7">
        <f ca="1">Table1[[#This Row],[Join Date]]-Table1[[#This Row],[Hire Date]]</f>
        <v>4</v>
      </c>
      <c r="R317" s="8">
        <f ca="1">(IF(Table1[[#This Row],[Status]]="Exited",Table1[[#This Row],[Exit Date]]-Table1[[#This Row],[Join Date]],TODAY()-Table1[[#This Row],[Join Date]]))/30</f>
        <v>54.633333333333333</v>
      </c>
      <c r="S317">
        <f ca="1">Table1[[#This Row],[Hire Date]]-Table1[[#This Row],[Job Posting Date]]</f>
        <v>43</v>
      </c>
      <c r="T317" s="7">
        <f ca="1">Table1[[#This Row],[Time to onboard]]/Table1[[#This Row],[Time to Fill]]*100</f>
        <v>9.3023255813953494</v>
      </c>
      <c r="U317" s="8">
        <f ca="1">Table1[[#This Row],[Time to onboard]]/Table1[[#This Row],[Time to Fill]]*100</f>
        <v>9.3023255813953494</v>
      </c>
      <c r="V317">
        <f ca="1">Table1[[#This Row],[Join Date]]-Table1[[#This Row],[Job Posting Date]]</f>
        <v>47</v>
      </c>
      <c r="W317">
        <f t="shared" ca="1" si="43"/>
        <v>199</v>
      </c>
      <c r="X317" s="8">
        <f ca="1">Table1[[#This Row],[Absentee Days]]/Table1[[#This Row],[Total Work Days]]*100</f>
        <v>3.8461538461538463</v>
      </c>
      <c r="Y317">
        <f ca="1">YEAR(Table1[[#This Row],[Join Date]])</f>
        <v>2020</v>
      </c>
      <c r="Z317">
        <f ca="1">IF(Table1[[#This Row],[Status]]="Active",1,0)</f>
        <v>1</v>
      </c>
      <c r="AA317">
        <f ca="1">IF(Table1[[#This Row],[Status]]="Exited",Table1[[#This Row],[Recruitment Cost]]+Table1[[#This Row],[Onboarding cost]]+Table1[[#This Row],[Training Cost]],0)</f>
        <v>0</v>
      </c>
    </row>
    <row r="318" spans="1:27">
      <c r="A318" t="str">
        <f t="shared" si="39"/>
        <v>E317</v>
      </c>
      <c r="B318" t="str" cm="1">
        <f t="array" aca="1" ref="B318" ca="1">INDEX(sheet2!$A$2:$A$6, RANDBETWEEN(1, 5))</f>
        <v>IT</v>
      </c>
      <c r="C318" t="str">
        <f ca="1">_xlfn.XLOOKUP(Table1[[#This Row],[Department]],sheet2!$A$2:$A$6,sheet2!$B$2:$B$6,_xleta.NA,0)</f>
        <v>Software Engineer</v>
      </c>
      <c r="D318" s="1">
        <f t="shared" ca="1" si="44"/>
        <v>44540</v>
      </c>
      <c r="E318" s="1">
        <f ca="1">Table1[[#This Row],[Job Posting Date]]+ RANDBETWEEN(15, 90)</f>
        <v>44575</v>
      </c>
      <c r="F318" s="1">
        <f ca="1">Table1[[#This Row],[Hire Date]]+ RANDBETWEEN(1, 15)</f>
        <v>44583</v>
      </c>
      <c r="G318" s="1">
        <f ca="1">IF(RAND() &lt; 0.5,  Table1[[#This Row],[Join Date]]+ RANDBETWEEN(30, TODAY()- Table1[[#This Row],[Join Date]]), "-")</f>
        <v>44738</v>
      </c>
      <c r="H318" t="str">
        <f ca="1">IF(Table1[[#This Row],[Exit Date]]= "-", "Active", "Exited")</f>
        <v>Exited</v>
      </c>
      <c r="I318" s="5">
        <f t="shared" ca="1" si="45"/>
        <v>4485</v>
      </c>
      <c r="J318" t="str" cm="1">
        <f t="array" aca="1" ref="J318" ca="1">INDEX(sheet2!$C$2:$C$6, RANDBETWEEN(1, 5))</f>
        <v>Conflict Resolution</v>
      </c>
      <c r="K318" t="str">
        <f t="shared" ca="1" si="46"/>
        <v>Completed</v>
      </c>
      <c r="L318">
        <v>260</v>
      </c>
      <c r="M318">
        <f t="shared" ca="1" si="40"/>
        <v>0</v>
      </c>
      <c r="N318" t="str">
        <f t="shared" ca="1" si="41"/>
        <v>Male</v>
      </c>
      <c r="O318" s="6">
        <f t="shared" ca="1" si="42"/>
        <v>2105</v>
      </c>
      <c r="P318">
        <f ca="1">Table1[[#This Row],[Hire Date]]-Table1[[#This Row],[Job Posting Date]]</f>
        <v>35</v>
      </c>
      <c r="Q318" s="7">
        <f ca="1">Table1[[#This Row],[Join Date]]-Table1[[#This Row],[Hire Date]]</f>
        <v>8</v>
      </c>
      <c r="R318" s="8">
        <f ca="1">(IF(Table1[[#This Row],[Status]]="Exited",Table1[[#This Row],[Exit Date]]-Table1[[#This Row],[Join Date]],TODAY()-Table1[[#This Row],[Join Date]]))/30</f>
        <v>5.166666666666667</v>
      </c>
      <c r="S318">
        <f ca="1">Table1[[#This Row],[Hire Date]]-Table1[[#This Row],[Job Posting Date]]</f>
        <v>35</v>
      </c>
      <c r="T318" s="7">
        <f ca="1">Table1[[#This Row],[Time to onboard]]/Table1[[#This Row],[Time to Fill]]*100</f>
        <v>22.857142857142858</v>
      </c>
      <c r="U318" s="8">
        <f ca="1">Table1[[#This Row],[Time to onboard]]/Table1[[#This Row],[Time to Fill]]*100</f>
        <v>22.857142857142858</v>
      </c>
      <c r="V318">
        <f ca="1">Table1[[#This Row],[Join Date]]-Table1[[#This Row],[Job Posting Date]]</f>
        <v>43</v>
      </c>
      <c r="W318">
        <f t="shared" ca="1" si="43"/>
        <v>153</v>
      </c>
      <c r="X318" s="8">
        <f ca="1">Table1[[#This Row],[Absentee Days]]/Table1[[#This Row],[Total Work Days]]*100</f>
        <v>0</v>
      </c>
      <c r="Y318">
        <f ca="1">YEAR(Table1[[#This Row],[Join Date]])</f>
        <v>2022</v>
      </c>
      <c r="Z318">
        <f ca="1">IF(Table1[[#This Row],[Status]]="Active",1,0)</f>
        <v>0</v>
      </c>
      <c r="AA318">
        <f ca="1">IF(Table1[[#This Row],[Status]]="Exited",Table1[[#This Row],[Recruitment Cost]]+Table1[[#This Row],[Onboarding cost]]+Table1[[#This Row],[Training Cost]],0)</f>
        <v>6743</v>
      </c>
    </row>
    <row r="319" spans="1:27">
      <c r="A319" t="str">
        <f t="shared" si="39"/>
        <v>E318</v>
      </c>
      <c r="B319" t="str" cm="1">
        <f t="array" aca="1" ref="B319" ca="1">INDEX(sheet2!$A$2:$A$6, RANDBETWEEN(1, 5))</f>
        <v>Finance</v>
      </c>
      <c r="C319" t="str">
        <f ca="1">_xlfn.XLOOKUP(Table1[[#This Row],[Department]],sheet2!$A$2:$A$6,sheet2!$B$2:$B$6,_xleta.NA,0)</f>
        <v>Finance Manager</v>
      </c>
      <c r="D319" s="1">
        <f t="shared" ca="1" si="44"/>
        <v>43527</v>
      </c>
      <c r="E319" s="1">
        <f ca="1">Table1[[#This Row],[Job Posting Date]]+ RANDBETWEEN(15, 90)</f>
        <v>43546</v>
      </c>
      <c r="F319" s="1">
        <f ca="1">Table1[[#This Row],[Hire Date]]+ RANDBETWEEN(1, 15)</f>
        <v>43553</v>
      </c>
      <c r="G319" s="1">
        <f ca="1">IF(RAND() &lt; 0.5,  Table1[[#This Row],[Join Date]]+ RANDBETWEEN(30, TODAY()- Table1[[#This Row],[Join Date]]), "-")</f>
        <v>43872</v>
      </c>
      <c r="H319" t="str">
        <f ca="1">IF(Table1[[#This Row],[Exit Date]]= "-", "Active", "Exited")</f>
        <v>Exited</v>
      </c>
      <c r="I319" s="5">
        <f t="shared" ca="1" si="45"/>
        <v>1952</v>
      </c>
      <c r="J319" t="str" cm="1">
        <f t="array" aca="1" ref="J319" ca="1">INDEX(sheet2!$C$2:$C$6, RANDBETWEEN(1, 5))</f>
        <v>Ethics and Responsibilities</v>
      </c>
      <c r="K319" t="str">
        <f t="shared" ca="1" si="46"/>
        <v>Not Completed</v>
      </c>
      <c r="L319">
        <v>260</v>
      </c>
      <c r="M319">
        <f t="shared" ca="1" si="40"/>
        <v>7</v>
      </c>
      <c r="N319" t="str">
        <f t="shared" ca="1" si="41"/>
        <v>Female</v>
      </c>
      <c r="O319" s="6">
        <f t="shared" ca="1" si="42"/>
        <v>1257</v>
      </c>
      <c r="P319">
        <f ca="1">Table1[[#This Row],[Hire Date]]-Table1[[#This Row],[Job Posting Date]]</f>
        <v>19</v>
      </c>
      <c r="Q319" s="7">
        <f ca="1">Table1[[#This Row],[Join Date]]-Table1[[#This Row],[Hire Date]]</f>
        <v>7</v>
      </c>
      <c r="R319" s="8">
        <f ca="1">(IF(Table1[[#This Row],[Status]]="Exited",Table1[[#This Row],[Exit Date]]-Table1[[#This Row],[Join Date]],TODAY()-Table1[[#This Row],[Join Date]]))/30</f>
        <v>10.633333333333333</v>
      </c>
      <c r="S319">
        <f ca="1">Table1[[#This Row],[Hire Date]]-Table1[[#This Row],[Job Posting Date]]</f>
        <v>19</v>
      </c>
      <c r="T319" s="7">
        <f ca="1">Table1[[#This Row],[Time to onboard]]/Table1[[#This Row],[Time to Fill]]*100</f>
        <v>36.84210526315789</v>
      </c>
      <c r="U319" s="8">
        <f ca="1">Table1[[#This Row],[Time to onboard]]/Table1[[#This Row],[Time to Fill]]*100</f>
        <v>36.84210526315789</v>
      </c>
      <c r="V319">
        <f ca="1">Table1[[#This Row],[Join Date]]-Table1[[#This Row],[Job Posting Date]]</f>
        <v>26</v>
      </c>
      <c r="W319">
        <f t="shared" ca="1" si="43"/>
        <v>170</v>
      </c>
      <c r="X319" s="8">
        <f ca="1">Table1[[#This Row],[Absentee Days]]/Table1[[#This Row],[Total Work Days]]*100</f>
        <v>2.6923076923076925</v>
      </c>
      <c r="Y319">
        <f ca="1">YEAR(Table1[[#This Row],[Join Date]])</f>
        <v>2019</v>
      </c>
      <c r="Z319">
        <f ca="1">IF(Table1[[#This Row],[Status]]="Active",1,0)</f>
        <v>0</v>
      </c>
      <c r="AA319">
        <f ca="1">IF(Table1[[#This Row],[Status]]="Exited",Table1[[#This Row],[Recruitment Cost]]+Table1[[#This Row],[Onboarding cost]]+Table1[[#This Row],[Training Cost]],0)</f>
        <v>3379</v>
      </c>
    </row>
    <row r="320" spans="1:27">
      <c r="A320" t="str">
        <f t="shared" si="39"/>
        <v>E319</v>
      </c>
      <c r="B320" t="str" cm="1">
        <f t="array" aca="1" ref="B320" ca="1">INDEX(sheet2!$A$2:$A$6, RANDBETWEEN(1, 5))</f>
        <v>IT</v>
      </c>
      <c r="C320" t="str">
        <f ca="1">_xlfn.XLOOKUP(Table1[[#This Row],[Department]],sheet2!$A$2:$A$6,sheet2!$B$2:$B$6,_xleta.NA,0)</f>
        <v>Software Engineer</v>
      </c>
      <c r="D320" s="1">
        <f t="shared" ca="1" si="44"/>
        <v>43940</v>
      </c>
      <c r="E320" s="1">
        <f ca="1">Table1[[#This Row],[Job Posting Date]]+ RANDBETWEEN(15, 90)</f>
        <v>44022</v>
      </c>
      <c r="F320" s="1">
        <f ca="1">Table1[[#This Row],[Hire Date]]+ RANDBETWEEN(1, 15)</f>
        <v>44031</v>
      </c>
      <c r="G320" s="1" t="str">
        <f ca="1">IF(RAND() &lt; 0.5,  Table1[[#This Row],[Join Date]]+ RANDBETWEEN(30, TODAY()- Table1[[#This Row],[Join Date]]), "-")</f>
        <v>-</v>
      </c>
      <c r="H320" t="str">
        <f ca="1">IF(Table1[[#This Row],[Exit Date]]= "-", "Active", "Exited")</f>
        <v>Active</v>
      </c>
      <c r="I320" s="5">
        <f t="shared" ca="1" si="45"/>
        <v>4575</v>
      </c>
      <c r="J320" t="str" cm="1">
        <f t="array" aca="1" ref="J320" ca="1">INDEX(sheet2!$C$2:$C$6, RANDBETWEEN(1, 5))</f>
        <v>Conflict Resolution</v>
      </c>
      <c r="K320" t="str">
        <f t="shared" ca="1" si="46"/>
        <v>Completed</v>
      </c>
      <c r="L320">
        <v>260</v>
      </c>
      <c r="M320">
        <f t="shared" ca="1" si="40"/>
        <v>8</v>
      </c>
      <c r="N320" t="str">
        <f t="shared" ca="1" si="41"/>
        <v>Male</v>
      </c>
      <c r="O320" s="6">
        <f t="shared" ca="1" si="42"/>
        <v>2175</v>
      </c>
      <c r="P320">
        <f ca="1">Table1[[#This Row],[Hire Date]]-Table1[[#This Row],[Job Posting Date]]</f>
        <v>82</v>
      </c>
      <c r="Q320" s="7">
        <f ca="1">Table1[[#This Row],[Join Date]]-Table1[[#This Row],[Hire Date]]</f>
        <v>9</v>
      </c>
      <c r="R320" s="8">
        <f ca="1">(IF(Table1[[#This Row],[Status]]="Exited",Table1[[#This Row],[Exit Date]]-Table1[[#This Row],[Join Date]],TODAY()-Table1[[#This Row],[Join Date]]))/30</f>
        <v>54.4</v>
      </c>
      <c r="S320">
        <f ca="1">Table1[[#This Row],[Hire Date]]-Table1[[#This Row],[Job Posting Date]]</f>
        <v>82</v>
      </c>
      <c r="T320" s="7">
        <f ca="1">Table1[[#This Row],[Time to onboard]]/Table1[[#This Row],[Time to Fill]]*100</f>
        <v>10.975609756097562</v>
      </c>
      <c r="U320" s="8">
        <f ca="1">Table1[[#This Row],[Time to onboard]]/Table1[[#This Row],[Time to Fill]]*100</f>
        <v>10.975609756097562</v>
      </c>
      <c r="V320">
        <f ca="1">Table1[[#This Row],[Join Date]]-Table1[[#This Row],[Job Posting Date]]</f>
        <v>91</v>
      </c>
      <c r="W320">
        <f t="shared" ca="1" si="43"/>
        <v>158</v>
      </c>
      <c r="X320" s="8">
        <f ca="1">Table1[[#This Row],[Absentee Days]]/Table1[[#This Row],[Total Work Days]]*100</f>
        <v>3.0769230769230771</v>
      </c>
      <c r="Y320">
        <f ca="1">YEAR(Table1[[#This Row],[Join Date]])</f>
        <v>2020</v>
      </c>
      <c r="Z320">
        <f ca="1">IF(Table1[[#This Row],[Status]]="Active",1,0)</f>
        <v>1</v>
      </c>
      <c r="AA320">
        <f ca="1">IF(Table1[[#This Row],[Status]]="Exited",Table1[[#This Row],[Recruitment Cost]]+Table1[[#This Row],[Onboarding cost]]+Table1[[#This Row],[Training Cost]],0)</f>
        <v>0</v>
      </c>
    </row>
    <row r="321" spans="1:27">
      <c r="A321" t="str">
        <f t="shared" si="39"/>
        <v>E320</v>
      </c>
      <c r="B321" t="str" cm="1">
        <f t="array" aca="1" ref="B321" ca="1">INDEX(sheet2!$A$2:$A$6, RANDBETWEEN(1, 5))</f>
        <v>Finance</v>
      </c>
      <c r="C321" t="str">
        <f ca="1">_xlfn.XLOOKUP(Table1[[#This Row],[Department]],sheet2!$A$2:$A$6,sheet2!$B$2:$B$6,_xleta.NA,0)</f>
        <v>Finance Manager</v>
      </c>
      <c r="D321" s="1">
        <f t="shared" ca="1" si="44"/>
        <v>44485</v>
      </c>
      <c r="E321" s="1">
        <f ca="1">Table1[[#This Row],[Job Posting Date]]+ RANDBETWEEN(15, 90)</f>
        <v>44565</v>
      </c>
      <c r="F321" s="1">
        <f ca="1">Table1[[#This Row],[Hire Date]]+ RANDBETWEEN(1, 15)</f>
        <v>44566</v>
      </c>
      <c r="G321" s="1" t="str">
        <f ca="1">IF(RAND() &lt; 0.5,  Table1[[#This Row],[Join Date]]+ RANDBETWEEN(30, TODAY()- Table1[[#This Row],[Join Date]]), "-")</f>
        <v>-</v>
      </c>
      <c r="H321" t="str">
        <f ca="1">IF(Table1[[#This Row],[Exit Date]]= "-", "Active", "Exited")</f>
        <v>Active</v>
      </c>
      <c r="I321" s="5">
        <f t="shared" ca="1" si="45"/>
        <v>2199</v>
      </c>
      <c r="J321" t="str" cm="1">
        <f t="array" aca="1" ref="J321" ca="1">INDEX(sheet2!$C$2:$C$6, RANDBETWEEN(1, 5))</f>
        <v>Advanced Excel Skills </v>
      </c>
      <c r="K321" t="str">
        <f t="shared" ca="1" si="46"/>
        <v>Completed</v>
      </c>
      <c r="L321">
        <v>260</v>
      </c>
      <c r="M321">
        <f t="shared" ca="1" si="40"/>
        <v>20</v>
      </c>
      <c r="N321" t="str">
        <f t="shared" ca="1" si="41"/>
        <v>Other</v>
      </c>
      <c r="O321" s="6">
        <f t="shared" ca="1" si="42"/>
        <v>1935</v>
      </c>
      <c r="P321">
        <f ca="1">Table1[[#This Row],[Hire Date]]-Table1[[#This Row],[Job Posting Date]]</f>
        <v>80</v>
      </c>
      <c r="Q321" s="7">
        <f ca="1">Table1[[#This Row],[Join Date]]-Table1[[#This Row],[Hire Date]]</f>
        <v>1</v>
      </c>
      <c r="R321" s="8">
        <f ca="1">(IF(Table1[[#This Row],[Status]]="Exited",Table1[[#This Row],[Exit Date]]-Table1[[#This Row],[Join Date]],TODAY()-Table1[[#This Row],[Join Date]]))/30</f>
        <v>36.56666666666667</v>
      </c>
      <c r="S321">
        <f ca="1">Table1[[#This Row],[Hire Date]]-Table1[[#This Row],[Job Posting Date]]</f>
        <v>80</v>
      </c>
      <c r="T321" s="7">
        <f ca="1">Table1[[#This Row],[Time to onboard]]/Table1[[#This Row],[Time to Fill]]*100</f>
        <v>1.25</v>
      </c>
      <c r="U321" s="8">
        <f ca="1">Table1[[#This Row],[Time to onboard]]/Table1[[#This Row],[Time to Fill]]*100</f>
        <v>1.25</v>
      </c>
      <c r="V321">
        <f ca="1">Table1[[#This Row],[Join Date]]-Table1[[#This Row],[Job Posting Date]]</f>
        <v>81</v>
      </c>
      <c r="W321">
        <f t="shared" ca="1" si="43"/>
        <v>186</v>
      </c>
      <c r="X321" s="8">
        <f ca="1">Table1[[#This Row],[Absentee Days]]/Table1[[#This Row],[Total Work Days]]*100</f>
        <v>7.6923076923076925</v>
      </c>
      <c r="Y321">
        <f ca="1">YEAR(Table1[[#This Row],[Join Date]])</f>
        <v>2022</v>
      </c>
      <c r="Z321">
        <f ca="1">IF(Table1[[#This Row],[Status]]="Active",1,0)</f>
        <v>1</v>
      </c>
      <c r="AA321">
        <f ca="1">IF(Table1[[#This Row],[Status]]="Exited",Table1[[#This Row],[Recruitment Cost]]+Table1[[#This Row],[Onboarding cost]]+Table1[[#This Row],[Training Cost]],0)</f>
        <v>0</v>
      </c>
    </row>
    <row r="322" spans="1:27">
      <c r="A322" t="str">
        <f t="shared" ref="A322:A385" si="47">"E" &amp; TEXT(ROW(A321), "000")</f>
        <v>E321</v>
      </c>
      <c r="B322" t="str" cm="1">
        <f t="array" aca="1" ref="B322" ca="1">INDEX(sheet2!$A$2:$A$6, RANDBETWEEN(1, 5))</f>
        <v>IT</v>
      </c>
      <c r="C322" t="str">
        <f ca="1">_xlfn.XLOOKUP(Table1[[#This Row],[Department]],sheet2!$A$2:$A$6,sheet2!$B$2:$B$6,_xleta.NA,0)</f>
        <v>Software Engineer</v>
      </c>
      <c r="D322" s="1">
        <f t="shared" ca="1" si="44"/>
        <v>44509</v>
      </c>
      <c r="E322" s="1">
        <f ca="1">Table1[[#This Row],[Job Posting Date]]+ RANDBETWEEN(15, 90)</f>
        <v>44570</v>
      </c>
      <c r="F322" s="1">
        <f ca="1">Table1[[#This Row],[Hire Date]]+ RANDBETWEEN(1, 15)</f>
        <v>44574</v>
      </c>
      <c r="G322" s="1">
        <f ca="1">IF(RAND() &lt; 0.5,  Table1[[#This Row],[Join Date]]+ RANDBETWEEN(30, TODAY()- Table1[[#This Row],[Join Date]]), "-")</f>
        <v>44836</v>
      </c>
      <c r="H322" t="str">
        <f ca="1">IF(Table1[[#This Row],[Exit Date]]= "-", "Active", "Exited")</f>
        <v>Exited</v>
      </c>
      <c r="I322" s="5">
        <f t="shared" ca="1" si="45"/>
        <v>4614</v>
      </c>
      <c r="J322" t="str" cm="1">
        <f t="array" aca="1" ref="J322" ca="1">INDEX(sheet2!$C$2:$C$6, RANDBETWEEN(1, 5))</f>
        <v>Communication Skills</v>
      </c>
      <c r="K322" t="str">
        <f t="shared" ca="1" si="46"/>
        <v>Completed</v>
      </c>
      <c r="L322">
        <v>260</v>
      </c>
      <c r="M322">
        <f t="shared" ref="M322:M385" ca="1" si="48">RANDBETWEEN(0, 20)</f>
        <v>9</v>
      </c>
      <c r="N322" t="str">
        <f t="shared" ref="N322:N385" ca="1" si="49">CHOOSE(RANDBETWEEN(1, 3), "Male", "Female", "Other")</f>
        <v>Female</v>
      </c>
      <c r="O322" s="6">
        <f t="shared" ref="O322:O385" ca="1" si="50">RANDBETWEEN(1200, 2500)</f>
        <v>1517</v>
      </c>
      <c r="P322">
        <f ca="1">Table1[[#This Row],[Hire Date]]-Table1[[#This Row],[Job Posting Date]]</f>
        <v>61</v>
      </c>
      <c r="Q322" s="7">
        <f ca="1">Table1[[#This Row],[Join Date]]-Table1[[#This Row],[Hire Date]]</f>
        <v>4</v>
      </c>
      <c r="R322" s="8">
        <f ca="1">(IF(Table1[[#This Row],[Status]]="Exited",Table1[[#This Row],[Exit Date]]-Table1[[#This Row],[Join Date]],TODAY()-Table1[[#This Row],[Join Date]]))/30</f>
        <v>8.7333333333333325</v>
      </c>
      <c r="S322">
        <f ca="1">Table1[[#This Row],[Hire Date]]-Table1[[#This Row],[Job Posting Date]]</f>
        <v>61</v>
      </c>
      <c r="T322" s="7">
        <f ca="1">Table1[[#This Row],[Time to onboard]]/Table1[[#This Row],[Time to Fill]]*100</f>
        <v>6.557377049180328</v>
      </c>
      <c r="U322" s="8">
        <f ca="1">Table1[[#This Row],[Time to onboard]]/Table1[[#This Row],[Time to Fill]]*100</f>
        <v>6.557377049180328</v>
      </c>
      <c r="V322">
        <f ca="1">Table1[[#This Row],[Join Date]]-Table1[[#This Row],[Job Posting Date]]</f>
        <v>65</v>
      </c>
      <c r="W322">
        <f t="shared" ref="W322:W385" ca="1" si="51">RANDBETWEEN(100,200)</f>
        <v>115</v>
      </c>
      <c r="X322" s="8">
        <f ca="1">Table1[[#This Row],[Absentee Days]]/Table1[[#This Row],[Total Work Days]]*100</f>
        <v>3.4615384615384617</v>
      </c>
      <c r="Y322">
        <f ca="1">YEAR(Table1[[#This Row],[Join Date]])</f>
        <v>2022</v>
      </c>
      <c r="Z322">
        <f ca="1">IF(Table1[[#This Row],[Status]]="Active",1,0)</f>
        <v>0</v>
      </c>
      <c r="AA322">
        <f ca="1">IF(Table1[[#This Row],[Status]]="Exited",Table1[[#This Row],[Recruitment Cost]]+Table1[[#This Row],[Onboarding cost]]+Table1[[#This Row],[Training Cost]],0)</f>
        <v>6246</v>
      </c>
    </row>
    <row r="323" spans="1:27">
      <c r="A323" t="str">
        <f t="shared" si="47"/>
        <v>E322</v>
      </c>
      <c r="B323" t="str" cm="1">
        <f t="array" aca="1" ref="B323" ca="1">INDEX(sheet2!$A$2:$A$6, RANDBETWEEN(1, 5))</f>
        <v>Sales</v>
      </c>
      <c r="C323" t="str">
        <f ca="1">_xlfn.XLOOKUP(Table1[[#This Row],[Department]],sheet2!$A$2:$A$6,sheet2!$B$2:$B$6,_xleta.NA,0)</f>
        <v>Marketing Manager</v>
      </c>
      <c r="D323" s="1">
        <f t="shared" ca="1" si="44"/>
        <v>44076</v>
      </c>
      <c r="E323" s="1">
        <f ca="1">Table1[[#This Row],[Job Posting Date]]+ RANDBETWEEN(15, 90)</f>
        <v>44160</v>
      </c>
      <c r="F323" s="1">
        <f ca="1">Table1[[#This Row],[Hire Date]]+ RANDBETWEEN(1, 15)</f>
        <v>44161</v>
      </c>
      <c r="G323" s="1">
        <f ca="1">IF(RAND() &lt; 0.5,  Table1[[#This Row],[Join Date]]+ RANDBETWEEN(30, TODAY()- Table1[[#This Row],[Join Date]]), "-")</f>
        <v>44919</v>
      </c>
      <c r="H323" t="str">
        <f ca="1">IF(Table1[[#This Row],[Exit Date]]= "-", "Active", "Exited")</f>
        <v>Exited</v>
      </c>
      <c r="I323" s="5">
        <f t="shared" ca="1" si="45"/>
        <v>1976</v>
      </c>
      <c r="J323" t="str" cm="1">
        <f t="array" aca="1" ref="J323" ca="1">INDEX(sheet2!$C$2:$C$6, RANDBETWEEN(1, 5))</f>
        <v>Ethics and Responsibilities</v>
      </c>
      <c r="K323" t="str">
        <f t="shared" ca="1" si="46"/>
        <v>Not Completed</v>
      </c>
      <c r="L323">
        <v>260</v>
      </c>
      <c r="M323">
        <f t="shared" ca="1" si="48"/>
        <v>2</v>
      </c>
      <c r="N323" t="str">
        <f t="shared" ca="1" si="49"/>
        <v>Other</v>
      </c>
      <c r="O323" s="6">
        <f t="shared" ca="1" si="50"/>
        <v>2259</v>
      </c>
      <c r="P323">
        <f ca="1">Table1[[#This Row],[Hire Date]]-Table1[[#This Row],[Job Posting Date]]</f>
        <v>84</v>
      </c>
      <c r="Q323" s="7">
        <f ca="1">Table1[[#This Row],[Join Date]]-Table1[[#This Row],[Hire Date]]</f>
        <v>1</v>
      </c>
      <c r="R323" s="8">
        <f ca="1">(IF(Table1[[#This Row],[Status]]="Exited",Table1[[#This Row],[Exit Date]]-Table1[[#This Row],[Join Date]],TODAY()-Table1[[#This Row],[Join Date]]))/30</f>
        <v>25.266666666666666</v>
      </c>
      <c r="S323">
        <f ca="1">Table1[[#This Row],[Hire Date]]-Table1[[#This Row],[Job Posting Date]]</f>
        <v>84</v>
      </c>
      <c r="T323" s="7">
        <f ca="1">Table1[[#This Row],[Time to onboard]]/Table1[[#This Row],[Time to Fill]]*100</f>
        <v>1.1904761904761905</v>
      </c>
      <c r="U323" s="8">
        <f ca="1">Table1[[#This Row],[Time to onboard]]/Table1[[#This Row],[Time to Fill]]*100</f>
        <v>1.1904761904761905</v>
      </c>
      <c r="V323">
        <f ca="1">Table1[[#This Row],[Join Date]]-Table1[[#This Row],[Job Posting Date]]</f>
        <v>85</v>
      </c>
      <c r="W323">
        <f t="shared" ca="1" si="51"/>
        <v>147</v>
      </c>
      <c r="X323" s="8">
        <f ca="1">Table1[[#This Row],[Absentee Days]]/Table1[[#This Row],[Total Work Days]]*100</f>
        <v>0.76923076923076927</v>
      </c>
      <c r="Y323">
        <f ca="1">YEAR(Table1[[#This Row],[Join Date]])</f>
        <v>2020</v>
      </c>
      <c r="Z323">
        <f ca="1">IF(Table1[[#This Row],[Status]]="Active",1,0)</f>
        <v>0</v>
      </c>
      <c r="AA323">
        <f ca="1">IF(Table1[[#This Row],[Status]]="Exited",Table1[[#This Row],[Recruitment Cost]]+Table1[[#This Row],[Onboarding cost]]+Table1[[#This Row],[Training Cost]],0)</f>
        <v>4382</v>
      </c>
    </row>
    <row r="324" spans="1:27">
      <c r="A324" t="str">
        <f t="shared" si="47"/>
        <v>E323</v>
      </c>
      <c r="B324" t="str" cm="1">
        <f t="array" aca="1" ref="B324" ca="1">INDEX(sheet2!$A$2:$A$6, RANDBETWEEN(1, 5))</f>
        <v>HR</v>
      </c>
      <c r="C324" t="str">
        <f ca="1">_xlfn.XLOOKUP(Table1[[#This Row],[Department]],sheet2!$A$2:$A$6,sheet2!$B$2:$B$6,_xleta.NA,0)</f>
        <v>HR Manager</v>
      </c>
      <c r="D324" s="1">
        <f t="shared" ca="1" si="44"/>
        <v>44494</v>
      </c>
      <c r="E324" s="1">
        <f ca="1">Table1[[#This Row],[Job Posting Date]]+ RANDBETWEEN(15, 90)</f>
        <v>44568</v>
      </c>
      <c r="F324" s="1">
        <f ca="1">Table1[[#This Row],[Hire Date]]+ RANDBETWEEN(1, 15)</f>
        <v>44577</v>
      </c>
      <c r="G324" s="1">
        <f ca="1">IF(RAND() &lt; 0.5,  Table1[[#This Row],[Join Date]]+ RANDBETWEEN(30, TODAY()- Table1[[#This Row],[Join Date]]), "-")</f>
        <v>45198</v>
      </c>
      <c r="H324" t="str">
        <f ca="1">IF(Table1[[#This Row],[Exit Date]]= "-", "Active", "Exited")</f>
        <v>Exited</v>
      </c>
      <c r="I324" s="5">
        <f t="shared" ca="1" si="45"/>
        <v>2632</v>
      </c>
      <c r="J324" t="str" cm="1">
        <f t="array" aca="1" ref="J324" ca="1">INDEX(sheet2!$C$2:$C$6, RANDBETWEEN(1, 5))</f>
        <v>Ethics and Responsibilities</v>
      </c>
      <c r="K324" t="str">
        <f t="shared" ca="1" si="46"/>
        <v>Completed</v>
      </c>
      <c r="L324">
        <v>260</v>
      </c>
      <c r="M324">
        <f t="shared" ca="1" si="48"/>
        <v>10</v>
      </c>
      <c r="N324" t="str">
        <f t="shared" ca="1" si="49"/>
        <v>Female</v>
      </c>
      <c r="O324" s="6">
        <f t="shared" ca="1" si="50"/>
        <v>1463</v>
      </c>
      <c r="P324">
        <f ca="1">Table1[[#This Row],[Hire Date]]-Table1[[#This Row],[Job Posting Date]]</f>
        <v>74</v>
      </c>
      <c r="Q324" s="7">
        <f ca="1">Table1[[#This Row],[Join Date]]-Table1[[#This Row],[Hire Date]]</f>
        <v>9</v>
      </c>
      <c r="R324" s="8">
        <f ca="1">(IF(Table1[[#This Row],[Status]]="Exited",Table1[[#This Row],[Exit Date]]-Table1[[#This Row],[Join Date]],TODAY()-Table1[[#This Row],[Join Date]]))/30</f>
        <v>20.7</v>
      </c>
      <c r="S324">
        <f ca="1">Table1[[#This Row],[Hire Date]]-Table1[[#This Row],[Job Posting Date]]</f>
        <v>74</v>
      </c>
      <c r="T324" s="7">
        <f ca="1">Table1[[#This Row],[Time to onboard]]/Table1[[#This Row],[Time to Fill]]*100</f>
        <v>12.162162162162163</v>
      </c>
      <c r="U324" s="8">
        <f ca="1">Table1[[#This Row],[Time to onboard]]/Table1[[#This Row],[Time to Fill]]*100</f>
        <v>12.162162162162163</v>
      </c>
      <c r="V324">
        <f ca="1">Table1[[#This Row],[Join Date]]-Table1[[#This Row],[Job Posting Date]]</f>
        <v>83</v>
      </c>
      <c r="W324">
        <f t="shared" ca="1" si="51"/>
        <v>105</v>
      </c>
      <c r="X324" s="8">
        <f ca="1">Table1[[#This Row],[Absentee Days]]/Table1[[#This Row],[Total Work Days]]*100</f>
        <v>3.8461538461538463</v>
      </c>
      <c r="Y324">
        <f ca="1">YEAR(Table1[[#This Row],[Join Date]])</f>
        <v>2022</v>
      </c>
      <c r="Z324">
        <f ca="1">IF(Table1[[#This Row],[Status]]="Active",1,0)</f>
        <v>0</v>
      </c>
      <c r="AA324">
        <f ca="1">IF(Table1[[#This Row],[Status]]="Exited",Table1[[#This Row],[Recruitment Cost]]+Table1[[#This Row],[Onboarding cost]]+Table1[[#This Row],[Training Cost]],0)</f>
        <v>4200</v>
      </c>
    </row>
    <row r="325" spans="1:27">
      <c r="A325" t="str">
        <f t="shared" si="47"/>
        <v>E324</v>
      </c>
      <c r="B325" t="str" cm="1">
        <f t="array" aca="1" ref="B325" ca="1">INDEX(sheet2!$A$2:$A$6, RANDBETWEEN(1, 5))</f>
        <v>IT</v>
      </c>
      <c r="C325" t="str">
        <f ca="1">_xlfn.XLOOKUP(Table1[[#This Row],[Department]],sheet2!$A$2:$A$6,sheet2!$B$2:$B$6,_xleta.NA,0)</f>
        <v>Software Engineer</v>
      </c>
      <c r="D325" s="1">
        <f t="shared" ca="1" si="44"/>
        <v>44455</v>
      </c>
      <c r="E325" s="1">
        <f ca="1">Table1[[#This Row],[Job Posting Date]]+ RANDBETWEEN(15, 90)</f>
        <v>44482</v>
      </c>
      <c r="F325" s="1">
        <f ca="1">Table1[[#This Row],[Hire Date]]+ RANDBETWEEN(1, 15)</f>
        <v>44487</v>
      </c>
      <c r="G325" s="1">
        <f ca="1">IF(RAND() &lt; 0.5,  Table1[[#This Row],[Join Date]]+ RANDBETWEEN(30, TODAY()- Table1[[#This Row],[Join Date]]), "-")</f>
        <v>44911</v>
      </c>
      <c r="H325" t="str">
        <f ca="1">IF(Table1[[#This Row],[Exit Date]]= "-", "Active", "Exited")</f>
        <v>Exited</v>
      </c>
      <c r="I325" s="5">
        <f t="shared" ca="1" si="45"/>
        <v>3698</v>
      </c>
      <c r="J325" t="str" cm="1">
        <f t="array" aca="1" ref="J325" ca="1">INDEX(sheet2!$C$2:$C$6, RANDBETWEEN(1, 5))</f>
        <v>Leadership Development</v>
      </c>
      <c r="K325" t="str">
        <f t="shared" ca="1" si="46"/>
        <v>Not Completed</v>
      </c>
      <c r="L325">
        <v>260</v>
      </c>
      <c r="M325">
        <f t="shared" ca="1" si="48"/>
        <v>14</v>
      </c>
      <c r="N325" t="str">
        <f t="shared" ca="1" si="49"/>
        <v>Male</v>
      </c>
      <c r="O325" s="6">
        <f t="shared" ca="1" si="50"/>
        <v>1201</v>
      </c>
      <c r="P325">
        <f ca="1">Table1[[#This Row],[Hire Date]]-Table1[[#This Row],[Job Posting Date]]</f>
        <v>27</v>
      </c>
      <c r="Q325" s="7">
        <f ca="1">Table1[[#This Row],[Join Date]]-Table1[[#This Row],[Hire Date]]</f>
        <v>5</v>
      </c>
      <c r="R325" s="8">
        <f ca="1">(IF(Table1[[#This Row],[Status]]="Exited",Table1[[#This Row],[Exit Date]]-Table1[[#This Row],[Join Date]],TODAY()-Table1[[#This Row],[Join Date]]))/30</f>
        <v>14.133333333333333</v>
      </c>
      <c r="S325">
        <f ca="1">Table1[[#This Row],[Hire Date]]-Table1[[#This Row],[Job Posting Date]]</f>
        <v>27</v>
      </c>
      <c r="T325" s="7">
        <f ca="1">Table1[[#This Row],[Time to onboard]]/Table1[[#This Row],[Time to Fill]]*100</f>
        <v>18.518518518518519</v>
      </c>
      <c r="U325" s="8">
        <f ca="1">Table1[[#This Row],[Time to onboard]]/Table1[[#This Row],[Time to Fill]]*100</f>
        <v>18.518518518518519</v>
      </c>
      <c r="V325">
        <f ca="1">Table1[[#This Row],[Join Date]]-Table1[[#This Row],[Job Posting Date]]</f>
        <v>32</v>
      </c>
      <c r="W325">
        <f t="shared" ca="1" si="51"/>
        <v>145</v>
      </c>
      <c r="X325" s="8">
        <f ca="1">Table1[[#This Row],[Absentee Days]]/Table1[[#This Row],[Total Work Days]]*100</f>
        <v>5.384615384615385</v>
      </c>
      <c r="Y325">
        <f ca="1">YEAR(Table1[[#This Row],[Join Date]])</f>
        <v>2021</v>
      </c>
      <c r="Z325">
        <f ca="1">IF(Table1[[#This Row],[Status]]="Active",1,0)</f>
        <v>0</v>
      </c>
      <c r="AA325">
        <f ca="1">IF(Table1[[#This Row],[Status]]="Exited",Table1[[#This Row],[Recruitment Cost]]+Table1[[#This Row],[Onboarding cost]]+Table1[[#This Row],[Training Cost]],0)</f>
        <v>5044</v>
      </c>
    </row>
    <row r="326" spans="1:27">
      <c r="A326" t="str">
        <f t="shared" si="47"/>
        <v>E325</v>
      </c>
      <c r="B326" t="str" cm="1">
        <f t="array" aca="1" ref="B326" ca="1">INDEX(sheet2!$A$2:$A$6, RANDBETWEEN(1, 5))</f>
        <v>Analytics</v>
      </c>
      <c r="C326" t="str">
        <f ca="1">_xlfn.XLOOKUP(Table1[[#This Row],[Department]],sheet2!$A$2:$A$6,sheet2!$B$2:$B$6,_xleta.NA,0)</f>
        <v>Data Analyst</v>
      </c>
      <c r="D326" s="1">
        <f t="shared" ca="1" si="44"/>
        <v>43658</v>
      </c>
      <c r="E326" s="1">
        <f ca="1">Table1[[#This Row],[Job Posting Date]]+ RANDBETWEEN(15, 90)</f>
        <v>43679</v>
      </c>
      <c r="F326" s="1">
        <f ca="1">Table1[[#This Row],[Hire Date]]+ RANDBETWEEN(1, 15)</f>
        <v>43682</v>
      </c>
      <c r="G326" s="1" t="str">
        <f ca="1">IF(RAND() &lt; 0.5,  Table1[[#This Row],[Join Date]]+ RANDBETWEEN(30, TODAY()- Table1[[#This Row],[Join Date]]), "-")</f>
        <v>-</v>
      </c>
      <c r="H326" t="str">
        <f ca="1">IF(Table1[[#This Row],[Exit Date]]= "-", "Active", "Exited")</f>
        <v>Active</v>
      </c>
      <c r="I326" s="5">
        <f t="shared" ca="1" si="45"/>
        <v>4285</v>
      </c>
      <c r="J326" t="str" cm="1">
        <f t="array" aca="1" ref="J326" ca="1">INDEX(sheet2!$C$2:$C$6, RANDBETWEEN(1, 5))</f>
        <v>Ethics and Responsibilities</v>
      </c>
      <c r="K326" t="str">
        <f t="shared" ca="1" si="46"/>
        <v>Not Completed</v>
      </c>
      <c r="L326">
        <v>260</v>
      </c>
      <c r="M326">
        <f t="shared" ca="1" si="48"/>
        <v>15</v>
      </c>
      <c r="N326" t="str">
        <f t="shared" ca="1" si="49"/>
        <v>Other</v>
      </c>
      <c r="O326" s="6">
        <f t="shared" ca="1" si="50"/>
        <v>2400</v>
      </c>
      <c r="P326">
        <f ca="1">Table1[[#This Row],[Hire Date]]-Table1[[#This Row],[Job Posting Date]]</f>
        <v>21</v>
      </c>
      <c r="Q326" s="7">
        <f ca="1">Table1[[#This Row],[Join Date]]-Table1[[#This Row],[Hire Date]]</f>
        <v>3</v>
      </c>
      <c r="R326" s="8">
        <f ca="1">(IF(Table1[[#This Row],[Status]]="Exited",Table1[[#This Row],[Exit Date]]-Table1[[#This Row],[Join Date]],TODAY()-Table1[[#This Row],[Join Date]]))/30</f>
        <v>66.033333333333331</v>
      </c>
      <c r="S326">
        <f ca="1">Table1[[#This Row],[Hire Date]]-Table1[[#This Row],[Job Posting Date]]</f>
        <v>21</v>
      </c>
      <c r="T326" s="7">
        <f ca="1">Table1[[#This Row],[Time to onboard]]/Table1[[#This Row],[Time to Fill]]*100</f>
        <v>14.285714285714285</v>
      </c>
      <c r="U326" s="8">
        <f ca="1">Table1[[#This Row],[Time to onboard]]/Table1[[#This Row],[Time to Fill]]*100</f>
        <v>14.285714285714285</v>
      </c>
      <c r="V326">
        <f ca="1">Table1[[#This Row],[Join Date]]-Table1[[#This Row],[Job Posting Date]]</f>
        <v>24</v>
      </c>
      <c r="W326">
        <f t="shared" ca="1" si="51"/>
        <v>169</v>
      </c>
      <c r="X326" s="8">
        <f ca="1">Table1[[#This Row],[Absentee Days]]/Table1[[#This Row],[Total Work Days]]*100</f>
        <v>5.7692307692307692</v>
      </c>
      <c r="Y326">
        <f ca="1">YEAR(Table1[[#This Row],[Join Date]])</f>
        <v>2019</v>
      </c>
      <c r="Z326">
        <f ca="1">IF(Table1[[#This Row],[Status]]="Active",1,0)</f>
        <v>1</v>
      </c>
      <c r="AA326">
        <f ca="1">IF(Table1[[#This Row],[Status]]="Exited",Table1[[#This Row],[Recruitment Cost]]+Table1[[#This Row],[Onboarding cost]]+Table1[[#This Row],[Training Cost]],0)</f>
        <v>0</v>
      </c>
    </row>
    <row r="327" spans="1:27">
      <c r="A327" t="str">
        <f t="shared" si="47"/>
        <v>E326</v>
      </c>
      <c r="B327" t="str" cm="1">
        <f t="array" aca="1" ref="B327" ca="1">INDEX(sheet2!$A$2:$A$6, RANDBETWEEN(1, 5))</f>
        <v>Analytics</v>
      </c>
      <c r="C327" t="str">
        <f ca="1">_xlfn.XLOOKUP(Table1[[#This Row],[Department]],sheet2!$A$2:$A$6,sheet2!$B$2:$B$6,_xleta.NA,0)</f>
        <v>Data Analyst</v>
      </c>
      <c r="D327" s="1">
        <f t="shared" ca="1" si="44"/>
        <v>43751</v>
      </c>
      <c r="E327" s="1">
        <f ca="1">Table1[[#This Row],[Job Posting Date]]+ RANDBETWEEN(15, 90)</f>
        <v>43796</v>
      </c>
      <c r="F327" s="1">
        <f ca="1">Table1[[#This Row],[Hire Date]]+ RANDBETWEEN(1, 15)</f>
        <v>43810</v>
      </c>
      <c r="G327" s="1" t="str">
        <f ca="1">IF(RAND() &lt; 0.5,  Table1[[#This Row],[Join Date]]+ RANDBETWEEN(30, TODAY()- Table1[[#This Row],[Join Date]]), "-")</f>
        <v>-</v>
      </c>
      <c r="H327" t="str">
        <f ca="1">IF(Table1[[#This Row],[Exit Date]]= "-", "Active", "Exited")</f>
        <v>Active</v>
      </c>
      <c r="I327" s="5">
        <f t="shared" ca="1" si="45"/>
        <v>4761</v>
      </c>
      <c r="J327" t="str" cm="1">
        <f t="array" aca="1" ref="J327" ca="1">INDEX(sheet2!$C$2:$C$6, RANDBETWEEN(1, 5))</f>
        <v>Ethics and Responsibilities</v>
      </c>
      <c r="K327" t="str">
        <f t="shared" ca="1" si="46"/>
        <v>Completed</v>
      </c>
      <c r="L327">
        <v>260</v>
      </c>
      <c r="M327">
        <f t="shared" ca="1" si="48"/>
        <v>10</v>
      </c>
      <c r="N327" t="str">
        <f t="shared" ca="1" si="49"/>
        <v>Other</v>
      </c>
      <c r="O327" s="6">
        <f t="shared" ca="1" si="50"/>
        <v>2100</v>
      </c>
      <c r="P327">
        <f ca="1">Table1[[#This Row],[Hire Date]]-Table1[[#This Row],[Job Posting Date]]</f>
        <v>45</v>
      </c>
      <c r="Q327" s="7">
        <f ca="1">Table1[[#This Row],[Join Date]]-Table1[[#This Row],[Hire Date]]</f>
        <v>14</v>
      </c>
      <c r="R327" s="8">
        <f ca="1">(IF(Table1[[#This Row],[Status]]="Exited",Table1[[#This Row],[Exit Date]]-Table1[[#This Row],[Join Date]],TODAY()-Table1[[#This Row],[Join Date]]))/30</f>
        <v>61.766666666666666</v>
      </c>
      <c r="S327">
        <f ca="1">Table1[[#This Row],[Hire Date]]-Table1[[#This Row],[Job Posting Date]]</f>
        <v>45</v>
      </c>
      <c r="T327" s="7">
        <f ca="1">Table1[[#This Row],[Time to onboard]]/Table1[[#This Row],[Time to Fill]]*100</f>
        <v>31.111111111111111</v>
      </c>
      <c r="U327" s="8">
        <f ca="1">Table1[[#This Row],[Time to onboard]]/Table1[[#This Row],[Time to Fill]]*100</f>
        <v>31.111111111111111</v>
      </c>
      <c r="V327">
        <f ca="1">Table1[[#This Row],[Join Date]]-Table1[[#This Row],[Job Posting Date]]</f>
        <v>59</v>
      </c>
      <c r="W327">
        <f t="shared" ca="1" si="51"/>
        <v>134</v>
      </c>
      <c r="X327" s="8">
        <f ca="1">Table1[[#This Row],[Absentee Days]]/Table1[[#This Row],[Total Work Days]]*100</f>
        <v>3.8461538461538463</v>
      </c>
      <c r="Y327">
        <f ca="1">YEAR(Table1[[#This Row],[Join Date]])</f>
        <v>2019</v>
      </c>
      <c r="Z327">
        <f ca="1">IF(Table1[[#This Row],[Status]]="Active",1,0)</f>
        <v>1</v>
      </c>
      <c r="AA327">
        <f ca="1">IF(Table1[[#This Row],[Status]]="Exited",Table1[[#This Row],[Recruitment Cost]]+Table1[[#This Row],[Onboarding cost]]+Table1[[#This Row],[Training Cost]],0)</f>
        <v>0</v>
      </c>
    </row>
    <row r="328" spans="1:27">
      <c r="A328" t="str">
        <f t="shared" si="47"/>
        <v>E327</v>
      </c>
      <c r="B328" t="str" cm="1">
        <f t="array" aca="1" ref="B328" ca="1">INDEX(sheet2!$A$2:$A$6, RANDBETWEEN(1, 5))</f>
        <v>Analytics</v>
      </c>
      <c r="C328" t="str">
        <f ca="1">_xlfn.XLOOKUP(Table1[[#This Row],[Department]],sheet2!$A$2:$A$6,sheet2!$B$2:$B$6,_xleta.NA,0)</f>
        <v>Data Analyst</v>
      </c>
      <c r="D328" s="1">
        <f t="shared" ca="1" si="44"/>
        <v>43387</v>
      </c>
      <c r="E328" s="1">
        <f ca="1">Table1[[#This Row],[Job Posting Date]]+ RANDBETWEEN(15, 90)</f>
        <v>43430</v>
      </c>
      <c r="F328" s="1">
        <f ca="1">Table1[[#This Row],[Hire Date]]+ RANDBETWEEN(1, 15)</f>
        <v>43440</v>
      </c>
      <c r="G328" s="1">
        <f ca="1">IF(RAND() &lt; 0.5,  Table1[[#This Row],[Join Date]]+ RANDBETWEEN(30, TODAY()- Table1[[#This Row],[Join Date]]), "-")</f>
        <v>43778</v>
      </c>
      <c r="H328" t="str">
        <f ca="1">IF(Table1[[#This Row],[Exit Date]]= "-", "Active", "Exited")</f>
        <v>Exited</v>
      </c>
      <c r="I328" s="5">
        <f t="shared" ca="1" si="45"/>
        <v>3630</v>
      </c>
      <c r="J328" t="str" cm="1">
        <f t="array" aca="1" ref="J328" ca="1">INDEX(sheet2!$C$2:$C$6, RANDBETWEEN(1, 5))</f>
        <v>Advanced Excel Skills </v>
      </c>
      <c r="K328" t="str">
        <f t="shared" ca="1" si="46"/>
        <v>Completed</v>
      </c>
      <c r="L328">
        <v>260</v>
      </c>
      <c r="M328">
        <f t="shared" ca="1" si="48"/>
        <v>17</v>
      </c>
      <c r="N328" t="str">
        <f t="shared" ca="1" si="49"/>
        <v>Female</v>
      </c>
      <c r="O328" s="6">
        <f t="shared" ca="1" si="50"/>
        <v>1357</v>
      </c>
      <c r="P328">
        <f ca="1">Table1[[#This Row],[Hire Date]]-Table1[[#This Row],[Job Posting Date]]</f>
        <v>43</v>
      </c>
      <c r="Q328" s="7">
        <f ca="1">Table1[[#This Row],[Join Date]]-Table1[[#This Row],[Hire Date]]</f>
        <v>10</v>
      </c>
      <c r="R328" s="8">
        <f ca="1">(IF(Table1[[#This Row],[Status]]="Exited",Table1[[#This Row],[Exit Date]]-Table1[[#This Row],[Join Date]],TODAY()-Table1[[#This Row],[Join Date]]))/30</f>
        <v>11.266666666666667</v>
      </c>
      <c r="S328">
        <f ca="1">Table1[[#This Row],[Hire Date]]-Table1[[#This Row],[Job Posting Date]]</f>
        <v>43</v>
      </c>
      <c r="T328" s="7">
        <f ca="1">Table1[[#This Row],[Time to onboard]]/Table1[[#This Row],[Time to Fill]]*100</f>
        <v>23.255813953488371</v>
      </c>
      <c r="U328" s="8">
        <f ca="1">Table1[[#This Row],[Time to onboard]]/Table1[[#This Row],[Time to Fill]]*100</f>
        <v>23.255813953488371</v>
      </c>
      <c r="V328">
        <f ca="1">Table1[[#This Row],[Join Date]]-Table1[[#This Row],[Job Posting Date]]</f>
        <v>53</v>
      </c>
      <c r="W328">
        <f t="shared" ca="1" si="51"/>
        <v>104</v>
      </c>
      <c r="X328" s="8">
        <f ca="1">Table1[[#This Row],[Absentee Days]]/Table1[[#This Row],[Total Work Days]]*100</f>
        <v>6.5384615384615392</v>
      </c>
      <c r="Y328">
        <f ca="1">YEAR(Table1[[#This Row],[Join Date]])</f>
        <v>2018</v>
      </c>
      <c r="Z328">
        <f ca="1">IF(Table1[[#This Row],[Status]]="Active",1,0)</f>
        <v>0</v>
      </c>
      <c r="AA328">
        <f ca="1">IF(Table1[[#This Row],[Status]]="Exited",Table1[[#This Row],[Recruitment Cost]]+Table1[[#This Row],[Onboarding cost]]+Table1[[#This Row],[Training Cost]],0)</f>
        <v>5091</v>
      </c>
    </row>
    <row r="329" spans="1:27">
      <c r="A329" t="str">
        <f t="shared" si="47"/>
        <v>E328</v>
      </c>
      <c r="B329" t="str" cm="1">
        <f t="array" aca="1" ref="B329" ca="1">INDEX(sheet2!$A$2:$A$6, RANDBETWEEN(1, 5))</f>
        <v>Finance</v>
      </c>
      <c r="C329" t="str">
        <f ca="1">_xlfn.XLOOKUP(Table1[[#This Row],[Department]],sheet2!$A$2:$A$6,sheet2!$B$2:$B$6,_xleta.NA,0)</f>
        <v>Finance Manager</v>
      </c>
      <c r="D329" s="1">
        <f t="shared" ca="1" si="44"/>
        <v>43750</v>
      </c>
      <c r="E329" s="1">
        <f ca="1">Table1[[#This Row],[Job Posting Date]]+ RANDBETWEEN(15, 90)</f>
        <v>43779</v>
      </c>
      <c r="F329" s="1">
        <f ca="1">Table1[[#This Row],[Hire Date]]+ RANDBETWEEN(1, 15)</f>
        <v>43793</v>
      </c>
      <c r="G329" s="1" t="str">
        <f ca="1">IF(RAND() &lt; 0.5,  Table1[[#This Row],[Join Date]]+ RANDBETWEEN(30, TODAY()- Table1[[#This Row],[Join Date]]), "-")</f>
        <v>-</v>
      </c>
      <c r="H329" t="str">
        <f ca="1">IF(Table1[[#This Row],[Exit Date]]= "-", "Active", "Exited")</f>
        <v>Active</v>
      </c>
      <c r="I329" s="5">
        <f t="shared" ca="1" si="45"/>
        <v>2769</v>
      </c>
      <c r="J329" t="str" cm="1">
        <f t="array" aca="1" ref="J329" ca="1">INDEX(sheet2!$C$2:$C$6, RANDBETWEEN(1, 5))</f>
        <v>Advanced Excel Skills </v>
      </c>
      <c r="K329" t="str">
        <f t="shared" ca="1" si="46"/>
        <v>Completed</v>
      </c>
      <c r="L329">
        <v>260</v>
      </c>
      <c r="M329">
        <f t="shared" ca="1" si="48"/>
        <v>12</v>
      </c>
      <c r="N329" t="str">
        <f t="shared" ca="1" si="49"/>
        <v>Female</v>
      </c>
      <c r="O329" s="6">
        <f t="shared" ca="1" si="50"/>
        <v>2438</v>
      </c>
      <c r="P329">
        <f ca="1">Table1[[#This Row],[Hire Date]]-Table1[[#This Row],[Job Posting Date]]</f>
        <v>29</v>
      </c>
      <c r="Q329" s="7">
        <f ca="1">Table1[[#This Row],[Join Date]]-Table1[[#This Row],[Hire Date]]</f>
        <v>14</v>
      </c>
      <c r="R329" s="8">
        <f ca="1">(IF(Table1[[#This Row],[Status]]="Exited",Table1[[#This Row],[Exit Date]]-Table1[[#This Row],[Join Date]],TODAY()-Table1[[#This Row],[Join Date]]))/30</f>
        <v>62.333333333333336</v>
      </c>
      <c r="S329">
        <f ca="1">Table1[[#This Row],[Hire Date]]-Table1[[#This Row],[Job Posting Date]]</f>
        <v>29</v>
      </c>
      <c r="T329" s="7">
        <f ca="1">Table1[[#This Row],[Time to onboard]]/Table1[[#This Row],[Time to Fill]]*100</f>
        <v>48.275862068965516</v>
      </c>
      <c r="U329" s="8">
        <f ca="1">Table1[[#This Row],[Time to onboard]]/Table1[[#This Row],[Time to Fill]]*100</f>
        <v>48.275862068965516</v>
      </c>
      <c r="V329">
        <f ca="1">Table1[[#This Row],[Join Date]]-Table1[[#This Row],[Job Posting Date]]</f>
        <v>43</v>
      </c>
      <c r="W329">
        <f t="shared" ca="1" si="51"/>
        <v>112</v>
      </c>
      <c r="X329" s="8">
        <f ca="1">Table1[[#This Row],[Absentee Days]]/Table1[[#This Row],[Total Work Days]]*100</f>
        <v>4.6153846153846159</v>
      </c>
      <c r="Y329">
        <f ca="1">YEAR(Table1[[#This Row],[Join Date]])</f>
        <v>2019</v>
      </c>
      <c r="Z329">
        <f ca="1">IF(Table1[[#This Row],[Status]]="Active",1,0)</f>
        <v>1</v>
      </c>
      <c r="AA329">
        <f ca="1">IF(Table1[[#This Row],[Status]]="Exited",Table1[[#This Row],[Recruitment Cost]]+Table1[[#This Row],[Onboarding cost]]+Table1[[#This Row],[Training Cost]],0)</f>
        <v>0</v>
      </c>
    </row>
    <row r="330" spans="1:27">
      <c r="A330" t="str">
        <f t="shared" si="47"/>
        <v>E329</v>
      </c>
      <c r="B330" t="str" cm="1">
        <f t="array" aca="1" ref="B330" ca="1">INDEX(sheet2!$A$2:$A$6, RANDBETWEEN(1, 5))</f>
        <v>Sales</v>
      </c>
      <c r="C330" t="str">
        <f ca="1">_xlfn.XLOOKUP(Table1[[#This Row],[Department]],sheet2!$A$2:$A$6,sheet2!$B$2:$B$6,_xleta.NA,0)</f>
        <v>Marketing Manager</v>
      </c>
      <c r="D330" s="1">
        <f t="shared" ca="1" si="44"/>
        <v>44058</v>
      </c>
      <c r="E330" s="1">
        <f ca="1">Table1[[#This Row],[Job Posting Date]]+ RANDBETWEEN(15, 90)</f>
        <v>44087</v>
      </c>
      <c r="F330" s="1">
        <f ca="1">Table1[[#This Row],[Hire Date]]+ RANDBETWEEN(1, 15)</f>
        <v>44095</v>
      </c>
      <c r="G330" s="1" t="str">
        <f ca="1">IF(RAND() &lt; 0.5,  Table1[[#This Row],[Join Date]]+ RANDBETWEEN(30, TODAY()- Table1[[#This Row],[Join Date]]), "-")</f>
        <v>-</v>
      </c>
      <c r="H330" t="str">
        <f ca="1">IF(Table1[[#This Row],[Exit Date]]= "-", "Active", "Exited")</f>
        <v>Active</v>
      </c>
      <c r="I330" s="5">
        <f t="shared" ca="1" si="45"/>
        <v>2814</v>
      </c>
      <c r="J330" t="str" cm="1">
        <f t="array" aca="1" ref="J330" ca="1">INDEX(sheet2!$C$2:$C$6, RANDBETWEEN(1, 5))</f>
        <v>Communication Skills</v>
      </c>
      <c r="K330" t="str">
        <f t="shared" ca="1" si="46"/>
        <v>Completed</v>
      </c>
      <c r="L330">
        <v>260</v>
      </c>
      <c r="M330">
        <f t="shared" ca="1" si="48"/>
        <v>3</v>
      </c>
      <c r="N330" t="str">
        <f t="shared" ca="1" si="49"/>
        <v>Female</v>
      </c>
      <c r="O330" s="6">
        <f t="shared" ca="1" si="50"/>
        <v>1917</v>
      </c>
      <c r="P330">
        <f ca="1">Table1[[#This Row],[Hire Date]]-Table1[[#This Row],[Job Posting Date]]</f>
        <v>29</v>
      </c>
      <c r="Q330" s="7">
        <f ca="1">Table1[[#This Row],[Join Date]]-Table1[[#This Row],[Hire Date]]</f>
        <v>8</v>
      </c>
      <c r="R330" s="8">
        <f ca="1">(IF(Table1[[#This Row],[Status]]="Exited",Table1[[#This Row],[Exit Date]]-Table1[[#This Row],[Join Date]],TODAY()-Table1[[#This Row],[Join Date]]))/30</f>
        <v>52.266666666666666</v>
      </c>
      <c r="S330">
        <f ca="1">Table1[[#This Row],[Hire Date]]-Table1[[#This Row],[Job Posting Date]]</f>
        <v>29</v>
      </c>
      <c r="T330" s="7">
        <f ca="1">Table1[[#This Row],[Time to onboard]]/Table1[[#This Row],[Time to Fill]]*100</f>
        <v>27.586206896551722</v>
      </c>
      <c r="U330" s="8">
        <f ca="1">Table1[[#This Row],[Time to onboard]]/Table1[[#This Row],[Time to Fill]]*100</f>
        <v>27.586206896551722</v>
      </c>
      <c r="V330">
        <f ca="1">Table1[[#This Row],[Join Date]]-Table1[[#This Row],[Job Posting Date]]</f>
        <v>37</v>
      </c>
      <c r="W330">
        <f t="shared" ca="1" si="51"/>
        <v>166</v>
      </c>
      <c r="X330" s="8">
        <f ca="1">Table1[[#This Row],[Absentee Days]]/Table1[[#This Row],[Total Work Days]]*100</f>
        <v>1.153846153846154</v>
      </c>
      <c r="Y330">
        <f ca="1">YEAR(Table1[[#This Row],[Join Date]])</f>
        <v>2020</v>
      </c>
      <c r="Z330">
        <f ca="1">IF(Table1[[#This Row],[Status]]="Active",1,0)</f>
        <v>1</v>
      </c>
      <c r="AA330">
        <f ca="1">IF(Table1[[#This Row],[Status]]="Exited",Table1[[#This Row],[Recruitment Cost]]+Table1[[#This Row],[Onboarding cost]]+Table1[[#This Row],[Training Cost]],0)</f>
        <v>0</v>
      </c>
    </row>
    <row r="331" spans="1:27">
      <c r="A331" t="str">
        <f t="shared" si="47"/>
        <v>E330</v>
      </c>
      <c r="B331" t="str" cm="1">
        <f t="array" aca="1" ref="B331" ca="1">INDEX(sheet2!$A$2:$A$6, RANDBETWEEN(1, 5))</f>
        <v>IT</v>
      </c>
      <c r="C331" t="str">
        <f ca="1">_xlfn.XLOOKUP(Table1[[#This Row],[Department]],sheet2!$A$2:$A$6,sheet2!$B$2:$B$6,_xleta.NA,0)</f>
        <v>Software Engineer</v>
      </c>
      <c r="D331" s="1">
        <f t="shared" ca="1" si="44"/>
        <v>44501</v>
      </c>
      <c r="E331" s="1">
        <f ca="1">Table1[[#This Row],[Job Posting Date]]+ RANDBETWEEN(15, 90)</f>
        <v>44559</v>
      </c>
      <c r="F331" s="1">
        <f ca="1">Table1[[#This Row],[Hire Date]]+ RANDBETWEEN(1, 15)</f>
        <v>44560</v>
      </c>
      <c r="G331" s="1" t="str">
        <f ca="1">IF(RAND() &lt; 0.5,  Table1[[#This Row],[Join Date]]+ RANDBETWEEN(30, TODAY()- Table1[[#This Row],[Join Date]]), "-")</f>
        <v>-</v>
      </c>
      <c r="H331" t="str">
        <f ca="1">IF(Table1[[#This Row],[Exit Date]]= "-", "Active", "Exited")</f>
        <v>Active</v>
      </c>
      <c r="I331" s="5">
        <f t="shared" ca="1" si="45"/>
        <v>1502</v>
      </c>
      <c r="J331" t="str" cm="1">
        <f t="array" aca="1" ref="J331" ca="1">INDEX(sheet2!$C$2:$C$6, RANDBETWEEN(1, 5))</f>
        <v>Leadership Development</v>
      </c>
      <c r="K331" t="str">
        <f t="shared" ca="1" si="46"/>
        <v>Not Completed</v>
      </c>
      <c r="L331">
        <v>260</v>
      </c>
      <c r="M331">
        <f t="shared" ca="1" si="48"/>
        <v>2</v>
      </c>
      <c r="N331" t="str">
        <f t="shared" ca="1" si="49"/>
        <v>Male</v>
      </c>
      <c r="O331" s="6">
        <f t="shared" ca="1" si="50"/>
        <v>1506</v>
      </c>
      <c r="P331">
        <f ca="1">Table1[[#This Row],[Hire Date]]-Table1[[#This Row],[Job Posting Date]]</f>
        <v>58</v>
      </c>
      <c r="Q331" s="7">
        <f ca="1">Table1[[#This Row],[Join Date]]-Table1[[#This Row],[Hire Date]]</f>
        <v>1</v>
      </c>
      <c r="R331" s="8">
        <f ca="1">(IF(Table1[[#This Row],[Status]]="Exited",Table1[[#This Row],[Exit Date]]-Table1[[#This Row],[Join Date]],TODAY()-Table1[[#This Row],[Join Date]]))/30</f>
        <v>36.766666666666666</v>
      </c>
      <c r="S331">
        <f ca="1">Table1[[#This Row],[Hire Date]]-Table1[[#This Row],[Job Posting Date]]</f>
        <v>58</v>
      </c>
      <c r="T331" s="7">
        <f ca="1">Table1[[#This Row],[Time to onboard]]/Table1[[#This Row],[Time to Fill]]*100</f>
        <v>1.7241379310344827</v>
      </c>
      <c r="U331" s="8">
        <f ca="1">Table1[[#This Row],[Time to onboard]]/Table1[[#This Row],[Time to Fill]]*100</f>
        <v>1.7241379310344827</v>
      </c>
      <c r="V331">
        <f ca="1">Table1[[#This Row],[Join Date]]-Table1[[#This Row],[Job Posting Date]]</f>
        <v>59</v>
      </c>
      <c r="W331">
        <f t="shared" ca="1" si="51"/>
        <v>148</v>
      </c>
      <c r="X331" s="8">
        <f ca="1">Table1[[#This Row],[Absentee Days]]/Table1[[#This Row],[Total Work Days]]*100</f>
        <v>0.76923076923076927</v>
      </c>
      <c r="Y331">
        <f ca="1">YEAR(Table1[[#This Row],[Join Date]])</f>
        <v>2021</v>
      </c>
      <c r="Z331">
        <f ca="1">IF(Table1[[#This Row],[Status]]="Active",1,0)</f>
        <v>1</v>
      </c>
      <c r="AA331">
        <f ca="1">IF(Table1[[#This Row],[Status]]="Exited",Table1[[#This Row],[Recruitment Cost]]+Table1[[#This Row],[Onboarding cost]]+Table1[[#This Row],[Training Cost]],0)</f>
        <v>0</v>
      </c>
    </row>
    <row r="332" spans="1:27">
      <c r="A332" t="str">
        <f t="shared" si="47"/>
        <v>E331</v>
      </c>
      <c r="B332" t="str" cm="1">
        <f t="array" aca="1" ref="B332" ca="1">INDEX(sheet2!$A$2:$A$6, RANDBETWEEN(1, 5))</f>
        <v>HR</v>
      </c>
      <c r="C332" t="str">
        <f ca="1">_xlfn.XLOOKUP(Table1[[#This Row],[Department]],sheet2!$A$2:$A$6,sheet2!$B$2:$B$6,_xleta.NA,0)</f>
        <v>HR Manager</v>
      </c>
      <c r="D332" s="1">
        <f t="shared" ca="1" si="44"/>
        <v>44496</v>
      </c>
      <c r="E332" s="1">
        <f ca="1">Table1[[#This Row],[Job Posting Date]]+ RANDBETWEEN(15, 90)</f>
        <v>44556</v>
      </c>
      <c r="F332" s="1">
        <f ca="1">Table1[[#This Row],[Hire Date]]+ RANDBETWEEN(1, 15)</f>
        <v>44557</v>
      </c>
      <c r="G332" s="1" t="str">
        <f ca="1">IF(RAND() &lt; 0.5,  Table1[[#This Row],[Join Date]]+ RANDBETWEEN(30, TODAY()- Table1[[#This Row],[Join Date]]), "-")</f>
        <v>-</v>
      </c>
      <c r="H332" t="str">
        <f ca="1">IF(Table1[[#This Row],[Exit Date]]= "-", "Active", "Exited")</f>
        <v>Active</v>
      </c>
      <c r="I332" s="5">
        <f t="shared" ca="1" si="45"/>
        <v>2051</v>
      </c>
      <c r="J332" t="str" cm="1">
        <f t="array" aca="1" ref="J332" ca="1">INDEX(sheet2!$C$2:$C$6, RANDBETWEEN(1, 5))</f>
        <v>Conflict Resolution</v>
      </c>
      <c r="K332" t="str">
        <f t="shared" ca="1" si="46"/>
        <v>Completed</v>
      </c>
      <c r="L332">
        <v>260</v>
      </c>
      <c r="M332">
        <f t="shared" ca="1" si="48"/>
        <v>1</v>
      </c>
      <c r="N332" t="str">
        <f t="shared" ca="1" si="49"/>
        <v>Male</v>
      </c>
      <c r="O332" s="6">
        <f t="shared" ca="1" si="50"/>
        <v>2143</v>
      </c>
      <c r="P332">
        <f ca="1">Table1[[#This Row],[Hire Date]]-Table1[[#This Row],[Job Posting Date]]</f>
        <v>60</v>
      </c>
      <c r="Q332" s="7">
        <f ca="1">Table1[[#This Row],[Join Date]]-Table1[[#This Row],[Hire Date]]</f>
        <v>1</v>
      </c>
      <c r="R332" s="8">
        <f ca="1">(IF(Table1[[#This Row],[Status]]="Exited",Table1[[#This Row],[Exit Date]]-Table1[[#This Row],[Join Date]],TODAY()-Table1[[#This Row],[Join Date]]))/30</f>
        <v>36.866666666666667</v>
      </c>
      <c r="S332">
        <f ca="1">Table1[[#This Row],[Hire Date]]-Table1[[#This Row],[Job Posting Date]]</f>
        <v>60</v>
      </c>
      <c r="T332" s="7">
        <f ca="1">Table1[[#This Row],[Time to onboard]]/Table1[[#This Row],[Time to Fill]]*100</f>
        <v>1.6666666666666667</v>
      </c>
      <c r="U332" s="8">
        <f ca="1">Table1[[#This Row],[Time to onboard]]/Table1[[#This Row],[Time to Fill]]*100</f>
        <v>1.6666666666666667</v>
      </c>
      <c r="V332">
        <f ca="1">Table1[[#This Row],[Join Date]]-Table1[[#This Row],[Job Posting Date]]</f>
        <v>61</v>
      </c>
      <c r="W332">
        <f t="shared" ca="1" si="51"/>
        <v>154</v>
      </c>
      <c r="X332" s="8">
        <f ca="1">Table1[[#This Row],[Absentee Days]]/Table1[[#This Row],[Total Work Days]]*100</f>
        <v>0.38461538461538464</v>
      </c>
      <c r="Y332">
        <f ca="1">YEAR(Table1[[#This Row],[Join Date]])</f>
        <v>2021</v>
      </c>
      <c r="Z332">
        <f ca="1">IF(Table1[[#This Row],[Status]]="Active",1,0)</f>
        <v>1</v>
      </c>
      <c r="AA332">
        <f ca="1">IF(Table1[[#This Row],[Status]]="Exited",Table1[[#This Row],[Recruitment Cost]]+Table1[[#This Row],[Onboarding cost]]+Table1[[#This Row],[Training Cost]],0)</f>
        <v>0</v>
      </c>
    </row>
    <row r="333" spans="1:27">
      <c r="A333" t="str">
        <f t="shared" si="47"/>
        <v>E332</v>
      </c>
      <c r="B333" t="str" cm="1">
        <f t="array" aca="1" ref="B333" ca="1">INDEX(sheet2!$A$2:$A$6, RANDBETWEEN(1, 5))</f>
        <v>Analytics</v>
      </c>
      <c r="C333" t="str">
        <f ca="1">_xlfn.XLOOKUP(Table1[[#This Row],[Department]],sheet2!$A$2:$A$6,sheet2!$B$2:$B$6,_xleta.NA,0)</f>
        <v>Data Analyst</v>
      </c>
      <c r="D333" s="1">
        <f t="shared" ca="1" si="44"/>
        <v>43603</v>
      </c>
      <c r="E333" s="1">
        <f ca="1">Table1[[#This Row],[Job Posting Date]]+ RANDBETWEEN(15, 90)</f>
        <v>43680</v>
      </c>
      <c r="F333" s="1">
        <f ca="1">Table1[[#This Row],[Hire Date]]+ RANDBETWEEN(1, 15)</f>
        <v>43686</v>
      </c>
      <c r="G333" s="1">
        <f ca="1">IF(RAND() &lt; 0.5,  Table1[[#This Row],[Join Date]]+ RANDBETWEEN(30, TODAY()- Table1[[#This Row],[Join Date]]), "-")</f>
        <v>44726</v>
      </c>
      <c r="H333" t="str">
        <f ca="1">IF(Table1[[#This Row],[Exit Date]]= "-", "Active", "Exited")</f>
        <v>Exited</v>
      </c>
      <c r="I333" s="5">
        <f t="shared" ca="1" si="45"/>
        <v>2426</v>
      </c>
      <c r="J333" t="str" cm="1">
        <f t="array" aca="1" ref="J333" ca="1">INDEX(sheet2!$C$2:$C$6, RANDBETWEEN(1, 5))</f>
        <v>Conflict Resolution</v>
      </c>
      <c r="K333" t="str">
        <f t="shared" ca="1" si="46"/>
        <v>Completed</v>
      </c>
      <c r="L333">
        <v>260</v>
      </c>
      <c r="M333">
        <f t="shared" ca="1" si="48"/>
        <v>20</v>
      </c>
      <c r="N333" t="str">
        <f t="shared" ca="1" si="49"/>
        <v>Male</v>
      </c>
      <c r="O333" s="6">
        <f t="shared" ca="1" si="50"/>
        <v>1746</v>
      </c>
      <c r="P333">
        <f ca="1">Table1[[#This Row],[Hire Date]]-Table1[[#This Row],[Job Posting Date]]</f>
        <v>77</v>
      </c>
      <c r="Q333" s="7">
        <f ca="1">Table1[[#This Row],[Join Date]]-Table1[[#This Row],[Hire Date]]</f>
        <v>6</v>
      </c>
      <c r="R333" s="8">
        <f ca="1">(IF(Table1[[#This Row],[Status]]="Exited",Table1[[#This Row],[Exit Date]]-Table1[[#This Row],[Join Date]],TODAY()-Table1[[#This Row],[Join Date]]))/30</f>
        <v>34.666666666666664</v>
      </c>
      <c r="S333">
        <f ca="1">Table1[[#This Row],[Hire Date]]-Table1[[#This Row],[Job Posting Date]]</f>
        <v>77</v>
      </c>
      <c r="T333" s="7">
        <f ca="1">Table1[[#This Row],[Time to onboard]]/Table1[[#This Row],[Time to Fill]]*100</f>
        <v>7.7922077922077921</v>
      </c>
      <c r="U333" s="8">
        <f ca="1">Table1[[#This Row],[Time to onboard]]/Table1[[#This Row],[Time to Fill]]*100</f>
        <v>7.7922077922077921</v>
      </c>
      <c r="V333">
        <f ca="1">Table1[[#This Row],[Join Date]]-Table1[[#This Row],[Job Posting Date]]</f>
        <v>83</v>
      </c>
      <c r="W333">
        <f t="shared" ca="1" si="51"/>
        <v>133</v>
      </c>
      <c r="X333" s="8">
        <f ca="1">Table1[[#This Row],[Absentee Days]]/Table1[[#This Row],[Total Work Days]]*100</f>
        <v>7.6923076923076925</v>
      </c>
      <c r="Y333">
        <f ca="1">YEAR(Table1[[#This Row],[Join Date]])</f>
        <v>2019</v>
      </c>
      <c r="Z333">
        <f ca="1">IF(Table1[[#This Row],[Status]]="Active",1,0)</f>
        <v>0</v>
      </c>
      <c r="AA333">
        <f ca="1">IF(Table1[[#This Row],[Status]]="Exited",Table1[[#This Row],[Recruitment Cost]]+Table1[[#This Row],[Onboarding cost]]+Table1[[#This Row],[Training Cost]],0)</f>
        <v>4305</v>
      </c>
    </row>
    <row r="334" spans="1:27">
      <c r="A334" t="str">
        <f t="shared" si="47"/>
        <v>E333</v>
      </c>
      <c r="B334" t="str" cm="1">
        <f t="array" aca="1" ref="B334" ca="1">INDEX(sheet2!$A$2:$A$6, RANDBETWEEN(1, 5))</f>
        <v>Finance</v>
      </c>
      <c r="C334" t="str">
        <f ca="1">_xlfn.XLOOKUP(Table1[[#This Row],[Department]],sheet2!$A$2:$A$6,sheet2!$B$2:$B$6,_xleta.NA,0)</f>
        <v>Finance Manager</v>
      </c>
      <c r="D334" s="1">
        <f t="shared" ca="1" si="44"/>
        <v>43154</v>
      </c>
      <c r="E334" s="1">
        <f ca="1">Table1[[#This Row],[Job Posting Date]]+ RANDBETWEEN(15, 90)</f>
        <v>43229</v>
      </c>
      <c r="F334" s="1">
        <f ca="1">Table1[[#This Row],[Hire Date]]+ RANDBETWEEN(1, 15)</f>
        <v>43232</v>
      </c>
      <c r="G334" s="1">
        <f ca="1">IF(RAND() &lt; 0.5,  Table1[[#This Row],[Join Date]]+ RANDBETWEEN(30, TODAY()- Table1[[#This Row],[Join Date]]), "-")</f>
        <v>44067</v>
      </c>
      <c r="H334" t="str">
        <f ca="1">IF(Table1[[#This Row],[Exit Date]]= "-", "Active", "Exited")</f>
        <v>Exited</v>
      </c>
      <c r="I334" s="5">
        <f t="shared" ca="1" si="45"/>
        <v>3613</v>
      </c>
      <c r="J334" t="str" cm="1">
        <f t="array" aca="1" ref="J334" ca="1">INDEX(sheet2!$C$2:$C$6, RANDBETWEEN(1, 5))</f>
        <v>Advanced Excel Skills </v>
      </c>
      <c r="K334" t="str">
        <f t="shared" ca="1" si="46"/>
        <v>Completed</v>
      </c>
      <c r="L334">
        <v>260</v>
      </c>
      <c r="M334">
        <f t="shared" ca="1" si="48"/>
        <v>1</v>
      </c>
      <c r="N334" t="str">
        <f t="shared" ca="1" si="49"/>
        <v>Male</v>
      </c>
      <c r="O334" s="6">
        <f t="shared" ca="1" si="50"/>
        <v>1697</v>
      </c>
      <c r="P334">
        <f ca="1">Table1[[#This Row],[Hire Date]]-Table1[[#This Row],[Job Posting Date]]</f>
        <v>75</v>
      </c>
      <c r="Q334" s="7">
        <f ca="1">Table1[[#This Row],[Join Date]]-Table1[[#This Row],[Hire Date]]</f>
        <v>3</v>
      </c>
      <c r="R334" s="8">
        <f ca="1">(IF(Table1[[#This Row],[Status]]="Exited",Table1[[#This Row],[Exit Date]]-Table1[[#This Row],[Join Date]],TODAY()-Table1[[#This Row],[Join Date]]))/30</f>
        <v>27.833333333333332</v>
      </c>
      <c r="S334">
        <f ca="1">Table1[[#This Row],[Hire Date]]-Table1[[#This Row],[Job Posting Date]]</f>
        <v>75</v>
      </c>
      <c r="T334" s="7">
        <f ca="1">Table1[[#This Row],[Time to onboard]]/Table1[[#This Row],[Time to Fill]]*100</f>
        <v>4</v>
      </c>
      <c r="U334" s="8">
        <f ca="1">Table1[[#This Row],[Time to onboard]]/Table1[[#This Row],[Time to Fill]]*100</f>
        <v>4</v>
      </c>
      <c r="V334">
        <f ca="1">Table1[[#This Row],[Join Date]]-Table1[[#This Row],[Job Posting Date]]</f>
        <v>78</v>
      </c>
      <c r="W334">
        <f t="shared" ca="1" si="51"/>
        <v>119</v>
      </c>
      <c r="X334" s="8">
        <f ca="1">Table1[[#This Row],[Absentee Days]]/Table1[[#This Row],[Total Work Days]]*100</f>
        <v>0.38461538461538464</v>
      </c>
      <c r="Y334">
        <f ca="1">YEAR(Table1[[#This Row],[Join Date]])</f>
        <v>2018</v>
      </c>
      <c r="Z334">
        <f ca="1">IF(Table1[[#This Row],[Status]]="Active",1,0)</f>
        <v>0</v>
      </c>
      <c r="AA334">
        <f ca="1">IF(Table1[[#This Row],[Status]]="Exited",Table1[[#This Row],[Recruitment Cost]]+Table1[[#This Row],[Onboarding cost]]+Table1[[#This Row],[Training Cost]],0)</f>
        <v>5429</v>
      </c>
    </row>
    <row r="335" spans="1:27">
      <c r="A335" t="str">
        <f t="shared" si="47"/>
        <v>E334</v>
      </c>
      <c r="B335" t="str" cm="1">
        <f t="array" aca="1" ref="B335" ca="1">INDEX(sheet2!$A$2:$A$6, RANDBETWEEN(1, 5))</f>
        <v>Sales</v>
      </c>
      <c r="C335" t="str">
        <f ca="1">_xlfn.XLOOKUP(Table1[[#This Row],[Department]],sheet2!$A$2:$A$6,sheet2!$B$2:$B$6,_xleta.NA,0)</f>
        <v>Marketing Manager</v>
      </c>
      <c r="D335" s="1">
        <f t="shared" ca="1" si="44"/>
        <v>44707</v>
      </c>
      <c r="E335" s="1">
        <f ca="1">Table1[[#This Row],[Job Posting Date]]+ RANDBETWEEN(15, 90)</f>
        <v>44777</v>
      </c>
      <c r="F335" s="1">
        <f ca="1">Table1[[#This Row],[Hire Date]]+ RANDBETWEEN(1, 15)</f>
        <v>44785</v>
      </c>
      <c r="G335" s="1">
        <f ca="1">IF(RAND() &lt; 0.5,  Table1[[#This Row],[Join Date]]+ RANDBETWEEN(30, TODAY()- Table1[[#This Row],[Join Date]]), "-")</f>
        <v>45285</v>
      </c>
      <c r="H335" t="str">
        <f ca="1">IF(Table1[[#This Row],[Exit Date]]= "-", "Active", "Exited")</f>
        <v>Exited</v>
      </c>
      <c r="I335" s="5">
        <f t="shared" ca="1" si="45"/>
        <v>4356</v>
      </c>
      <c r="J335" t="str" cm="1">
        <f t="array" aca="1" ref="J335" ca="1">INDEX(sheet2!$C$2:$C$6, RANDBETWEEN(1, 5))</f>
        <v>Communication Skills</v>
      </c>
      <c r="K335" t="str">
        <f t="shared" ca="1" si="46"/>
        <v>Completed</v>
      </c>
      <c r="L335">
        <v>260</v>
      </c>
      <c r="M335">
        <f t="shared" ca="1" si="48"/>
        <v>3</v>
      </c>
      <c r="N335" t="str">
        <f t="shared" ca="1" si="49"/>
        <v>Other</v>
      </c>
      <c r="O335" s="6">
        <f t="shared" ca="1" si="50"/>
        <v>2182</v>
      </c>
      <c r="P335">
        <f ca="1">Table1[[#This Row],[Hire Date]]-Table1[[#This Row],[Job Posting Date]]</f>
        <v>70</v>
      </c>
      <c r="Q335" s="7">
        <f ca="1">Table1[[#This Row],[Join Date]]-Table1[[#This Row],[Hire Date]]</f>
        <v>8</v>
      </c>
      <c r="R335" s="8">
        <f ca="1">(IF(Table1[[#This Row],[Status]]="Exited",Table1[[#This Row],[Exit Date]]-Table1[[#This Row],[Join Date]],TODAY()-Table1[[#This Row],[Join Date]]))/30</f>
        <v>16.666666666666668</v>
      </c>
      <c r="S335">
        <f ca="1">Table1[[#This Row],[Hire Date]]-Table1[[#This Row],[Job Posting Date]]</f>
        <v>70</v>
      </c>
      <c r="T335" s="7">
        <f ca="1">Table1[[#This Row],[Time to onboard]]/Table1[[#This Row],[Time to Fill]]*100</f>
        <v>11.428571428571429</v>
      </c>
      <c r="U335" s="8">
        <f ca="1">Table1[[#This Row],[Time to onboard]]/Table1[[#This Row],[Time to Fill]]*100</f>
        <v>11.428571428571429</v>
      </c>
      <c r="V335">
        <f ca="1">Table1[[#This Row],[Join Date]]-Table1[[#This Row],[Job Posting Date]]</f>
        <v>78</v>
      </c>
      <c r="W335">
        <f t="shared" ca="1" si="51"/>
        <v>114</v>
      </c>
      <c r="X335" s="8">
        <f ca="1">Table1[[#This Row],[Absentee Days]]/Table1[[#This Row],[Total Work Days]]*100</f>
        <v>1.153846153846154</v>
      </c>
      <c r="Y335">
        <f ca="1">YEAR(Table1[[#This Row],[Join Date]])</f>
        <v>2022</v>
      </c>
      <c r="Z335">
        <f ca="1">IF(Table1[[#This Row],[Status]]="Active",1,0)</f>
        <v>0</v>
      </c>
      <c r="AA335">
        <f ca="1">IF(Table1[[#This Row],[Status]]="Exited",Table1[[#This Row],[Recruitment Cost]]+Table1[[#This Row],[Onboarding cost]]+Table1[[#This Row],[Training Cost]],0)</f>
        <v>6652</v>
      </c>
    </row>
    <row r="336" spans="1:27">
      <c r="A336" t="str">
        <f t="shared" si="47"/>
        <v>E335</v>
      </c>
      <c r="B336" t="str" cm="1">
        <f t="array" aca="1" ref="B336" ca="1">INDEX(sheet2!$A$2:$A$6, RANDBETWEEN(1, 5))</f>
        <v>Analytics</v>
      </c>
      <c r="C336" t="str">
        <f ca="1">_xlfn.XLOOKUP(Table1[[#This Row],[Department]],sheet2!$A$2:$A$6,sheet2!$B$2:$B$6,_xleta.NA,0)</f>
        <v>Data Analyst</v>
      </c>
      <c r="D336" s="1">
        <f t="shared" ca="1" si="44"/>
        <v>43267</v>
      </c>
      <c r="E336" s="1">
        <f ca="1">Table1[[#This Row],[Job Posting Date]]+ RANDBETWEEN(15, 90)</f>
        <v>43357</v>
      </c>
      <c r="F336" s="1">
        <f ca="1">Table1[[#This Row],[Hire Date]]+ RANDBETWEEN(1, 15)</f>
        <v>43362</v>
      </c>
      <c r="G336" s="1" t="str">
        <f ca="1">IF(RAND() &lt; 0.5,  Table1[[#This Row],[Join Date]]+ RANDBETWEEN(30, TODAY()- Table1[[#This Row],[Join Date]]), "-")</f>
        <v>-</v>
      </c>
      <c r="H336" t="str">
        <f ca="1">IF(Table1[[#This Row],[Exit Date]]= "-", "Active", "Exited")</f>
        <v>Active</v>
      </c>
      <c r="I336" s="5">
        <f t="shared" ca="1" si="45"/>
        <v>2972</v>
      </c>
      <c r="J336" t="str" cm="1">
        <f t="array" aca="1" ref="J336" ca="1">INDEX(sheet2!$C$2:$C$6, RANDBETWEEN(1, 5))</f>
        <v>Leadership Development</v>
      </c>
      <c r="K336" t="str">
        <f t="shared" ca="1" si="46"/>
        <v>Not Completed</v>
      </c>
      <c r="L336">
        <v>260</v>
      </c>
      <c r="M336">
        <f t="shared" ca="1" si="48"/>
        <v>14</v>
      </c>
      <c r="N336" t="str">
        <f t="shared" ca="1" si="49"/>
        <v>Other</v>
      </c>
      <c r="O336" s="6">
        <f t="shared" ca="1" si="50"/>
        <v>2186</v>
      </c>
      <c r="P336">
        <f ca="1">Table1[[#This Row],[Hire Date]]-Table1[[#This Row],[Job Posting Date]]</f>
        <v>90</v>
      </c>
      <c r="Q336" s="7">
        <f ca="1">Table1[[#This Row],[Join Date]]-Table1[[#This Row],[Hire Date]]</f>
        <v>5</v>
      </c>
      <c r="R336" s="8">
        <f ca="1">(IF(Table1[[#This Row],[Status]]="Exited",Table1[[#This Row],[Exit Date]]-Table1[[#This Row],[Join Date]],TODAY()-Table1[[#This Row],[Join Date]]))/30</f>
        <v>76.7</v>
      </c>
      <c r="S336">
        <f ca="1">Table1[[#This Row],[Hire Date]]-Table1[[#This Row],[Job Posting Date]]</f>
        <v>90</v>
      </c>
      <c r="T336" s="7">
        <f ca="1">Table1[[#This Row],[Time to onboard]]/Table1[[#This Row],[Time to Fill]]*100</f>
        <v>5.5555555555555554</v>
      </c>
      <c r="U336" s="8">
        <f ca="1">Table1[[#This Row],[Time to onboard]]/Table1[[#This Row],[Time to Fill]]*100</f>
        <v>5.5555555555555554</v>
      </c>
      <c r="V336">
        <f ca="1">Table1[[#This Row],[Join Date]]-Table1[[#This Row],[Job Posting Date]]</f>
        <v>95</v>
      </c>
      <c r="W336">
        <f t="shared" ca="1" si="51"/>
        <v>125</v>
      </c>
      <c r="X336" s="8">
        <f ca="1">Table1[[#This Row],[Absentee Days]]/Table1[[#This Row],[Total Work Days]]*100</f>
        <v>5.384615384615385</v>
      </c>
      <c r="Y336">
        <f ca="1">YEAR(Table1[[#This Row],[Join Date]])</f>
        <v>2018</v>
      </c>
      <c r="Z336">
        <f ca="1">IF(Table1[[#This Row],[Status]]="Active",1,0)</f>
        <v>1</v>
      </c>
      <c r="AA336">
        <f ca="1">IF(Table1[[#This Row],[Status]]="Exited",Table1[[#This Row],[Recruitment Cost]]+Table1[[#This Row],[Onboarding cost]]+Table1[[#This Row],[Training Cost]],0)</f>
        <v>0</v>
      </c>
    </row>
    <row r="337" spans="1:27">
      <c r="A337" t="str">
        <f t="shared" si="47"/>
        <v>E336</v>
      </c>
      <c r="B337" t="str" cm="1">
        <f t="array" aca="1" ref="B337" ca="1">INDEX(sheet2!$A$2:$A$6, RANDBETWEEN(1, 5))</f>
        <v>HR</v>
      </c>
      <c r="C337" t="str">
        <f ca="1">_xlfn.XLOOKUP(Table1[[#This Row],[Department]],sheet2!$A$2:$A$6,sheet2!$B$2:$B$6,_xleta.NA,0)</f>
        <v>HR Manager</v>
      </c>
      <c r="D337" s="1">
        <f t="shared" ca="1" si="44"/>
        <v>43846</v>
      </c>
      <c r="E337" s="1">
        <f ca="1">Table1[[#This Row],[Job Posting Date]]+ RANDBETWEEN(15, 90)</f>
        <v>43886</v>
      </c>
      <c r="F337" s="1">
        <f ca="1">Table1[[#This Row],[Hire Date]]+ RANDBETWEEN(1, 15)</f>
        <v>43891</v>
      </c>
      <c r="G337" s="1">
        <f ca="1">IF(RAND() &lt; 0.5,  Table1[[#This Row],[Join Date]]+ RANDBETWEEN(30, TODAY()- Table1[[#This Row],[Join Date]]), "-")</f>
        <v>44655</v>
      </c>
      <c r="H337" t="str">
        <f ca="1">IF(Table1[[#This Row],[Exit Date]]= "-", "Active", "Exited")</f>
        <v>Exited</v>
      </c>
      <c r="I337" s="5">
        <f t="shared" ca="1" si="45"/>
        <v>2502</v>
      </c>
      <c r="J337" t="str" cm="1">
        <f t="array" aca="1" ref="J337" ca="1">INDEX(sheet2!$C$2:$C$6, RANDBETWEEN(1, 5))</f>
        <v>Communication Skills</v>
      </c>
      <c r="K337" t="str">
        <f t="shared" ca="1" si="46"/>
        <v>Completed</v>
      </c>
      <c r="L337">
        <v>260</v>
      </c>
      <c r="M337">
        <f t="shared" ca="1" si="48"/>
        <v>20</v>
      </c>
      <c r="N337" t="str">
        <f t="shared" ca="1" si="49"/>
        <v>Female</v>
      </c>
      <c r="O337" s="6">
        <f t="shared" ca="1" si="50"/>
        <v>2351</v>
      </c>
      <c r="P337">
        <f ca="1">Table1[[#This Row],[Hire Date]]-Table1[[#This Row],[Job Posting Date]]</f>
        <v>40</v>
      </c>
      <c r="Q337" s="7">
        <f ca="1">Table1[[#This Row],[Join Date]]-Table1[[#This Row],[Hire Date]]</f>
        <v>5</v>
      </c>
      <c r="R337" s="8">
        <f ca="1">(IF(Table1[[#This Row],[Status]]="Exited",Table1[[#This Row],[Exit Date]]-Table1[[#This Row],[Join Date]],TODAY()-Table1[[#This Row],[Join Date]]))/30</f>
        <v>25.466666666666665</v>
      </c>
      <c r="S337">
        <f ca="1">Table1[[#This Row],[Hire Date]]-Table1[[#This Row],[Job Posting Date]]</f>
        <v>40</v>
      </c>
      <c r="T337" s="7">
        <f ca="1">Table1[[#This Row],[Time to onboard]]/Table1[[#This Row],[Time to Fill]]*100</f>
        <v>12.5</v>
      </c>
      <c r="U337" s="8">
        <f ca="1">Table1[[#This Row],[Time to onboard]]/Table1[[#This Row],[Time to Fill]]*100</f>
        <v>12.5</v>
      </c>
      <c r="V337">
        <f ca="1">Table1[[#This Row],[Join Date]]-Table1[[#This Row],[Job Posting Date]]</f>
        <v>45</v>
      </c>
      <c r="W337">
        <f t="shared" ca="1" si="51"/>
        <v>195</v>
      </c>
      <c r="X337" s="8">
        <f ca="1">Table1[[#This Row],[Absentee Days]]/Table1[[#This Row],[Total Work Days]]*100</f>
        <v>7.6923076923076925</v>
      </c>
      <c r="Y337">
        <f ca="1">YEAR(Table1[[#This Row],[Join Date]])</f>
        <v>2020</v>
      </c>
      <c r="Z337">
        <f ca="1">IF(Table1[[#This Row],[Status]]="Active",1,0)</f>
        <v>0</v>
      </c>
      <c r="AA337">
        <f ca="1">IF(Table1[[#This Row],[Status]]="Exited",Table1[[#This Row],[Recruitment Cost]]+Table1[[#This Row],[Onboarding cost]]+Table1[[#This Row],[Training Cost]],0)</f>
        <v>5048</v>
      </c>
    </row>
    <row r="338" spans="1:27">
      <c r="A338" t="str">
        <f t="shared" si="47"/>
        <v>E337</v>
      </c>
      <c r="B338" t="str" cm="1">
        <f t="array" aca="1" ref="B338" ca="1">INDEX(sheet2!$A$2:$A$6, RANDBETWEEN(1, 5))</f>
        <v>Analytics</v>
      </c>
      <c r="C338" t="str">
        <f ca="1">_xlfn.XLOOKUP(Table1[[#This Row],[Department]],sheet2!$A$2:$A$6,sheet2!$B$2:$B$6,_xleta.NA,0)</f>
        <v>Data Analyst</v>
      </c>
      <c r="D338" s="1">
        <f t="shared" ca="1" si="44"/>
        <v>43316</v>
      </c>
      <c r="E338" s="1">
        <f ca="1">Table1[[#This Row],[Job Posting Date]]+ RANDBETWEEN(15, 90)</f>
        <v>43350</v>
      </c>
      <c r="F338" s="1">
        <f ca="1">Table1[[#This Row],[Hire Date]]+ RANDBETWEEN(1, 15)</f>
        <v>43356</v>
      </c>
      <c r="G338" s="1">
        <f ca="1">IF(RAND() &lt; 0.5,  Table1[[#This Row],[Join Date]]+ RANDBETWEEN(30, TODAY()- Table1[[#This Row],[Join Date]]), "-")</f>
        <v>44951</v>
      </c>
      <c r="H338" t="str">
        <f ca="1">IF(Table1[[#This Row],[Exit Date]]= "-", "Active", "Exited")</f>
        <v>Exited</v>
      </c>
      <c r="I338" s="5">
        <f t="shared" ca="1" si="45"/>
        <v>4556</v>
      </c>
      <c r="J338" t="str" cm="1">
        <f t="array" aca="1" ref="J338" ca="1">INDEX(sheet2!$C$2:$C$6, RANDBETWEEN(1, 5))</f>
        <v>Advanced Excel Skills </v>
      </c>
      <c r="K338" t="str">
        <f t="shared" ca="1" si="46"/>
        <v>Completed</v>
      </c>
      <c r="L338">
        <v>260</v>
      </c>
      <c r="M338">
        <f t="shared" ca="1" si="48"/>
        <v>3</v>
      </c>
      <c r="N338" t="str">
        <f t="shared" ca="1" si="49"/>
        <v>Other</v>
      </c>
      <c r="O338" s="6">
        <f t="shared" ca="1" si="50"/>
        <v>1722</v>
      </c>
      <c r="P338">
        <f ca="1">Table1[[#This Row],[Hire Date]]-Table1[[#This Row],[Job Posting Date]]</f>
        <v>34</v>
      </c>
      <c r="Q338" s="7">
        <f ca="1">Table1[[#This Row],[Join Date]]-Table1[[#This Row],[Hire Date]]</f>
        <v>6</v>
      </c>
      <c r="R338" s="8">
        <f ca="1">(IF(Table1[[#This Row],[Status]]="Exited",Table1[[#This Row],[Exit Date]]-Table1[[#This Row],[Join Date]],TODAY()-Table1[[#This Row],[Join Date]]))/30</f>
        <v>53.166666666666664</v>
      </c>
      <c r="S338">
        <f ca="1">Table1[[#This Row],[Hire Date]]-Table1[[#This Row],[Job Posting Date]]</f>
        <v>34</v>
      </c>
      <c r="T338" s="7">
        <f ca="1">Table1[[#This Row],[Time to onboard]]/Table1[[#This Row],[Time to Fill]]*100</f>
        <v>17.647058823529413</v>
      </c>
      <c r="U338" s="8">
        <f ca="1">Table1[[#This Row],[Time to onboard]]/Table1[[#This Row],[Time to Fill]]*100</f>
        <v>17.647058823529413</v>
      </c>
      <c r="V338">
        <f ca="1">Table1[[#This Row],[Join Date]]-Table1[[#This Row],[Job Posting Date]]</f>
        <v>40</v>
      </c>
      <c r="W338">
        <f t="shared" ca="1" si="51"/>
        <v>130</v>
      </c>
      <c r="X338" s="8">
        <f ca="1">Table1[[#This Row],[Absentee Days]]/Table1[[#This Row],[Total Work Days]]*100</f>
        <v>1.153846153846154</v>
      </c>
      <c r="Y338">
        <f ca="1">YEAR(Table1[[#This Row],[Join Date]])</f>
        <v>2018</v>
      </c>
      <c r="Z338">
        <f ca="1">IF(Table1[[#This Row],[Status]]="Active",1,0)</f>
        <v>0</v>
      </c>
      <c r="AA338">
        <f ca="1">IF(Table1[[#This Row],[Status]]="Exited",Table1[[#This Row],[Recruitment Cost]]+Table1[[#This Row],[Onboarding cost]]+Table1[[#This Row],[Training Cost]],0)</f>
        <v>6408</v>
      </c>
    </row>
    <row r="339" spans="1:27">
      <c r="A339" t="str">
        <f t="shared" si="47"/>
        <v>E338</v>
      </c>
      <c r="B339" t="str" cm="1">
        <f t="array" aca="1" ref="B339" ca="1">INDEX(sheet2!$A$2:$A$6, RANDBETWEEN(1, 5))</f>
        <v>HR</v>
      </c>
      <c r="C339" t="str">
        <f ca="1">_xlfn.XLOOKUP(Table1[[#This Row],[Department]],sheet2!$A$2:$A$6,sheet2!$B$2:$B$6,_xleta.NA,0)</f>
        <v>HR Manager</v>
      </c>
      <c r="D339" s="1">
        <f t="shared" ca="1" si="44"/>
        <v>44311</v>
      </c>
      <c r="E339" s="1">
        <f ca="1">Table1[[#This Row],[Job Posting Date]]+ RANDBETWEEN(15, 90)</f>
        <v>44351</v>
      </c>
      <c r="F339" s="1">
        <f ca="1">Table1[[#This Row],[Hire Date]]+ RANDBETWEEN(1, 15)</f>
        <v>44357</v>
      </c>
      <c r="G339" s="1" t="str">
        <f ca="1">IF(RAND() &lt; 0.5,  Table1[[#This Row],[Join Date]]+ RANDBETWEEN(30, TODAY()- Table1[[#This Row],[Join Date]]), "-")</f>
        <v>-</v>
      </c>
      <c r="H339" t="str">
        <f ca="1">IF(Table1[[#This Row],[Exit Date]]= "-", "Active", "Exited")</f>
        <v>Active</v>
      </c>
      <c r="I339" s="5">
        <f t="shared" ca="1" si="45"/>
        <v>1676</v>
      </c>
      <c r="J339" t="str" cm="1">
        <f t="array" aca="1" ref="J339" ca="1">INDEX(sheet2!$C$2:$C$6, RANDBETWEEN(1, 5))</f>
        <v>Ethics and Responsibilities</v>
      </c>
      <c r="K339" t="str">
        <f t="shared" ca="1" si="46"/>
        <v>Completed</v>
      </c>
      <c r="L339">
        <v>260</v>
      </c>
      <c r="M339">
        <f t="shared" ca="1" si="48"/>
        <v>14</v>
      </c>
      <c r="N339" t="str">
        <f t="shared" ca="1" si="49"/>
        <v>Female</v>
      </c>
      <c r="O339" s="6">
        <f t="shared" ca="1" si="50"/>
        <v>2443</v>
      </c>
      <c r="P339">
        <f ca="1">Table1[[#This Row],[Hire Date]]-Table1[[#This Row],[Job Posting Date]]</f>
        <v>40</v>
      </c>
      <c r="Q339" s="7">
        <f ca="1">Table1[[#This Row],[Join Date]]-Table1[[#This Row],[Hire Date]]</f>
        <v>6</v>
      </c>
      <c r="R339" s="8">
        <f ca="1">(IF(Table1[[#This Row],[Status]]="Exited",Table1[[#This Row],[Exit Date]]-Table1[[#This Row],[Join Date]],TODAY()-Table1[[#This Row],[Join Date]]))/30</f>
        <v>43.533333333333331</v>
      </c>
      <c r="S339">
        <f ca="1">Table1[[#This Row],[Hire Date]]-Table1[[#This Row],[Job Posting Date]]</f>
        <v>40</v>
      </c>
      <c r="T339" s="7">
        <f ca="1">Table1[[#This Row],[Time to onboard]]/Table1[[#This Row],[Time to Fill]]*100</f>
        <v>15</v>
      </c>
      <c r="U339" s="8">
        <f ca="1">Table1[[#This Row],[Time to onboard]]/Table1[[#This Row],[Time to Fill]]*100</f>
        <v>15</v>
      </c>
      <c r="V339">
        <f ca="1">Table1[[#This Row],[Join Date]]-Table1[[#This Row],[Job Posting Date]]</f>
        <v>46</v>
      </c>
      <c r="W339">
        <f t="shared" ca="1" si="51"/>
        <v>119</v>
      </c>
      <c r="X339" s="8">
        <f ca="1">Table1[[#This Row],[Absentee Days]]/Table1[[#This Row],[Total Work Days]]*100</f>
        <v>5.384615384615385</v>
      </c>
      <c r="Y339">
        <f ca="1">YEAR(Table1[[#This Row],[Join Date]])</f>
        <v>2021</v>
      </c>
      <c r="Z339">
        <f ca="1">IF(Table1[[#This Row],[Status]]="Active",1,0)</f>
        <v>1</v>
      </c>
      <c r="AA339">
        <f ca="1">IF(Table1[[#This Row],[Status]]="Exited",Table1[[#This Row],[Recruitment Cost]]+Table1[[#This Row],[Onboarding cost]]+Table1[[#This Row],[Training Cost]],0)</f>
        <v>0</v>
      </c>
    </row>
    <row r="340" spans="1:27">
      <c r="A340" t="str">
        <f t="shared" si="47"/>
        <v>E339</v>
      </c>
      <c r="B340" t="str" cm="1">
        <f t="array" aca="1" ref="B340" ca="1">INDEX(sheet2!$A$2:$A$6, RANDBETWEEN(1, 5))</f>
        <v>Analytics</v>
      </c>
      <c r="C340" t="str">
        <f ca="1">_xlfn.XLOOKUP(Table1[[#This Row],[Department]],sheet2!$A$2:$A$6,sheet2!$B$2:$B$6,_xleta.NA,0)</f>
        <v>Data Analyst</v>
      </c>
      <c r="D340" s="1">
        <f t="shared" ca="1" si="44"/>
        <v>44299</v>
      </c>
      <c r="E340" s="1">
        <f ca="1">Table1[[#This Row],[Job Posting Date]]+ RANDBETWEEN(15, 90)</f>
        <v>44329</v>
      </c>
      <c r="F340" s="1">
        <f ca="1">Table1[[#This Row],[Hire Date]]+ RANDBETWEEN(1, 15)</f>
        <v>44336</v>
      </c>
      <c r="G340" s="1" t="str">
        <f ca="1">IF(RAND() &lt; 0.5,  Table1[[#This Row],[Join Date]]+ RANDBETWEEN(30, TODAY()- Table1[[#This Row],[Join Date]]), "-")</f>
        <v>-</v>
      </c>
      <c r="H340" t="str">
        <f ca="1">IF(Table1[[#This Row],[Exit Date]]= "-", "Active", "Exited")</f>
        <v>Active</v>
      </c>
      <c r="I340" s="5">
        <f t="shared" ca="1" si="45"/>
        <v>3129</v>
      </c>
      <c r="J340" t="str" cm="1">
        <f t="array" aca="1" ref="J340" ca="1">INDEX(sheet2!$C$2:$C$6, RANDBETWEEN(1, 5))</f>
        <v>Conflict Resolution</v>
      </c>
      <c r="K340" t="str">
        <f t="shared" ca="1" si="46"/>
        <v>Completed</v>
      </c>
      <c r="L340">
        <v>260</v>
      </c>
      <c r="M340">
        <f t="shared" ca="1" si="48"/>
        <v>14</v>
      </c>
      <c r="N340" t="str">
        <f t="shared" ca="1" si="49"/>
        <v>Female</v>
      </c>
      <c r="O340" s="6">
        <f t="shared" ca="1" si="50"/>
        <v>2152</v>
      </c>
      <c r="P340">
        <f ca="1">Table1[[#This Row],[Hire Date]]-Table1[[#This Row],[Job Posting Date]]</f>
        <v>30</v>
      </c>
      <c r="Q340" s="7">
        <f ca="1">Table1[[#This Row],[Join Date]]-Table1[[#This Row],[Hire Date]]</f>
        <v>7</v>
      </c>
      <c r="R340" s="8">
        <f ca="1">(IF(Table1[[#This Row],[Status]]="Exited",Table1[[#This Row],[Exit Date]]-Table1[[#This Row],[Join Date]],TODAY()-Table1[[#This Row],[Join Date]]))/30</f>
        <v>44.233333333333334</v>
      </c>
      <c r="S340">
        <f ca="1">Table1[[#This Row],[Hire Date]]-Table1[[#This Row],[Job Posting Date]]</f>
        <v>30</v>
      </c>
      <c r="T340" s="7">
        <f ca="1">Table1[[#This Row],[Time to onboard]]/Table1[[#This Row],[Time to Fill]]*100</f>
        <v>23.333333333333332</v>
      </c>
      <c r="U340" s="8">
        <f ca="1">Table1[[#This Row],[Time to onboard]]/Table1[[#This Row],[Time to Fill]]*100</f>
        <v>23.333333333333332</v>
      </c>
      <c r="V340">
        <f ca="1">Table1[[#This Row],[Join Date]]-Table1[[#This Row],[Job Posting Date]]</f>
        <v>37</v>
      </c>
      <c r="W340">
        <f t="shared" ca="1" si="51"/>
        <v>191</v>
      </c>
      <c r="X340" s="8">
        <f ca="1">Table1[[#This Row],[Absentee Days]]/Table1[[#This Row],[Total Work Days]]*100</f>
        <v>5.384615384615385</v>
      </c>
      <c r="Y340">
        <f ca="1">YEAR(Table1[[#This Row],[Join Date]])</f>
        <v>2021</v>
      </c>
      <c r="Z340">
        <f ca="1">IF(Table1[[#This Row],[Status]]="Active",1,0)</f>
        <v>1</v>
      </c>
      <c r="AA340">
        <f ca="1">IF(Table1[[#This Row],[Status]]="Exited",Table1[[#This Row],[Recruitment Cost]]+Table1[[#This Row],[Onboarding cost]]+Table1[[#This Row],[Training Cost]],0)</f>
        <v>0</v>
      </c>
    </row>
    <row r="341" spans="1:27">
      <c r="A341" t="str">
        <f t="shared" si="47"/>
        <v>E340</v>
      </c>
      <c r="B341" t="str" cm="1">
        <f t="array" aca="1" ref="B341" ca="1">INDEX(sheet2!$A$2:$A$6, RANDBETWEEN(1, 5))</f>
        <v>Finance</v>
      </c>
      <c r="C341" t="str">
        <f ca="1">_xlfn.XLOOKUP(Table1[[#This Row],[Department]],sheet2!$A$2:$A$6,sheet2!$B$2:$B$6,_xleta.NA,0)</f>
        <v>Finance Manager</v>
      </c>
      <c r="D341" s="1">
        <f t="shared" ca="1" si="44"/>
        <v>44570</v>
      </c>
      <c r="E341" s="1">
        <f ca="1">Table1[[#This Row],[Job Posting Date]]+ RANDBETWEEN(15, 90)</f>
        <v>44630</v>
      </c>
      <c r="F341" s="1">
        <f ca="1">Table1[[#This Row],[Hire Date]]+ RANDBETWEEN(1, 15)</f>
        <v>44644</v>
      </c>
      <c r="G341" s="1">
        <f ca="1">IF(RAND() &lt; 0.5,  Table1[[#This Row],[Join Date]]+ RANDBETWEEN(30, TODAY()- Table1[[#This Row],[Join Date]]), "-")</f>
        <v>44812</v>
      </c>
      <c r="H341" t="str">
        <f ca="1">IF(Table1[[#This Row],[Exit Date]]= "-", "Active", "Exited")</f>
        <v>Exited</v>
      </c>
      <c r="I341" s="5">
        <f t="shared" ca="1" si="45"/>
        <v>1890</v>
      </c>
      <c r="J341" t="str" cm="1">
        <f t="array" aca="1" ref="J341" ca="1">INDEX(sheet2!$C$2:$C$6, RANDBETWEEN(1, 5))</f>
        <v>Advanced Excel Skills </v>
      </c>
      <c r="K341" t="str">
        <f t="shared" ca="1" si="46"/>
        <v>Completed</v>
      </c>
      <c r="L341">
        <v>260</v>
      </c>
      <c r="M341">
        <f t="shared" ca="1" si="48"/>
        <v>15</v>
      </c>
      <c r="N341" t="str">
        <f t="shared" ca="1" si="49"/>
        <v>Female</v>
      </c>
      <c r="O341" s="6">
        <f t="shared" ca="1" si="50"/>
        <v>1763</v>
      </c>
      <c r="P341">
        <f ca="1">Table1[[#This Row],[Hire Date]]-Table1[[#This Row],[Job Posting Date]]</f>
        <v>60</v>
      </c>
      <c r="Q341" s="7">
        <f ca="1">Table1[[#This Row],[Join Date]]-Table1[[#This Row],[Hire Date]]</f>
        <v>14</v>
      </c>
      <c r="R341" s="8">
        <f ca="1">(IF(Table1[[#This Row],[Status]]="Exited",Table1[[#This Row],[Exit Date]]-Table1[[#This Row],[Join Date]],TODAY()-Table1[[#This Row],[Join Date]]))/30</f>
        <v>5.6</v>
      </c>
      <c r="S341">
        <f ca="1">Table1[[#This Row],[Hire Date]]-Table1[[#This Row],[Job Posting Date]]</f>
        <v>60</v>
      </c>
      <c r="T341" s="7">
        <f ca="1">Table1[[#This Row],[Time to onboard]]/Table1[[#This Row],[Time to Fill]]*100</f>
        <v>23.333333333333332</v>
      </c>
      <c r="U341" s="8">
        <f ca="1">Table1[[#This Row],[Time to onboard]]/Table1[[#This Row],[Time to Fill]]*100</f>
        <v>23.333333333333332</v>
      </c>
      <c r="V341">
        <f ca="1">Table1[[#This Row],[Join Date]]-Table1[[#This Row],[Job Posting Date]]</f>
        <v>74</v>
      </c>
      <c r="W341">
        <f t="shared" ca="1" si="51"/>
        <v>157</v>
      </c>
      <c r="X341" s="8">
        <f ca="1">Table1[[#This Row],[Absentee Days]]/Table1[[#This Row],[Total Work Days]]*100</f>
        <v>5.7692307692307692</v>
      </c>
      <c r="Y341">
        <f ca="1">YEAR(Table1[[#This Row],[Join Date]])</f>
        <v>2022</v>
      </c>
      <c r="Z341">
        <f ca="1">IF(Table1[[#This Row],[Status]]="Active",1,0)</f>
        <v>0</v>
      </c>
      <c r="AA341">
        <f ca="1">IF(Table1[[#This Row],[Status]]="Exited",Table1[[#This Row],[Recruitment Cost]]+Table1[[#This Row],[Onboarding cost]]+Table1[[#This Row],[Training Cost]],0)</f>
        <v>3810</v>
      </c>
    </row>
    <row r="342" spans="1:27">
      <c r="A342" t="str">
        <f t="shared" si="47"/>
        <v>E341</v>
      </c>
      <c r="B342" t="str" cm="1">
        <f t="array" aca="1" ref="B342" ca="1">INDEX(sheet2!$A$2:$A$6, RANDBETWEEN(1, 5))</f>
        <v>Sales</v>
      </c>
      <c r="C342" t="str">
        <f ca="1">_xlfn.XLOOKUP(Table1[[#This Row],[Department]],sheet2!$A$2:$A$6,sheet2!$B$2:$B$6,_xleta.NA,0)</f>
        <v>Marketing Manager</v>
      </c>
      <c r="D342" s="1">
        <f t="shared" ca="1" si="44"/>
        <v>43812</v>
      </c>
      <c r="E342" s="1">
        <f ca="1">Table1[[#This Row],[Job Posting Date]]+ RANDBETWEEN(15, 90)</f>
        <v>43840</v>
      </c>
      <c r="F342" s="1">
        <f ca="1">Table1[[#This Row],[Hire Date]]+ RANDBETWEEN(1, 15)</f>
        <v>43851</v>
      </c>
      <c r="G342" s="1" t="str">
        <f ca="1">IF(RAND() &lt; 0.5,  Table1[[#This Row],[Join Date]]+ RANDBETWEEN(30, TODAY()- Table1[[#This Row],[Join Date]]), "-")</f>
        <v>-</v>
      </c>
      <c r="H342" t="str">
        <f ca="1">IF(Table1[[#This Row],[Exit Date]]= "-", "Active", "Exited")</f>
        <v>Active</v>
      </c>
      <c r="I342" s="5">
        <f t="shared" ca="1" si="45"/>
        <v>4876</v>
      </c>
      <c r="J342" t="str" cm="1">
        <f t="array" aca="1" ref="J342" ca="1">INDEX(sheet2!$C$2:$C$6, RANDBETWEEN(1, 5))</f>
        <v>Leadership Development</v>
      </c>
      <c r="K342" t="str">
        <f t="shared" ca="1" si="46"/>
        <v>Completed</v>
      </c>
      <c r="L342">
        <v>260</v>
      </c>
      <c r="M342">
        <f t="shared" ca="1" si="48"/>
        <v>15</v>
      </c>
      <c r="N342" t="str">
        <f t="shared" ca="1" si="49"/>
        <v>Other</v>
      </c>
      <c r="O342" s="6">
        <f t="shared" ca="1" si="50"/>
        <v>1542</v>
      </c>
      <c r="P342">
        <f ca="1">Table1[[#This Row],[Hire Date]]-Table1[[#This Row],[Job Posting Date]]</f>
        <v>28</v>
      </c>
      <c r="Q342" s="7">
        <f ca="1">Table1[[#This Row],[Join Date]]-Table1[[#This Row],[Hire Date]]</f>
        <v>11</v>
      </c>
      <c r="R342" s="8">
        <f ca="1">(IF(Table1[[#This Row],[Status]]="Exited",Table1[[#This Row],[Exit Date]]-Table1[[#This Row],[Join Date]],TODAY()-Table1[[#This Row],[Join Date]]))/30</f>
        <v>60.4</v>
      </c>
      <c r="S342">
        <f ca="1">Table1[[#This Row],[Hire Date]]-Table1[[#This Row],[Job Posting Date]]</f>
        <v>28</v>
      </c>
      <c r="T342" s="7">
        <f ca="1">Table1[[#This Row],[Time to onboard]]/Table1[[#This Row],[Time to Fill]]*100</f>
        <v>39.285714285714285</v>
      </c>
      <c r="U342" s="8">
        <f ca="1">Table1[[#This Row],[Time to onboard]]/Table1[[#This Row],[Time to Fill]]*100</f>
        <v>39.285714285714285</v>
      </c>
      <c r="V342">
        <f ca="1">Table1[[#This Row],[Join Date]]-Table1[[#This Row],[Job Posting Date]]</f>
        <v>39</v>
      </c>
      <c r="W342">
        <f t="shared" ca="1" si="51"/>
        <v>155</v>
      </c>
      <c r="X342" s="8">
        <f ca="1">Table1[[#This Row],[Absentee Days]]/Table1[[#This Row],[Total Work Days]]*100</f>
        <v>5.7692307692307692</v>
      </c>
      <c r="Y342">
        <f ca="1">YEAR(Table1[[#This Row],[Join Date]])</f>
        <v>2020</v>
      </c>
      <c r="Z342">
        <f ca="1">IF(Table1[[#This Row],[Status]]="Active",1,0)</f>
        <v>1</v>
      </c>
      <c r="AA342">
        <f ca="1">IF(Table1[[#This Row],[Status]]="Exited",Table1[[#This Row],[Recruitment Cost]]+Table1[[#This Row],[Onboarding cost]]+Table1[[#This Row],[Training Cost]],0)</f>
        <v>0</v>
      </c>
    </row>
    <row r="343" spans="1:27">
      <c r="A343" t="str">
        <f t="shared" si="47"/>
        <v>E342</v>
      </c>
      <c r="B343" t="str" cm="1">
        <f t="array" aca="1" ref="B343" ca="1">INDEX(sheet2!$A$2:$A$6, RANDBETWEEN(1, 5))</f>
        <v>Finance</v>
      </c>
      <c r="C343" t="str">
        <f ca="1">_xlfn.XLOOKUP(Table1[[#This Row],[Department]],sheet2!$A$2:$A$6,sheet2!$B$2:$B$6,_xleta.NA,0)</f>
        <v>Finance Manager</v>
      </c>
      <c r="D343" s="1">
        <f t="shared" ca="1" si="44"/>
        <v>44101</v>
      </c>
      <c r="E343" s="1">
        <f ca="1">Table1[[#This Row],[Job Posting Date]]+ RANDBETWEEN(15, 90)</f>
        <v>44164</v>
      </c>
      <c r="F343" s="1">
        <f ca="1">Table1[[#This Row],[Hire Date]]+ RANDBETWEEN(1, 15)</f>
        <v>44177</v>
      </c>
      <c r="G343" s="1">
        <f ca="1">IF(RAND() &lt; 0.5,  Table1[[#This Row],[Join Date]]+ RANDBETWEEN(30, TODAY()- Table1[[#This Row],[Join Date]]), "-")</f>
        <v>44742</v>
      </c>
      <c r="H343" t="str">
        <f ca="1">IF(Table1[[#This Row],[Exit Date]]= "-", "Active", "Exited")</f>
        <v>Exited</v>
      </c>
      <c r="I343" s="5">
        <f t="shared" ca="1" si="45"/>
        <v>3227</v>
      </c>
      <c r="J343" t="str" cm="1">
        <f t="array" aca="1" ref="J343" ca="1">INDEX(sheet2!$C$2:$C$6, RANDBETWEEN(1, 5))</f>
        <v>Ethics and Responsibilities</v>
      </c>
      <c r="K343" t="str">
        <f t="shared" ca="1" si="46"/>
        <v>Completed</v>
      </c>
      <c r="L343">
        <v>260</v>
      </c>
      <c r="M343">
        <f t="shared" ca="1" si="48"/>
        <v>6</v>
      </c>
      <c r="N343" t="str">
        <f t="shared" ca="1" si="49"/>
        <v>Other</v>
      </c>
      <c r="O343" s="6">
        <f t="shared" ca="1" si="50"/>
        <v>1211</v>
      </c>
      <c r="P343">
        <f ca="1">Table1[[#This Row],[Hire Date]]-Table1[[#This Row],[Job Posting Date]]</f>
        <v>63</v>
      </c>
      <c r="Q343" s="7">
        <f ca="1">Table1[[#This Row],[Join Date]]-Table1[[#This Row],[Hire Date]]</f>
        <v>13</v>
      </c>
      <c r="R343" s="8">
        <f ca="1">(IF(Table1[[#This Row],[Status]]="Exited",Table1[[#This Row],[Exit Date]]-Table1[[#This Row],[Join Date]],TODAY()-Table1[[#This Row],[Join Date]]))/30</f>
        <v>18.833333333333332</v>
      </c>
      <c r="S343">
        <f ca="1">Table1[[#This Row],[Hire Date]]-Table1[[#This Row],[Job Posting Date]]</f>
        <v>63</v>
      </c>
      <c r="T343" s="7">
        <f ca="1">Table1[[#This Row],[Time to onboard]]/Table1[[#This Row],[Time to Fill]]*100</f>
        <v>20.634920634920633</v>
      </c>
      <c r="U343" s="8">
        <f ca="1">Table1[[#This Row],[Time to onboard]]/Table1[[#This Row],[Time to Fill]]*100</f>
        <v>20.634920634920633</v>
      </c>
      <c r="V343">
        <f ca="1">Table1[[#This Row],[Join Date]]-Table1[[#This Row],[Job Posting Date]]</f>
        <v>76</v>
      </c>
      <c r="W343">
        <f t="shared" ca="1" si="51"/>
        <v>151</v>
      </c>
      <c r="X343" s="8">
        <f ca="1">Table1[[#This Row],[Absentee Days]]/Table1[[#This Row],[Total Work Days]]*100</f>
        <v>2.3076923076923079</v>
      </c>
      <c r="Y343">
        <f ca="1">YEAR(Table1[[#This Row],[Join Date]])</f>
        <v>2020</v>
      </c>
      <c r="Z343">
        <f ca="1">IF(Table1[[#This Row],[Status]]="Active",1,0)</f>
        <v>0</v>
      </c>
      <c r="AA343">
        <f ca="1">IF(Table1[[#This Row],[Status]]="Exited",Table1[[#This Row],[Recruitment Cost]]+Table1[[#This Row],[Onboarding cost]]+Table1[[#This Row],[Training Cost]],0)</f>
        <v>4589</v>
      </c>
    </row>
    <row r="344" spans="1:27">
      <c r="A344" t="str">
        <f t="shared" si="47"/>
        <v>E343</v>
      </c>
      <c r="B344" t="str" cm="1">
        <f t="array" aca="1" ref="B344" ca="1">INDEX(sheet2!$A$2:$A$6, RANDBETWEEN(1, 5))</f>
        <v>Finance</v>
      </c>
      <c r="C344" t="str">
        <f ca="1">_xlfn.XLOOKUP(Table1[[#This Row],[Department]],sheet2!$A$2:$A$6,sheet2!$B$2:$B$6,_xleta.NA,0)</f>
        <v>Finance Manager</v>
      </c>
      <c r="D344" s="1">
        <f t="shared" ca="1" si="44"/>
        <v>44159</v>
      </c>
      <c r="E344" s="1">
        <f ca="1">Table1[[#This Row],[Job Posting Date]]+ RANDBETWEEN(15, 90)</f>
        <v>44248</v>
      </c>
      <c r="F344" s="1">
        <f ca="1">Table1[[#This Row],[Hire Date]]+ RANDBETWEEN(1, 15)</f>
        <v>44256</v>
      </c>
      <c r="G344" s="1">
        <f ca="1">IF(RAND() &lt; 0.5,  Table1[[#This Row],[Join Date]]+ RANDBETWEEN(30, TODAY()- Table1[[#This Row],[Join Date]]), "-")</f>
        <v>44358</v>
      </c>
      <c r="H344" t="str">
        <f ca="1">IF(Table1[[#This Row],[Exit Date]]= "-", "Active", "Exited")</f>
        <v>Exited</v>
      </c>
      <c r="I344" s="5">
        <f t="shared" ca="1" si="45"/>
        <v>2167</v>
      </c>
      <c r="J344" t="str" cm="1">
        <f t="array" aca="1" ref="J344" ca="1">INDEX(sheet2!$C$2:$C$6, RANDBETWEEN(1, 5))</f>
        <v>Leadership Development</v>
      </c>
      <c r="K344" t="str">
        <f t="shared" ca="1" si="46"/>
        <v>Not Completed</v>
      </c>
      <c r="L344">
        <v>260</v>
      </c>
      <c r="M344">
        <f t="shared" ca="1" si="48"/>
        <v>14</v>
      </c>
      <c r="N344" t="str">
        <f t="shared" ca="1" si="49"/>
        <v>Other</v>
      </c>
      <c r="O344" s="6">
        <f t="shared" ca="1" si="50"/>
        <v>2458</v>
      </c>
      <c r="P344">
        <f ca="1">Table1[[#This Row],[Hire Date]]-Table1[[#This Row],[Job Posting Date]]</f>
        <v>89</v>
      </c>
      <c r="Q344" s="7">
        <f ca="1">Table1[[#This Row],[Join Date]]-Table1[[#This Row],[Hire Date]]</f>
        <v>8</v>
      </c>
      <c r="R344" s="8">
        <f ca="1">(IF(Table1[[#This Row],[Status]]="Exited",Table1[[#This Row],[Exit Date]]-Table1[[#This Row],[Join Date]],TODAY()-Table1[[#This Row],[Join Date]]))/30</f>
        <v>3.4</v>
      </c>
      <c r="S344">
        <f ca="1">Table1[[#This Row],[Hire Date]]-Table1[[#This Row],[Job Posting Date]]</f>
        <v>89</v>
      </c>
      <c r="T344" s="7">
        <f ca="1">Table1[[#This Row],[Time to onboard]]/Table1[[#This Row],[Time to Fill]]*100</f>
        <v>8.9887640449438209</v>
      </c>
      <c r="U344" s="8">
        <f ca="1">Table1[[#This Row],[Time to onboard]]/Table1[[#This Row],[Time to Fill]]*100</f>
        <v>8.9887640449438209</v>
      </c>
      <c r="V344">
        <f ca="1">Table1[[#This Row],[Join Date]]-Table1[[#This Row],[Job Posting Date]]</f>
        <v>97</v>
      </c>
      <c r="W344">
        <f t="shared" ca="1" si="51"/>
        <v>133</v>
      </c>
      <c r="X344" s="8">
        <f ca="1">Table1[[#This Row],[Absentee Days]]/Table1[[#This Row],[Total Work Days]]*100</f>
        <v>5.384615384615385</v>
      </c>
      <c r="Y344">
        <f ca="1">YEAR(Table1[[#This Row],[Join Date]])</f>
        <v>2021</v>
      </c>
      <c r="Z344">
        <f ca="1">IF(Table1[[#This Row],[Status]]="Active",1,0)</f>
        <v>0</v>
      </c>
      <c r="AA344">
        <f ca="1">IF(Table1[[#This Row],[Status]]="Exited",Table1[[#This Row],[Recruitment Cost]]+Table1[[#This Row],[Onboarding cost]]+Table1[[#This Row],[Training Cost]],0)</f>
        <v>4758</v>
      </c>
    </row>
    <row r="345" spans="1:27">
      <c r="A345" t="str">
        <f t="shared" si="47"/>
        <v>E344</v>
      </c>
      <c r="B345" t="str" cm="1">
        <f t="array" aca="1" ref="B345" ca="1">INDEX(sheet2!$A$2:$A$6, RANDBETWEEN(1, 5))</f>
        <v>Finance</v>
      </c>
      <c r="C345" t="str">
        <f ca="1">_xlfn.XLOOKUP(Table1[[#This Row],[Department]],sheet2!$A$2:$A$6,sheet2!$B$2:$B$6,_xleta.NA,0)</f>
        <v>Finance Manager</v>
      </c>
      <c r="D345" s="1">
        <f t="shared" ca="1" si="44"/>
        <v>43813</v>
      </c>
      <c r="E345" s="1">
        <f ca="1">Table1[[#This Row],[Job Posting Date]]+ RANDBETWEEN(15, 90)</f>
        <v>43870</v>
      </c>
      <c r="F345" s="1">
        <f ca="1">Table1[[#This Row],[Hire Date]]+ RANDBETWEEN(1, 15)</f>
        <v>43883</v>
      </c>
      <c r="G345" s="1">
        <f ca="1">IF(RAND() &lt; 0.5,  Table1[[#This Row],[Join Date]]+ RANDBETWEEN(30, TODAY()- Table1[[#This Row],[Join Date]]), "-")</f>
        <v>44603</v>
      </c>
      <c r="H345" t="str">
        <f ca="1">IF(Table1[[#This Row],[Exit Date]]= "-", "Active", "Exited")</f>
        <v>Exited</v>
      </c>
      <c r="I345" s="5">
        <f t="shared" ca="1" si="45"/>
        <v>3070</v>
      </c>
      <c r="J345" t="str" cm="1">
        <f t="array" aca="1" ref="J345" ca="1">INDEX(sheet2!$C$2:$C$6, RANDBETWEEN(1, 5))</f>
        <v>Ethics and Responsibilities</v>
      </c>
      <c r="K345" t="str">
        <f t="shared" ca="1" si="46"/>
        <v>Not Completed</v>
      </c>
      <c r="L345">
        <v>260</v>
      </c>
      <c r="M345">
        <f t="shared" ca="1" si="48"/>
        <v>1</v>
      </c>
      <c r="N345" t="str">
        <f t="shared" ca="1" si="49"/>
        <v>Male</v>
      </c>
      <c r="O345" s="6">
        <f t="shared" ca="1" si="50"/>
        <v>2497</v>
      </c>
      <c r="P345">
        <f ca="1">Table1[[#This Row],[Hire Date]]-Table1[[#This Row],[Job Posting Date]]</f>
        <v>57</v>
      </c>
      <c r="Q345" s="7">
        <f ca="1">Table1[[#This Row],[Join Date]]-Table1[[#This Row],[Hire Date]]</f>
        <v>13</v>
      </c>
      <c r="R345" s="8">
        <f ca="1">(IF(Table1[[#This Row],[Status]]="Exited",Table1[[#This Row],[Exit Date]]-Table1[[#This Row],[Join Date]],TODAY()-Table1[[#This Row],[Join Date]]))/30</f>
        <v>24</v>
      </c>
      <c r="S345">
        <f ca="1">Table1[[#This Row],[Hire Date]]-Table1[[#This Row],[Job Posting Date]]</f>
        <v>57</v>
      </c>
      <c r="T345" s="7">
        <f ca="1">Table1[[#This Row],[Time to onboard]]/Table1[[#This Row],[Time to Fill]]*100</f>
        <v>22.807017543859647</v>
      </c>
      <c r="U345" s="8">
        <f ca="1">Table1[[#This Row],[Time to onboard]]/Table1[[#This Row],[Time to Fill]]*100</f>
        <v>22.807017543859647</v>
      </c>
      <c r="V345">
        <f ca="1">Table1[[#This Row],[Join Date]]-Table1[[#This Row],[Job Posting Date]]</f>
        <v>70</v>
      </c>
      <c r="W345">
        <f t="shared" ca="1" si="51"/>
        <v>174</v>
      </c>
      <c r="X345" s="8">
        <f ca="1">Table1[[#This Row],[Absentee Days]]/Table1[[#This Row],[Total Work Days]]*100</f>
        <v>0.38461538461538464</v>
      </c>
      <c r="Y345">
        <f ca="1">YEAR(Table1[[#This Row],[Join Date]])</f>
        <v>2020</v>
      </c>
      <c r="Z345">
        <f ca="1">IF(Table1[[#This Row],[Status]]="Active",1,0)</f>
        <v>0</v>
      </c>
      <c r="AA345">
        <f ca="1">IF(Table1[[#This Row],[Status]]="Exited",Table1[[#This Row],[Recruitment Cost]]+Table1[[#This Row],[Onboarding cost]]+Table1[[#This Row],[Training Cost]],0)</f>
        <v>5741</v>
      </c>
    </row>
    <row r="346" spans="1:27">
      <c r="A346" t="str">
        <f t="shared" si="47"/>
        <v>E345</v>
      </c>
      <c r="B346" t="str" cm="1">
        <f t="array" aca="1" ref="B346" ca="1">INDEX(sheet2!$A$2:$A$6, RANDBETWEEN(1, 5))</f>
        <v>Analytics</v>
      </c>
      <c r="C346" t="str">
        <f ca="1">_xlfn.XLOOKUP(Table1[[#This Row],[Department]],sheet2!$A$2:$A$6,sheet2!$B$2:$B$6,_xleta.NA,0)</f>
        <v>Data Analyst</v>
      </c>
      <c r="D346" s="1">
        <f t="shared" ca="1" si="44"/>
        <v>44467</v>
      </c>
      <c r="E346" s="1">
        <f ca="1">Table1[[#This Row],[Job Posting Date]]+ RANDBETWEEN(15, 90)</f>
        <v>44482</v>
      </c>
      <c r="F346" s="1">
        <f ca="1">Table1[[#This Row],[Hire Date]]+ RANDBETWEEN(1, 15)</f>
        <v>44497</v>
      </c>
      <c r="G346" s="1" t="str">
        <f ca="1">IF(RAND() &lt; 0.5,  Table1[[#This Row],[Join Date]]+ RANDBETWEEN(30, TODAY()- Table1[[#This Row],[Join Date]]), "-")</f>
        <v>-</v>
      </c>
      <c r="H346" t="str">
        <f ca="1">IF(Table1[[#This Row],[Exit Date]]= "-", "Active", "Exited")</f>
        <v>Active</v>
      </c>
      <c r="I346" s="5">
        <f t="shared" ca="1" si="45"/>
        <v>4069</v>
      </c>
      <c r="J346" t="str" cm="1">
        <f t="array" aca="1" ref="J346" ca="1">INDEX(sheet2!$C$2:$C$6, RANDBETWEEN(1, 5))</f>
        <v>Communication Skills</v>
      </c>
      <c r="K346" t="str">
        <f t="shared" ca="1" si="46"/>
        <v>Completed</v>
      </c>
      <c r="L346">
        <v>260</v>
      </c>
      <c r="M346">
        <f t="shared" ca="1" si="48"/>
        <v>1</v>
      </c>
      <c r="N346" t="str">
        <f t="shared" ca="1" si="49"/>
        <v>Female</v>
      </c>
      <c r="O346" s="6">
        <f t="shared" ca="1" si="50"/>
        <v>1493</v>
      </c>
      <c r="P346">
        <f ca="1">Table1[[#This Row],[Hire Date]]-Table1[[#This Row],[Job Posting Date]]</f>
        <v>15</v>
      </c>
      <c r="Q346" s="7">
        <f ca="1">Table1[[#This Row],[Join Date]]-Table1[[#This Row],[Hire Date]]</f>
        <v>15</v>
      </c>
      <c r="R346" s="8">
        <f ca="1">(IF(Table1[[#This Row],[Status]]="Exited",Table1[[#This Row],[Exit Date]]-Table1[[#This Row],[Join Date]],TODAY()-Table1[[#This Row],[Join Date]]))/30</f>
        <v>38.866666666666667</v>
      </c>
      <c r="S346">
        <f ca="1">Table1[[#This Row],[Hire Date]]-Table1[[#This Row],[Job Posting Date]]</f>
        <v>15</v>
      </c>
      <c r="T346" s="7">
        <f ca="1">Table1[[#This Row],[Time to onboard]]/Table1[[#This Row],[Time to Fill]]*100</f>
        <v>100</v>
      </c>
      <c r="U346" s="8">
        <f ca="1">Table1[[#This Row],[Time to onboard]]/Table1[[#This Row],[Time to Fill]]*100</f>
        <v>100</v>
      </c>
      <c r="V346">
        <f ca="1">Table1[[#This Row],[Join Date]]-Table1[[#This Row],[Job Posting Date]]</f>
        <v>30</v>
      </c>
      <c r="W346">
        <f t="shared" ca="1" si="51"/>
        <v>105</v>
      </c>
      <c r="X346" s="8">
        <f ca="1">Table1[[#This Row],[Absentee Days]]/Table1[[#This Row],[Total Work Days]]*100</f>
        <v>0.38461538461538464</v>
      </c>
      <c r="Y346">
        <f ca="1">YEAR(Table1[[#This Row],[Join Date]])</f>
        <v>2021</v>
      </c>
      <c r="Z346">
        <f ca="1">IF(Table1[[#This Row],[Status]]="Active",1,0)</f>
        <v>1</v>
      </c>
      <c r="AA346">
        <f ca="1">IF(Table1[[#This Row],[Status]]="Exited",Table1[[#This Row],[Recruitment Cost]]+Table1[[#This Row],[Onboarding cost]]+Table1[[#This Row],[Training Cost]],0)</f>
        <v>0</v>
      </c>
    </row>
    <row r="347" spans="1:27">
      <c r="A347" t="str">
        <f t="shared" si="47"/>
        <v>E346</v>
      </c>
      <c r="B347" t="str" cm="1">
        <f t="array" aca="1" ref="B347" ca="1">INDEX(sheet2!$A$2:$A$6, RANDBETWEEN(1, 5))</f>
        <v>Sales</v>
      </c>
      <c r="C347" t="str">
        <f ca="1">_xlfn.XLOOKUP(Table1[[#This Row],[Department]],sheet2!$A$2:$A$6,sheet2!$B$2:$B$6,_xleta.NA,0)</f>
        <v>Marketing Manager</v>
      </c>
      <c r="D347" s="1">
        <f t="shared" ca="1" si="44"/>
        <v>43346</v>
      </c>
      <c r="E347" s="1">
        <f ca="1">Table1[[#This Row],[Job Posting Date]]+ RANDBETWEEN(15, 90)</f>
        <v>43396</v>
      </c>
      <c r="F347" s="1">
        <f ca="1">Table1[[#This Row],[Hire Date]]+ RANDBETWEEN(1, 15)</f>
        <v>43401</v>
      </c>
      <c r="G347" s="1">
        <f ca="1">IF(RAND() &lt; 0.5,  Table1[[#This Row],[Join Date]]+ RANDBETWEEN(30, TODAY()- Table1[[#This Row],[Join Date]]), "-")</f>
        <v>44034</v>
      </c>
      <c r="H347" t="str">
        <f ca="1">IF(Table1[[#This Row],[Exit Date]]= "-", "Active", "Exited")</f>
        <v>Exited</v>
      </c>
      <c r="I347" s="5">
        <f t="shared" ca="1" si="45"/>
        <v>1625</v>
      </c>
      <c r="J347" t="str" cm="1">
        <f t="array" aca="1" ref="J347" ca="1">INDEX(sheet2!$C$2:$C$6, RANDBETWEEN(1, 5))</f>
        <v>Conflict Resolution</v>
      </c>
      <c r="K347" t="str">
        <f t="shared" ca="1" si="46"/>
        <v>Not Completed</v>
      </c>
      <c r="L347">
        <v>260</v>
      </c>
      <c r="M347">
        <f t="shared" ca="1" si="48"/>
        <v>11</v>
      </c>
      <c r="N347" t="str">
        <f t="shared" ca="1" si="49"/>
        <v>Male</v>
      </c>
      <c r="O347" s="6">
        <f t="shared" ca="1" si="50"/>
        <v>1641</v>
      </c>
      <c r="P347">
        <f ca="1">Table1[[#This Row],[Hire Date]]-Table1[[#This Row],[Job Posting Date]]</f>
        <v>50</v>
      </c>
      <c r="Q347" s="7">
        <f ca="1">Table1[[#This Row],[Join Date]]-Table1[[#This Row],[Hire Date]]</f>
        <v>5</v>
      </c>
      <c r="R347" s="8">
        <f ca="1">(IF(Table1[[#This Row],[Status]]="Exited",Table1[[#This Row],[Exit Date]]-Table1[[#This Row],[Join Date]],TODAY()-Table1[[#This Row],[Join Date]]))/30</f>
        <v>21.1</v>
      </c>
      <c r="S347">
        <f ca="1">Table1[[#This Row],[Hire Date]]-Table1[[#This Row],[Job Posting Date]]</f>
        <v>50</v>
      </c>
      <c r="T347" s="7">
        <f ca="1">Table1[[#This Row],[Time to onboard]]/Table1[[#This Row],[Time to Fill]]*100</f>
        <v>10</v>
      </c>
      <c r="U347" s="8">
        <f ca="1">Table1[[#This Row],[Time to onboard]]/Table1[[#This Row],[Time to Fill]]*100</f>
        <v>10</v>
      </c>
      <c r="V347">
        <f ca="1">Table1[[#This Row],[Join Date]]-Table1[[#This Row],[Job Posting Date]]</f>
        <v>55</v>
      </c>
      <c r="W347">
        <f t="shared" ca="1" si="51"/>
        <v>100</v>
      </c>
      <c r="X347" s="8">
        <f ca="1">Table1[[#This Row],[Absentee Days]]/Table1[[#This Row],[Total Work Days]]*100</f>
        <v>4.2307692307692308</v>
      </c>
      <c r="Y347">
        <f ca="1">YEAR(Table1[[#This Row],[Join Date]])</f>
        <v>2018</v>
      </c>
      <c r="Z347">
        <f ca="1">IF(Table1[[#This Row],[Status]]="Active",1,0)</f>
        <v>0</v>
      </c>
      <c r="AA347">
        <f ca="1">IF(Table1[[#This Row],[Status]]="Exited",Table1[[#This Row],[Recruitment Cost]]+Table1[[#This Row],[Onboarding cost]]+Table1[[#This Row],[Training Cost]],0)</f>
        <v>3366</v>
      </c>
    </row>
    <row r="348" spans="1:27">
      <c r="A348" t="str">
        <f t="shared" si="47"/>
        <v>E347</v>
      </c>
      <c r="B348" t="str" cm="1">
        <f t="array" aca="1" ref="B348" ca="1">INDEX(sheet2!$A$2:$A$6, RANDBETWEEN(1, 5))</f>
        <v>IT</v>
      </c>
      <c r="C348" t="str">
        <f ca="1">_xlfn.XLOOKUP(Table1[[#This Row],[Department]],sheet2!$A$2:$A$6,sheet2!$B$2:$B$6,_xleta.NA,0)</f>
        <v>Software Engineer</v>
      </c>
      <c r="D348" s="1">
        <f t="shared" ca="1" si="44"/>
        <v>44060</v>
      </c>
      <c r="E348" s="1">
        <f ca="1">Table1[[#This Row],[Job Posting Date]]+ RANDBETWEEN(15, 90)</f>
        <v>44111</v>
      </c>
      <c r="F348" s="1">
        <f ca="1">Table1[[#This Row],[Hire Date]]+ RANDBETWEEN(1, 15)</f>
        <v>44116</v>
      </c>
      <c r="G348" s="1">
        <f ca="1">IF(RAND() &lt; 0.5,  Table1[[#This Row],[Join Date]]+ RANDBETWEEN(30, TODAY()- Table1[[#This Row],[Join Date]]), "-")</f>
        <v>44148</v>
      </c>
      <c r="H348" t="str">
        <f ca="1">IF(Table1[[#This Row],[Exit Date]]= "-", "Active", "Exited")</f>
        <v>Exited</v>
      </c>
      <c r="I348" s="5">
        <f t="shared" ca="1" si="45"/>
        <v>2556</v>
      </c>
      <c r="J348" t="str" cm="1">
        <f t="array" aca="1" ref="J348" ca="1">INDEX(sheet2!$C$2:$C$6, RANDBETWEEN(1, 5))</f>
        <v>Ethics and Responsibilities</v>
      </c>
      <c r="K348" t="str">
        <f t="shared" ca="1" si="46"/>
        <v>Not Completed</v>
      </c>
      <c r="L348">
        <v>260</v>
      </c>
      <c r="M348">
        <f t="shared" ca="1" si="48"/>
        <v>11</v>
      </c>
      <c r="N348" t="str">
        <f t="shared" ca="1" si="49"/>
        <v>Other</v>
      </c>
      <c r="O348" s="6">
        <f t="shared" ca="1" si="50"/>
        <v>1358</v>
      </c>
      <c r="P348">
        <f ca="1">Table1[[#This Row],[Hire Date]]-Table1[[#This Row],[Job Posting Date]]</f>
        <v>51</v>
      </c>
      <c r="Q348" s="7">
        <f ca="1">Table1[[#This Row],[Join Date]]-Table1[[#This Row],[Hire Date]]</f>
        <v>5</v>
      </c>
      <c r="R348" s="8">
        <f ca="1">(IF(Table1[[#This Row],[Status]]="Exited",Table1[[#This Row],[Exit Date]]-Table1[[#This Row],[Join Date]],TODAY()-Table1[[#This Row],[Join Date]]))/30</f>
        <v>1.0666666666666667</v>
      </c>
      <c r="S348">
        <f ca="1">Table1[[#This Row],[Hire Date]]-Table1[[#This Row],[Job Posting Date]]</f>
        <v>51</v>
      </c>
      <c r="T348" s="7">
        <f ca="1">Table1[[#This Row],[Time to onboard]]/Table1[[#This Row],[Time to Fill]]*100</f>
        <v>9.8039215686274517</v>
      </c>
      <c r="U348" s="8">
        <f ca="1">Table1[[#This Row],[Time to onboard]]/Table1[[#This Row],[Time to Fill]]*100</f>
        <v>9.8039215686274517</v>
      </c>
      <c r="V348">
        <f ca="1">Table1[[#This Row],[Join Date]]-Table1[[#This Row],[Job Posting Date]]</f>
        <v>56</v>
      </c>
      <c r="W348">
        <f t="shared" ca="1" si="51"/>
        <v>164</v>
      </c>
      <c r="X348" s="8">
        <f ca="1">Table1[[#This Row],[Absentee Days]]/Table1[[#This Row],[Total Work Days]]*100</f>
        <v>4.2307692307692308</v>
      </c>
      <c r="Y348">
        <f ca="1">YEAR(Table1[[#This Row],[Join Date]])</f>
        <v>2020</v>
      </c>
      <c r="Z348">
        <f ca="1">IF(Table1[[#This Row],[Status]]="Active",1,0)</f>
        <v>0</v>
      </c>
      <c r="AA348">
        <f ca="1">IF(Table1[[#This Row],[Status]]="Exited",Table1[[#This Row],[Recruitment Cost]]+Table1[[#This Row],[Onboarding cost]]+Table1[[#This Row],[Training Cost]],0)</f>
        <v>4078</v>
      </c>
    </row>
    <row r="349" spans="1:27">
      <c r="A349" t="str">
        <f t="shared" si="47"/>
        <v>E348</v>
      </c>
      <c r="B349" t="str" cm="1">
        <f t="array" aca="1" ref="B349" ca="1">INDEX(sheet2!$A$2:$A$6, RANDBETWEEN(1, 5))</f>
        <v>IT</v>
      </c>
      <c r="C349" t="str">
        <f ca="1">_xlfn.XLOOKUP(Table1[[#This Row],[Department]],sheet2!$A$2:$A$6,sheet2!$B$2:$B$6,_xleta.NA,0)</f>
        <v>Software Engineer</v>
      </c>
      <c r="D349" s="1">
        <f t="shared" ca="1" si="44"/>
        <v>44418</v>
      </c>
      <c r="E349" s="1">
        <f ca="1">Table1[[#This Row],[Job Posting Date]]+ RANDBETWEEN(15, 90)</f>
        <v>44488</v>
      </c>
      <c r="F349" s="1">
        <f ca="1">Table1[[#This Row],[Hire Date]]+ RANDBETWEEN(1, 15)</f>
        <v>44499</v>
      </c>
      <c r="G349" s="1">
        <f ca="1">IF(RAND() &lt; 0.5,  Table1[[#This Row],[Join Date]]+ RANDBETWEEN(30, TODAY()- Table1[[#This Row],[Join Date]]), "-")</f>
        <v>44796</v>
      </c>
      <c r="H349" t="str">
        <f ca="1">IF(Table1[[#This Row],[Exit Date]]= "-", "Active", "Exited")</f>
        <v>Exited</v>
      </c>
      <c r="I349" s="5">
        <f t="shared" ca="1" si="45"/>
        <v>4985</v>
      </c>
      <c r="J349" t="str" cm="1">
        <f t="array" aca="1" ref="J349" ca="1">INDEX(sheet2!$C$2:$C$6, RANDBETWEEN(1, 5))</f>
        <v>Ethics and Responsibilities</v>
      </c>
      <c r="K349" t="str">
        <f t="shared" ca="1" si="46"/>
        <v>Not Completed</v>
      </c>
      <c r="L349">
        <v>260</v>
      </c>
      <c r="M349">
        <f t="shared" ca="1" si="48"/>
        <v>0</v>
      </c>
      <c r="N349" t="str">
        <f t="shared" ca="1" si="49"/>
        <v>Other</v>
      </c>
      <c r="O349" s="6">
        <f t="shared" ca="1" si="50"/>
        <v>2016</v>
      </c>
      <c r="P349">
        <f ca="1">Table1[[#This Row],[Hire Date]]-Table1[[#This Row],[Job Posting Date]]</f>
        <v>70</v>
      </c>
      <c r="Q349" s="7">
        <f ca="1">Table1[[#This Row],[Join Date]]-Table1[[#This Row],[Hire Date]]</f>
        <v>11</v>
      </c>
      <c r="R349" s="8">
        <f ca="1">(IF(Table1[[#This Row],[Status]]="Exited",Table1[[#This Row],[Exit Date]]-Table1[[#This Row],[Join Date]],TODAY()-Table1[[#This Row],[Join Date]]))/30</f>
        <v>9.9</v>
      </c>
      <c r="S349">
        <f ca="1">Table1[[#This Row],[Hire Date]]-Table1[[#This Row],[Job Posting Date]]</f>
        <v>70</v>
      </c>
      <c r="T349" s="7">
        <f ca="1">Table1[[#This Row],[Time to onboard]]/Table1[[#This Row],[Time to Fill]]*100</f>
        <v>15.714285714285714</v>
      </c>
      <c r="U349" s="8">
        <f ca="1">Table1[[#This Row],[Time to onboard]]/Table1[[#This Row],[Time to Fill]]*100</f>
        <v>15.714285714285714</v>
      </c>
      <c r="V349">
        <f ca="1">Table1[[#This Row],[Join Date]]-Table1[[#This Row],[Job Posting Date]]</f>
        <v>81</v>
      </c>
      <c r="W349">
        <f t="shared" ca="1" si="51"/>
        <v>157</v>
      </c>
      <c r="X349" s="8">
        <f ca="1">Table1[[#This Row],[Absentee Days]]/Table1[[#This Row],[Total Work Days]]*100</f>
        <v>0</v>
      </c>
      <c r="Y349">
        <f ca="1">YEAR(Table1[[#This Row],[Join Date]])</f>
        <v>2021</v>
      </c>
      <c r="Z349">
        <f ca="1">IF(Table1[[#This Row],[Status]]="Active",1,0)</f>
        <v>0</v>
      </c>
      <c r="AA349">
        <f ca="1">IF(Table1[[#This Row],[Status]]="Exited",Table1[[#This Row],[Recruitment Cost]]+Table1[[#This Row],[Onboarding cost]]+Table1[[#This Row],[Training Cost]],0)</f>
        <v>7158</v>
      </c>
    </row>
    <row r="350" spans="1:27">
      <c r="A350" t="str">
        <f t="shared" si="47"/>
        <v>E349</v>
      </c>
      <c r="B350" t="str" cm="1">
        <f t="array" aca="1" ref="B350" ca="1">INDEX(sheet2!$A$2:$A$6, RANDBETWEEN(1, 5))</f>
        <v>Sales</v>
      </c>
      <c r="C350" t="str">
        <f ca="1">_xlfn.XLOOKUP(Table1[[#This Row],[Department]],sheet2!$A$2:$A$6,sheet2!$B$2:$B$6,_xleta.NA,0)</f>
        <v>Marketing Manager</v>
      </c>
      <c r="D350" s="1">
        <f t="shared" ca="1" si="44"/>
        <v>44287</v>
      </c>
      <c r="E350" s="1">
        <f ca="1">Table1[[#This Row],[Job Posting Date]]+ RANDBETWEEN(15, 90)</f>
        <v>44320</v>
      </c>
      <c r="F350" s="1">
        <f ca="1">Table1[[#This Row],[Hire Date]]+ RANDBETWEEN(1, 15)</f>
        <v>44323</v>
      </c>
      <c r="G350" s="1" t="str">
        <f ca="1">IF(RAND() &lt; 0.5,  Table1[[#This Row],[Join Date]]+ RANDBETWEEN(30, TODAY()- Table1[[#This Row],[Join Date]]), "-")</f>
        <v>-</v>
      </c>
      <c r="H350" t="str">
        <f ca="1">IF(Table1[[#This Row],[Exit Date]]= "-", "Active", "Exited")</f>
        <v>Active</v>
      </c>
      <c r="I350" s="5">
        <f t="shared" ca="1" si="45"/>
        <v>2553</v>
      </c>
      <c r="J350" t="str" cm="1">
        <f t="array" aca="1" ref="J350" ca="1">INDEX(sheet2!$C$2:$C$6, RANDBETWEEN(1, 5))</f>
        <v>Conflict Resolution</v>
      </c>
      <c r="K350" t="str">
        <f t="shared" ca="1" si="46"/>
        <v>Not Completed</v>
      </c>
      <c r="L350">
        <v>260</v>
      </c>
      <c r="M350">
        <f t="shared" ca="1" si="48"/>
        <v>5</v>
      </c>
      <c r="N350" t="str">
        <f t="shared" ca="1" si="49"/>
        <v>Other</v>
      </c>
      <c r="O350" s="6">
        <f t="shared" ca="1" si="50"/>
        <v>1998</v>
      </c>
      <c r="P350">
        <f ca="1">Table1[[#This Row],[Hire Date]]-Table1[[#This Row],[Job Posting Date]]</f>
        <v>33</v>
      </c>
      <c r="Q350" s="7">
        <f ca="1">Table1[[#This Row],[Join Date]]-Table1[[#This Row],[Hire Date]]</f>
        <v>3</v>
      </c>
      <c r="R350" s="8">
        <f ca="1">(IF(Table1[[#This Row],[Status]]="Exited",Table1[[#This Row],[Exit Date]]-Table1[[#This Row],[Join Date]],TODAY()-Table1[[#This Row],[Join Date]]))/30</f>
        <v>44.666666666666664</v>
      </c>
      <c r="S350">
        <f ca="1">Table1[[#This Row],[Hire Date]]-Table1[[#This Row],[Job Posting Date]]</f>
        <v>33</v>
      </c>
      <c r="T350" s="7">
        <f ca="1">Table1[[#This Row],[Time to onboard]]/Table1[[#This Row],[Time to Fill]]*100</f>
        <v>9.0909090909090917</v>
      </c>
      <c r="U350" s="8">
        <f ca="1">Table1[[#This Row],[Time to onboard]]/Table1[[#This Row],[Time to Fill]]*100</f>
        <v>9.0909090909090917</v>
      </c>
      <c r="V350">
        <f ca="1">Table1[[#This Row],[Join Date]]-Table1[[#This Row],[Job Posting Date]]</f>
        <v>36</v>
      </c>
      <c r="W350">
        <f t="shared" ca="1" si="51"/>
        <v>134</v>
      </c>
      <c r="X350" s="8">
        <f ca="1">Table1[[#This Row],[Absentee Days]]/Table1[[#This Row],[Total Work Days]]*100</f>
        <v>1.9230769230769231</v>
      </c>
      <c r="Y350">
        <f ca="1">YEAR(Table1[[#This Row],[Join Date]])</f>
        <v>2021</v>
      </c>
      <c r="Z350">
        <f ca="1">IF(Table1[[#This Row],[Status]]="Active",1,0)</f>
        <v>1</v>
      </c>
      <c r="AA350">
        <f ca="1">IF(Table1[[#This Row],[Status]]="Exited",Table1[[#This Row],[Recruitment Cost]]+Table1[[#This Row],[Onboarding cost]]+Table1[[#This Row],[Training Cost]],0)</f>
        <v>0</v>
      </c>
    </row>
    <row r="351" spans="1:27">
      <c r="A351" t="str">
        <f t="shared" si="47"/>
        <v>E350</v>
      </c>
      <c r="B351" t="str" cm="1">
        <f t="array" aca="1" ref="B351" ca="1">INDEX(sheet2!$A$2:$A$6, RANDBETWEEN(1, 5))</f>
        <v>Sales</v>
      </c>
      <c r="C351" t="str">
        <f ca="1">_xlfn.XLOOKUP(Table1[[#This Row],[Department]],sheet2!$A$2:$A$6,sheet2!$B$2:$B$6,_xleta.NA,0)</f>
        <v>Marketing Manager</v>
      </c>
      <c r="D351" s="1">
        <f t="shared" ca="1" si="44"/>
        <v>44548</v>
      </c>
      <c r="E351" s="1">
        <f ca="1">Table1[[#This Row],[Job Posting Date]]+ RANDBETWEEN(15, 90)</f>
        <v>44592</v>
      </c>
      <c r="F351" s="1">
        <f ca="1">Table1[[#This Row],[Hire Date]]+ RANDBETWEEN(1, 15)</f>
        <v>44601</v>
      </c>
      <c r="G351" s="1">
        <f ca="1">IF(RAND() &lt; 0.5,  Table1[[#This Row],[Join Date]]+ RANDBETWEEN(30, TODAY()- Table1[[#This Row],[Join Date]]), "-")</f>
        <v>45278</v>
      </c>
      <c r="H351" t="str">
        <f ca="1">IF(Table1[[#This Row],[Exit Date]]= "-", "Active", "Exited")</f>
        <v>Exited</v>
      </c>
      <c r="I351" s="5">
        <f t="shared" ca="1" si="45"/>
        <v>3365</v>
      </c>
      <c r="J351" t="str" cm="1">
        <f t="array" aca="1" ref="J351" ca="1">INDEX(sheet2!$C$2:$C$6, RANDBETWEEN(1, 5))</f>
        <v>Conflict Resolution</v>
      </c>
      <c r="K351" t="str">
        <f t="shared" ca="1" si="46"/>
        <v>Completed</v>
      </c>
      <c r="L351">
        <v>260</v>
      </c>
      <c r="M351">
        <f t="shared" ca="1" si="48"/>
        <v>7</v>
      </c>
      <c r="N351" t="str">
        <f t="shared" ca="1" si="49"/>
        <v>Other</v>
      </c>
      <c r="O351" s="6">
        <f t="shared" ca="1" si="50"/>
        <v>1406</v>
      </c>
      <c r="P351">
        <f ca="1">Table1[[#This Row],[Hire Date]]-Table1[[#This Row],[Job Posting Date]]</f>
        <v>44</v>
      </c>
      <c r="Q351" s="7">
        <f ca="1">Table1[[#This Row],[Join Date]]-Table1[[#This Row],[Hire Date]]</f>
        <v>9</v>
      </c>
      <c r="R351" s="8">
        <f ca="1">(IF(Table1[[#This Row],[Status]]="Exited",Table1[[#This Row],[Exit Date]]-Table1[[#This Row],[Join Date]],TODAY()-Table1[[#This Row],[Join Date]]))/30</f>
        <v>22.566666666666666</v>
      </c>
      <c r="S351">
        <f ca="1">Table1[[#This Row],[Hire Date]]-Table1[[#This Row],[Job Posting Date]]</f>
        <v>44</v>
      </c>
      <c r="T351" s="7">
        <f ca="1">Table1[[#This Row],[Time to onboard]]/Table1[[#This Row],[Time to Fill]]*100</f>
        <v>20.454545454545457</v>
      </c>
      <c r="U351" s="8">
        <f ca="1">Table1[[#This Row],[Time to onboard]]/Table1[[#This Row],[Time to Fill]]*100</f>
        <v>20.454545454545457</v>
      </c>
      <c r="V351">
        <f ca="1">Table1[[#This Row],[Join Date]]-Table1[[#This Row],[Job Posting Date]]</f>
        <v>53</v>
      </c>
      <c r="W351">
        <f t="shared" ca="1" si="51"/>
        <v>165</v>
      </c>
      <c r="X351" s="8">
        <f ca="1">Table1[[#This Row],[Absentee Days]]/Table1[[#This Row],[Total Work Days]]*100</f>
        <v>2.6923076923076925</v>
      </c>
      <c r="Y351">
        <f ca="1">YEAR(Table1[[#This Row],[Join Date]])</f>
        <v>2022</v>
      </c>
      <c r="Z351">
        <f ca="1">IF(Table1[[#This Row],[Status]]="Active",1,0)</f>
        <v>0</v>
      </c>
      <c r="AA351">
        <f ca="1">IF(Table1[[#This Row],[Status]]="Exited",Table1[[#This Row],[Recruitment Cost]]+Table1[[#This Row],[Onboarding cost]]+Table1[[#This Row],[Training Cost]],0)</f>
        <v>4936</v>
      </c>
    </row>
    <row r="352" spans="1:27">
      <c r="A352" t="str">
        <f t="shared" si="47"/>
        <v>E351</v>
      </c>
      <c r="B352" t="str" cm="1">
        <f t="array" aca="1" ref="B352" ca="1">INDEX(sheet2!$A$2:$A$6, RANDBETWEEN(1, 5))</f>
        <v>Sales</v>
      </c>
      <c r="C352" t="str">
        <f ca="1">_xlfn.XLOOKUP(Table1[[#This Row],[Department]],sheet2!$A$2:$A$6,sheet2!$B$2:$B$6,_xleta.NA,0)</f>
        <v>Marketing Manager</v>
      </c>
      <c r="D352" s="1">
        <f t="shared" ca="1" si="44"/>
        <v>43622</v>
      </c>
      <c r="E352" s="1">
        <f ca="1">Table1[[#This Row],[Job Posting Date]]+ RANDBETWEEN(15, 90)</f>
        <v>43678</v>
      </c>
      <c r="F352" s="1">
        <f ca="1">Table1[[#This Row],[Hire Date]]+ RANDBETWEEN(1, 15)</f>
        <v>43693</v>
      </c>
      <c r="G352" s="1" t="str">
        <f ca="1">IF(RAND() &lt; 0.5,  Table1[[#This Row],[Join Date]]+ RANDBETWEEN(30, TODAY()- Table1[[#This Row],[Join Date]]), "-")</f>
        <v>-</v>
      </c>
      <c r="H352" t="str">
        <f ca="1">IF(Table1[[#This Row],[Exit Date]]= "-", "Active", "Exited")</f>
        <v>Active</v>
      </c>
      <c r="I352" s="5">
        <f t="shared" ca="1" si="45"/>
        <v>3291</v>
      </c>
      <c r="J352" t="str" cm="1">
        <f t="array" aca="1" ref="J352" ca="1">INDEX(sheet2!$C$2:$C$6, RANDBETWEEN(1, 5))</f>
        <v>Leadership Development</v>
      </c>
      <c r="K352" t="str">
        <f t="shared" ca="1" si="46"/>
        <v>Completed</v>
      </c>
      <c r="L352">
        <v>260</v>
      </c>
      <c r="M352">
        <f t="shared" ca="1" si="48"/>
        <v>15</v>
      </c>
      <c r="N352" t="str">
        <f t="shared" ca="1" si="49"/>
        <v>Male</v>
      </c>
      <c r="O352" s="6">
        <f t="shared" ca="1" si="50"/>
        <v>2311</v>
      </c>
      <c r="P352">
        <f ca="1">Table1[[#This Row],[Hire Date]]-Table1[[#This Row],[Job Posting Date]]</f>
        <v>56</v>
      </c>
      <c r="Q352" s="7">
        <f ca="1">Table1[[#This Row],[Join Date]]-Table1[[#This Row],[Hire Date]]</f>
        <v>15</v>
      </c>
      <c r="R352" s="8">
        <f ca="1">(IF(Table1[[#This Row],[Status]]="Exited",Table1[[#This Row],[Exit Date]]-Table1[[#This Row],[Join Date]],TODAY()-Table1[[#This Row],[Join Date]]))/30</f>
        <v>65.666666666666671</v>
      </c>
      <c r="S352">
        <f ca="1">Table1[[#This Row],[Hire Date]]-Table1[[#This Row],[Job Posting Date]]</f>
        <v>56</v>
      </c>
      <c r="T352" s="7">
        <f ca="1">Table1[[#This Row],[Time to onboard]]/Table1[[#This Row],[Time to Fill]]*100</f>
        <v>26.785714285714285</v>
      </c>
      <c r="U352" s="8">
        <f ca="1">Table1[[#This Row],[Time to onboard]]/Table1[[#This Row],[Time to Fill]]*100</f>
        <v>26.785714285714285</v>
      </c>
      <c r="V352">
        <f ca="1">Table1[[#This Row],[Join Date]]-Table1[[#This Row],[Job Posting Date]]</f>
        <v>71</v>
      </c>
      <c r="W352">
        <f t="shared" ca="1" si="51"/>
        <v>189</v>
      </c>
      <c r="X352" s="8">
        <f ca="1">Table1[[#This Row],[Absentee Days]]/Table1[[#This Row],[Total Work Days]]*100</f>
        <v>5.7692307692307692</v>
      </c>
      <c r="Y352">
        <f ca="1">YEAR(Table1[[#This Row],[Join Date]])</f>
        <v>2019</v>
      </c>
      <c r="Z352">
        <f ca="1">IF(Table1[[#This Row],[Status]]="Active",1,0)</f>
        <v>1</v>
      </c>
      <c r="AA352">
        <f ca="1">IF(Table1[[#This Row],[Status]]="Exited",Table1[[#This Row],[Recruitment Cost]]+Table1[[#This Row],[Onboarding cost]]+Table1[[#This Row],[Training Cost]],0)</f>
        <v>0</v>
      </c>
    </row>
    <row r="353" spans="1:27">
      <c r="A353" t="str">
        <f t="shared" si="47"/>
        <v>E352</v>
      </c>
      <c r="B353" t="str" cm="1">
        <f t="array" aca="1" ref="B353" ca="1">INDEX(sheet2!$A$2:$A$6, RANDBETWEEN(1, 5))</f>
        <v>Sales</v>
      </c>
      <c r="C353" t="str">
        <f ca="1">_xlfn.XLOOKUP(Table1[[#This Row],[Department]],sheet2!$A$2:$A$6,sheet2!$B$2:$B$6,_xleta.NA,0)</f>
        <v>Marketing Manager</v>
      </c>
      <c r="D353" s="1">
        <f t="shared" ca="1" si="44"/>
        <v>43778</v>
      </c>
      <c r="E353" s="1">
        <f ca="1">Table1[[#This Row],[Job Posting Date]]+ RANDBETWEEN(15, 90)</f>
        <v>43810</v>
      </c>
      <c r="F353" s="1">
        <f ca="1">Table1[[#This Row],[Hire Date]]+ RANDBETWEEN(1, 15)</f>
        <v>43818</v>
      </c>
      <c r="G353" s="1">
        <f ca="1">IF(RAND() &lt; 0.5,  Table1[[#This Row],[Join Date]]+ RANDBETWEEN(30, TODAY()- Table1[[#This Row],[Join Date]]), "-")</f>
        <v>44182</v>
      </c>
      <c r="H353" t="str">
        <f ca="1">IF(Table1[[#This Row],[Exit Date]]= "-", "Active", "Exited")</f>
        <v>Exited</v>
      </c>
      <c r="I353" s="5">
        <f t="shared" ca="1" si="45"/>
        <v>3740</v>
      </c>
      <c r="J353" t="str" cm="1">
        <f t="array" aca="1" ref="J353" ca="1">INDEX(sheet2!$C$2:$C$6, RANDBETWEEN(1, 5))</f>
        <v>Leadership Development</v>
      </c>
      <c r="K353" t="str">
        <f t="shared" ca="1" si="46"/>
        <v>Completed</v>
      </c>
      <c r="L353">
        <v>260</v>
      </c>
      <c r="M353">
        <f t="shared" ca="1" si="48"/>
        <v>14</v>
      </c>
      <c r="N353" t="str">
        <f t="shared" ca="1" si="49"/>
        <v>Female</v>
      </c>
      <c r="O353" s="6">
        <f t="shared" ca="1" si="50"/>
        <v>1934</v>
      </c>
      <c r="P353">
        <f ca="1">Table1[[#This Row],[Hire Date]]-Table1[[#This Row],[Job Posting Date]]</f>
        <v>32</v>
      </c>
      <c r="Q353" s="7">
        <f ca="1">Table1[[#This Row],[Join Date]]-Table1[[#This Row],[Hire Date]]</f>
        <v>8</v>
      </c>
      <c r="R353" s="8">
        <f ca="1">(IF(Table1[[#This Row],[Status]]="Exited",Table1[[#This Row],[Exit Date]]-Table1[[#This Row],[Join Date]],TODAY()-Table1[[#This Row],[Join Date]]))/30</f>
        <v>12.133333333333333</v>
      </c>
      <c r="S353">
        <f ca="1">Table1[[#This Row],[Hire Date]]-Table1[[#This Row],[Job Posting Date]]</f>
        <v>32</v>
      </c>
      <c r="T353" s="7">
        <f ca="1">Table1[[#This Row],[Time to onboard]]/Table1[[#This Row],[Time to Fill]]*100</f>
        <v>25</v>
      </c>
      <c r="U353" s="8">
        <f ca="1">Table1[[#This Row],[Time to onboard]]/Table1[[#This Row],[Time to Fill]]*100</f>
        <v>25</v>
      </c>
      <c r="V353">
        <f ca="1">Table1[[#This Row],[Join Date]]-Table1[[#This Row],[Job Posting Date]]</f>
        <v>40</v>
      </c>
      <c r="W353">
        <f t="shared" ca="1" si="51"/>
        <v>171</v>
      </c>
      <c r="X353" s="8">
        <f ca="1">Table1[[#This Row],[Absentee Days]]/Table1[[#This Row],[Total Work Days]]*100</f>
        <v>5.384615384615385</v>
      </c>
      <c r="Y353">
        <f ca="1">YEAR(Table1[[#This Row],[Join Date]])</f>
        <v>2019</v>
      </c>
      <c r="Z353">
        <f ca="1">IF(Table1[[#This Row],[Status]]="Active",1,0)</f>
        <v>0</v>
      </c>
      <c r="AA353">
        <f ca="1">IF(Table1[[#This Row],[Status]]="Exited",Table1[[#This Row],[Recruitment Cost]]+Table1[[#This Row],[Onboarding cost]]+Table1[[#This Row],[Training Cost]],0)</f>
        <v>5845</v>
      </c>
    </row>
    <row r="354" spans="1:27">
      <c r="A354" t="str">
        <f t="shared" si="47"/>
        <v>E353</v>
      </c>
      <c r="B354" t="str" cm="1">
        <f t="array" aca="1" ref="B354" ca="1">INDEX(sheet2!$A$2:$A$6, RANDBETWEEN(1, 5))</f>
        <v>Sales</v>
      </c>
      <c r="C354" t="str">
        <f ca="1">_xlfn.XLOOKUP(Table1[[#This Row],[Department]],sheet2!$A$2:$A$6,sheet2!$B$2:$B$6,_xleta.NA,0)</f>
        <v>Marketing Manager</v>
      </c>
      <c r="D354" s="1">
        <f t="shared" ca="1" si="44"/>
        <v>43314</v>
      </c>
      <c r="E354" s="1">
        <f ca="1">Table1[[#This Row],[Job Posting Date]]+ RANDBETWEEN(15, 90)</f>
        <v>43374</v>
      </c>
      <c r="F354" s="1">
        <f ca="1">Table1[[#This Row],[Hire Date]]+ RANDBETWEEN(1, 15)</f>
        <v>43380</v>
      </c>
      <c r="G354" s="1">
        <f ca="1">IF(RAND() &lt; 0.5,  Table1[[#This Row],[Join Date]]+ RANDBETWEEN(30, TODAY()- Table1[[#This Row],[Join Date]]), "-")</f>
        <v>44277</v>
      </c>
      <c r="H354" t="str">
        <f ca="1">IF(Table1[[#This Row],[Exit Date]]= "-", "Active", "Exited")</f>
        <v>Exited</v>
      </c>
      <c r="I354" s="5">
        <f t="shared" ca="1" si="45"/>
        <v>3772</v>
      </c>
      <c r="J354" t="str" cm="1">
        <f t="array" aca="1" ref="J354" ca="1">INDEX(sheet2!$C$2:$C$6, RANDBETWEEN(1, 5))</f>
        <v>Advanced Excel Skills </v>
      </c>
      <c r="K354" t="str">
        <f t="shared" ca="1" si="46"/>
        <v>Not Completed</v>
      </c>
      <c r="L354">
        <v>260</v>
      </c>
      <c r="M354">
        <f t="shared" ca="1" si="48"/>
        <v>4</v>
      </c>
      <c r="N354" t="str">
        <f t="shared" ca="1" si="49"/>
        <v>Female</v>
      </c>
      <c r="O354" s="6">
        <f t="shared" ca="1" si="50"/>
        <v>1434</v>
      </c>
      <c r="P354">
        <f ca="1">Table1[[#This Row],[Hire Date]]-Table1[[#This Row],[Job Posting Date]]</f>
        <v>60</v>
      </c>
      <c r="Q354" s="7">
        <f ca="1">Table1[[#This Row],[Join Date]]-Table1[[#This Row],[Hire Date]]</f>
        <v>6</v>
      </c>
      <c r="R354" s="8">
        <f ca="1">(IF(Table1[[#This Row],[Status]]="Exited",Table1[[#This Row],[Exit Date]]-Table1[[#This Row],[Join Date]],TODAY()-Table1[[#This Row],[Join Date]]))/30</f>
        <v>29.9</v>
      </c>
      <c r="S354">
        <f ca="1">Table1[[#This Row],[Hire Date]]-Table1[[#This Row],[Job Posting Date]]</f>
        <v>60</v>
      </c>
      <c r="T354" s="7">
        <f ca="1">Table1[[#This Row],[Time to onboard]]/Table1[[#This Row],[Time to Fill]]*100</f>
        <v>10</v>
      </c>
      <c r="U354" s="8">
        <f ca="1">Table1[[#This Row],[Time to onboard]]/Table1[[#This Row],[Time to Fill]]*100</f>
        <v>10</v>
      </c>
      <c r="V354">
        <f ca="1">Table1[[#This Row],[Join Date]]-Table1[[#This Row],[Job Posting Date]]</f>
        <v>66</v>
      </c>
      <c r="W354">
        <f t="shared" ca="1" si="51"/>
        <v>126</v>
      </c>
      <c r="X354" s="8">
        <f ca="1">Table1[[#This Row],[Absentee Days]]/Table1[[#This Row],[Total Work Days]]*100</f>
        <v>1.5384615384615385</v>
      </c>
      <c r="Y354">
        <f ca="1">YEAR(Table1[[#This Row],[Join Date]])</f>
        <v>2018</v>
      </c>
      <c r="Z354">
        <f ca="1">IF(Table1[[#This Row],[Status]]="Active",1,0)</f>
        <v>0</v>
      </c>
      <c r="AA354">
        <f ca="1">IF(Table1[[#This Row],[Status]]="Exited",Table1[[#This Row],[Recruitment Cost]]+Table1[[#This Row],[Onboarding cost]]+Table1[[#This Row],[Training Cost]],0)</f>
        <v>5332</v>
      </c>
    </row>
    <row r="355" spans="1:27">
      <c r="A355" t="str">
        <f t="shared" si="47"/>
        <v>E354</v>
      </c>
      <c r="B355" t="str" cm="1">
        <f t="array" aca="1" ref="B355" ca="1">INDEX(sheet2!$A$2:$A$6, RANDBETWEEN(1, 5))</f>
        <v>Finance</v>
      </c>
      <c r="C355" t="str">
        <f ca="1">_xlfn.XLOOKUP(Table1[[#This Row],[Department]],sheet2!$A$2:$A$6,sheet2!$B$2:$B$6,_xleta.NA,0)</f>
        <v>Finance Manager</v>
      </c>
      <c r="D355" s="1">
        <f t="shared" ca="1" si="44"/>
        <v>44621</v>
      </c>
      <c r="E355" s="1">
        <f ca="1">Table1[[#This Row],[Job Posting Date]]+ RANDBETWEEN(15, 90)</f>
        <v>44651</v>
      </c>
      <c r="F355" s="1">
        <f ca="1">Table1[[#This Row],[Hire Date]]+ RANDBETWEEN(1, 15)</f>
        <v>44660</v>
      </c>
      <c r="G355" s="1">
        <f ca="1">IF(RAND() &lt; 0.5,  Table1[[#This Row],[Join Date]]+ RANDBETWEEN(30, TODAY()- Table1[[#This Row],[Join Date]]), "-")</f>
        <v>45151</v>
      </c>
      <c r="H355" t="str">
        <f ca="1">IF(Table1[[#This Row],[Exit Date]]= "-", "Active", "Exited")</f>
        <v>Exited</v>
      </c>
      <c r="I355" s="5">
        <f t="shared" ca="1" si="45"/>
        <v>4365</v>
      </c>
      <c r="J355" t="str" cm="1">
        <f t="array" aca="1" ref="J355" ca="1">INDEX(sheet2!$C$2:$C$6, RANDBETWEEN(1, 5))</f>
        <v>Leadership Development</v>
      </c>
      <c r="K355" t="str">
        <f t="shared" ca="1" si="46"/>
        <v>Completed</v>
      </c>
      <c r="L355">
        <v>260</v>
      </c>
      <c r="M355">
        <f t="shared" ca="1" si="48"/>
        <v>13</v>
      </c>
      <c r="N355" t="str">
        <f t="shared" ca="1" si="49"/>
        <v>Other</v>
      </c>
      <c r="O355" s="6">
        <f t="shared" ca="1" si="50"/>
        <v>2077</v>
      </c>
      <c r="P355">
        <f ca="1">Table1[[#This Row],[Hire Date]]-Table1[[#This Row],[Job Posting Date]]</f>
        <v>30</v>
      </c>
      <c r="Q355" s="7">
        <f ca="1">Table1[[#This Row],[Join Date]]-Table1[[#This Row],[Hire Date]]</f>
        <v>9</v>
      </c>
      <c r="R355" s="8">
        <f ca="1">(IF(Table1[[#This Row],[Status]]="Exited",Table1[[#This Row],[Exit Date]]-Table1[[#This Row],[Join Date]],TODAY()-Table1[[#This Row],[Join Date]]))/30</f>
        <v>16.366666666666667</v>
      </c>
      <c r="S355">
        <f ca="1">Table1[[#This Row],[Hire Date]]-Table1[[#This Row],[Job Posting Date]]</f>
        <v>30</v>
      </c>
      <c r="T355" s="7">
        <f ca="1">Table1[[#This Row],[Time to onboard]]/Table1[[#This Row],[Time to Fill]]*100</f>
        <v>30</v>
      </c>
      <c r="U355" s="8">
        <f ca="1">Table1[[#This Row],[Time to onboard]]/Table1[[#This Row],[Time to Fill]]*100</f>
        <v>30</v>
      </c>
      <c r="V355">
        <f ca="1">Table1[[#This Row],[Join Date]]-Table1[[#This Row],[Job Posting Date]]</f>
        <v>39</v>
      </c>
      <c r="W355">
        <f t="shared" ca="1" si="51"/>
        <v>173</v>
      </c>
      <c r="X355" s="8">
        <f ca="1">Table1[[#This Row],[Absentee Days]]/Table1[[#This Row],[Total Work Days]]*100</f>
        <v>5</v>
      </c>
      <c r="Y355">
        <f ca="1">YEAR(Table1[[#This Row],[Join Date]])</f>
        <v>2022</v>
      </c>
      <c r="Z355">
        <f ca="1">IF(Table1[[#This Row],[Status]]="Active",1,0)</f>
        <v>0</v>
      </c>
      <c r="AA355">
        <f ca="1">IF(Table1[[#This Row],[Status]]="Exited",Table1[[#This Row],[Recruitment Cost]]+Table1[[#This Row],[Onboarding cost]]+Table1[[#This Row],[Training Cost]],0)</f>
        <v>6615</v>
      </c>
    </row>
    <row r="356" spans="1:27">
      <c r="A356" t="str">
        <f t="shared" si="47"/>
        <v>E355</v>
      </c>
      <c r="B356" t="str" cm="1">
        <f t="array" aca="1" ref="B356" ca="1">INDEX(sheet2!$A$2:$A$6, RANDBETWEEN(1, 5))</f>
        <v>Finance</v>
      </c>
      <c r="C356" t="str">
        <f ca="1">_xlfn.XLOOKUP(Table1[[#This Row],[Department]],sheet2!$A$2:$A$6,sheet2!$B$2:$B$6,_xleta.NA,0)</f>
        <v>Finance Manager</v>
      </c>
      <c r="D356" s="1">
        <f t="shared" ca="1" si="44"/>
        <v>44643</v>
      </c>
      <c r="E356" s="1">
        <f ca="1">Table1[[#This Row],[Job Posting Date]]+ RANDBETWEEN(15, 90)</f>
        <v>44660</v>
      </c>
      <c r="F356" s="1">
        <f ca="1">Table1[[#This Row],[Hire Date]]+ RANDBETWEEN(1, 15)</f>
        <v>44661</v>
      </c>
      <c r="G356" s="1">
        <f ca="1">IF(RAND() &lt; 0.5,  Table1[[#This Row],[Join Date]]+ RANDBETWEEN(30, TODAY()- Table1[[#This Row],[Join Date]]), "-")</f>
        <v>45051</v>
      </c>
      <c r="H356" t="str">
        <f ca="1">IF(Table1[[#This Row],[Exit Date]]= "-", "Active", "Exited")</f>
        <v>Exited</v>
      </c>
      <c r="I356" s="5">
        <f t="shared" ca="1" si="45"/>
        <v>4494</v>
      </c>
      <c r="J356" t="str" cm="1">
        <f t="array" aca="1" ref="J356" ca="1">INDEX(sheet2!$C$2:$C$6, RANDBETWEEN(1, 5))</f>
        <v>Conflict Resolution</v>
      </c>
      <c r="K356" t="str">
        <f t="shared" ca="1" si="46"/>
        <v>Completed</v>
      </c>
      <c r="L356">
        <v>260</v>
      </c>
      <c r="M356">
        <f t="shared" ca="1" si="48"/>
        <v>19</v>
      </c>
      <c r="N356" t="str">
        <f t="shared" ca="1" si="49"/>
        <v>Other</v>
      </c>
      <c r="O356" s="6">
        <f t="shared" ca="1" si="50"/>
        <v>2236</v>
      </c>
      <c r="P356">
        <f ca="1">Table1[[#This Row],[Hire Date]]-Table1[[#This Row],[Job Posting Date]]</f>
        <v>17</v>
      </c>
      <c r="Q356" s="7">
        <f ca="1">Table1[[#This Row],[Join Date]]-Table1[[#This Row],[Hire Date]]</f>
        <v>1</v>
      </c>
      <c r="R356" s="8">
        <f ca="1">(IF(Table1[[#This Row],[Status]]="Exited",Table1[[#This Row],[Exit Date]]-Table1[[#This Row],[Join Date]],TODAY()-Table1[[#This Row],[Join Date]]))/30</f>
        <v>13</v>
      </c>
      <c r="S356">
        <f ca="1">Table1[[#This Row],[Hire Date]]-Table1[[#This Row],[Job Posting Date]]</f>
        <v>17</v>
      </c>
      <c r="T356" s="7">
        <f ca="1">Table1[[#This Row],[Time to onboard]]/Table1[[#This Row],[Time to Fill]]*100</f>
        <v>5.8823529411764701</v>
      </c>
      <c r="U356" s="8">
        <f ca="1">Table1[[#This Row],[Time to onboard]]/Table1[[#This Row],[Time to Fill]]*100</f>
        <v>5.8823529411764701</v>
      </c>
      <c r="V356">
        <f ca="1">Table1[[#This Row],[Join Date]]-Table1[[#This Row],[Job Posting Date]]</f>
        <v>18</v>
      </c>
      <c r="W356">
        <f t="shared" ca="1" si="51"/>
        <v>111</v>
      </c>
      <c r="X356" s="8">
        <f ca="1">Table1[[#This Row],[Absentee Days]]/Table1[[#This Row],[Total Work Days]]*100</f>
        <v>7.3076923076923084</v>
      </c>
      <c r="Y356">
        <f ca="1">YEAR(Table1[[#This Row],[Join Date]])</f>
        <v>2022</v>
      </c>
      <c r="Z356">
        <f ca="1">IF(Table1[[#This Row],[Status]]="Active",1,0)</f>
        <v>0</v>
      </c>
      <c r="AA356">
        <f ca="1">IF(Table1[[#This Row],[Status]]="Exited",Table1[[#This Row],[Recruitment Cost]]+Table1[[#This Row],[Onboarding cost]]+Table1[[#This Row],[Training Cost]],0)</f>
        <v>6841</v>
      </c>
    </row>
    <row r="357" spans="1:27">
      <c r="A357" t="str">
        <f t="shared" si="47"/>
        <v>E356</v>
      </c>
      <c r="B357" t="str" cm="1">
        <f t="array" aca="1" ref="B357" ca="1">INDEX(sheet2!$A$2:$A$6, RANDBETWEEN(1, 5))</f>
        <v>IT</v>
      </c>
      <c r="C357" t="str">
        <f ca="1">_xlfn.XLOOKUP(Table1[[#This Row],[Department]],sheet2!$A$2:$A$6,sheet2!$B$2:$B$6,_xleta.NA,0)</f>
        <v>Software Engineer</v>
      </c>
      <c r="D357" s="1">
        <f t="shared" ca="1" si="44"/>
        <v>44765</v>
      </c>
      <c r="E357" s="1">
        <f ca="1">Table1[[#This Row],[Job Posting Date]]+ RANDBETWEEN(15, 90)</f>
        <v>44849</v>
      </c>
      <c r="F357" s="1">
        <f ca="1">Table1[[#This Row],[Hire Date]]+ RANDBETWEEN(1, 15)</f>
        <v>44857</v>
      </c>
      <c r="G357" s="1" t="str">
        <f ca="1">IF(RAND() &lt; 0.5,  Table1[[#This Row],[Join Date]]+ RANDBETWEEN(30, TODAY()- Table1[[#This Row],[Join Date]]), "-")</f>
        <v>-</v>
      </c>
      <c r="H357" t="str">
        <f ca="1">IF(Table1[[#This Row],[Exit Date]]= "-", "Active", "Exited")</f>
        <v>Active</v>
      </c>
      <c r="I357" s="5">
        <f t="shared" ca="1" si="45"/>
        <v>1614</v>
      </c>
      <c r="J357" t="str" cm="1">
        <f t="array" aca="1" ref="J357" ca="1">INDEX(sheet2!$C$2:$C$6, RANDBETWEEN(1, 5))</f>
        <v>Conflict Resolution</v>
      </c>
      <c r="K357" t="str">
        <f t="shared" ca="1" si="46"/>
        <v>Completed</v>
      </c>
      <c r="L357">
        <v>260</v>
      </c>
      <c r="M357">
        <f t="shared" ca="1" si="48"/>
        <v>10</v>
      </c>
      <c r="N357" t="str">
        <f t="shared" ca="1" si="49"/>
        <v>Female</v>
      </c>
      <c r="O357" s="6">
        <f t="shared" ca="1" si="50"/>
        <v>1239</v>
      </c>
      <c r="P357">
        <f ca="1">Table1[[#This Row],[Hire Date]]-Table1[[#This Row],[Job Posting Date]]</f>
        <v>84</v>
      </c>
      <c r="Q357" s="7">
        <f ca="1">Table1[[#This Row],[Join Date]]-Table1[[#This Row],[Hire Date]]</f>
        <v>8</v>
      </c>
      <c r="R357" s="8">
        <f ca="1">(IF(Table1[[#This Row],[Status]]="Exited",Table1[[#This Row],[Exit Date]]-Table1[[#This Row],[Join Date]],TODAY()-Table1[[#This Row],[Join Date]]))/30</f>
        <v>26.866666666666667</v>
      </c>
      <c r="S357">
        <f ca="1">Table1[[#This Row],[Hire Date]]-Table1[[#This Row],[Job Posting Date]]</f>
        <v>84</v>
      </c>
      <c r="T357" s="7">
        <f ca="1">Table1[[#This Row],[Time to onboard]]/Table1[[#This Row],[Time to Fill]]*100</f>
        <v>9.5238095238095237</v>
      </c>
      <c r="U357" s="8">
        <f ca="1">Table1[[#This Row],[Time to onboard]]/Table1[[#This Row],[Time to Fill]]*100</f>
        <v>9.5238095238095237</v>
      </c>
      <c r="V357">
        <f ca="1">Table1[[#This Row],[Join Date]]-Table1[[#This Row],[Job Posting Date]]</f>
        <v>92</v>
      </c>
      <c r="W357">
        <f t="shared" ca="1" si="51"/>
        <v>187</v>
      </c>
      <c r="X357" s="8">
        <f ca="1">Table1[[#This Row],[Absentee Days]]/Table1[[#This Row],[Total Work Days]]*100</f>
        <v>3.8461538461538463</v>
      </c>
      <c r="Y357">
        <f ca="1">YEAR(Table1[[#This Row],[Join Date]])</f>
        <v>2022</v>
      </c>
      <c r="Z357">
        <f ca="1">IF(Table1[[#This Row],[Status]]="Active",1,0)</f>
        <v>1</v>
      </c>
      <c r="AA357">
        <f ca="1">IF(Table1[[#This Row],[Status]]="Exited",Table1[[#This Row],[Recruitment Cost]]+Table1[[#This Row],[Onboarding cost]]+Table1[[#This Row],[Training Cost]],0)</f>
        <v>0</v>
      </c>
    </row>
    <row r="358" spans="1:27">
      <c r="A358" t="str">
        <f t="shared" si="47"/>
        <v>E357</v>
      </c>
      <c r="B358" t="str" cm="1">
        <f t="array" aca="1" ref="B358" ca="1">INDEX(sheet2!$A$2:$A$6, RANDBETWEEN(1, 5))</f>
        <v>Sales</v>
      </c>
      <c r="C358" t="str">
        <f ca="1">_xlfn.XLOOKUP(Table1[[#This Row],[Department]],sheet2!$A$2:$A$6,sheet2!$B$2:$B$6,_xleta.NA,0)</f>
        <v>Marketing Manager</v>
      </c>
      <c r="D358" s="1">
        <f t="shared" ref="D358:D421" ca="1" si="52">DATE(RANDBETWEEN(2018, 2022), RANDBETWEEN(1, 12), RANDBETWEEN(1, 28))</f>
        <v>44280</v>
      </c>
      <c r="E358" s="1">
        <f ca="1">Table1[[#This Row],[Job Posting Date]]+ RANDBETWEEN(15, 90)</f>
        <v>44358</v>
      </c>
      <c r="F358" s="1">
        <f ca="1">Table1[[#This Row],[Hire Date]]+ RANDBETWEEN(1, 15)</f>
        <v>44369</v>
      </c>
      <c r="G358" s="1" t="str">
        <f ca="1">IF(RAND() &lt; 0.5,  Table1[[#This Row],[Join Date]]+ RANDBETWEEN(30, TODAY()- Table1[[#This Row],[Join Date]]), "-")</f>
        <v>-</v>
      </c>
      <c r="H358" t="str">
        <f ca="1">IF(Table1[[#This Row],[Exit Date]]= "-", "Active", "Exited")</f>
        <v>Active</v>
      </c>
      <c r="I358" s="5">
        <f t="shared" ref="I358:I421" ca="1" si="53">RANDBETWEEN(1500, 5000)</f>
        <v>3957</v>
      </c>
      <c r="J358" t="str" cm="1">
        <f t="array" aca="1" ref="J358" ca="1">INDEX(sheet2!$C$2:$C$6, RANDBETWEEN(1, 5))</f>
        <v>Advanced Excel Skills </v>
      </c>
      <c r="K358" t="str">
        <f t="shared" ref="K358:K421" ca="1" si="54">IF(RAND() &lt; 0.7, "Completed", "Not Completed")</f>
        <v>Not Completed</v>
      </c>
      <c r="L358">
        <v>260</v>
      </c>
      <c r="M358">
        <f t="shared" ca="1" si="48"/>
        <v>3</v>
      </c>
      <c r="N358" t="str">
        <f t="shared" ca="1" si="49"/>
        <v>Male</v>
      </c>
      <c r="O358" s="6">
        <f t="shared" ca="1" si="50"/>
        <v>1517</v>
      </c>
      <c r="P358">
        <f ca="1">Table1[[#This Row],[Hire Date]]-Table1[[#This Row],[Job Posting Date]]</f>
        <v>78</v>
      </c>
      <c r="Q358" s="7">
        <f ca="1">Table1[[#This Row],[Join Date]]-Table1[[#This Row],[Hire Date]]</f>
        <v>11</v>
      </c>
      <c r="R358" s="8">
        <f ca="1">(IF(Table1[[#This Row],[Status]]="Exited",Table1[[#This Row],[Exit Date]]-Table1[[#This Row],[Join Date]],TODAY()-Table1[[#This Row],[Join Date]]))/30</f>
        <v>43.133333333333333</v>
      </c>
      <c r="S358">
        <f ca="1">Table1[[#This Row],[Hire Date]]-Table1[[#This Row],[Job Posting Date]]</f>
        <v>78</v>
      </c>
      <c r="T358" s="7">
        <f ca="1">Table1[[#This Row],[Time to onboard]]/Table1[[#This Row],[Time to Fill]]*100</f>
        <v>14.102564102564102</v>
      </c>
      <c r="U358" s="8">
        <f ca="1">Table1[[#This Row],[Time to onboard]]/Table1[[#This Row],[Time to Fill]]*100</f>
        <v>14.102564102564102</v>
      </c>
      <c r="V358">
        <f ca="1">Table1[[#This Row],[Join Date]]-Table1[[#This Row],[Job Posting Date]]</f>
        <v>89</v>
      </c>
      <c r="W358">
        <f t="shared" ca="1" si="51"/>
        <v>164</v>
      </c>
      <c r="X358" s="8">
        <f ca="1">Table1[[#This Row],[Absentee Days]]/Table1[[#This Row],[Total Work Days]]*100</f>
        <v>1.153846153846154</v>
      </c>
      <c r="Y358">
        <f ca="1">YEAR(Table1[[#This Row],[Join Date]])</f>
        <v>2021</v>
      </c>
      <c r="Z358">
        <f ca="1">IF(Table1[[#This Row],[Status]]="Active",1,0)</f>
        <v>1</v>
      </c>
      <c r="AA358">
        <f ca="1">IF(Table1[[#This Row],[Status]]="Exited",Table1[[#This Row],[Recruitment Cost]]+Table1[[#This Row],[Onboarding cost]]+Table1[[#This Row],[Training Cost]],0)</f>
        <v>0</v>
      </c>
    </row>
    <row r="359" spans="1:27">
      <c r="A359" t="str">
        <f t="shared" si="47"/>
        <v>E358</v>
      </c>
      <c r="B359" t="str" cm="1">
        <f t="array" aca="1" ref="B359" ca="1">INDEX(sheet2!$A$2:$A$6, RANDBETWEEN(1, 5))</f>
        <v>IT</v>
      </c>
      <c r="C359" t="str">
        <f ca="1">_xlfn.XLOOKUP(Table1[[#This Row],[Department]],sheet2!$A$2:$A$6,sheet2!$B$2:$B$6,_xleta.NA,0)</f>
        <v>Software Engineer</v>
      </c>
      <c r="D359" s="1">
        <f t="shared" ca="1" si="52"/>
        <v>43927</v>
      </c>
      <c r="E359" s="1">
        <f ca="1">Table1[[#This Row],[Job Posting Date]]+ RANDBETWEEN(15, 90)</f>
        <v>43981</v>
      </c>
      <c r="F359" s="1">
        <f ca="1">Table1[[#This Row],[Hire Date]]+ RANDBETWEEN(1, 15)</f>
        <v>43984</v>
      </c>
      <c r="G359" s="1">
        <f ca="1">IF(RAND() &lt; 0.5,  Table1[[#This Row],[Join Date]]+ RANDBETWEEN(30, TODAY()- Table1[[#This Row],[Join Date]]), "-")</f>
        <v>44992</v>
      </c>
      <c r="H359" t="str">
        <f ca="1">IF(Table1[[#This Row],[Exit Date]]= "-", "Active", "Exited")</f>
        <v>Exited</v>
      </c>
      <c r="I359" s="5">
        <f t="shared" ca="1" si="53"/>
        <v>4532</v>
      </c>
      <c r="J359" t="str" cm="1">
        <f t="array" aca="1" ref="J359" ca="1">INDEX(sheet2!$C$2:$C$6, RANDBETWEEN(1, 5))</f>
        <v>Ethics and Responsibilities</v>
      </c>
      <c r="K359" t="str">
        <f t="shared" ca="1" si="54"/>
        <v>Completed</v>
      </c>
      <c r="L359">
        <v>260</v>
      </c>
      <c r="M359">
        <f t="shared" ca="1" si="48"/>
        <v>20</v>
      </c>
      <c r="N359" t="str">
        <f t="shared" ca="1" si="49"/>
        <v>Other</v>
      </c>
      <c r="O359" s="6">
        <f t="shared" ca="1" si="50"/>
        <v>1520</v>
      </c>
      <c r="P359">
        <f ca="1">Table1[[#This Row],[Hire Date]]-Table1[[#This Row],[Job Posting Date]]</f>
        <v>54</v>
      </c>
      <c r="Q359" s="7">
        <f ca="1">Table1[[#This Row],[Join Date]]-Table1[[#This Row],[Hire Date]]</f>
        <v>3</v>
      </c>
      <c r="R359" s="8">
        <f ca="1">(IF(Table1[[#This Row],[Status]]="Exited",Table1[[#This Row],[Exit Date]]-Table1[[#This Row],[Join Date]],TODAY()-Table1[[#This Row],[Join Date]]))/30</f>
        <v>33.6</v>
      </c>
      <c r="S359">
        <f ca="1">Table1[[#This Row],[Hire Date]]-Table1[[#This Row],[Job Posting Date]]</f>
        <v>54</v>
      </c>
      <c r="T359" s="7">
        <f ca="1">Table1[[#This Row],[Time to onboard]]/Table1[[#This Row],[Time to Fill]]*100</f>
        <v>5.5555555555555554</v>
      </c>
      <c r="U359" s="8">
        <f ca="1">Table1[[#This Row],[Time to onboard]]/Table1[[#This Row],[Time to Fill]]*100</f>
        <v>5.5555555555555554</v>
      </c>
      <c r="V359">
        <f ca="1">Table1[[#This Row],[Join Date]]-Table1[[#This Row],[Job Posting Date]]</f>
        <v>57</v>
      </c>
      <c r="W359">
        <f t="shared" ca="1" si="51"/>
        <v>163</v>
      </c>
      <c r="X359" s="8">
        <f ca="1">Table1[[#This Row],[Absentee Days]]/Table1[[#This Row],[Total Work Days]]*100</f>
        <v>7.6923076923076925</v>
      </c>
      <c r="Y359">
        <f ca="1">YEAR(Table1[[#This Row],[Join Date]])</f>
        <v>2020</v>
      </c>
      <c r="Z359">
        <f ca="1">IF(Table1[[#This Row],[Status]]="Active",1,0)</f>
        <v>0</v>
      </c>
      <c r="AA359">
        <f ca="1">IF(Table1[[#This Row],[Status]]="Exited",Table1[[#This Row],[Recruitment Cost]]+Table1[[#This Row],[Onboarding cost]]+Table1[[#This Row],[Training Cost]],0)</f>
        <v>6215</v>
      </c>
    </row>
    <row r="360" spans="1:27">
      <c r="A360" t="str">
        <f t="shared" si="47"/>
        <v>E359</v>
      </c>
      <c r="B360" t="str" cm="1">
        <f t="array" aca="1" ref="B360" ca="1">INDEX(sheet2!$A$2:$A$6, RANDBETWEEN(1, 5))</f>
        <v>IT</v>
      </c>
      <c r="C360" t="str">
        <f ca="1">_xlfn.XLOOKUP(Table1[[#This Row],[Department]],sheet2!$A$2:$A$6,sheet2!$B$2:$B$6,_xleta.NA,0)</f>
        <v>Software Engineer</v>
      </c>
      <c r="D360" s="1">
        <f t="shared" ca="1" si="52"/>
        <v>44797</v>
      </c>
      <c r="E360" s="1">
        <f ca="1">Table1[[#This Row],[Job Posting Date]]+ RANDBETWEEN(15, 90)</f>
        <v>44885</v>
      </c>
      <c r="F360" s="1">
        <f ca="1">Table1[[#This Row],[Hire Date]]+ RANDBETWEEN(1, 15)</f>
        <v>44887</v>
      </c>
      <c r="G360" s="1">
        <f ca="1">IF(RAND() &lt; 0.5,  Table1[[#This Row],[Join Date]]+ RANDBETWEEN(30, TODAY()- Table1[[#This Row],[Join Date]]), "-")</f>
        <v>45635</v>
      </c>
      <c r="H360" t="str">
        <f ca="1">IF(Table1[[#This Row],[Exit Date]]= "-", "Active", "Exited")</f>
        <v>Exited</v>
      </c>
      <c r="I360" s="5">
        <f t="shared" ca="1" si="53"/>
        <v>4119</v>
      </c>
      <c r="J360" t="str" cm="1">
        <f t="array" aca="1" ref="J360" ca="1">INDEX(sheet2!$C$2:$C$6, RANDBETWEEN(1, 5))</f>
        <v>Leadership Development</v>
      </c>
      <c r="K360" t="str">
        <f t="shared" ca="1" si="54"/>
        <v>Completed</v>
      </c>
      <c r="L360">
        <v>260</v>
      </c>
      <c r="M360">
        <f t="shared" ca="1" si="48"/>
        <v>13</v>
      </c>
      <c r="N360" t="str">
        <f t="shared" ca="1" si="49"/>
        <v>Other</v>
      </c>
      <c r="O360" s="6">
        <f t="shared" ca="1" si="50"/>
        <v>1309</v>
      </c>
      <c r="P360">
        <f ca="1">Table1[[#This Row],[Hire Date]]-Table1[[#This Row],[Job Posting Date]]</f>
        <v>88</v>
      </c>
      <c r="Q360" s="7">
        <f ca="1">Table1[[#This Row],[Join Date]]-Table1[[#This Row],[Hire Date]]</f>
        <v>2</v>
      </c>
      <c r="R360" s="8">
        <f ca="1">(IF(Table1[[#This Row],[Status]]="Exited",Table1[[#This Row],[Exit Date]]-Table1[[#This Row],[Join Date]],TODAY()-Table1[[#This Row],[Join Date]]))/30</f>
        <v>24.933333333333334</v>
      </c>
      <c r="S360">
        <f ca="1">Table1[[#This Row],[Hire Date]]-Table1[[#This Row],[Job Posting Date]]</f>
        <v>88</v>
      </c>
      <c r="T360" s="7">
        <f ca="1">Table1[[#This Row],[Time to onboard]]/Table1[[#This Row],[Time to Fill]]*100</f>
        <v>2.2727272727272729</v>
      </c>
      <c r="U360" s="8">
        <f ca="1">Table1[[#This Row],[Time to onboard]]/Table1[[#This Row],[Time to Fill]]*100</f>
        <v>2.2727272727272729</v>
      </c>
      <c r="V360">
        <f ca="1">Table1[[#This Row],[Join Date]]-Table1[[#This Row],[Job Posting Date]]</f>
        <v>90</v>
      </c>
      <c r="W360">
        <f t="shared" ca="1" si="51"/>
        <v>198</v>
      </c>
      <c r="X360" s="8">
        <f ca="1">Table1[[#This Row],[Absentee Days]]/Table1[[#This Row],[Total Work Days]]*100</f>
        <v>5</v>
      </c>
      <c r="Y360">
        <f ca="1">YEAR(Table1[[#This Row],[Join Date]])</f>
        <v>2022</v>
      </c>
      <c r="Z360">
        <f ca="1">IF(Table1[[#This Row],[Status]]="Active",1,0)</f>
        <v>0</v>
      </c>
      <c r="AA360">
        <f ca="1">IF(Table1[[#This Row],[Status]]="Exited",Table1[[#This Row],[Recruitment Cost]]+Table1[[#This Row],[Onboarding cost]]+Table1[[#This Row],[Training Cost]],0)</f>
        <v>5626</v>
      </c>
    </row>
    <row r="361" spans="1:27">
      <c r="A361" t="str">
        <f t="shared" si="47"/>
        <v>E360</v>
      </c>
      <c r="B361" t="str" cm="1">
        <f t="array" aca="1" ref="B361" ca="1">INDEX(sheet2!$A$2:$A$6, RANDBETWEEN(1, 5))</f>
        <v>Finance</v>
      </c>
      <c r="C361" t="str">
        <f ca="1">_xlfn.XLOOKUP(Table1[[#This Row],[Department]],sheet2!$A$2:$A$6,sheet2!$B$2:$B$6,_xleta.NA,0)</f>
        <v>Finance Manager</v>
      </c>
      <c r="D361" s="1">
        <f t="shared" ca="1" si="52"/>
        <v>43788</v>
      </c>
      <c r="E361" s="1">
        <f ca="1">Table1[[#This Row],[Job Posting Date]]+ RANDBETWEEN(15, 90)</f>
        <v>43852</v>
      </c>
      <c r="F361" s="1">
        <f ca="1">Table1[[#This Row],[Hire Date]]+ RANDBETWEEN(1, 15)</f>
        <v>43860</v>
      </c>
      <c r="G361" s="1" t="str">
        <f ca="1">IF(RAND() &lt; 0.5,  Table1[[#This Row],[Join Date]]+ RANDBETWEEN(30, TODAY()- Table1[[#This Row],[Join Date]]), "-")</f>
        <v>-</v>
      </c>
      <c r="H361" t="str">
        <f ca="1">IF(Table1[[#This Row],[Exit Date]]= "-", "Active", "Exited")</f>
        <v>Active</v>
      </c>
      <c r="I361" s="5">
        <f t="shared" ca="1" si="53"/>
        <v>4654</v>
      </c>
      <c r="J361" t="str" cm="1">
        <f t="array" aca="1" ref="J361" ca="1">INDEX(sheet2!$C$2:$C$6, RANDBETWEEN(1, 5))</f>
        <v>Ethics and Responsibilities</v>
      </c>
      <c r="K361" t="str">
        <f t="shared" ca="1" si="54"/>
        <v>Completed</v>
      </c>
      <c r="L361">
        <v>260</v>
      </c>
      <c r="M361">
        <f t="shared" ca="1" si="48"/>
        <v>12</v>
      </c>
      <c r="N361" t="str">
        <f t="shared" ca="1" si="49"/>
        <v>Female</v>
      </c>
      <c r="O361" s="6">
        <f t="shared" ca="1" si="50"/>
        <v>1709</v>
      </c>
      <c r="P361">
        <f ca="1">Table1[[#This Row],[Hire Date]]-Table1[[#This Row],[Job Posting Date]]</f>
        <v>64</v>
      </c>
      <c r="Q361" s="7">
        <f ca="1">Table1[[#This Row],[Join Date]]-Table1[[#This Row],[Hire Date]]</f>
        <v>8</v>
      </c>
      <c r="R361" s="8">
        <f ca="1">(IF(Table1[[#This Row],[Status]]="Exited",Table1[[#This Row],[Exit Date]]-Table1[[#This Row],[Join Date]],TODAY()-Table1[[#This Row],[Join Date]]))/30</f>
        <v>60.1</v>
      </c>
      <c r="S361">
        <f ca="1">Table1[[#This Row],[Hire Date]]-Table1[[#This Row],[Job Posting Date]]</f>
        <v>64</v>
      </c>
      <c r="T361" s="7">
        <f ca="1">Table1[[#This Row],[Time to onboard]]/Table1[[#This Row],[Time to Fill]]*100</f>
        <v>12.5</v>
      </c>
      <c r="U361" s="8">
        <f ca="1">Table1[[#This Row],[Time to onboard]]/Table1[[#This Row],[Time to Fill]]*100</f>
        <v>12.5</v>
      </c>
      <c r="V361">
        <f ca="1">Table1[[#This Row],[Join Date]]-Table1[[#This Row],[Job Posting Date]]</f>
        <v>72</v>
      </c>
      <c r="W361">
        <f t="shared" ca="1" si="51"/>
        <v>120</v>
      </c>
      <c r="X361" s="8">
        <f ca="1">Table1[[#This Row],[Absentee Days]]/Table1[[#This Row],[Total Work Days]]*100</f>
        <v>4.6153846153846159</v>
      </c>
      <c r="Y361">
        <f ca="1">YEAR(Table1[[#This Row],[Join Date]])</f>
        <v>2020</v>
      </c>
      <c r="Z361">
        <f ca="1">IF(Table1[[#This Row],[Status]]="Active",1,0)</f>
        <v>1</v>
      </c>
      <c r="AA361">
        <f ca="1">IF(Table1[[#This Row],[Status]]="Exited",Table1[[#This Row],[Recruitment Cost]]+Table1[[#This Row],[Onboarding cost]]+Table1[[#This Row],[Training Cost]],0)</f>
        <v>0</v>
      </c>
    </row>
    <row r="362" spans="1:27">
      <c r="A362" t="str">
        <f t="shared" si="47"/>
        <v>E361</v>
      </c>
      <c r="B362" t="str" cm="1">
        <f t="array" aca="1" ref="B362" ca="1">INDEX(sheet2!$A$2:$A$6, RANDBETWEEN(1, 5))</f>
        <v>Finance</v>
      </c>
      <c r="C362" t="str">
        <f ca="1">_xlfn.XLOOKUP(Table1[[#This Row],[Department]],sheet2!$A$2:$A$6,sheet2!$B$2:$B$6,_xleta.NA,0)</f>
        <v>Finance Manager</v>
      </c>
      <c r="D362" s="1">
        <f t="shared" ca="1" si="52"/>
        <v>43306</v>
      </c>
      <c r="E362" s="1">
        <f ca="1">Table1[[#This Row],[Job Posting Date]]+ RANDBETWEEN(15, 90)</f>
        <v>43325</v>
      </c>
      <c r="F362" s="1">
        <f ca="1">Table1[[#This Row],[Hire Date]]+ RANDBETWEEN(1, 15)</f>
        <v>43329</v>
      </c>
      <c r="G362" s="1" t="str">
        <f ca="1">IF(RAND() &lt; 0.5,  Table1[[#This Row],[Join Date]]+ RANDBETWEEN(30, TODAY()- Table1[[#This Row],[Join Date]]), "-")</f>
        <v>-</v>
      </c>
      <c r="H362" t="str">
        <f ca="1">IF(Table1[[#This Row],[Exit Date]]= "-", "Active", "Exited")</f>
        <v>Active</v>
      </c>
      <c r="I362" s="5">
        <f t="shared" ca="1" si="53"/>
        <v>4320</v>
      </c>
      <c r="J362" t="str" cm="1">
        <f t="array" aca="1" ref="J362" ca="1">INDEX(sheet2!$C$2:$C$6, RANDBETWEEN(1, 5))</f>
        <v>Advanced Excel Skills </v>
      </c>
      <c r="K362" t="str">
        <f t="shared" ca="1" si="54"/>
        <v>Completed</v>
      </c>
      <c r="L362">
        <v>260</v>
      </c>
      <c r="M362">
        <f t="shared" ca="1" si="48"/>
        <v>15</v>
      </c>
      <c r="N362" t="str">
        <f t="shared" ca="1" si="49"/>
        <v>Female</v>
      </c>
      <c r="O362" s="6">
        <f t="shared" ca="1" si="50"/>
        <v>1823</v>
      </c>
      <c r="P362">
        <f ca="1">Table1[[#This Row],[Hire Date]]-Table1[[#This Row],[Job Posting Date]]</f>
        <v>19</v>
      </c>
      <c r="Q362" s="7">
        <f ca="1">Table1[[#This Row],[Join Date]]-Table1[[#This Row],[Hire Date]]</f>
        <v>4</v>
      </c>
      <c r="R362" s="8">
        <f ca="1">(IF(Table1[[#This Row],[Status]]="Exited",Table1[[#This Row],[Exit Date]]-Table1[[#This Row],[Join Date]],TODAY()-Table1[[#This Row],[Join Date]]))/30</f>
        <v>77.8</v>
      </c>
      <c r="S362">
        <f ca="1">Table1[[#This Row],[Hire Date]]-Table1[[#This Row],[Job Posting Date]]</f>
        <v>19</v>
      </c>
      <c r="T362" s="7">
        <f ca="1">Table1[[#This Row],[Time to onboard]]/Table1[[#This Row],[Time to Fill]]*100</f>
        <v>21.052631578947366</v>
      </c>
      <c r="U362" s="8">
        <f ca="1">Table1[[#This Row],[Time to onboard]]/Table1[[#This Row],[Time to Fill]]*100</f>
        <v>21.052631578947366</v>
      </c>
      <c r="V362">
        <f ca="1">Table1[[#This Row],[Join Date]]-Table1[[#This Row],[Job Posting Date]]</f>
        <v>23</v>
      </c>
      <c r="W362">
        <f t="shared" ca="1" si="51"/>
        <v>115</v>
      </c>
      <c r="X362" s="8">
        <f ca="1">Table1[[#This Row],[Absentee Days]]/Table1[[#This Row],[Total Work Days]]*100</f>
        <v>5.7692307692307692</v>
      </c>
      <c r="Y362">
        <f ca="1">YEAR(Table1[[#This Row],[Join Date]])</f>
        <v>2018</v>
      </c>
      <c r="Z362">
        <f ca="1">IF(Table1[[#This Row],[Status]]="Active",1,0)</f>
        <v>1</v>
      </c>
      <c r="AA362">
        <f ca="1">IF(Table1[[#This Row],[Status]]="Exited",Table1[[#This Row],[Recruitment Cost]]+Table1[[#This Row],[Onboarding cost]]+Table1[[#This Row],[Training Cost]],0)</f>
        <v>0</v>
      </c>
    </row>
    <row r="363" spans="1:27">
      <c r="A363" t="str">
        <f t="shared" si="47"/>
        <v>E362</v>
      </c>
      <c r="B363" t="str" cm="1">
        <f t="array" aca="1" ref="B363" ca="1">INDEX(sheet2!$A$2:$A$6, RANDBETWEEN(1, 5))</f>
        <v>Sales</v>
      </c>
      <c r="C363" t="str">
        <f ca="1">_xlfn.XLOOKUP(Table1[[#This Row],[Department]],sheet2!$A$2:$A$6,sheet2!$B$2:$B$6,_xleta.NA,0)</f>
        <v>Marketing Manager</v>
      </c>
      <c r="D363" s="1">
        <f t="shared" ca="1" si="52"/>
        <v>43222</v>
      </c>
      <c r="E363" s="1">
        <f ca="1">Table1[[#This Row],[Job Posting Date]]+ RANDBETWEEN(15, 90)</f>
        <v>43281</v>
      </c>
      <c r="F363" s="1">
        <f ca="1">Table1[[#This Row],[Hire Date]]+ RANDBETWEEN(1, 15)</f>
        <v>43293</v>
      </c>
      <c r="G363" s="1" t="str">
        <f ca="1">IF(RAND() &lt; 0.5,  Table1[[#This Row],[Join Date]]+ RANDBETWEEN(30, TODAY()- Table1[[#This Row],[Join Date]]), "-")</f>
        <v>-</v>
      </c>
      <c r="H363" t="str">
        <f ca="1">IF(Table1[[#This Row],[Exit Date]]= "-", "Active", "Exited")</f>
        <v>Active</v>
      </c>
      <c r="I363" s="5">
        <f t="shared" ca="1" si="53"/>
        <v>2767</v>
      </c>
      <c r="J363" t="str" cm="1">
        <f t="array" aca="1" ref="J363" ca="1">INDEX(sheet2!$C$2:$C$6, RANDBETWEEN(1, 5))</f>
        <v>Conflict Resolution</v>
      </c>
      <c r="K363" t="str">
        <f t="shared" ca="1" si="54"/>
        <v>Completed</v>
      </c>
      <c r="L363">
        <v>260</v>
      </c>
      <c r="M363">
        <f t="shared" ca="1" si="48"/>
        <v>13</v>
      </c>
      <c r="N363" t="str">
        <f t="shared" ca="1" si="49"/>
        <v>Female</v>
      </c>
      <c r="O363" s="6">
        <f t="shared" ca="1" si="50"/>
        <v>2063</v>
      </c>
      <c r="P363">
        <f ca="1">Table1[[#This Row],[Hire Date]]-Table1[[#This Row],[Job Posting Date]]</f>
        <v>59</v>
      </c>
      <c r="Q363" s="7">
        <f ca="1">Table1[[#This Row],[Join Date]]-Table1[[#This Row],[Hire Date]]</f>
        <v>12</v>
      </c>
      <c r="R363" s="8">
        <f ca="1">(IF(Table1[[#This Row],[Status]]="Exited",Table1[[#This Row],[Exit Date]]-Table1[[#This Row],[Join Date]],TODAY()-Table1[[#This Row],[Join Date]]))/30</f>
        <v>79</v>
      </c>
      <c r="S363">
        <f ca="1">Table1[[#This Row],[Hire Date]]-Table1[[#This Row],[Job Posting Date]]</f>
        <v>59</v>
      </c>
      <c r="T363" s="7">
        <f ca="1">Table1[[#This Row],[Time to onboard]]/Table1[[#This Row],[Time to Fill]]*100</f>
        <v>20.33898305084746</v>
      </c>
      <c r="U363" s="8">
        <f ca="1">Table1[[#This Row],[Time to onboard]]/Table1[[#This Row],[Time to Fill]]*100</f>
        <v>20.33898305084746</v>
      </c>
      <c r="V363">
        <f ca="1">Table1[[#This Row],[Join Date]]-Table1[[#This Row],[Job Posting Date]]</f>
        <v>71</v>
      </c>
      <c r="W363">
        <f t="shared" ca="1" si="51"/>
        <v>184</v>
      </c>
      <c r="X363" s="8">
        <f ca="1">Table1[[#This Row],[Absentee Days]]/Table1[[#This Row],[Total Work Days]]*100</f>
        <v>5</v>
      </c>
      <c r="Y363">
        <f ca="1">YEAR(Table1[[#This Row],[Join Date]])</f>
        <v>2018</v>
      </c>
      <c r="Z363">
        <f ca="1">IF(Table1[[#This Row],[Status]]="Active",1,0)</f>
        <v>1</v>
      </c>
      <c r="AA363">
        <f ca="1">IF(Table1[[#This Row],[Status]]="Exited",Table1[[#This Row],[Recruitment Cost]]+Table1[[#This Row],[Onboarding cost]]+Table1[[#This Row],[Training Cost]],0)</f>
        <v>0</v>
      </c>
    </row>
    <row r="364" spans="1:27">
      <c r="A364" t="str">
        <f t="shared" si="47"/>
        <v>E363</v>
      </c>
      <c r="B364" t="str" cm="1">
        <f t="array" aca="1" ref="B364" ca="1">INDEX(sheet2!$A$2:$A$6, RANDBETWEEN(1, 5))</f>
        <v>Finance</v>
      </c>
      <c r="C364" t="str">
        <f ca="1">_xlfn.XLOOKUP(Table1[[#This Row],[Department]],sheet2!$A$2:$A$6,sheet2!$B$2:$B$6,_xleta.NA,0)</f>
        <v>Finance Manager</v>
      </c>
      <c r="D364" s="1">
        <f t="shared" ca="1" si="52"/>
        <v>44584</v>
      </c>
      <c r="E364" s="1">
        <f ca="1">Table1[[#This Row],[Job Posting Date]]+ RANDBETWEEN(15, 90)</f>
        <v>44627</v>
      </c>
      <c r="F364" s="1">
        <f ca="1">Table1[[#This Row],[Hire Date]]+ RANDBETWEEN(1, 15)</f>
        <v>44634</v>
      </c>
      <c r="G364" s="1" t="str">
        <f ca="1">IF(RAND() &lt; 0.5,  Table1[[#This Row],[Join Date]]+ RANDBETWEEN(30, TODAY()- Table1[[#This Row],[Join Date]]), "-")</f>
        <v>-</v>
      </c>
      <c r="H364" t="str">
        <f ca="1">IF(Table1[[#This Row],[Exit Date]]= "-", "Active", "Exited")</f>
        <v>Active</v>
      </c>
      <c r="I364" s="5">
        <f t="shared" ca="1" si="53"/>
        <v>3985</v>
      </c>
      <c r="J364" t="str" cm="1">
        <f t="array" aca="1" ref="J364" ca="1">INDEX(sheet2!$C$2:$C$6, RANDBETWEEN(1, 5))</f>
        <v>Conflict Resolution</v>
      </c>
      <c r="K364" t="str">
        <f t="shared" ca="1" si="54"/>
        <v>Not Completed</v>
      </c>
      <c r="L364">
        <v>260</v>
      </c>
      <c r="M364">
        <f t="shared" ca="1" si="48"/>
        <v>13</v>
      </c>
      <c r="N364" t="str">
        <f t="shared" ca="1" si="49"/>
        <v>Female</v>
      </c>
      <c r="O364" s="6">
        <f t="shared" ca="1" si="50"/>
        <v>2187</v>
      </c>
      <c r="P364">
        <f ca="1">Table1[[#This Row],[Hire Date]]-Table1[[#This Row],[Job Posting Date]]</f>
        <v>43</v>
      </c>
      <c r="Q364" s="7">
        <f ca="1">Table1[[#This Row],[Join Date]]-Table1[[#This Row],[Hire Date]]</f>
        <v>7</v>
      </c>
      <c r="R364" s="8">
        <f ca="1">(IF(Table1[[#This Row],[Status]]="Exited",Table1[[#This Row],[Exit Date]]-Table1[[#This Row],[Join Date]],TODAY()-Table1[[#This Row],[Join Date]]))/30</f>
        <v>34.299999999999997</v>
      </c>
      <c r="S364">
        <f ca="1">Table1[[#This Row],[Hire Date]]-Table1[[#This Row],[Job Posting Date]]</f>
        <v>43</v>
      </c>
      <c r="T364" s="7">
        <f ca="1">Table1[[#This Row],[Time to onboard]]/Table1[[#This Row],[Time to Fill]]*100</f>
        <v>16.279069767441861</v>
      </c>
      <c r="U364" s="8">
        <f ca="1">Table1[[#This Row],[Time to onboard]]/Table1[[#This Row],[Time to Fill]]*100</f>
        <v>16.279069767441861</v>
      </c>
      <c r="V364">
        <f ca="1">Table1[[#This Row],[Join Date]]-Table1[[#This Row],[Job Posting Date]]</f>
        <v>50</v>
      </c>
      <c r="W364">
        <f t="shared" ca="1" si="51"/>
        <v>124</v>
      </c>
      <c r="X364" s="8">
        <f ca="1">Table1[[#This Row],[Absentee Days]]/Table1[[#This Row],[Total Work Days]]*100</f>
        <v>5</v>
      </c>
      <c r="Y364">
        <f ca="1">YEAR(Table1[[#This Row],[Join Date]])</f>
        <v>2022</v>
      </c>
      <c r="Z364">
        <f ca="1">IF(Table1[[#This Row],[Status]]="Active",1,0)</f>
        <v>1</v>
      </c>
      <c r="AA364">
        <f ca="1">IF(Table1[[#This Row],[Status]]="Exited",Table1[[#This Row],[Recruitment Cost]]+Table1[[#This Row],[Onboarding cost]]+Table1[[#This Row],[Training Cost]],0)</f>
        <v>0</v>
      </c>
    </row>
    <row r="365" spans="1:27">
      <c r="A365" t="str">
        <f t="shared" si="47"/>
        <v>E364</v>
      </c>
      <c r="B365" t="str" cm="1">
        <f t="array" aca="1" ref="B365" ca="1">INDEX(sheet2!$A$2:$A$6, RANDBETWEEN(1, 5))</f>
        <v>Finance</v>
      </c>
      <c r="C365" t="str">
        <f ca="1">_xlfn.XLOOKUP(Table1[[#This Row],[Department]],sheet2!$A$2:$A$6,sheet2!$B$2:$B$6,_xleta.NA,0)</f>
        <v>Finance Manager</v>
      </c>
      <c r="D365" s="1">
        <f t="shared" ca="1" si="52"/>
        <v>43836</v>
      </c>
      <c r="E365" s="1">
        <f ca="1">Table1[[#This Row],[Job Posting Date]]+ RANDBETWEEN(15, 90)</f>
        <v>43901</v>
      </c>
      <c r="F365" s="1">
        <f ca="1">Table1[[#This Row],[Hire Date]]+ RANDBETWEEN(1, 15)</f>
        <v>43903</v>
      </c>
      <c r="G365" s="1" t="str">
        <f ca="1">IF(RAND() &lt; 0.5,  Table1[[#This Row],[Join Date]]+ RANDBETWEEN(30, TODAY()- Table1[[#This Row],[Join Date]]), "-")</f>
        <v>-</v>
      </c>
      <c r="H365" t="str">
        <f ca="1">IF(Table1[[#This Row],[Exit Date]]= "-", "Active", "Exited")</f>
        <v>Active</v>
      </c>
      <c r="I365" s="5">
        <f t="shared" ca="1" si="53"/>
        <v>4886</v>
      </c>
      <c r="J365" t="str" cm="1">
        <f t="array" aca="1" ref="J365" ca="1">INDEX(sheet2!$C$2:$C$6, RANDBETWEEN(1, 5))</f>
        <v>Communication Skills</v>
      </c>
      <c r="K365" t="str">
        <f t="shared" ca="1" si="54"/>
        <v>Completed</v>
      </c>
      <c r="L365">
        <v>260</v>
      </c>
      <c r="M365">
        <f t="shared" ca="1" si="48"/>
        <v>1</v>
      </c>
      <c r="N365" t="str">
        <f t="shared" ca="1" si="49"/>
        <v>Female</v>
      </c>
      <c r="O365" s="6">
        <f t="shared" ca="1" si="50"/>
        <v>2271</v>
      </c>
      <c r="P365">
        <f ca="1">Table1[[#This Row],[Hire Date]]-Table1[[#This Row],[Job Posting Date]]</f>
        <v>65</v>
      </c>
      <c r="Q365" s="7">
        <f ca="1">Table1[[#This Row],[Join Date]]-Table1[[#This Row],[Hire Date]]</f>
        <v>2</v>
      </c>
      <c r="R365" s="8">
        <f ca="1">(IF(Table1[[#This Row],[Status]]="Exited",Table1[[#This Row],[Exit Date]]-Table1[[#This Row],[Join Date]],TODAY()-Table1[[#This Row],[Join Date]]))/30</f>
        <v>58.666666666666664</v>
      </c>
      <c r="S365">
        <f ca="1">Table1[[#This Row],[Hire Date]]-Table1[[#This Row],[Job Posting Date]]</f>
        <v>65</v>
      </c>
      <c r="T365" s="7">
        <f ca="1">Table1[[#This Row],[Time to onboard]]/Table1[[#This Row],[Time to Fill]]*100</f>
        <v>3.0769230769230771</v>
      </c>
      <c r="U365" s="8">
        <f ca="1">Table1[[#This Row],[Time to onboard]]/Table1[[#This Row],[Time to Fill]]*100</f>
        <v>3.0769230769230771</v>
      </c>
      <c r="V365">
        <f ca="1">Table1[[#This Row],[Join Date]]-Table1[[#This Row],[Job Posting Date]]</f>
        <v>67</v>
      </c>
      <c r="W365">
        <f t="shared" ca="1" si="51"/>
        <v>153</v>
      </c>
      <c r="X365" s="8">
        <f ca="1">Table1[[#This Row],[Absentee Days]]/Table1[[#This Row],[Total Work Days]]*100</f>
        <v>0.38461538461538464</v>
      </c>
      <c r="Y365">
        <f ca="1">YEAR(Table1[[#This Row],[Join Date]])</f>
        <v>2020</v>
      </c>
      <c r="Z365">
        <f ca="1">IF(Table1[[#This Row],[Status]]="Active",1,0)</f>
        <v>1</v>
      </c>
      <c r="AA365">
        <f ca="1">IF(Table1[[#This Row],[Status]]="Exited",Table1[[#This Row],[Recruitment Cost]]+Table1[[#This Row],[Onboarding cost]]+Table1[[#This Row],[Training Cost]],0)</f>
        <v>0</v>
      </c>
    </row>
    <row r="366" spans="1:27">
      <c r="A366" t="str">
        <f t="shared" si="47"/>
        <v>E365</v>
      </c>
      <c r="B366" t="str" cm="1">
        <f t="array" aca="1" ref="B366" ca="1">INDEX(sheet2!$A$2:$A$6, RANDBETWEEN(1, 5))</f>
        <v>Analytics</v>
      </c>
      <c r="C366" t="str">
        <f ca="1">_xlfn.XLOOKUP(Table1[[#This Row],[Department]],sheet2!$A$2:$A$6,sheet2!$B$2:$B$6,_xleta.NA,0)</f>
        <v>Data Analyst</v>
      </c>
      <c r="D366" s="1">
        <f t="shared" ca="1" si="52"/>
        <v>43893</v>
      </c>
      <c r="E366" s="1">
        <f ca="1">Table1[[#This Row],[Job Posting Date]]+ RANDBETWEEN(15, 90)</f>
        <v>43922</v>
      </c>
      <c r="F366" s="1">
        <f ca="1">Table1[[#This Row],[Hire Date]]+ RANDBETWEEN(1, 15)</f>
        <v>43927</v>
      </c>
      <c r="G366" s="1" t="str">
        <f ca="1">IF(RAND() &lt; 0.5,  Table1[[#This Row],[Join Date]]+ RANDBETWEEN(30, TODAY()- Table1[[#This Row],[Join Date]]), "-")</f>
        <v>-</v>
      </c>
      <c r="H366" t="str">
        <f ca="1">IF(Table1[[#This Row],[Exit Date]]= "-", "Active", "Exited")</f>
        <v>Active</v>
      </c>
      <c r="I366" s="5">
        <f t="shared" ca="1" si="53"/>
        <v>4307</v>
      </c>
      <c r="J366" t="str" cm="1">
        <f t="array" aca="1" ref="J366" ca="1">INDEX(sheet2!$C$2:$C$6, RANDBETWEEN(1, 5))</f>
        <v>Ethics and Responsibilities</v>
      </c>
      <c r="K366" t="str">
        <f t="shared" ca="1" si="54"/>
        <v>Completed</v>
      </c>
      <c r="L366">
        <v>260</v>
      </c>
      <c r="M366">
        <f t="shared" ca="1" si="48"/>
        <v>2</v>
      </c>
      <c r="N366" t="str">
        <f t="shared" ca="1" si="49"/>
        <v>Female</v>
      </c>
      <c r="O366" s="6">
        <f t="shared" ca="1" si="50"/>
        <v>1797</v>
      </c>
      <c r="P366">
        <f ca="1">Table1[[#This Row],[Hire Date]]-Table1[[#This Row],[Job Posting Date]]</f>
        <v>29</v>
      </c>
      <c r="Q366" s="7">
        <f ca="1">Table1[[#This Row],[Join Date]]-Table1[[#This Row],[Hire Date]]</f>
        <v>5</v>
      </c>
      <c r="R366" s="8">
        <f ca="1">(IF(Table1[[#This Row],[Status]]="Exited",Table1[[#This Row],[Exit Date]]-Table1[[#This Row],[Join Date]],TODAY()-Table1[[#This Row],[Join Date]]))/30</f>
        <v>57.866666666666667</v>
      </c>
      <c r="S366">
        <f ca="1">Table1[[#This Row],[Hire Date]]-Table1[[#This Row],[Job Posting Date]]</f>
        <v>29</v>
      </c>
      <c r="T366" s="7">
        <f ca="1">Table1[[#This Row],[Time to onboard]]/Table1[[#This Row],[Time to Fill]]*100</f>
        <v>17.241379310344829</v>
      </c>
      <c r="U366" s="8">
        <f ca="1">Table1[[#This Row],[Time to onboard]]/Table1[[#This Row],[Time to Fill]]*100</f>
        <v>17.241379310344829</v>
      </c>
      <c r="V366">
        <f ca="1">Table1[[#This Row],[Join Date]]-Table1[[#This Row],[Job Posting Date]]</f>
        <v>34</v>
      </c>
      <c r="W366">
        <f t="shared" ca="1" si="51"/>
        <v>116</v>
      </c>
      <c r="X366" s="8">
        <f ca="1">Table1[[#This Row],[Absentee Days]]/Table1[[#This Row],[Total Work Days]]*100</f>
        <v>0.76923076923076927</v>
      </c>
      <c r="Y366">
        <f ca="1">YEAR(Table1[[#This Row],[Join Date]])</f>
        <v>2020</v>
      </c>
      <c r="Z366">
        <f ca="1">IF(Table1[[#This Row],[Status]]="Active",1,0)</f>
        <v>1</v>
      </c>
      <c r="AA366">
        <f ca="1">IF(Table1[[#This Row],[Status]]="Exited",Table1[[#This Row],[Recruitment Cost]]+Table1[[#This Row],[Onboarding cost]]+Table1[[#This Row],[Training Cost]],0)</f>
        <v>0</v>
      </c>
    </row>
    <row r="367" spans="1:27">
      <c r="A367" t="str">
        <f t="shared" si="47"/>
        <v>E366</v>
      </c>
      <c r="B367" t="str" cm="1">
        <f t="array" aca="1" ref="B367" ca="1">INDEX(sheet2!$A$2:$A$6, RANDBETWEEN(1, 5))</f>
        <v>Analytics</v>
      </c>
      <c r="C367" t="str">
        <f ca="1">_xlfn.XLOOKUP(Table1[[#This Row],[Department]],sheet2!$A$2:$A$6,sheet2!$B$2:$B$6,_xleta.NA,0)</f>
        <v>Data Analyst</v>
      </c>
      <c r="D367" s="1">
        <f t="shared" ca="1" si="52"/>
        <v>44821</v>
      </c>
      <c r="E367" s="1">
        <f ca="1">Table1[[#This Row],[Job Posting Date]]+ RANDBETWEEN(15, 90)</f>
        <v>44855</v>
      </c>
      <c r="F367" s="1">
        <f ca="1">Table1[[#This Row],[Hire Date]]+ RANDBETWEEN(1, 15)</f>
        <v>44859</v>
      </c>
      <c r="G367" s="1" t="str">
        <f ca="1">IF(RAND() &lt; 0.5,  Table1[[#This Row],[Join Date]]+ RANDBETWEEN(30, TODAY()- Table1[[#This Row],[Join Date]]), "-")</f>
        <v>-</v>
      </c>
      <c r="H367" t="str">
        <f ca="1">IF(Table1[[#This Row],[Exit Date]]= "-", "Active", "Exited")</f>
        <v>Active</v>
      </c>
      <c r="I367" s="5">
        <f t="shared" ca="1" si="53"/>
        <v>4545</v>
      </c>
      <c r="J367" t="str" cm="1">
        <f t="array" aca="1" ref="J367" ca="1">INDEX(sheet2!$C$2:$C$6, RANDBETWEEN(1, 5))</f>
        <v>Advanced Excel Skills </v>
      </c>
      <c r="K367" t="str">
        <f t="shared" ca="1" si="54"/>
        <v>Not Completed</v>
      </c>
      <c r="L367">
        <v>260</v>
      </c>
      <c r="M367">
        <f t="shared" ca="1" si="48"/>
        <v>6</v>
      </c>
      <c r="N367" t="str">
        <f t="shared" ca="1" si="49"/>
        <v>Male</v>
      </c>
      <c r="O367" s="6">
        <f t="shared" ca="1" si="50"/>
        <v>1419</v>
      </c>
      <c r="P367">
        <f ca="1">Table1[[#This Row],[Hire Date]]-Table1[[#This Row],[Job Posting Date]]</f>
        <v>34</v>
      </c>
      <c r="Q367" s="7">
        <f ca="1">Table1[[#This Row],[Join Date]]-Table1[[#This Row],[Hire Date]]</f>
        <v>4</v>
      </c>
      <c r="R367" s="8">
        <f ca="1">(IF(Table1[[#This Row],[Status]]="Exited",Table1[[#This Row],[Exit Date]]-Table1[[#This Row],[Join Date]],TODAY()-Table1[[#This Row],[Join Date]]))/30</f>
        <v>26.8</v>
      </c>
      <c r="S367">
        <f ca="1">Table1[[#This Row],[Hire Date]]-Table1[[#This Row],[Job Posting Date]]</f>
        <v>34</v>
      </c>
      <c r="T367" s="7">
        <f ca="1">Table1[[#This Row],[Time to onboard]]/Table1[[#This Row],[Time to Fill]]*100</f>
        <v>11.76470588235294</v>
      </c>
      <c r="U367" s="8">
        <f ca="1">Table1[[#This Row],[Time to onboard]]/Table1[[#This Row],[Time to Fill]]*100</f>
        <v>11.76470588235294</v>
      </c>
      <c r="V367">
        <f ca="1">Table1[[#This Row],[Join Date]]-Table1[[#This Row],[Job Posting Date]]</f>
        <v>38</v>
      </c>
      <c r="W367">
        <f t="shared" ca="1" si="51"/>
        <v>155</v>
      </c>
      <c r="X367" s="8">
        <f ca="1">Table1[[#This Row],[Absentee Days]]/Table1[[#This Row],[Total Work Days]]*100</f>
        <v>2.3076923076923079</v>
      </c>
      <c r="Y367">
        <f ca="1">YEAR(Table1[[#This Row],[Join Date]])</f>
        <v>2022</v>
      </c>
      <c r="Z367">
        <f ca="1">IF(Table1[[#This Row],[Status]]="Active",1,0)</f>
        <v>1</v>
      </c>
      <c r="AA367">
        <f ca="1">IF(Table1[[#This Row],[Status]]="Exited",Table1[[#This Row],[Recruitment Cost]]+Table1[[#This Row],[Onboarding cost]]+Table1[[#This Row],[Training Cost]],0)</f>
        <v>0</v>
      </c>
    </row>
    <row r="368" spans="1:27">
      <c r="A368" t="str">
        <f t="shared" si="47"/>
        <v>E367</v>
      </c>
      <c r="B368" t="str" cm="1">
        <f t="array" aca="1" ref="B368" ca="1">INDEX(sheet2!$A$2:$A$6, RANDBETWEEN(1, 5))</f>
        <v>HR</v>
      </c>
      <c r="C368" t="str">
        <f ca="1">_xlfn.XLOOKUP(Table1[[#This Row],[Department]],sheet2!$A$2:$A$6,sheet2!$B$2:$B$6,_xleta.NA,0)</f>
        <v>HR Manager</v>
      </c>
      <c r="D368" s="1">
        <f t="shared" ca="1" si="52"/>
        <v>43323</v>
      </c>
      <c r="E368" s="1">
        <f ca="1">Table1[[#This Row],[Job Posting Date]]+ RANDBETWEEN(15, 90)</f>
        <v>43382</v>
      </c>
      <c r="F368" s="1">
        <f ca="1">Table1[[#This Row],[Hire Date]]+ RANDBETWEEN(1, 15)</f>
        <v>43390</v>
      </c>
      <c r="G368" s="1" t="str">
        <f ca="1">IF(RAND() &lt; 0.5,  Table1[[#This Row],[Join Date]]+ RANDBETWEEN(30, TODAY()- Table1[[#This Row],[Join Date]]), "-")</f>
        <v>-</v>
      </c>
      <c r="H368" t="str">
        <f ca="1">IF(Table1[[#This Row],[Exit Date]]= "-", "Active", "Exited")</f>
        <v>Active</v>
      </c>
      <c r="I368" s="5">
        <f t="shared" ca="1" si="53"/>
        <v>4287</v>
      </c>
      <c r="J368" t="str" cm="1">
        <f t="array" aca="1" ref="J368" ca="1">INDEX(sheet2!$C$2:$C$6, RANDBETWEEN(1, 5))</f>
        <v>Conflict Resolution</v>
      </c>
      <c r="K368" t="str">
        <f t="shared" ca="1" si="54"/>
        <v>Completed</v>
      </c>
      <c r="L368">
        <v>260</v>
      </c>
      <c r="M368">
        <f t="shared" ca="1" si="48"/>
        <v>9</v>
      </c>
      <c r="N368" t="str">
        <f t="shared" ca="1" si="49"/>
        <v>Male</v>
      </c>
      <c r="O368" s="6">
        <f t="shared" ca="1" si="50"/>
        <v>1569</v>
      </c>
      <c r="P368">
        <f ca="1">Table1[[#This Row],[Hire Date]]-Table1[[#This Row],[Job Posting Date]]</f>
        <v>59</v>
      </c>
      <c r="Q368" s="7">
        <f ca="1">Table1[[#This Row],[Join Date]]-Table1[[#This Row],[Hire Date]]</f>
        <v>8</v>
      </c>
      <c r="R368" s="8">
        <f ca="1">(IF(Table1[[#This Row],[Status]]="Exited",Table1[[#This Row],[Exit Date]]-Table1[[#This Row],[Join Date]],TODAY()-Table1[[#This Row],[Join Date]]))/30</f>
        <v>75.766666666666666</v>
      </c>
      <c r="S368">
        <f ca="1">Table1[[#This Row],[Hire Date]]-Table1[[#This Row],[Job Posting Date]]</f>
        <v>59</v>
      </c>
      <c r="T368" s="7">
        <f ca="1">Table1[[#This Row],[Time to onboard]]/Table1[[#This Row],[Time to Fill]]*100</f>
        <v>13.559322033898304</v>
      </c>
      <c r="U368" s="8">
        <f ca="1">Table1[[#This Row],[Time to onboard]]/Table1[[#This Row],[Time to Fill]]*100</f>
        <v>13.559322033898304</v>
      </c>
      <c r="V368">
        <f ca="1">Table1[[#This Row],[Join Date]]-Table1[[#This Row],[Job Posting Date]]</f>
        <v>67</v>
      </c>
      <c r="W368">
        <f t="shared" ca="1" si="51"/>
        <v>167</v>
      </c>
      <c r="X368" s="8">
        <f ca="1">Table1[[#This Row],[Absentee Days]]/Table1[[#This Row],[Total Work Days]]*100</f>
        <v>3.4615384615384617</v>
      </c>
      <c r="Y368">
        <f ca="1">YEAR(Table1[[#This Row],[Join Date]])</f>
        <v>2018</v>
      </c>
      <c r="Z368">
        <f ca="1">IF(Table1[[#This Row],[Status]]="Active",1,0)</f>
        <v>1</v>
      </c>
      <c r="AA368">
        <f ca="1">IF(Table1[[#This Row],[Status]]="Exited",Table1[[#This Row],[Recruitment Cost]]+Table1[[#This Row],[Onboarding cost]]+Table1[[#This Row],[Training Cost]],0)</f>
        <v>0</v>
      </c>
    </row>
    <row r="369" spans="1:27">
      <c r="A369" t="str">
        <f t="shared" si="47"/>
        <v>E368</v>
      </c>
      <c r="B369" t="str" cm="1">
        <f t="array" aca="1" ref="B369" ca="1">INDEX(sheet2!$A$2:$A$6, RANDBETWEEN(1, 5))</f>
        <v>Sales</v>
      </c>
      <c r="C369" t="str">
        <f ca="1">_xlfn.XLOOKUP(Table1[[#This Row],[Department]],sheet2!$A$2:$A$6,sheet2!$B$2:$B$6,_xleta.NA,0)</f>
        <v>Marketing Manager</v>
      </c>
      <c r="D369" s="1">
        <f t="shared" ca="1" si="52"/>
        <v>43499</v>
      </c>
      <c r="E369" s="1">
        <f ca="1">Table1[[#This Row],[Job Posting Date]]+ RANDBETWEEN(15, 90)</f>
        <v>43562</v>
      </c>
      <c r="F369" s="1">
        <f ca="1">Table1[[#This Row],[Hire Date]]+ RANDBETWEEN(1, 15)</f>
        <v>43564</v>
      </c>
      <c r="G369" s="1">
        <f ca="1">IF(RAND() &lt; 0.5,  Table1[[#This Row],[Join Date]]+ RANDBETWEEN(30, TODAY()- Table1[[#This Row],[Join Date]]), "-")</f>
        <v>45344</v>
      </c>
      <c r="H369" t="str">
        <f ca="1">IF(Table1[[#This Row],[Exit Date]]= "-", "Active", "Exited")</f>
        <v>Exited</v>
      </c>
      <c r="I369" s="5">
        <f t="shared" ca="1" si="53"/>
        <v>4455</v>
      </c>
      <c r="J369" t="str" cm="1">
        <f t="array" aca="1" ref="J369" ca="1">INDEX(sheet2!$C$2:$C$6, RANDBETWEEN(1, 5))</f>
        <v>Advanced Excel Skills </v>
      </c>
      <c r="K369" t="str">
        <f t="shared" ca="1" si="54"/>
        <v>Completed</v>
      </c>
      <c r="L369">
        <v>260</v>
      </c>
      <c r="M369">
        <f t="shared" ca="1" si="48"/>
        <v>9</v>
      </c>
      <c r="N369" t="str">
        <f t="shared" ca="1" si="49"/>
        <v>Male</v>
      </c>
      <c r="O369" s="6">
        <f t="shared" ca="1" si="50"/>
        <v>1658</v>
      </c>
      <c r="P369">
        <f ca="1">Table1[[#This Row],[Hire Date]]-Table1[[#This Row],[Job Posting Date]]</f>
        <v>63</v>
      </c>
      <c r="Q369" s="7">
        <f ca="1">Table1[[#This Row],[Join Date]]-Table1[[#This Row],[Hire Date]]</f>
        <v>2</v>
      </c>
      <c r="R369" s="8">
        <f ca="1">(IF(Table1[[#This Row],[Status]]="Exited",Table1[[#This Row],[Exit Date]]-Table1[[#This Row],[Join Date]],TODAY()-Table1[[#This Row],[Join Date]]))/30</f>
        <v>59.333333333333336</v>
      </c>
      <c r="S369">
        <f ca="1">Table1[[#This Row],[Hire Date]]-Table1[[#This Row],[Job Posting Date]]</f>
        <v>63</v>
      </c>
      <c r="T369" s="7">
        <f ca="1">Table1[[#This Row],[Time to onboard]]/Table1[[#This Row],[Time to Fill]]*100</f>
        <v>3.1746031746031744</v>
      </c>
      <c r="U369" s="8">
        <f ca="1">Table1[[#This Row],[Time to onboard]]/Table1[[#This Row],[Time to Fill]]*100</f>
        <v>3.1746031746031744</v>
      </c>
      <c r="V369">
        <f ca="1">Table1[[#This Row],[Join Date]]-Table1[[#This Row],[Job Posting Date]]</f>
        <v>65</v>
      </c>
      <c r="W369">
        <f t="shared" ca="1" si="51"/>
        <v>134</v>
      </c>
      <c r="X369" s="8">
        <f ca="1">Table1[[#This Row],[Absentee Days]]/Table1[[#This Row],[Total Work Days]]*100</f>
        <v>3.4615384615384617</v>
      </c>
      <c r="Y369">
        <f ca="1">YEAR(Table1[[#This Row],[Join Date]])</f>
        <v>2019</v>
      </c>
      <c r="Z369">
        <f ca="1">IF(Table1[[#This Row],[Status]]="Active",1,0)</f>
        <v>0</v>
      </c>
      <c r="AA369">
        <f ca="1">IF(Table1[[#This Row],[Status]]="Exited",Table1[[#This Row],[Recruitment Cost]]+Table1[[#This Row],[Onboarding cost]]+Table1[[#This Row],[Training Cost]],0)</f>
        <v>6247</v>
      </c>
    </row>
    <row r="370" spans="1:27">
      <c r="A370" t="str">
        <f t="shared" si="47"/>
        <v>E369</v>
      </c>
      <c r="B370" t="str" cm="1">
        <f t="array" aca="1" ref="B370" ca="1">INDEX(sheet2!$A$2:$A$6, RANDBETWEEN(1, 5))</f>
        <v>Finance</v>
      </c>
      <c r="C370" t="str">
        <f ca="1">_xlfn.XLOOKUP(Table1[[#This Row],[Department]],sheet2!$A$2:$A$6,sheet2!$B$2:$B$6,_xleta.NA,0)</f>
        <v>Finance Manager</v>
      </c>
      <c r="D370" s="1">
        <f t="shared" ca="1" si="52"/>
        <v>43837</v>
      </c>
      <c r="E370" s="1">
        <f ca="1">Table1[[#This Row],[Job Posting Date]]+ RANDBETWEEN(15, 90)</f>
        <v>43914</v>
      </c>
      <c r="F370" s="1">
        <f ca="1">Table1[[#This Row],[Hire Date]]+ RANDBETWEEN(1, 15)</f>
        <v>43928</v>
      </c>
      <c r="G370" s="1">
        <f ca="1">IF(RAND() &lt; 0.5,  Table1[[#This Row],[Join Date]]+ RANDBETWEEN(30, TODAY()- Table1[[#This Row],[Join Date]]), "-")</f>
        <v>45450</v>
      </c>
      <c r="H370" t="str">
        <f ca="1">IF(Table1[[#This Row],[Exit Date]]= "-", "Active", "Exited")</f>
        <v>Exited</v>
      </c>
      <c r="I370" s="5">
        <f t="shared" ca="1" si="53"/>
        <v>2546</v>
      </c>
      <c r="J370" t="str" cm="1">
        <f t="array" aca="1" ref="J370" ca="1">INDEX(sheet2!$C$2:$C$6, RANDBETWEEN(1, 5))</f>
        <v>Conflict Resolution</v>
      </c>
      <c r="K370" t="str">
        <f t="shared" ca="1" si="54"/>
        <v>Not Completed</v>
      </c>
      <c r="L370">
        <v>260</v>
      </c>
      <c r="M370">
        <f t="shared" ca="1" si="48"/>
        <v>7</v>
      </c>
      <c r="N370" t="str">
        <f t="shared" ca="1" si="49"/>
        <v>Male</v>
      </c>
      <c r="O370" s="6">
        <f t="shared" ca="1" si="50"/>
        <v>2080</v>
      </c>
      <c r="P370">
        <f ca="1">Table1[[#This Row],[Hire Date]]-Table1[[#This Row],[Job Posting Date]]</f>
        <v>77</v>
      </c>
      <c r="Q370" s="7">
        <f ca="1">Table1[[#This Row],[Join Date]]-Table1[[#This Row],[Hire Date]]</f>
        <v>14</v>
      </c>
      <c r="R370" s="8">
        <f ca="1">(IF(Table1[[#This Row],[Status]]="Exited",Table1[[#This Row],[Exit Date]]-Table1[[#This Row],[Join Date]],TODAY()-Table1[[#This Row],[Join Date]]))/30</f>
        <v>50.733333333333334</v>
      </c>
      <c r="S370">
        <f ca="1">Table1[[#This Row],[Hire Date]]-Table1[[#This Row],[Job Posting Date]]</f>
        <v>77</v>
      </c>
      <c r="T370" s="7">
        <f ca="1">Table1[[#This Row],[Time to onboard]]/Table1[[#This Row],[Time to Fill]]*100</f>
        <v>18.181818181818183</v>
      </c>
      <c r="U370" s="8">
        <f ca="1">Table1[[#This Row],[Time to onboard]]/Table1[[#This Row],[Time to Fill]]*100</f>
        <v>18.181818181818183</v>
      </c>
      <c r="V370">
        <f ca="1">Table1[[#This Row],[Join Date]]-Table1[[#This Row],[Job Posting Date]]</f>
        <v>91</v>
      </c>
      <c r="W370">
        <f t="shared" ca="1" si="51"/>
        <v>131</v>
      </c>
      <c r="X370" s="8">
        <f ca="1">Table1[[#This Row],[Absentee Days]]/Table1[[#This Row],[Total Work Days]]*100</f>
        <v>2.6923076923076925</v>
      </c>
      <c r="Y370">
        <f ca="1">YEAR(Table1[[#This Row],[Join Date]])</f>
        <v>2020</v>
      </c>
      <c r="Z370">
        <f ca="1">IF(Table1[[#This Row],[Status]]="Active",1,0)</f>
        <v>0</v>
      </c>
      <c r="AA370">
        <f ca="1">IF(Table1[[#This Row],[Status]]="Exited",Table1[[#This Row],[Recruitment Cost]]+Table1[[#This Row],[Onboarding cost]]+Table1[[#This Row],[Training Cost]],0)</f>
        <v>4757</v>
      </c>
    </row>
    <row r="371" spans="1:27">
      <c r="A371" t="str">
        <f t="shared" si="47"/>
        <v>E370</v>
      </c>
      <c r="B371" t="str" cm="1">
        <f t="array" aca="1" ref="B371" ca="1">INDEX(sheet2!$A$2:$A$6, RANDBETWEEN(1, 5))</f>
        <v>Sales</v>
      </c>
      <c r="C371" t="str">
        <f ca="1">_xlfn.XLOOKUP(Table1[[#This Row],[Department]],sheet2!$A$2:$A$6,sheet2!$B$2:$B$6,_xleta.NA,0)</f>
        <v>Marketing Manager</v>
      </c>
      <c r="D371" s="1">
        <f t="shared" ca="1" si="52"/>
        <v>43437</v>
      </c>
      <c r="E371" s="1">
        <f ca="1">Table1[[#This Row],[Job Posting Date]]+ RANDBETWEEN(15, 90)</f>
        <v>43515</v>
      </c>
      <c r="F371" s="1">
        <f ca="1">Table1[[#This Row],[Hire Date]]+ RANDBETWEEN(1, 15)</f>
        <v>43524</v>
      </c>
      <c r="G371" s="1">
        <f ca="1">IF(RAND() &lt; 0.5,  Table1[[#This Row],[Join Date]]+ RANDBETWEEN(30, TODAY()- Table1[[#This Row],[Join Date]]), "-")</f>
        <v>45306</v>
      </c>
      <c r="H371" t="str">
        <f ca="1">IF(Table1[[#This Row],[Exit Date]]= "-", "Active", "Exited")</f>
        <v>Exited</v>
      </c>
      <c r="I371" s="5">
        <f t="shared" ca="1" si="53"/>
        <v>3772</v>
      </c>
      <c r="J371" t="str" cm="1">
        <f t="array" aca="1" ref="J371" ca="1">INDEX(sheet2!$C$2:$C$6, RANDBETWEEN(1, 5))</f>
        <v>Communication Skills</v>
      </c>
      <c r="K371" t="str">
        <f t="shared" ca="1" si="54"/>
        <v>Completed</v>
      </c>
      <c r="L371">
        <v>260</v>
      </c>
      <c r="M371">
        <f t="shared" ca="1" si="48"/>
        <v>10</v>
      </c>
      <c r="N371" t="str">
        <f t="shared" ca="1" si="49"/>
        <v>Male</v>
      </c>
      <c r="O371" s="6">
        <f t="shared" ca="1" si="50"/>
        <v>1844</v>
      </c>
      <c r="P371">
        <f ca="1">Table1[[#This Row],[Hire Date]]-Table1[[#This Row],[Job Posting Date]]</f>
        <v>78</v>
      </c>
      <c r="Q371" s="7">
        <f ca="1">Table1[[#This Row],[Join Date]]-Table1[[#This Row],[Hire Date]]</f>
        <v>9</v>
      </c>
      <c r="R371" s="8">
        <f ca="1">(IF(Table1[[#This Row],[Status]]="Exited",Table1[[#This Row],[Exit Date]]-Table1[[#This Row],[Join Date]],TODAY()-Table1[[#This Row],[Join Date]]))/30</f>
        <v>59.4</v>
      </c>
      <c r="S371">
        <f ca="1">Table1[[#This Row],[Hire Date]]-Table1[[#This Row],[Job Posting Date]]</f>
        <v>78</v>
      </c>
      <c r="T371" s="7">
        <f ca="1">Table1[[#This Row],[Time to onboard]]/Table1[[#This Row],[Time to Fill]]*100</f>
        <v>11.538461538461538</v>
      </c>
      <c r="U371" s="8">
        <f ca="1">Table1[[#This Row],[Time to onboard]]/Table1[[#This Row],[Time to Fill]]*100</f>
        <v>11.538461538461538</v>
      </c>
      <c r="V371">
        <f ca="1">Table1[[#This Row],[Join Date]]-Table1[[#This Row],[Job Posting Date]]</f>
        <v>87</v>
      </c>
      <c r="W371">
        <f t="shared" ca="1" si="51"/>
        <v>122</v>
      </c>
      <c r="X371" s="8">
        <f ca="1">Table1[[#This Row],[Absentee Days]]/Table1[[#This Row],[Total Work Days]]*100</f>
        <v>3.8461538461538463</v>
      </c>
      <c r="Y371">
        <f ca="1">YEAR(Table1[[#This Row],[Join Date]])</f>
        <v>2019</v>
      </c>
      <c r="Z371">
        <f ca="1">IF(Table1[[#This Row],[Status]]="Active",1,0)</f>
        <v>0</v>
      </c>
      <c r="AA371">
        <f ca="1">IF(Table1[[#This Row],[Status]]="Exited",Table1[[#This Row],[Recruitment Cost]]+Table1[[#This Row],[Onboarding cost]]+Table1[[#This Row],[Training Cost]],0)</f>
        <v>5738</v>
      </c>
    </row>
    <row r="372" spans="1:27">
      <c r="A372" t="str">
        <f t="shared" si="47"/>
        <v>E371</v>
      </c>
      <c r="B372" t="str" cm="1">
        <f t="array" aca="1" ref="B372" ca="1">INDEX(sheet2!$A$2:$A$6, RANDBETWEEN(1, 5))</f>
        <v>Finance</v>
      </c>
      <c r="C372" t="str">
        <f ca="1">_xlfn.XLOOKUP(Table1[[#This Row],[Department]],sheet2!$A$2:$A$6,sheet2!$B$2:$B$6,_xleta.NA,0)</f>
        <v>Finance Manager</v>
      </c>
      <c r="D372" s="1">
        <f t="shared" ca="1" si="52"/>
        <v>43866</v>
      </c>
      <c r="E372" s="1">
        <f ca="1">Table1[[#This Row],[Job Posting Date]]+ RANDBETWEEN(15, 90)</f>
        <v>43936</v>
      </c>
      <c r="F372" s="1">
        <f ca="1">Table1[[#This Row],[Hire Date]]+ RANDBETWEEN(1, 15)</f>
        <v>43938</v>
      </c>
      <c r="G372" s="1" t="str">
        <f ca="1">IF(RAND() &lt; 0.5,  Table1[[#This Row],[Join Date]]+ RANDBETWEEN(30, TODAY()- Table1[[#This Row],[Join Date]]), "-")</f>
        <v>-</v>
      </c>
      <c r="H372" t="str">
        <f ca="1">IF(Table1[[#This Row],[Exit Date]]= "-", "Active", "Exited")</f>
        <v>Active</v>
      </c>
      <c r="I372" s="5">
        <f t="shared" ca="1" si="53"/>
        <v>1537</v>
      </c>
      <c r="J372" t="str" cm="1">
        <f t="array" aca="1" ref="J372" ca="1">INDEX(sheet2!$C$2:$C$6, RANDBETWEEN(1, 5))</f>
        <v>Ethics and Responsibilities</v>
      </c>
      <c r="K372" t="str">
        <f t="shared" ca="1" si="54"/>
        <v>Completed</v>
      </c>
      <c r="L372">
        <v>260</v>
      </c>
      <c r="M372">
        <f t="shared" ca="1" si="48"/>
        <v>20</v>
      </c>
      <c r="N372" t="str">
        <f t="shared" ca="1" si="49"/>
        <v>Female</v>
      </c>
      <c r="O372" s="6">
        <f t="shared" ca="1" si="50"/>
        <v>2320</v>
      </c>
      <c r="P372">
        <f ca="1">Table1[[#This Row],[Hire Date]]-Table1[[#This Row],[Job Posting Date]]</f>
        <v>70</v>
      </c>
      <c r="Q372" s="7">
        <f ca="1">Table1[[#This Row],[Join Date]]-Table1[[#This Row],[Hire Date]]</f>
        <v>2</v>
      </c>
      <c r="R372" s="8">
        <f ca="1">(IF(Table1[[#This Row],[Status]]="Exited",Table1[[#This Row],[Exit Date]]-Table1[[#This Row],[Join Date]],TODAY()-Table1[[#This Row],[Join Date]]))/30</f>
        <v>57.5</v>
      </c>
      <c r="S372">
        <f ca="1">Table1[[#This Row],[Hire Date]]-Table1[[#This Row],[Job Posting Date]]</f>
        <v>70</v>
      </c>
      <c r="T372" s="7">
        <f ca="1">Table1[[#This Row],[Time to onboard]]/Table1[[#This Row],[Time to Fill]]*100</f>
        <v>2.8571428571428572</v>
      </c>
      <c r="U372" s="8">
        <f ca="1">Table1[[#This Row],[Time to onboard]]/Table1[[#This Row],[Time to Fill]]*100</f>
        <v>2.8571428571428572</v>
      </c>
      <c r="V372">
        <f ca="1">Table1[[#This Row],[Join Date]]-Table1[[#This Row],[Job Posting Date]]</f>
        <v>72</v>
      </c>
      <c r="W372">
        <f t="shared" ca="1" si="51"/>
        <v>143</v>
      </c>
      <c r="X372" s="8">
        <f ca="1">Table1[[#This Row],[Absentee Days]]/Table1[[#This Row],[Total Work Days]]*100</f>
        <v>7.6923076923076925</v>
      </c>
      <c r="Y372">
        <f ca="1">YEAR(Table1[[#This Row],[Join Date]])</f>
        <v>2020</v>
      </c>
      <c r="Z372">
        <f ca="1">IF(Table1[[#This Row],[Status]]="Active",1,0)</f>
        <v>1</v>
      </c>
      <c r="AA372">
        <f ca="1">IF(Table1[[#This Row],[Status]]="Exited",Table1[[#This Row],[Recruitment Cost]]+Table1[[#This Row],[Onboarding cost]]+Table1[[#This Row],[Training Cost]],0)</f>
        <v>0</v>
      </c>
    </row>
    <row r="373" spans="1:27">
      <c r="A373" t="str">
        <f t="shared" si="47"/>
        <v>E372</v>
      </c>
      <c r="B373" t="str" cm="1">
        <f t="array" aca="1" ref="B373" ca="1">INDEX(sheet2!$A$2:$A$6, RANDBETWEEN(1, 5))</f>
        <v>Analytics</v>
      </c>
      <c r="C373" t="str">
        <f ca="1">_xlfn.XLOOKUP(Table1[[#This Row],[Department]],sheet2!$A$2:$A$6,sheet2!$B$2:$B$6,_xleta.NA,0)</f>
        <v>Data Analyst</v>
      </c>
      <c r="D373" s="1">
        <f t="shared" ca="1" si="52"/>
        <v>43754</v>
      </c>
      <c r="E373" s="1">
        <f ca="1">Table1[[#This Row],[Job Posting Date]]+ RANDBETWEEN(15, 90)</f>
        <v>43805</v>
      </c>
      <c r="F373" s="1">
        <f ca="1">Table1[[#This Row],[Hire Date]]+ RANDBETWEEN(1, 15)</f>
        <v>43815</v>
      </c>
      <c r="G373" s="1" t="str">
        <f ca="1">IF(RAND() &lt; 0.5,  Table1[[#This Row],[Join Date]]+ RANDBETWEEN(30, TODAY()- Table1[[#This Row],[Join Date]]), "-")</f>
        <v>-</v>
      </c>
      <c r="H373" t="str">
        <f ca="1">IF(Table1[[#This Row],[Exit Date]]= "-", "Active", "Exited")</f>
        <v>Active</v>
      </c>
      <c r="I373" s="5">
        <f t="shared" ca="1" si="53"/>
        <v>1739</v>
      </c>
      <c r="J373" t="str" cm="1">
        <f t="array" aca="1" ref="J373" ca="1">INDEX(sheet2!$C$2:$C$6, RANDBETWEEN(1, 5))</f>
        <v>Advanced Excel Skills </v>
      </c>
      <c r="K373" t="str">
        <f t="shared" ca="1" si="54"/>
        <v>Completed</v>
      </c>
      <c r="L373">
        <v>260</v>
      </c>
      <c r="M373">
        <f t="shared" ca="1" si="48"/>
        <v>14</v>
      </c>
      <c r="N373" t="str">
        <f t="shared" ca="1" si="49"/>
        <v>Male</v>
      </c>
      <c r="O373" s="6">
        <f t="shared" ca="1" si="50"/>
        <v>2346</v>
      </c>
      <c r="P373">
        <f ca="1">Table1[[#This Row],[Hire Date]]-Table1[[#This Row],[Job Posting Date]]</f>
        <v>51</v>
      </c>
      <c r="Q373" s="7">
        <f ca="1">Table1[[#This Row],[Join Date]]-Table1[[#This Row],[Hire Date]]</f>
        <v>10</v>
      </c>
      <c r="R373" s="8">
        <f ca="1">(IF(Table1[[#This Row],[Status]]="Exited",Table1[[#This Row],[Exit Date]]-Table1[[#This Row],[Join Date]],TODAY()-Table1[[#This Row],[Join Date]]))/30</f>
        <v>61.6</v>
      </c>
      <c r="S373">
        <f ca="1">Table1[[#This Row],[Hire Date]]-Table1[[#This Row],[Job Posting Date]]</f>
        <v>51</v>
      </c>
      <c r="T373" s="7">
        <f ca="1">Table1[[#This Row],[Time to onboard]]/Table1[[#This Row],[Time to Fill]]*100</f>
        <v>19.607843137254903</v>
      </c>
      <c r="U373" s="8">
        <f ca="1">Table1[[#This Row],[Time to onboard]]/Table1[[#This Row],[Time to Fill]]*100</f>
        <v>19.607843137254903</v>
      </c>
      <c r="V373">
        <f ca="1">Table1[[#This Row],[Join Date]]-Table1[[#This Row],[Job Posting Date]]</f>
        <v>61</v>
      </c>
      <c r="W373">
        <f t="shared" ca="1" si="51"/>
        <v>110</v>
      </c>
      <c r="X373" s="8">
        <f ca="1">Table1[[#This Row],[Absentee Days]]/Table1[[#This Row],[Total Work Days]]*100</f>
        <v>5.384615384615385</v>
      </c>
      <c r="Y373">
        <f ca="1">YEAR(Table1[[#This Row],[Join Date]])</f>
        <v>2019</v>
      </c>
      <c r="Z373">
        <f ca="1">IF(Table1[[#This Row],[Status]]="Active",1,0)</f>
        <v>1</v>
      </c>
      <c r="AA373">
        <f ca="1">IF(Table1[[#This Row],[Status]]="Exited",Table1[[#This Row],[Recruitment Cost]]+Table1[[#This Row],[Onboarding cost]]+Table1[[#This Row],[Training Cost]],0)</f>
        <v>0</v>
      </c>
    </row>
    <row r="374" spans="1:27">
      <c r="A374" t="str">
        <f t="shared" si="47"/>
        <v>E373</v>
      </c>
      <c r="B374" t="str" cm="1">
        <f t="array" aca="1" ref="B374" ca="1">INDEX(sheet2!$A$2:$A$6, RANDBETWEEN(1, 5))</f>
        <v>IT</v>
      </c>
      <c r="C374" t="str">
        <f ca="1">_xlfn.XLOOKUP(Table1[[#This Row],[Department]],sheet2!$A$2:$A$6,sheet2!$B$2:$B$6,_xleta.NA,0)</f>
        <v>Software Engineer</v>
      </c>
      <c r="D374" s="1">
        <f t="shared" ca="1" si="52"/>
        <v>44242</v>
      </c>
      <c r="E374" s="1">
        <f ca="1">Table1[[#This Row],[Job Posting Date]]+ RANDBETWEEN(15, 90)</f>
        <v>44274</v>
      </c>
      <c r="F374" s="1">
        <f ca="1">Table1[[#This Row],[Hire Date]]+ RANDBETWEEN(1, 15)</f>
        <v>44281</v>
      </c>
      <c r="G374" s="1" t="str">
        <f ca="1">IF(RAND() &lt; 0.5,  Table1[[#This Row],[Join Date]]+ RANDBETWEEN(30, TODAY()- Table1[[#This Row],[Join Date]]), "-")</f>
        <v>-</v>
      </c>
      <c r="H374" t="str">
        <f ca="1">IF(Table1[[#This Row],[Exit Date]]= "-", "Active", "Exited")</f>
        <v>Active</v>
      </c>
      <c r="I374" s="5">
        <f t="shared" ca="1" si="53"/>
        <v>1922</v>
      </c>
      <c r="J374" t="str" cm="1">
        <f t="array" aca="1" ref="J374" ca="1">INDEX(sheet2!$C$2:$C$6, RANDBETWEEN(1, 5))</f>
        <v>Ethics and Responsibilities</v>
      </c>
      <c r="K374" t="str">
        <f t="shared" ca="1" si="54"/>
        <v>Not Completed</v>
      </c>
      <c r="L374">
        <v>260</v>
      </c>
      <c r="M374">
        <f t="shared" ca="1" si="48"/>
        <v>13</v>
      </c>
      <c r="N374" t="str">
        <f t="shared" ca="1" si="49"/>
        <v>Female</v>
      </c>
      <c r="O374" s="6">
        <f t="shared" ca="1" si="50"/>
        <v>1976</v>
      </c>
      <c r="P374">
        <f ca="1">Table1[[#This Row],[Hire Date]]-Table1[[#This Row],[Job Posting Date]]</f>
        <v>32</v>
      </c>
      <c r="Q374" s="7">
        <f ca="1">Table1[[#This Row],[Join Date]]-Table1[[#This Row],[Hire Date]]</f>
        <v>7</v>
      </c>
      <c r="R374" s="8">
        <f ca="1">(IF(Table1[[#This Row],[Status]]="Exited",Table1[[#This Row],[Exit Date]]-Table1[[#This Row],[Join Date]],TODAY()-Table1[[#This Row],[Join Date]]))/30</f>
        <v>46.06666666666667</v>
      </c>
      <c r="S374">
        <f ca="1">Table1[[#This Row],[Hire Date]]-Table1[[#This Row],[Job Posting Date]]</f>
        <v>32</v>
      </c>
      <c r="T374" s="7">
        <f ca="1">Table1[[#This Row],[Time to onboard]]/Table1[[#This Row],[Time to Fill]]*100</f>
        <v>21.875</v>
      </c>
      <c r="U374" s="8">
        <f ca="1">Table1[[#This Row],[Time to onboard]]/Table1[[#This Row],[Time to Fill]]*100</f>
        <v>21.875</v>
      </c>
      <c r="V374">
        <f ca="1">Table1[[#This Row],[Join Date]]-Table1[[#This Row],[Job Posting Date]]</f>
        <v>39</v>
      </c>
      <c r="W374">
        <f t="shared" ca="1" si="51"/>
        <v>186</v>
      </c>
      <c r="X374" s="8">
        <f ca="1">Table1[[#This Row],[Absentee Days]]/Table1[[#This Row],[Total Work Days]]*100</f>
        <v>5</v>
      </c>
      <c r="Y374">
        <f ca="1">YEAR(Table1[[#This Row],[Join Date]])</f>
        <v>2021</v>
      </c>
      <c r="Z374">
        <f ca="1">IF(Table1[[#This Row],[Status]]="Active",1,0)</f>
        <v>1</v>
      </c>
      <c r="AA374">
        <f ca="1">IF(Table1[[#This Row],[Status]]="Exited",Table1[[#This Row],[Recruitment Cost]]+Table1[[#This Row],[Onboarding cost]]+Table1[[#This Row],[Training Cost]],0)</f>
        <v>0</v>
      </c>
    </row>
    <row r="375" spans="1:27">
      <c r="A375" t="str">
        <f t="shared" si="47"/>
        <v>E374</v>
      </c>
      <c r="B375" t="str" cm="1">
        <f t="array" aca="1" ref="B375" ca="1">INDEX(sheet2!$A$2:$A$6, RANDBETWEEN(1, 5))</f>
        <v>IT</v>
      </c>
      <c r="C375" t="str">
        <f ca="1">_xlfn.XLOOKUP(Table1[[#This Row],[Department]],sheet2!$A$2:$A$6,sheet2!$B$2:$B$6,_xleta.NA,0)</f>
        <v>Software Engineer</v>
      </c>
      <c r="D375" s="1">
        <f t="shared" ca="1" si="52"/>
        <v>44031</v>
      </c>
      <c r="E375" s="1">
        <f ca="1">Table1[[#This Row],[Job Posting Date]]+ RANDBETWEEN(15, 90)</f>
        <v>44119</v>
      </c>
      <c r="F375" s="1">
        <f ca="1">Table1[[#This Row],[Hire Date]]+ RANDBETWEEN(1, 15)</f>
        <v>44134</v>
      </c>
      <c r="G375" s="1" t="str">
        <f ca="1">IF(RAND() &lt; 0.5,  Table1[[#This Row],[Join Date]]+ RANDBETWEEN(30, TODAY()- Table1[[#This Row],[Join Date]]), "-")</f>
        <v>-</v>
      </c>
      <c r="H375" t="str">
        <f ca="1">IF(Table1[[#This Row],[Exit Date]]= "-", "Active", "Exited")</f>
        <v>Active</v>
      </c>
      <c r="I375" s="5">
        <f t="shared" ca="1" si="53"/>
        <v>3450</v>
      </c>
      <c r="J375" t="str" cm="1">
        <f t="array" aca="1" ref="J375" ca="1">INDEX(sheet2!$C$2:$C$6, RANDBETWEEN(1, 5))</f>
        <v>Leadership Development</v>
      </c>
      <c r="K375" t="str">
        <f t="shared" ca="1" si="54"/>
        <v>Completed</v>
      </c>
      <c r="L375">
        <v>260</v>
      </c>
      <c r="M375">
        <f t="shared" ca="1" si="48"/>
        <v>9</v>
      </c>
      <c r="N375" t="str">
        <f t="shared" ca="1" si="49"/>
        <v>Other</v>
      </c>
      <c r="O375" s="6">
        <f t="shared" ca="1" si="50"/>
        <v>1386</v>
      </c>
      <c r="P375">
        <f ca="1">Table1[[#This Row],[Hire Date]]-Table1[[#This Row],[Job Posting Date]]</f>
        <v>88</v>
      </c>
      <c r="Q375" s="7">
        <f ca="1">Table1[[#This Row],[Join Date]]-Table1[[#This Row],[Hire Date]]</f>
        <v>15</v>
      </c>
      <c r="R375" s="8">
        <f ca="1">(IF(Table1[[#This Row],[Status]]="Exited",Table1[[#This Row],[Exit Date]]-Table1[[#This Row],[Join Date]],TODAY()-Table1[[#This Row],[Join Date]]))/30</f>
        <v>50.966666666666669</v>
      </c>
      <c r="S375">
        <f ca="1">Table1[[#This Row],[Hire Date]]-Table1[[#This Row],[Job Posting Date]]</f>
        <v>88</v>
      </c>
      <c r="T375" s="7">
        <f ca="1">Table1[[#This Row],[Time to onboard]]/Table1[[#This Row],[Time to Fill]]*100</f>
        <v>17.045454545454543</v>
      </c>
      <c r="U375" s="8">
        <f ca="1">Table1[[#This Row],[Time to onboard]]/Table1[[#This Row],[Time to Fill]]*100</f>
        <v>17.045454545454543</v>
      </c>
      <c r="V375">
        <f ca="1">Table1[[#This Row],[Join Date]]-Table1[[#This Row],[Job Posting Date]]</f>
        <v>103</v>
      </c>
      <c r="W375">
        <f t="shared" ca="1" si="51"/>
        <v>112</v>
      </c>
      <c r="X375" s="8">
        <f ca="1">Table1[[#This Row],[Absentee Days]]/Table1[[#This Row],[Total Work Days]]*100</f>
        <v>3.4615384615384617</v>
      </c>
      <c r="Y375">
        <f ca="1">YEAR(Table1[[#This Row],[Join Date]])</f>
        <v>2020</v>
      </c>
      <c r="Z375">
        <f ca="1">IF(Table1[[#This Row],[Status]]="Active",1,0)</f>
        <v>1</v>
      </c>
      <c r="AA375">
        <f ca="1">IF(Table1[[#This Row],[Status]]="Exited",Table1[[#This Row],[Recruitment Cost]]+Table1[[#This Row],[Onboarding cost]]+Table1[[#This Row],[Training Cost]],0)</f>
        <v>0</v>
      </c>
    </row>
    <row r="376" spans="1:27">
      <c r="A376" t="str">
        <f t="shared" si="47"/>
        <v>E375</v>
      </c>
      <c r="B376" t="str" cm="1">
        <f t="array" aca="1" ref="B376" ca="1">INDEX(sheet2!$A$2:$A$6, RANDBETWEEN(1, 5))</f>
        <v>Analytics</v>
      </c>
      <c r="C376" t="str">
        <f ca="1">_xlfn.XLOOKUP(Table1[[#This Row],[Department]],sheet2!$A$2:$A$6,sheet2!$B$2:$B$6,_xleta.NA,0)</f>
        <v>Data Analyst</v>
      </c>
      <c r="D376" s="1">
        <f t="shared" ca="1" si="52"/>
        <v>43883</v>
      </c>
      <c r="E376" s="1">
        <f ca="1">Table1[[#This Row],[Job Posting Date]]+ RANDBETWEEN(15, 90)</f>
        <v>43905</v>
      </c>
      <c r="F376" s="1">
        <f ca="1">Table1[[#This Row],[Hire Date]]+ RANDBETWEEN(1, 15)</f>
        <v>43910</v>
      </c>
      <c r="G376" s="1">
        <f ca="1">IF(RAND() &lt; 0.5,  Table1[[#This Row],[Join Date]]+ RANDBETWEEN(30, TODAY()- Table1[[#This Row],[Join Date]]), "-")</f>
        <v>44155</v>
      </c>
      <c r="H376" t="str">
        <f ca="1">IF(Table1[[#This Row],[Exit Date]]= "-", "Active", "Exited")</f>
        <v>Exited</v>
      </c>
      <c r="I376" s="5">
        <f t="shared" ca="1" si="53"/>
        <v>4163</v>
      </c>
      <c r="J376" t="str" cm="1">
        <f t="array" aca="1" ref="J376" ca="1">INDEX(sheet2!$C$2:$C$6, RANDBETWEEN(1, 5))</f>
        <v>Advanced Excel Skills </v>
      </c>
      <c r="K376" t="str">
        <f t="shared" ca="1" si="54"/>
        <v>Completed</v>
      </c>
      <c r="L376">
        <v>260</v>
      </c>
      <c r="M376">
        <f t="shared" ca="1" si="48"/>
        <v>3</v>
      </c>
      <c r="N376" t="str">
        <f t="shared" ca="1" si="49"/>
        <v>Male</v>
      </c>
      <c r="O376" s="6">
        <f t="shared" ca="1" si="50"/>
        <v>1584</v>
      </c>
      <c r="P376">
        <f ca="1">Table1[[#This Row],[Hire Date]]-Table1[[#This Row],[Job Posting Date]]</f>
        <v>22</v>
      </c>
      <c r="Q376" s="7">
        <f ca="1">Table1[[#This Row],[Join Date]]-Table1[[#This Row],[Hire Date]]</f>
        <v>5</v>
      </c>
      <c r="R376" s="8">
        <f ca="1">(IF(Table1[[#This Row],[Status]]="Exited",Table1[[#This Row],[Exit Date]]-Table1[[#This Row],[Join Date]],TODAY()-Table1[[#This Row],[Join Date]]))/30</f>
        <v>8.1666666666666661</v>
      </c>
      <c r="S376">
        <f ca="1">Table1[[#This Row],[Hire Date]]-Table1[[#This Row],[Job Posting Date]]</f>
        <v>22</v>
      </c>
      <c r="T376" s="7">
        <f ca="1">Table1[[#This Row],[Time to onboard]]/Table1[[#This Row],[Time to Fill]]*100</f>
        <v>22.727272727272727</v>
      </c>
      <c r="U376" s="8">
        <f ca="1">Table1[[#This Row],[Time to onboard]]/Table1[[#This Row],[Time to Fill]]*100</f>
        <v>22.727272727272727</v>
      </c>
      <c r="V376">
        <f ca="1">Table1[[#This Row],[Join Date]]-Table1[[#This Row],[Job Posting Date]]</f>
        <v>27</v>
      </c>
      <c r="W376">
        <f t="shared" ca="1" si="51"/>
        <v>103</v>
      </c>
      <c r="X376" s="8">
        <f ca="1">Table1[[#This Row],[Absentee Days]]/Table1[[#This Row],[Total Work Days]]*100</f>
        <v>1.153846153846154</v>
      </c>
      <c r="Y376">
        <f ca="1">YEAR(Table1[[#This Row],[Join Date]])</f>
        <v>2020</v>
      </c>
      <c r="Z376">
        <f ca="1">IF(Table1[[#This Row],[Status]]="Active",1,0)</f>
        <v>0</v>
      </c>
      <c r="AA376">
        <f ca="1">IF(Table1[[#This Row],[Status]]="Exited",Table1[[#This Row],[Recruitment Cost]]+Table1[[#This Row],[Onboarding cost]]+Table1[[#This Row],[Training Cost]],0)</f>
        <v>5850</v>
      </c>
    </row>
    <row r="377" spans="1:27">
      <c r="A377" t="str">
        <f t="shared" si="47"/>
        <v>E376</v>
      </c>
      <c r="B377" t="str" cm="1">
        <f t="array" aca="1" ref="B377" ca="1">INDEX(sheet2!$A$2:$A$6, RANDBETWEEN(1, 5))</f>
        <v>Analytics</v>
      </c>
      <c r="C377" t="str">
        <f ca="1">_xlfn.XLOOKUP(Table1[[#This Row],[Department]],sheet2!$A$2:$A$6,sheet2!$B$2:$B$6,_xleta.NA,0)</f>
        <v>Data Analyst</v>
      </c>
      <c r="D377" s="1">
        <f t="shared" ca="1" si="52"/>
        <v>43259</v>
      </c>
      <c r="E377" s="1">
        <f ca="1">Table1[[#This Row],[Job Posting Date]]+ RANDBETWEEN(15, 90)</f>
        <v>43311</v>
      </c>
      <c r="F377" s="1">
        <f ca="1">Table1[[#This Row],[Hire Date]]+ RANDBETWEEN(1, 15)</f>
        <v>43316</v>
      </c>
      <c r="G377" s="1" t="str">
        <f ca="1">IF(RAND() &lt; 0.5,  Table1[[#This Row],[Join Date]]+ RANDBETWEEN(30, TODAY()- Table1[[#This Row],[Join Date]]), "-")</f>
        <v>-</v>
      </c>
      <c r="H377" t="str">
        <f ca="1">IF(Table1[[#This Row],[Exit Date]]= "-", "Active", "Exited")</f>
        <v>Active</v>
      </c>
      <c r="I377" s="5">
        <f t="shared" ca="1" si="53"/>
        <v>4887</v>
      </c>
      <c r="J377" t="str" cm="1">
        <f t="array" aca="1" ref="J377" ca="1">INDEX(sheet2!$C$2:$C$6, RANDBETWEEN(1, 5))</f>
        <v>Leadership Development</v>
      </c>
      <c r="K377" t="str">
        <f t="shared" ca="1" si="54"/>
        <v>Completed</v>
      </c>
      <c r="L377">
        <v>260</v>
      </c>
      <c r="M377">
        <f t="shared" ca="1" si="48"/>
        <v>8</v>
      </c>
      <c r="N377" t="str">
        <f t="shared" ca="1" si="49"/>
        <v>Female</v>
      </c>
      <c r="O377" s="6">
        <f t="shared" ca="1" si="50"/>
        <v>1207</v>
      </c>
      <c r="P377">
        <f ca="1">Table1[[#This Row],[Hire Date]]-Table1[[#This Row],[Job Posting Date]]</f>
        <v>52</v>
      </c>
      <c r="Q377" s="7">
        <f ca="1">Table1[[#This Row],[Join Date]]-Table1[[#This Row],[Hire Date]]</f>
        <v>5</v>
      </c>
      <c r="R377" s="8">
        <f ca="1">(IF(Table1[[#This Row],[Status]]="Exited",Table1[[#This Row],[Exit Date]]-Table1[[#This Row],[Join Date]],TODAY()-Table1[[#This Row],[Join Date]]))/30</f>
        <v>78.233333333333334</v>
      </c>
      <c r="S377">
        <f ca="1">Table1[[#This Row],[Hire Date]]-Table1[[#This Row],[Job Posting Date]]</f>
        <v>52</v>
      </c>
      <c r="T377" s="7">
        <f ca="1">Table1[[#This Row],[Time to onboard]]/Table1[[#This Row],[Time to Fill]]*100</f>
        <v>9.6153846153846168</v>
      </c>
      <c r="U377" s="8">
        <f ca="1">Table1[[#This Row],[Time to onboard]]/Table1[[#This Row],[Time to Fill]]*100</f>
        <v>9.6153846153846168</v>
      </c>
      <c r="V377">
        <f ca="1">Table1[[#This Row],[Join Date]]-Table1[[#This Row],[Job Posting Date]]</f>
        <v>57</v>
      </c>
      <c r="W377">
        <f t="shared" ca="1" si="51"/>
        <v>140</v>
      </c>
      <c r="X377" s="8">
        <f ca="1">Table1[[#This Row],[Absentee Days]]/Table1[[#This Row],[Total Work Days]]*100</f>
        <v>3.0769230769230771</v>
      </c>
      <c r="Y377">
        <f ca="1">YEAR(Table1[[#This Row],[Join Date]])</f>
        <v>2018</v>
      </c>
      <c r="Z377">
        <f ca="1">IF(Table1[[#This Row],[Status]]="Active",1,0)</f>
        <v>1</v>
      </c>
      <c r="AA377">
        <f ca="1">IF(Table1[[#This Row],[Status]]="Exited",Table1[[#This Row],[Recruitment Cost]]+Table1[[#This Row],[Onboarding cost]]+Table1[[#This Row],[Training Cost]],0)</f>
        <v>0</v>
      </c>
    </row>
    <row r="378" spans="1:27">
      <c r="A378" t="str">
        <f t="shared" si="47"/>
        <v>E377</v>
      </c>
      <c r="B378" t="str" cm="1">
        <f t="array" aca="1" ref="B378" ca="1">INDEX(sheet2!$A$2:$A$6, RANDBETWEEN(1, 5))</f>
        <v>Analytics</v>
      </c>
      <c r="C378" t="str">
        <f ca="1">_xlfn.XLOOKUP(Table1[[#This Row],[Department]],sheet2!$A$2:$A$6,sheet2!$B$2:$B$6,_xleta.NA,0)</f>
        <v>Data Analyst</v>
      </c>
      <c r="D378" s="1">
        <f t="shared" ca="1" si="52"/>
        <v>43832</v>
      </c>
      <c r="E378" s="1">
        <f ca="1">Table1[[#This Row],[Job Posting Date]]+ RANDBETWEEN(15, 90)</f>
        <v>43921</v>
      </c>
      <c r="F378" s="1">
        <f ca="1">Table1[[#This Row],[Hire Date]]+ RANDBETWEEN(1, 15)</f>
        <v>43928</v>
      </c>
      <c r="G378" s="1">
        <f ca="1">IF(RAND() &lt; 0.5,  Table1[[#This Row],[Join Date]]+ RANDBETWEEN(30, TODAY()- Table1[[#This Row],[Join Date]]), "-")</f>
        <v>45441</v>
      </c>
      <c r="H378" t="str">
        <f ca="1">IF(Table1[[#This Row],[Exit Date]]= "-", "Active", "Exited")</f>
        <v>Exited</v>
      </c>
      <c r="I378" s="5">
        <f t="shared" ca="1" si="53"/>
        <v>2448</v>
      </c>
      <c r="J378" t="str" cm="1">
        <f t="array" aca="1" ref="J378" ca="1">INDEX(sheet2!$C$2:$C$6, RANDBETWEEN(1, 5))</f>
        <v>Communication Skills</v>
      </c>
      <c r="K378" t="str">
        <f t="shared" ca="1" si="54"/>
        <v>Completed</v>
      </c>
      <c r="L378">
        <v>260</v>
      </c>
      <c r="M378">
        <f t="shared" ca="1" si="48"/>
        <v>3</v>
      </c>
      <c r="N378" t="str">
        <f t="shared" ca="1" si="49"/>
        <v>Female</v>
      </c>
      <c r="O378" s="6">
        <f t="shared" ca="1" si="50"/>
        <v>1252</v>
      </c>
      <c r="P378">
        <f ca="1">Table1[[#This Row],[Hire Date]]-Table1[[#This Row],[Job Posting Date]]</f>
        <v>89</v>
      </c>
      <c r="Q378" s="7">
        <f ca="1">Table1[[#This Row],[Join Date]]-Table1[[#This Row],[Hire Date]]</f>
        <v>7</v>
      </c>
      <c r="R378" s="8">
        <f ca="1">(IF(Table1[[#This Row],[Status]]="Exited",Table1[[#This Row],[Exit Date]]-Table1[[#This Row],[Join Date]],TODAY()-Table1[[#This Row],[Join Date]]))/30</f>
        <v>50.43333333333333</v>
      </c>
      <c r="S378">
        <f ca="1">Table1[[#This Row],[Hire Date]]-Table1[[#This Row],[Job Posting Date]]</f>
        <v>89</v>
      </c>
      <c r="T378" s="7">
        <f ca="1">Table1[[#This Row],[Time to onboard]]/Table1[[#This Row],[Time to Fill]]*100</f>
        <v>7.8651685393258424</v>
      </c>
      <c r="U378" s="8">
        <f ca="1">Table1[[#This Row],[Time to onboard]]/Table1[[#This Row],[Time to Fill]]*100</f>
        <v>7.8651685393258424</v>
      </c>
      <c r="V378">
        <f ca="1">Table1[[#This Row],[Join Date]]-Table1[[#This Row],[Job Posting Date]]</f>
        <v>96</v>
      </c>
      <c r="W378">
        <f t="shared" ca="1" si="51"/>
        <v>192</v>
      </c>
      <c r="X378" s="8">
        <f ca="1">Table1[[#This Row],[Absentee Days]]/Table1[[#This Row],[Total Work Days]]*100</f>
        <v>1.153846153846154</v>
      </c>
      <c r="Y378">
        <f ca="1">YEAR(Table1[[#This Row],[Join Date]])</f>
        <v>2020</v>
      </c>
      <c r="Z378">
        <f ca="1">IF(Table1[[#This Row],[Status]]="Active",1,0)</f>
        <v>0</v>
      </c>
      <c r="AA378">
        <f ca="1">IF(Table1[[#This Row],[Status]]="Exited",Table1[[#This Row],[Recruitment Cost]]+Table1[[#This Row],[Onboarding cost]]+Table1[[#This Row],[Training Cost]],0)</f>
        <v>3892</v>
      </c>
    </row>
    <row r="379" spans="1:27">
      <c r="A379" t="str">
        <f t="shared" si="47"/>
        <v>E378</v>
      </c>
      <c r="B379" t="str" cm="1">
        <f t="array" aca="1" ref="B379" ca="1">INDEX(sheet2!$A$2:$A$6, RANDBETWEEN(1, 5))</f>
        <v>Analytics</v>
      </c>
      <c r="C379" t="str">
        <f ca="1">_xlfn.XLOOKUP(Table1[[#This Row],[Department]],sheet2!$A$2:$A$6,sheet2!$B$2:$B$6,_xleta.NA,0)</f>
        <v>Data Analyst</v>
      </c>
      <c r="D379" s="1">
        <f t="shared" ca="1" si="52"/>
        <v>44275</v>
      </c>
      <c r="E379" s="1">
        <f ca="1">Table1[[#This Row],[Job Posting Date]]+ RANDBETWEEN(15, 90)</f>
        <v>44353</v>
      </c>
      <c r="F379" s="1">
        <f ca="1">Table1[[#This Row],[Hire Date]]+ RANDBETWEEN(1, 15)</f>
        <v>44361</v>
      </c>
      <c r="G379" s="1">
        <f ca="1">IF(RAND() &lt; 0.5,  Table1[[#This Row],[Join Date]]+ RANDBETWEEN(30, TODAY()- Table1[[#This Row],[Join Date]]), "-")</f>
        <v>44982</v>
      </c>
      <c r="H379" t="str">
        <f ca="1">IF(Table1[[#This Row],[Exit Date]]= "-", "Active", "Exited")</f>
        <v>Exited</v>
      </c>
      <c r="I379" s="5">
        <f t="shared" ca="1" si="53"/>
        <v>3578</v>
      </c>
      <c r="J379" t="str" cm="1">
        <f t="array" aca="1" ref="J379" ca="1">INDEX(sheet2!$C$2:$C$6, RANDBETWEEN(1, 5))</f>
        <v>Communication Skills</v>
      </c>
      <c r="K379" t="str">
        <f t="shared" ca="1" si="54"/>
        <v>Not Completed</v>
      </c>
      <c r="L379">
        <v>260</v>
      </c>
      <c r="M379">
        <f t="shared" ca="1" si="48"/>
        <v>3</v>
      </c>
      <c r="N379" t="str">
        <f t="shared" ca="1" si="49"/>
        <v>Other</v>
      </c>
      <c r="O379" s="6">
        <f t="shared" ca="1" si="50"/>
        <v>2374</v>
      </c>
      <c r="P379">
        <f ca="1">Table1[[#This Row],[Hire Date]]-Table1[[#This Row],[Job Posting Date]]</f>
        <v>78</v>
      </c>
      <c r="Q379" s="7">
        <f ca="1">Table1[[#This Row],[Join Date]]-Table1[[#This Row],[Hire Date]]</f>
        <v>8</v>
      </c>
      <c r="R379" s="8">
        <f ca="1">(IF(Table1[[#This Row],[Status]]="Exited",Table1[[#This Row],[Exit Date]]-Table1[[#This Row],[Join Date]],TODAY()-Table1[[#This Row],[Join Date]]))/30</f>
        <v>20.7</v>
      </c>
      <c r="S379">
        <f ca="1">Table1[[#This Row],[Hire Date]]-Table1[[#This Row],[Job Posting Date]]</f>
        <v>78</v>
      </c>
      <c r="T379" s="7">
        <f ca="1">Table1[[#This Row],[Time to onboard]]/Table1[[#This Row],[Time to Fill]]*100</f>
        <v>10.256410256410255</v>
      </c>
      <c r="U379" s="8">
        <f ca="1">Table1[[#This Row],[Time to onboard]]/Table1[[#This Row],[Time to Fill]]*100</f>
        <v>10.256410256410255</v>
      </c>
      <c r="V379">
        <f ca="1">Table1[[#This Row],[Join Date]]-Table1[[#This Row],[Job Posting Date]]</f>
        <v>86</v>
      </c>
      <c r="W379">
        <f t="shared" ca="1" si="51"/>
        <v>195</v>
      </c>
      <c r="X379" s="8">
        <f ca="1">Table1[[#This Row],[Absentee Days]]/Table1[[#This Row],[Total Work Days]]*100</f>
        <v>1.153846153846154</v>
      </c>
      <c r="Y379">
        <f ca="1">YEAR(Table1[[#This Row],[Join Date]])</f>
        <v>2021</v>
      </c>
      <c r="Z379">
        <f ca="1">IF(Table1[[#This Row],[Status]]="Active",1,0)</f>
        <v>0</v>
      </c>
      <c r="AA379">
        <f ca="1">IF(Table1[[#This Row],[Status]]="Exited",Table1[[#This Row],[Recruitment Cost]]+Table1[[#This Row],[Onboarding cost]]+Table1[[#This Row],[Training Cost]],0)</f>
        <v>6147</v>
      </c>
    </row>
    <row r="380" spans="1:27">
      <c r="A380" t="str">
        <f t="shared" si="47"/>
        <v>E379</v>
      </c>
      <c r="B380" t="str" cm="1">
        <f t="array" aca="1" ref="B380" ca="1">INDEX(sheet2!$A$2:$A$6, RANDBETWEEN(1, 5))</f>
        <v>Analytics</v>
      </c>
      <c r="C380" t="str">
        <f ca="1">_xlfn.XLOOKUP(Table1[[#This Row],[Department]],sheet2!$A$2:$A$6,sheet2!$B$2:$B$6,_xleta.NA,0)</f>
        <v>Data Analyst</v>
      </c>
      <c r="D380" s="1">
        <f t="shared" ca="1" si="52"/>
        <v>44575</v>
      </c>
      <c r="E380" s="1">
        <f ca="1">Table1[[#This Row],[Job Posting Date]]+ RANDBETWEEN(15, 90)</f>
        <v>44609</v>
      </c>
      <c r="F380" s="1">
        <f ca="1">Table1[[#This Row],[Hire Date]]+ RANDBETWEEN(1, 15)</f>
        <v>44618</v>
      </c>
      <c r="G380" s="1">
        <f ca="1">IF(RAND() &lt; 0.5,  Table1[[#This Row],[Join Date]]+ RANDBETWEEN(30, TODAY()- Table1[[#This Row],[Join Date]]), "-")</f>
        <v>45056</v>
      </c>
      <c r="H380" t="str">
        <f ca="1">IF(Table1[[#This Row],[Exit Date]]= "-", "Active", "Exited")</f>
        <v>Exited</v>
      </c>
      <c r="I380" s="5">
        <f t="shared" ca="1" si="53"/>
        <v>2228</v>
      </c>
      <c r="J380" t="str" cm="1">
        <f t="array" aca="1" ref="J380" ca="1">INDEX(sheet2!$C$2:$C$6, RANDBETWEEN(1, 5))</f>
        <v>Ethics and Responsibilities</v>
      </c>
      <c r="K380" t="str">
        <f t="shared" ca="1" si="54"/>
        <v>Completed</v>
      </c>
      <c r="L380">
        <v>260</v>
      </c>
      <c r="M380">
        <f t="shared" ca="1" si="48"/>
        <v>4</v>
      </c>
      <c r="N380" t="str">
        <f t="shared" ca="1" si="49"/>
        <v>Other</v>
      </c>
      <c r="O380" s="6">
        <f t="shared" ca="1" si="50"/>
        <v>2213</v>
      </c>
      <c r="P380">
        <f ca="1">Table1[[#This Row],[Hire Date]]-Table1[[#This Row],[Job Posting Date]]</f>
        <v>34</v>
      </c>
      <c r="Q380" s="7">
        <f ca="1">Table1[[#This Row],[Join Date]]-Table1[[#This Row],[Hire Date]]</f>
        <v>9</v>
      </c>
      <c r="R380" s="8">
        <f ca="1">(IF(Table1[[#This Row],[Status]]="Exited",Table1[[#This Row],[Exit Date]]-Table1[[#This Row],[Join Date]],TODAY()-Table1[[#This Row],[Join Date]]))/30</f>
        <v>14.6</v>
      </c>
      <c r="S380">
        <f ca="1">Table1[[#This Row],[Hire Date]]-Table1[[#This Row],[Job Posting Date]]</f>
        <v>34</v>
      </c>
      <c r="T380" s="7">
        <f ca="1">Table1[[#This Row],[Time to onboard]]/Table1[[#This Row],[Time to Fill]]*100</f>
        <v>26.47058823529412</v>
      </c>
      <c r="U380" s="8">
        <f ca="1">Table1[[#This Row],[Time to onboard]]/Table1[[#This Row],[Time to Fill]]*100</f>
        <v>26.47058823529412</v>
      </c>
      <c r="V380">
        <f ca="1">Table1[[#This Row],[Join Date]]-Table1[[#This Row],[Job Posting Date]]</f>
        <v>43</v>
      </c>
      <c r="W380">
        <f t="shared" ca="1" si="51"/>
        <v>153</v>
      </c>
      <c r="X380" s="8">
        <f ca="1">Table1[[#This Row],[Absentee Days]]/Table1[[#This Row],[Total Work Days]]*100</f>
        <v>1.5384615384615385</v>
      </c>
      <c r="Y380">
        <f ca="1">YEAR(Table1[[#This Row],[Join Date]])</f>
        <v>2022</v>
      </c>
      <c r="Z380">
        <f ca="1">IF(Table1[[#This Row],[Status]]="Active",1,0)</f>
        <v>0</v>
      </c>
      <c r="AA380">
        <f ca="1">IF(Table1[[#This Row],[Status]]="Exited",Table1[[#This Row],[Recruitment Cost]]+Table1[[#This Row],[Onboarding cost]]+Table1[[#This Row],[Training Cost]],0)</f>
        <v>4594</v>
      </c>
    </row>
    <row r="381" spans="1:27">
      <c r="A381" t="str">
        <f t="shared" si="47"/>
        <v>E380</v>
      </c>
      <c r="B381" t="str" cm="1">
        <f t="array" aca="1" ref="B381" ca="1">INDEX(sheet2!$A$2:$A$6, RANDBETWEEN(1, 5))</f>
        <v>Sales</v>
      </c>
      <c r="C381" t="str">
        <f ca="1">_xlfn.XLOOKUP(Table1[[#This Row],[Department]],sheet2!$A$2:$A$6,sheet2!$B$2:$B$6,_xleta.NA,0)</f>
        <v>Marketing Manager</v>
      </c>
      <c r="D381" s="1">
        <f t="shared" ca="1" si="52"/>
        <v>43456</v>
      </c>
      <c r="E381" s="1">
        <f ca="1">Table1[[#This Row],[Job Posting Date]]+ RANDBETWEEN(15, 90)</f>
        <v>43509</v>
      </c>
      <c r="F381" s="1">
        <f ca="1">Table1[[#This Row],[Hire Date]]+ RANDBETWEEN(1, 15)</f>
        <v>43512</v>
      </c>
      <c r="G381" s="1">
        <f ca="1">IF(RAND() &lt; 0.5,  Table1[[#This Row],[Join Date]]+ RANDBETWEEN(30, TODAY()- Table1[[#This Row],[Join Date]]), "-")</f>
        <v>45240</v>
      </c>
      <c r="H381" t="str">
        <f ca="1">IF(Table1[[#This Row],[Exit Date]]= "-", "Active", "Exited")</f>
        <v>Exited</v>
      </c>
      <c r="I381" s="5">
        <f t="shared" ca="1" si="53"/>
        <v>2519</v>
      </c>
      <c r="J381" t="str" cm="1">
        <f t="array" aca="1" ref="J381" ca="1">INDEX(sheet2!$C$2:$C$6, RANDBETWEEN(1, 5))</f>
        <v>Advanced Excel Skills </v>
      </c>
      <c r="K381" t="str">
        <f t="shared" ca="1" si="54"/>
        <v>Not Completed</v>
      </c>
      <c r="L381">
        <v>260</v>
      </c>
      <c r="M381">
        <f t="shared" ca="1" si="48"/>
        <v>7</v>
      </c>
      <c r="N381" t="str">
        <f t="shared" ca="1" si="49"/>
        <v>Other</v>
      </c>
      <c r="O381" s="6">
        <f t="shared" ca="1" si="50"/>
        <v>1970</v>
      </c>
      <c r="P381">
        <f ca="1">Table1[[#This Row],[Hire Date]]-Table1[[#This Row],[Job Posting Date]]</f>
        <v>53</v>
      </c>
      <c r="Q381" s="7">
        <f ca="1">Table1[[#This Row],[Join Date]]-Table1[[#This Row],[Hire Date]]</f>
        <v>3</v>
      </c>
      <c r="R381" s="8">
        <f ca="1">(IF(Table1[[#This Row],[Status]]="Exited",Table1[[#This Row],[Exit Date]]-Table1[[#This Row],[Join Date]],TODAY()-Table1[[#This Row],[Join Date]]))/30</f>
        <v>57.6</v>
      </c>
      <c r="S381">
        <f ca="1">Table1[[#This Row],[Hire Date]]-Table1[[#This Row],[Job Posting Date]]</f>
        <v>53</v>
      </c>
      <c r="T381" s="7">
        <f ca="1">Table1[[#This Row],[Time to onboard]]/Table1[[#This Row],[Time to Fill]]*100</f>
        <v>5.6603773584905666</v>
      </c>
      <c r="U381" s="8">
        <f ca="1">Table1[[#This Row],[Time to onboard]]/Table1[[#This Row],[Time to Fill]]*100</f>
        <v>5.6603773584905666</v>
      </c>
      <c r="V381">
        <f ca="1">Table1[[#This Row],[Join Date]]-Table1[[#This Row],[Job Posting Date]]</f>
        <v>56</v>
      </c>
      <c r="W381">
        <f t="shared" ca="1" si="51"/>
        <v>182</v>
      </c>
      <c r="X381" s="8">
        <f ca="1">Table1[[#This Row],[Absentee Days]]/Table1[[#This Row],[Total Work Days]]*100</f>
        <v>2.6923076923076925</v>
      </c>
      <c r="Y381">
        <f ca="1">YEAR(Table1[[#This Row],[Join Date]])</f>
        <v>2019</v>
      </c>
      <c r="Z381">
        <f ca="1">IF(Table1[[#This Row],[Status]]="Active",1,0)</f>
        <v>0</v>
      </c>
      <c r="AA381">
        <f ca="1">IF(Table1[[#This Row],[Status]]="Exited",Table1[[#This Row],[Recruitment Cost]]+Table1[[#This Row],[Onboarding cost]]+Table1[[#This Row],[Training Cost]],0)</f>
        <v>4671</v>
      </c>
    </row>
    <row r="382" spans="1:27">
      <c r="A382" t="str">
        <f t="shared" si="47"/>
        <v>E381</v>
      </c>
      <c r="B382" t="str" cm="1">
        <f t="array" aca="1" ref="B382" ca="1">INDEX(sheet2!$A$2:$A$6, RANDBETWEEN(1, 5))</f>
        <v>IT</v>
      </c>
      <c r="C382" t="str">
        <f ca="1">_xlfn.XLOOKUP(Table1[[#This Row],[Department]],sheet2!$A$2:$A$6,sheet2!$B$2:$B$6,_xleta.NA,0)</f>
        <v>Software Engineer</v>
      </c>
      <c r="D382" s="1">
        <f t="shared" ca="1" si="52"/>
        <v>43672</v>
      </c>
      <c r="E382" s="1">
        <f ca="1">Table1[[#This Row],[Job Posting Date]]+ RANDBETWEEN(15, 90)</f>
        <v>43720</v>
      </c>
      <c r="F382" s="1">
        <f ca="1">Table1[[#This Row],[Hire Date]]+ RANDBETWEEN(1, 15)</f>
        <v>43728</v>
      </c>
      <c r="G382" s="1">
        <f ca="1">IF(RAND() &lt; 0.5,  Table1[[#This Row],[Join Date]]+ RANDBETWEEN(30, TODAY()- Table1[[#This Row],[Join Date]]), "-")</f>
        <v>44908</v>
      </c>
      <c r="H382" t="str">
        <f ca="1">IF(Table1[[#This Row],[Exit Date]]= "-", "Active", "Exited")</f>
        <v>Exited</v>
      </c>
      <c r="I382" s="5">
        <f t="shared" ca="1" si="53"/>
        <v>2952</v>
      </c>
      <c r="J382" t="str" cm="1">
        <f t="array" aca="1" ref="J382" ca="1">INDEX(sheet2!$C$2:$C$6, RANDBETWEEN(1, 5))</f>
        <v>Advanced Excel Skills </v>
      </c>
      <c r="K382" t="str">
        <f t="shared" ca="1" si="54"/>
        <v>Completed</v>
      </c>
      <c r="L382">
        <v>260</v>
      </c>
      <c r="M382">
        <f t="shared" ca="1" si="48"/>
        <v>6</v>
      </c>
      <c r="N382" t="str">
        <f t="shared" ca="1" si="49"/>
        <v>Male</v>
      </c>
      <c r="O382" s="6">
        <f t="shared" ca="1" si="50"/>
        <v>1390</v>
      </c>
      <c r="P382">
        <f ca="1">Table1[[#This Row],[Hire Date]]-Table1[[#This Row],[Job Posting Date]]</f>
        <v>48</v>
      </c>
      <c r="Q382" s="7">
        <f ca="1">Table1[[#This Row],[Join Date]]-Table1[[#This Row],[Hire Date]]</f>
        <v>8</v>
      </c>
      <c r="R382" s="8">
        <f ca="1">(IF(Table1[[#This Row],[Status]]="Exited",Table1[[#This Row],[Exit Date]]-Table1[[#This Row],[Join Date]],TODAY()-Table1[[#This Row],[Join Date]]))/30</f>
        <v>39.333333333333336</v>
      </c>
      <c r="S382">
        <f ca="1">Table1[[#This Row],[Hire Date]]-Table1[[#This Row],[Job Posting Date]]</f>
        <v>48</v>
      </c>
      <c r="T382" s="7">
        <f ca="1">Table1[[#This Row],[Time to onboard]]/Table1[[#This Row],[Time to Fill]]*100</f>
        <v>16.666666666666664</v>
      </c>
      <c r="U382" s="8">
        <f ca="1">Table1[[#This Row],[Time to onboard]]/Table1[[#This Row],[Time to Fill]]*100</f>
        <v>16.666666666666664</v>
      </c>
      <c r="V382">
        <f ca="1">Table1[[#This Row],[Join Date]]-Table1[[#This Row],[Job Posting Date]]</f>
        <v>56</v>
      </c>
      <c r="W382">
        <f t="shared" ca="1" si="51"/>
        <v>133</v>
      </c>
      <c r="X382" s="8">
        <f ca="1">Table1[[#This Row],[Absentee Days]]/Table1[[#This Row],[Total Work Days]]*100</f>
        <v>2.3076923076923079</v>
      </c>
      <c r="Y382">
        <f ca="1">YEAR(Table1[[#This Row],[Join Date]])</f>
        <v>2019</v>
      </c>
      <c r="Z382">
        <f ca="1">IF(Table1[[#This Row],[Status]]="Active",1,0)</f>
        <v>0</v>
      </c>
      <c r="AA382">
        <f ca="1">IF(Table1[[#This Row],[Status]]="Exited",Table1[[#This Row],[Recruitment Cost]]+Table1[[#This Row],[Onboarding cost]]+Table1[[#This Row],[Training Cost]],0)</f>
        <v>4475</v>
      </c>
    </row>
    <row r="383" spans="1:27">
      <c r="A383" t="str">
        <f t="shared" si="47"/>
        <v>E382</v>
      </c>
      <c r="B383" t="str" cm="1">
        <f t="array" aca="1" ref="B383" ca="1">INDEX(sheet2!$A$2:$A$6, RANDBETWEEN(1, 5))</f>
        <v>HR</v>
      </c>
      <c r="C383" t="str">
        <f ca="1">_xlfn.XLOOKUP(Table1[[#This Row],[Department]],sheet2!$A$2:$A$6,sheet2!$B$2:$B$6,_xleta.NA,0)</f>
        <v>HR Manager</v>
      </c>
      <c r="D383" s="1">
        <f t="shared" ca="1" si="52"/>
        <v>43452</v>
      </c>
      <c r="E383" s="1">
        <f ca="1">Table1[[#This Row],[Job Posting Date]]+ RANDBETWEEN(15, 90)</f>
        <v>43535</v>
      </c>
      <c r="F383" s="1">
        <f ca="1">Table1[[#This Row],[Hire Date]]+ RANDBETWEEN(1, 15)</f>
        <v>43536</v>
      </c>
      <c r="G383" s="1" t="str">
        <f ca="1">IF(RAND() &lt; 0.5,  Table1[[#This Row],[Join Date]]+ RANDBETWEEN(30, TODAY()- Table1[[#This Row],[Join Date]]), "-")</f>
        <v>-</v>
      </c>
      <c r="H383" t="str">
        <f ca="1">IF(Table1[[#This Row],[Exit Date]]= "-", "Active", "Exited")</f>
        <v>Active</v>
      </c>
      <c r="I383" s="5">
        <f t="shared" ca="1" si="53"/>
        <v>1977</v>
      </c>
      <c r="J383" t="str" cm="1">
        <f t="array" aca="1" ref="J383" ca="1">INDEX(sheet2!$C$2:$C$6, RANDBETWEEN(1, 5))</f>
        <v>Ethics and Responsibilities</v>
      </c>
      <c r="K383" t="str">
        <f t="shared" ca="1" si="54"/>
        <v>Completed</v>
      </c>
      <c r="L383">
        <v>260</v>
      </c>
      <c r="M383">
        <f t="shared" ca="1" si="48"/>
        <v>0</v>
      </c>
      <c r="N383" t="str">
        <f t="shared" ca="1" si="49"/>
        <v>Male</v>
      </c>
      <c r="O383" s="6">
        <f t="shared" ca="1" si="50"/>
        <v>1353</v>
      </c>
      <c r="P383">
        <f ca="1">Table1[[#This Row],[Hire Date]]-Table1[[#This Row],[Job Posting Date]]</f>
        <v>83</v>
      </c>
      <c r="Q383" s="7">
        <f ca="1">Table1[[#This Row],[Join Date]]-Table1[[#This Row],[Hire Date]]</f>
        <v>1</v>
      </c>
      <c r="R383" s="8">
        <f ca="1">(IF(Table1[[#This Row],[Status]]="Exited",Table1[[#This Row],[Exit Date]]-Table1[[#This Row],[Join Date]],TODAY()-Table1[[#This Row],[Join Date]]))/30</f>
        <v>70.900000000000006</v>
      </c>
      <c r="S383">
        <f ca="1">Table1[[#This Row],[Hire Date]]-Table1[[#This Row],[Job Posting Date]]</f>
        <v>83</v>
      </c>
      <c r="T383" s="7">
        <f ca="1">Table1[[#This Row],[Time to onboard]]/Table1[[#This Row],[Time to Fill]]*100</f>
        <v>1.2048192771084338</v>
      </c>
      <c r="U383" s="8">
        <f ca="1">Table1[[#This Row],[Time to onboard]]/Table1[[#This Row],[Time to Fill]]*100</f>
        <v>1.2048192771084338</v>
      </c>
      <c r="V383">
        <f ca="1">Table1[[#This Row],[Join Date]]-Table1[[#This Row],[Job Posting Date]]</f>
        <v>84</v>
      </c>
      <c r="W383">
        <f t="shared" ca="1" si="51"/>
        <v>145</v>
      </c>
      <c r="X383" s="8">
        <f ca="1">Table1[[#This Row],[Absentee Days]]/Table1[[#This Row],[Total Work Days]]*100</f>
        <v>0</v>
      </c>
      <c r="Y383">
        <f ca="1">YEAR(Table1[[#This Row],[Join Date]])</f>
        <v>2019</v>
      </c>
      <c r="Z383">
        <f ca="1">IF(Table1[[#This Row],[Status]]="Active",1,0)</f>
        <v>1</v>
      </c>
      <c r="AA383">
        <f ca="1">IF(Table1[[#This Row],[Status]]="Exited",Table1[[#This Row],[Recruitment Cost]]+Table1[[#This Row],[Onboarding cost]]+Table1[[#This Row],[Training Cost]],0)</f>
        <v>0</v>
      </c>
    </row>
    <row r="384" spans="1:27">
      <c r="A384" t="str">
        <f t="shared" si="47"/>
        <v>E383</v>
      </c>
      <c r="B384" t="str" cm="1">
        <f t="array" aca="1" ref="B384" ca="1">INDEX(sheet2!$A$2:$A$6, RANDBETWEEN(1, 5))</f>
        <v>IT</v>
      </c>
      <c r="C384" t="str">
        <f ca="1">_xlfn.XLOOKUP(Table1[[#This Row],[Department]],sheet2!$A$2:$A$6,sheet2!$B$2:$B$6,_xleta.NA,0)</f>
        <v>Software Engineer</v>
      </c>
      <c r="D384" s="1">
        <f t="shared" ca="1" si="52"/>
        <v>43783</v>
      </c>
      <c r="E384" s="1">
        <f ca="1">Table1[[#This Row],[Job Posting Date]]+ RANDBETWEEN(15, 90)</f>
        <v>43861</v>
      </c>
      <c r="F384" s="1">
        <f ca="1">Table1[[#This Row],[Hire Date]]+ RANDBETWEEN(1, 15)</f>
        <v>43871</v>
      </c>
      <c r="G384" s="1" t="str">
        <f ca="1">IF(RAND() &lt; 0.5,  Table1[[#This Row],[Join Date]]+ RANDBETWEEN(30, TODAY()- Table1[[#This Row],[Join Date]]), "-")</f>
        <v>-</v>
      </c>
      <c r="H384" t="str">
        <f ca="1">IF(Table1[[#This Row],[Exit Date]]= "-", "Active", "Exited")</f>
        <v>Active</v>
      </c>
      <c r="I384" s="5">
        <f t="shared" ca="1" si="53"/>
        <v>3149</v>
      </c>
      <c r="J384" t="str" cm="1">
        <f t="array" aca="1" ref="J384" ca="1">INDEX(sheet2!$C$2:$C$6, RANDBETWEEN(1, 5))</f>
        <v>Advanced Excel Skills </v>
      </c>
      <c r="K384" t="str">
        <f t="shared" ca="1" si="54"/>
        <v>Completed</v>
      </c>
      <c r="L384">
        <v>260</v>
      </c>
      <c r="M384">
        <f t="shared" ca="1" si="48"/>
        <v>19</v>
      </c>
      <c r="N384" t="str">
        <f t="shared" ca="1" si="49"/>
        <v>Male</v>
      </c>
      <c r="O384" s="6">
        <f t="shared" ca="1" si="50"/>
        <v>1805</v>
      </c>
      <c r="P384">
        <f ca="1">Table1[[#This Row],[Hire Date]]-Table1[[#This Row],[Job Posting Date]]</f>
        <v>78</v>
      </c>
      <c r="Q384" s="7">
        <f ca="1">Table1[[#This Row],[Join Date]]-Table1[[#This Row],[Hire Date]]</f>
        <v>10</v>
      </c>
      <c r="R384" s="8">
        <f ca="1">(IF(Table1[[#This Row],[Status]]="Exited",Table1[[#This Row],[Exit Date]]-Table1[[#This Row],[Join Date]],TODAY()-Table1[[#This Row],[Join Date]]))/30</f>
        <v>59.733333333333334</v>
      </c>
      <c r="S384">
        <f ca="1">Table1[[#This Row],[Hire Date]]-Table1[[#This Row],[Job Posting Date]]</f>
        <v>78</v>
      </c>
      <c r="T384" s="7">
        <f ca="1">Table1[[#This Row],[Time to onboard]]/Table1[[#This Row],[Time to Fill]]*100</f>
        <v>12.820512820512819</v>
      </c>
      <c r="U384" s="8">
        <f ca="1">Table1[[#This Row],[Time to onboard]]/Table1[[#This Row],[Time to Fill]]*100</f>
        <v>12.820512820512819</v>
      </c>
      <c r="V384">
        <f ca="1">Table1[[#This Row],[Join Date]]-Table1[[#This Row],[Job Posting Date]]</f>
        <v>88</v>
      </c>
      <c r="W384">
        <f t="shared" ca="1" si="51"/>
        <v>122</v>
      </c>
      <c r="X384" s="8">
        <f ca="1">Table1[[#This Row],[Absentee Days]]/Table1[[#This Row],[Total Work Days]]*100</f>
        <v>7.3076923076923084</v>
      </c>
      <c r="Y384">
        <f ca="1">YEAR(Table1[[#This Row],[Join Date]])</f>
        <v>2020</v>
      </c>
      <c r="Z384">
        <f ca="1">IF(Table1[[#This Row],[Status]]="Active",1,0)</f>
        <v>1</v>
      </c>
      <c r="AA384">
        <f ca="1">IF(Table1[[#This Row],[Status]]="Exited",Table1[[#This Row],[Recruitment Cost]]+Table1[[#This Row],[Onboarding cost]]+Table1[[#This Row],[Training Cost]],0)</f>
        <v>0</v>
      </c>
    </row>
    <row r="385" spans="1:27">
      <c r="A385" t="str">
        <f t="shared" si="47"/>
        <v>E384</v>
      </c>
      <c r="B385" t="str" cm="1">
        <f t="array" aca="1" ref="B385" ca="1">INDEX(sheet2!$A$2:$A$6, RANDBETWEEN(1, 5))</f>
        <v>HR</v>
      </c>
      <c r="C385" t="str">
        <f ca="1">_xlfn.XLOOKUP(Table1[[#This Row],[Department]],sheet2!$A$2:$A$6,sheet2!$B$2:$B$6,_xleta.NA,0)</f>
        <v>HR Manager</v>
      </c>
      <c r="D385" s="1">
        <f t="shared" ca="1" si="52"/>
        <v>43467</v>
      </c>
      <c r="E385" s="1">
        <f ca="1">Table1[[#This Row],[Job Posting Date]]+ RANDBETWEEN(15, 90)</f>
        <v>43489</v>
      </c>
      <c r="F385" s="1">
        <f ca="1">Table1[[#This Row],[Hire Date]]+ RANDBETWEEN(1, 15)</f>
        <v>43503</v>
      </c>
      <c r="G385" s="1" t="str">
        <f ca="1">IF(RAND() &lt; 0.5,  Table1[[#This Row],[Join Date]]+ RANDBETWEEN(30, TODAY()- Table1[[#This Row],[Join Date]]), "-")</f>
        <v>-</v>
      </c>
      <c r="H385" t="str">
        <f ca="1">IF(Table1[[#This Row],[Exit Date]]= "-", "Active", "Exited")</f>
        <v>Active</v>
      </c>
      <c r="I385" s="5">
        <f t="shared" ca="1" si="53"/>
        <v>4902</v>
      </c>
      <c r="J385" t="str" cm="1">
        <f t="array" aca="1" ref="J385" ca="1">INDEX(sheet2!$C$2:$C$6, RANDBETWEEN(1, 5))</f>
        <v>Conflict Resolution</v>
      </c>
      <c r="K385" t="str">
        <f t="shared" ca="1" si="54"/>
        <v>Completed</v>
      </c>
      <c r="L385">
        <v>260</v>
      </c>
      <c r="M385">
        <f t="shared" ca="1" si="48"/>
        <v>16</v>
      </c>
      <c r="N385" t="str">
        <f t="shared" ca="1" si="49"/>
        <v>Other</v>
      </c>
      <c r="O385" s="6">
        <f t="shared" ca="1" si="50"/>
        <v>2173</v>
      </c>
      <c r="P385">
        <f ca="1">Table1[[#This Row],[Hire Date]]-Table1[[#This Row],[Job Posting Date]]</f>
        <v>22</v>
      </c>
      <c r="Q385" s="7">
        <f ca="1">Table1[[#This Row],[Join Date]]-Table1[[#This Row],[Hire Date]]</f>
        <v>14</v>
      </c>
      <c r="R385" s="8">
        <f ca="1">(IF(Table1[[#This Row],[Status]]="Exited",Table1[[#This Row],[Exit Date]]-Table1[[#This Row],[Join Date]],TODAY()-Table1[[#This Row],[Join Date]]))/30</f>
        <v>72</v>
      </c>
      <c r="S385">
        <f ca="1">Table1[[#This Row],[Hire Date]]-Table1[[#This Row],[Job Posting Date]]</f>
        <v>22</v>
      </c>
      <c r="T385" s="7">
        <f ca="1">Table1[[#This Row],[Time to onboard]]/Table1[[#This Row],[Time to Fill]]*100</f>
        <v>63.636363636363633</v>
      </c>
      <c r="U385" s="8">
        <f ca="1">Table1[[#This Row],[Time to onboard]]/Table1[[#This Row],[Time to Fill]]*100</f>
        <v>63.636363636363633</v>
      </c>
      <c r="V385">
        <f ca="1">Table1[[#This Row],[Join Date]]-Table1[[#This Row],[Job Posting Date]]</f>
        <v>36</v>
      </c>
      <c r="W385">
        <f t="shared" ca="1" si="51"/>
        <v>117</v>
      </c>
      <c r="X385" s="8">
        <f ca="1">Table1[[#This Row],[Absentee Days]]/Table1[[#This Row],[Total Work Days]]*100</f>
        <v>6.1538461538461542</v>
      </c>
      <c r="Y385">
        <f ca="1">YEAR(Table1[[#This Row],[Join Date]])</f>
        <v>2019</v>
      </c>
      <c r="Z385">
        <f ca="1">IF(Table1[[#This Row],[Status]]="Active",1,0)</f>
        <v>1</v>
      </c>
      <c r="AA385">
        <f ca="1">IF(Table1[[#This Row],[Status]]="Exited",Table1[[#This Row],[Recruitment Cost]]+Table1[[#This Row],[Onboarding cost]]+Table1[[#This Row],[Training Cost]],0)</f>
        <v>0</v>
      </c>
    </row>
    <row r="386" spans="1:27">
      <c r="A386" t="str">
        <f t="shared" ref="A386:A449" si="55">"E" &amp; TEXT(ROW(A385), "000")</f>
        <v>E385</v>
      </c>
      <c r="B386" t="str" cm="1">
        <f t="array" aca="1" ref="B386" ca="1">INDEX(sheet2!$A$2:$A$6, RANDBETWEEN(1, 5))</f>
        <v>Analytics</v>
      </c>
      <c r="C386" t="str">
        <f ca="1">_xlfn.XLOOKUP(Table1[[#This Row],[Department]],sheet2!$A$2:$A$6,sheet2!$B$2:$B$6,_xleta.NA,0)</f>
        <v>Data Analyst</v>
      </c>
      <c r="D386" s="1">
        <f t="shared" ca="1" si="52"/>
        <v>43145</v>
      </c>
      <c r="E386" s="1">
        <f ca="1">Table1[[#This Row],[Job Posting Date]]+ RANDBETWEEN(15, 90)</f>
        <v>43189</v>
      </c>
      <c r="F386" s="1">
        <f ca="1">Table1[[#This Row],[Hire Date]]+ RANDBETWEEN(1, 15)</f>
        <v>43197</v>
      </c>
      <c r="G386" s="1" t="str">
        <f ca="1">IF(RAND() &lt; 0.5,  Table1[[#This Row],[Join Date]]+ RANDBETWEEN(30, TODAY()- Table1[[#This Row],[Join Date]]), "-")</f>
        <v>-</v>
      </c>
      <c r="H386" t="str">
        <f ca="1">IF(Table1[[#This Row],[Exit Date]]= "-", "Active", "Exited")</f>
        <v>Active</v>
      </c>
      <c r="I386" s="5">
        <f t="shared" ca="1" si="53"/>
        <v>1682</v>
      </c>
      <c r="J386" t="str" cm="1">
        <f t="array" aca="1" ref="J386" ca="1">INDEX(sheet2!$C$2:$C$6, RANDBETWEEN(1, 5))</f>
        <v>Leadership Development</v>
      </c>
      <c r="K386" t="str">
        <f t="shared" ca="1" si="54"/>
        <v>Completed</v>
      </c>
      <c r="L386">
        <v>260</v>
      </c>
      <c r="M386">
        <f t="shared" ref="M386:M449" ca="1" si="56">RANDBETWEEN(0, 20)</f>
        <v>5</v>
      </c>
      <c r="N386" t="str">
        <f t="shared" ref="N386:N449" ca="1" si="57">CHOOSE(RANDBETWEEN(1, 3), "Male", "Female", "Other")</f>
        <v>Other</v>
      </c>
      <c r="O386" s="6">
        <f t="shared" ref="O386:O449" ca="1" si="58">RANDBETWEEN(1200, 2500)</f>
        <v>1495</v>
      </c>
      <c r="P386">
        <f ca="1">Table1[[#This Row],[Hire Date]]-Table1[[#This Row],[Job Posting Date]]</f>
        <v>44</v>
      </c>
      <c r="Q386" s="7">
        <f ca="1">Table1[[#This Row],[Join Date]]-Table1[[#This Row],[Hire Date]]</f>
        <v>8</v>
      </c>
      <c r="R386" s="8">
        <f ca="1">(IF(Table1[[#This Row],[Status]]="Exited",Table1[[#This Row],[Exit Date]]-Table1[[#This Row],[Join Date]],TODAY()-Table1[[#This Row],[Join Date]]))/30</f>
        <v>82.2</v>
      </c>
      <c r="S386">
        <f ca="1">Table1[[#This Row],[Hire Date]]-Table1[[#This Row],[Job Posting Date]]</f>
        <v>44</v>
      </c>
      <c r="T386" s="7">
        <f ca="1">Table1[[#This Row],[Time to onboard]]/Table1[[#This Row],[Time to Fill]]*100</f>
        <v>18.181818181818183</v>
      </c>
      <c r="U386" s="8">
        <f ca="1">Table1[[#This Row],[Time to onboard]]/Table1[[#This Row],[Time to Fill]]*100</f>
        <v>18.181818181818183</v>
      </c>
      <c r="V386">
        <f ca="1">Table1[[#This Row],[Join Date]]-Table1[[#This Row],[Job Posting Date]]</f>
        <v>52</v>
      </c>
      <c r="W386">
        <f t="shared" ref="W386:W449" ca="1" si="59">RANDBETWEEN(100,200)</f>
        <v>135</v>
      </c>
      <c r="X386" s="8">
        <f ca="1">Table1[[#This Row],[Absentee Days]]/Table1[[#This Row],[Total Work Days]]*100</f>
        <v>1.9230769230769231</v>
      </c>
      <c r="Y386">
        <f ca="1">YEAR(Table1[[#This Row],[Join Date]])</f>
        <v>2018</v>
      </c>
      <c r="Z386">
        <f ca="1">IF(Table1[[#This Row],[Status]]="Active",1,0)</f>
        <v>1</v>
      </c>
      <c r="AA386">
        <f ca="1">IF(Table1[[#This Row],[Status]]="Exited",Table1[[#This Row],[Recruitment Cost]]+Table1[[#This Row],[Onboarding cost]]+Table1[[#This Row],[Training Cost]],0)</f>
        <v>0</v>
      </c>
    </row>
    <row r="387" spans="1:27">
      <c r="A387" t="str">
        <f t="shared" si="55"/>
        <v>E386</v>
      </c>
      <c r="B387" t="str" cm="1">
        <f t="array" aca="1" ref="B387" ca="1">INDEX(sheet2!$A$2:$A$6, RANDBETWEEN(1, 5))</f>
        <v>IT</v>
      </c>
      <c r="C387" t="str">
        <f ca="1">_xlfn.XLOOKUP(Table1[[#This Row],[Department]],sheet2!$A$2:$A$6,sheet2!$B$2:$B$6,_xleta.NA,0)</f>
        <v>Software Engineer</v>
      </c>
      <c r="D387" s="1">
        <f t="shared" ca="1" si="52"/>
        <v>44809</v>
      </c>
      <c r="E387" s="1">
        <f ca="1">Table1[[#This Row],[Job Posting Date]]+ RANDBETWEEN(15, 90)</f>
        <v>44874</v>
      </c>
      <c r="F387" s="1">
        <f ca="1">Table1[[#This Row],[Hire Date]]+ RANDBETWEEN(1, 15)</f>
        <v>44887</v>
      </c>
      <c r="G387" s="1">
        <f ca="1">IF(RAND() &lt; 0.5,  Table1[[#This Row],[Join Date]]+ RANDBETWEEN(30, TODAY()- Table1[[#This Row],[Join Date]]), "-")</f>
        <v>45475</v>
      </c>
      <c r="H387" t="str">
        <f ca="1">IF(Table1[[#This Row],[Exit Date]]= "-", "Active", "Exited")</f>
        <v>Exited</v>
      </c>
      <c r="I387" s="5">
        <f t="shared" ca="1" si="53"/>
        <v>4344</v>
      </c>
      <c r="J387" t="str" cm="1">
        <f t="array" aca="1" ref="J387" ca="1">INDEX(sheet2!$C$2:$C$6, RANDBETWEEN(1, 5))</f>
        <v>Communication Skills</v>
      </c>
      <c r="K387" t="str">
        <f t="shared" ca="1" si="54"/>
        <v>Completed</v>
      </c>
      <c r="L387">
        <v>260</v>
      </c>
      <c r="M387">
        <f t="shared" ca="1" si="56"/>
        <v>11</v>
      </c>
      <c r="N387" t="str">
        <f t="shared" ca="1" si="57"/>
        <v>Other</v>
      </c>
      <c r="O387" s="6">
        <f t="shared" ca="1" si="58"/>
        <v>1963</v>
      </c>
      <c r="P387">
        <f ca="1">Table1[[#This Row],[Hire Date]]-Table1[[#This Row],[Job Posting Date]]</f>
        <v>65</v>
      </c>
      <c r="Q387" s="7">
        <f ca="1">Table1[[#This Row],[Join Date]]-Table1[[#This Row],[Hire Date]]</f>
        <v>13</v>
      </c>
      <c r="R387" s="8">
        <f ca="1">(IF(Table1[[#This Row],[Status]]="Exited",Table1[[#This Row],[Exit Date]]-Table1[[#This Row],[Join Date]],TODAY()-Table1[[#This Row],[Join Date]]))/30</f>
        <v>19.600000000000001</v>
      </c>
      <c r="S387">
        <f ca="1">Table1[[#This Row],[Hire Date]]-Table1[[#This Row],[Job Posting Date]]</f>
        <v>65</v>
      </c>
      <c r="T387" s="7">
        <f ca="1">Table1[[#This Row],[Time to onboard]]/Table1[[#This Row],[Time to Fill]]*100</f>
        <v>20</v>
      </c>
      <c r="U387" s="8">
        <f ca="1">Table1[[#This Row],[Time to onboard]]/Table1[[#This Row],[Time to Fill]]*100</f>
        <v>20</v>
      </c>
      <c r="V387">
        <f ca="1">Table1[[#This Row],[Join Date]]-Table1[[#This Row],[Job Posting Date]]</f>
        <v>78</v>
      </c>
      <c r="W387">
        <f t="shared" ca="1" si="59"/>
        <v>165</v>
      </c>
      <c r="X387" s="8">
        <f ca="1">Table1[[#This Row],[Absentee Days]]/Table1[[#This Row],[Total Work Days]]*100</f>
        <v>4.2307692307692308</v>
      </c>
      <c r="Y387">
        <f ca="1">YEAR(Table1[[#This Row],[Join Date]])</f>
        <v>2022</v>
      </c>
      <c r="Z387">
        <f ca="1">IF(Table1[[#This Row],[Status]]="Active",1,0)</f>
        <v>0</v>
      </c>
      <c r="AA387">
        <f ca="1">IF(Table1[[#This Row],[Status]]="Exited",Table1[[#This Row],[Recruitment Cost]]+Table1[[#This Row],[Onboarding cost]]+Table1[[#This Row],[Training Cost]],0)</f>
        <v>6472</v>
      </c>
    </row>
    <row r="388" spans="1:27">
      <c r="A388" t="str">
        <f t="shared" si="55"/>
        <v>E387</v>
      </c>
      <c r="B388" t="str" cm="1">
        <f t="array" aca="1" ref="B388" ca="1">INDEX(sheet2!$A$2:$A$6, RANDBETWEEN(1, 5))</f>
        <v>Finance</v>
      </c>
      <c r="C388" t="str">
        <f ca="1">_xlfn.XLOOKUP(Table1[[#This Row],[Department]],sheet2!$A$2:$A$6,sheet2!$B$2:$B$6,_xleta.NA,0)</f>
        <v>Finance Manager</v>
      </c>
      <c r="D388" s="1">
        <f t="shared" ca="1" si="52"/>
        <v>44642</v>
      </c>
      <c r="E388" s="1">
        <f ca="1">Table1[[#This Row],[Job Posting Date]]+ RANDBETWEEN(15, 90)</f>
        <v>44731</v>
      </c>
      <c r="F388" s="1">
        <f ca="1">Table1[[#This Row],[Hire Date]]+ RANDBETWEEN(1, 15)</f>
        <v>44740</v>
      </c>
      <c r="G388" s="1">
        <f ca="1">IF(RAND() &lt; 0.5,  Table1[[#This Row],[Join Date]]+ RANDBETWEEN(30, TODAY()- Table1[[#This Row],[Join Date]]), "-")</f>
        <v>45389</v>
      </c>
      <c r="H388" t="str">
        <f ca="1">IF(Table1[[#This Row],[Exit Date]]= "-", "Active", "Exited")</f>
        <v>Exited</v>
      </c>
      <c r="I388" s="5">
        <f t="shared" ca="1" si="53"/>
        <v>2355</v>
      </c>
      <c r="J388" t="str" cm="1">
        <f t="array" aca="1" ref="J388" ca="1">INDEX(sheet2!$C$2:$C$6, RANDBETWEEN(1, 5))</f>
        <v>Conflict Resolution</v>
      </c>
      <c r="K388" t="str">
        <f t="shared" ca="1" si="54"/>
        <v>Completed</v>
      </c>
      <c r="L388">
        <v>260</v>
      </c>
      <c r="M388">
        <f t="shared" ca="1" si="56"/>
        <v>13</v>
      </c>
      <c r="N388" t="str">
        <f t="shared" ca="1" si="57"/>
        <v>Male</v>
      </c>
      <c r="O388" s="6">
        <f t="shared" ca="1" si="58"/>
        <v>1212</v>
      </c>
      <c r="P388">
        <f ca="1">Table1[[#This Row],[Hire Date]]-Table1[[#This Row],[Job Posting Date]]</f>
        <v>89</v>
      </c>
      <c r="Q388" s="7">
        <f ca="1">Table1[[#This Row],[Join Date]]-Table1[[#This Row],[Hire Date]]</f>
        <v>9</v>
      </c>
      <c r="R388" s="8">
        <f ca="1">(IF(Table1[[#This Row],[Status]]="Exited",Table1[[#This Row],[Exit Date]]-Table1[[#This Row],[Join Date]],TODAY()-Table1[[#This Row],[Join Date]]))/30</f>
        <v>21.633333333333333</v>
      </c>
      <c r="S388">
        <f ca="1">Table1[[#This Row],[Hire Date]]-Table1[[#This Row],[Job Posting Date]]</f>
        <v>89</v>
      </c>
      <c r="T388" s="7">
        <f ca="1">Table1[[#This Row],[Time to onboard]]/Table1[[#This Row],[Time to Fill]]*100</f>
        <v>10.112359550561797</v>
      </c>
      <c r="U388" s="8">
        <f ca="1">Table1[[#This Row],[Time to onboard]]/Table1[[#This Row],[Time to Fill]]*100</f>
        <v>10.112359550561797</v>
      </c>
      <c r="V388">
        <f ca="1">Table1[[#This Row],[Join Date]]-Table1[[#This Row],[Job Posting Date]]</f>
        <v>98</v>
      </c>
      <c r="W388">
        <f t="shared" ca="1" si="59"/>
        <v>117</v>
      </c>
      <c r="X388" s="8">
        <f ca="1">Table1[[#This Row],[Absentee Days]]/Table1[[#This Row],[Total Work Days]]*100</f>
        <v>5</v>
      </c>
      <c r="Y388">
        <f ca="1">YEAR(Table1[[#This Row],[Join Date]])</f>
        <v>2022</v>
      </c>
      <c r="Z388">
        <f ca="1">IF(Table1[[#This Row],[Status]]="Active",1,0)</f>
        <v>0</v>
      </c>
      <c r="AA388">
        <f ca="1">IF(Table1[[#This Row],[Status]]="Exited",Table1[[#This Row],[Recruitment Cost]]+Table1[[#This Row],[Onboarding cost]]+Table1[[#This Row],[Training Cost]],0)</f>
        <v>3684</v>
      </c>
    </row>
    <row r="389" spans="1:27">
      <c r="A389" t="str">
        <f t="shared" si="55"/>
        <v>E388</v>
      </c>
      <c r="B389" t="str" cm="1">
        <f t="array" aca="1" ref="B389" ca="1">INDEX(sheet2!$A$2:$A$6, RANDBETWEEN(1, 5))</f>
        <v>HR</v>
      </c>
      <c r="C389" t="str">
        <f ca="1">_xlfn.XLOOKUP(Table1[[#This Row],[Department]],sheet2!$A$2:$A$6,sheet2!$B$2:$B$6,_xleta.NA,0)</f>
        <v>HR Manager</v>
      </c>
      <c r="D389" s="1">
        <f t="shared" ca="1" si="52"/>
        <v>44025</v>
      </c>
      <c r="E389" s="1">
        <f ca="1">Table1[[#This Row],[Job Posting Date]]+ RANDBETWEEN(15, 90)</f>
        <v>44103</v>
      </c>
      <c r="F389" s="1">
        <f ca="1">Table1[[#This Row],[Hire Date]]+ RANDBETWEEN(1, 15)</f>
        <v>44109</v>
      </c>
      <c r="G389" s="1">
        <f ca="1">IF(RAND() &lt; 0.5,  Table1[[#This Row],[Join Date]]+ RANDBETWEEN(30, TODAY()- Table1[[#This Row],[Join Date]]), "-")</f>
        <v>44245</v>
      </c>
      <c r="H389" t="str">
        <f ca="1">IF(Table1[[#This Row],[Exit Date]]= "-", "Active", "Exited")</f>
        <v>Exited</v>
      </c>
      <c r="I389" s="5">
        <f t="shared" ca="1" si="53"/>
        <v>2815</v>
      </c>
      <c r="J389" t="str" cm="1">
        <f t="array" aca="1" ref="J389" ca="1">INDEX(sheet2!$C$2:$C$6, RANDBETWEEN(1, 5))</f>
        <v>Advanced Excel Skills </v>
      </c>
      <c r="K389" t="str">
        <f t="shared" ca="1" si="54"/>
        <v>Completed</v>
      </c>
      <c r="L389">
        <v>260</v>
      </c>
      <c r="M389">
        <f t="shared" ca="1" si="56"/>
        <v>10</v>
      </c>
      <c r="N389" t="str">
        <f t="shared" ca="1" si="57"/>
        <v>Other</v>
      </c>
      <c r="O389" s="6">
        <f t="shared" ca="1" si="58"/>
        <v>1823</v>
      </c>
      <c r="P389">
        <f ca="1">Table1[[#This Row],[Hire Date]]-Table1[[#This Row],[Job Posting Date]]</f>
        <v>78</v>
      </c>
      <c r="Q389" s="7">
        <f ca="1">Table1[[#This Row],[Join Date]]-Table1[[#This Row],[Hire Date]]</f>
        <v>6</v>
      </c>
      <c r="R389" s="8">
        <f ca="1">(IF(Table1[[#This Row],[Status]]="Exited",Table1[[#This Row],[Exit Date]]-Table1[[#This Row],[Join Date]],TODAY()-Table1[[#This Row],[Join Date]]))/30</f>
        <v>4.5333333333333332</v>
      </c>
      <c r="S389">
        <f ca="1">Table1[[#This Row],[Hire Date]]-Table1[[#This Row],[Job Posting Date]]</f>
        <v>78</v>
      </c>
      <c r="T389" s="7">
        <f ca="1">Table1[[#This Row],[Time to onboard]]/Table1[[#This Row],[Time to Fill]]*100</f>
        <v>7.6923076923076925</v>
      </c>
      <c r="U389" s="8">
        <f ca="1">Table1[[#This Row],[Time to onboard]]/Table1[[#This Row],[Time to Fill]]*100</f>
        <v>7.6923076923076925</v>
      </c>
      <c r="V389">
        <f ca="1">Table1[[#This Row],[Join Date]]-Table1[[#This Row],[Job Posting Date]]</f>
        <v>84</v>
      </c>
      <c r="W389">
        <f t="shared" ca="1" si="59"/>
        <v>103</v>
      </c>
      <c r="X389" s="8">
        <f ca="1">Table1[[#This Row],[Absentee Days]]/Table1[[#This Row],[Total Work Days]]*100</f>
        <v>3.8461538461538463</v>
      </c>
      <c r="Y389">
        <f ca="1">YEAR(Table1[[#This Row],[Join Date]])</f>
        <v>2020</v>
      </c>
      <c r="Z389">
        <f ca="1">IF(Table1[[#This Row],[Status]]="Active",1,0)</f>
        <v>0</v>
      </c>
      <c r="AA389">
        <f ca="1">IF(Table1[[#This Row],[Status]]="Exited",Table1[[#This Row],[Recruitment Cost]]+Table1[[#This Row],[Onboarding cost]]+Table1[[#This Row],[Training Cost]],0)</f>
        <v>4741</v>
      </c>
    </row>
    <row r="390" spans="1:27">
      <c r="A390" t="str">
        <f t="shared" si="55"/>
        <v>E389</v>
      </c>
      <c r="B390" t="str" cm="1">
        <f t="array" aca="1" ref="B390" ca="1">INDEX(sheet2!$A$2:$A$6, RANDBETWEEN(1, 5))</f>
        <v>Finance</v>
      </c>
      <c r="C390" t="str">
        <f ca="1">_xlfn.XLOOKUP(Table1[[#This Row],[Department]],sheet2!$A$2:$A$6,sheet2!$B$2:$B$6,_xleta.NA,0)</f>
        <v>Finance Manager</v>
      </c>
      <c r="D390" s="1">
        <f t="shared" ca="1" si="52"/>
        <v>44866</v>
      </c>
      <c r="E390" s="1">
        <f ca="1">Table1[[#This Row],[Job Posting Date]]+ RANDBETWEEN(15, 90)</f>
        <v>44887</v>
      </c>
      <c r="F390" s="1">
        <f ca="1">Table1[[#This Row],[Hire Date]]+ RANDBETWEEN(1, 15)</f>
        <v>44900</v>
      </c>
      <c r="G390" s="1">
        <f ca="1">IF(RAND() &lt; 0.5,  Table1[[#This Row],[Join Date]]+ RANDBETWEEN(30, TODAY()- Table1[[#This Row],[Join Date]]), "-")</f>
        <v>45293</v>
      </c>
      <c r="H390" t="str">
        <f ca="1">IF(Table1[[#This Row],[Exit Date]]= "-", "Active", "Exited")</f>
        <v>Exited</v>
      </c>
      <c r="I390" s="5">
        <f t="shared" ca="1" si="53"/>
        <v>2773</v>
      </c>
      <c r="J390" t="str" cm="1">
        <f t="array" aca="1" ref="J390" ca="1">INDEX(sheet2!$C$2:$C$6, RANDBETWEEN(1, 5))</f>
        <v>Conflict Resolution</v>
      </c>
      <c r="K390" t="str">
        <f t="shared" ca="1" si="54"/>
        <v>Completed</v>
      </c>
      <c r="L390">
        <v>260</v>
      </c>
      <c r="M390">
        <f t="shared" ca="1" si="56"/>
        <v>17</v>
      </c>
      <c r="N390" t="str">
        <f t="shared" ca="1" si="57"/>
        <v>Female</v>
      </c>
      <c r="O390" s="6">
        <f t="shared" ca="1" si="58"/>
        <v>1712</v>
      </c>
      <c r="P390">
        <f ca="1">Table1[[#This Row],[Hire Date]]-Table1[[#This Row],[Job Posting Date]]</f>
        <v>21</v>
      </c>
      <c r="Q390" s="7">
        <f ca="1">Table1[[#This Row],[Join Date]]-Table1[[#This Row],[Hire Date]]</f>
        <v>13</v>
      </c>
      <c r="R390" s="8">
        <f ca="1">(IF(Table1[[#This Row],[Status]]="Exited",Table1[[#This Row],[Exit Date]]-Table1[[#This Row],[Join Date]],TODAY()-Table1[[#This Row],[Join Date]]))/30</f>
        <v>13.1</v>
      </c>
      <c r="S390">
        <f ca="1">Table1[[#This Row],[Hire Date]]-Table1[[#This Row],[Job Posting Date]]</f>
        <v>21</v>
      </c>
      <c r="T390" s="7">
        <f ca="1">Table1[[#This Row],[Time to onboard]]/Table1[[#This Row],[Time to Fill]]*100</f>
        <v>61.904761904761905</v>
      </c>
      <c r="U390" s="8">
        <f ca="1">Table1[[#This Row],[Time to onboard]]/Table1[[#This Row],[Time to Fill]]*100</f>
        <v>61.904761904761905</v>
      </c>
      <c r="V390">
        <f ca="1">Table1[[#This Row],[Join Date]]-Table1[[#This Row],[Job Posting Date]]</f>
        <v>34</v>
      </c>
      <c r="W390">
        <f t="shared" ca="1" si="59"/>
        <v>104</v>
      </c>
      <c r="X390" s="8">
        <f ca="1">Table1[[#This Row],[Absentee Days]]/Table1[[#This Row],[Total Work Days]]*100</f>
        <v>6.5384615384615392</v>
      </c>
      <c r="Y390">
        <f ca="1">YEAR(Table1[[#This Row],[Join Date]])</f>
        <v>2022</v>
      </c>
      <c r="Z390">
        <f ca="1">IF(Table1[[#This Row],[Status]]="Active",1,0)</f>
        <v>0</v>
      </c>
      <c r="AA390">
        <f ca="1">IF(Table1[[#This Row],[Status]]="Exited",Table1[[#This Row],[Recruitment Cost]]+Table1[[#This Row],[Onboarding cost]]+Table1[[#This Row],[Training Cost]],0)</f>
        <v>4589</v>
      </c>
    </row>
    <row r="391" spans="1:27">
      <c r="A391" t="str">
        <f t="shared" si="55"/>
        <v>E390</v>
      </c>
      <c r="B391" t="str" cm="1">
        <f t="array" aca="1" ref="B391" ca="1">INDEX(sheet2!$A$2:$A$6, RANDBETWEEN(1, 5))</f>
        <v>HR</v>
      </c>
      <c r="C391" t="str">
        <f ca="1">_xlfn.XLOOKUP(Table1[[#This Row],[Department]],sheet2!$A$2:$A$6,sheet2!$B$2:$B$6,_xleta.NA,0)</f>
        <v>HR Manager</v>
      </c>
      <c r="D391" s="1">
        <f t="shared" ca="1" si="52"/>
        <v>44512</v>
      </c>
      <c r="E391" s="1">
        <f ca="1">Table1[[#This Row],[Job Posting Date]]+ RANDBETWEEN(15, 90)</f>
        <v>44583</v>
      </c>
      <c r="F391" s="1">
        <f ca="1">Table1[[#This Row],[Hire Date]]+ RANDBETWEEN(1, 15)</f>
        <v>44594</v>
      </c>
      <c r="G391" s="1" t="str">
        <f ca="1">IF(RAND() &lt; 0.5,  Table1[[#This Row],[Join Date]]+ RANDBETWEEN(30, TODAY()- Table1[[#This Row],[Join Date]]), "-")</f>
        <v>-</v>
      </c>
      <c r="H391" t="str">
        <f ca="1">IF(Table1[[#This Row],[Exit Date]]= "-", "Active", "Exited")</f>
        <v>Active</v>
      </c>
      <c r="I391" s="5">
        <f t="shared" ca="1" si="53"/>
        <v>3503</v>
      </c>
      <c r="J391" t="str" cm="1">
        <f t="array" aca="1" ref="J391" ca="1">INDEX(sheet2!$C$2:$C$6, RANDBETWEEN(1, 5))</f>
        <v>Conflict Resolution</v>
      </c>
      <c r="K391" t="str">
        <f t="shared" ca="1" si="54"/>
        <v>Completed</v>
      </c>
      <c r="L391">
        <v>260</v>
      </c>
      <c r="M391">
        <f t="shared" ca="1" si="56"/>
        <v>7</v>
      </c>
      <c r="N391" t="str">
        <f t="shared" ca="1" si="57"/>
        <v>Other</v>
      </c>
      <c r="O391" s="6">
        <f t="shared" ca="1" si="58"/>
        <v>1916</v>
      </c>
      <c r="P391">
        <f ca="1">Table1[[#This Row],[Hire Date]]-Table1[[#This Row],[Job Posting Date]]</f>
        <v>71</v>
      </c>
      <c r="Q391" s="7">
        <f ca="1">Table1[[#This Row],[Join Date]]-Table1[[#This Row],[Hire Date]]</f>
        <v>11</v>
      </c>
      <c r="R391" s="8">
        <f ca="1">(IF(Table1[[#This Row],[Status]]="Exited",Table1[[#This Row],[Exit Date]]-Table1[[#This Row],[Join Date]],TODAY()-Table1[[#This Row],[Join Date]]))/30</f>
        <v>35.633333333333333</v>
      </c>
      <c r="S391">
        <f ca="1">Table1[[#This Row],[Hire Date]]-Table1[[#This Row],[Job Posting Date]]</f>
        <v>71</v>
      </c>
      <c r="T391" s="7">
        <f ca="1">Table1[[#This Row],[Time to onboard]]/Table1[[#This Row],[Time to Fill]]*100</f>
        <v>15.492957746478872</v>
      </c>
      <c r="U391" s="8">
        <f ca="1">Table1[[#This Row],[Time to onboard]]/Table1[[#This Row],[Time to Fill]]*100</f>
        <v>15.492957746478872</v>
      </c>
      <c r="V391">
        <f ca="1">Table1[[#This Row],[Join Date]]-Table1[[#This Row],[Job Posting Date]]</f>
        <v>82</v>
      </c>
      <c r="W391">
        <f t="shared" ca="1" si="59"/>
        <v>143</v>
      </c>
      <c r="X391" s="8">
        <f ca="1">Table1[[#This Row],[Absentee Days]]/Table1[[#This Row],[Total Work Days]]*100</f>
        <v>2.6923076923076925</v>
      </c>
      <c r="Y391">
        <f ca="1">YEAR(Table1[[#This Row],[Join Date]])</f>
        <v>2022</v>
      </c>
      <c r="Z391">
        <f ca="1">IF(Table1[[#This Row],[Status]]="Active",1,0)</f>
        <v>1</v>
      </c>
      <c r="AA391">
        <f ca="1">IF(Table1[[#This Row],[Status]]="Exited",Table1[[#This Row],[Recruitment Cost]]+Table1[[#This Row],[Onboarding cost]]+Table1[[#This Row],[Training Cost]],0)</f>
        <v>0</v>
      </c>
    </row>
    <row r="392" spans="1:27">
      <c r="A392" t="str">
        <f t="shared" si="55"/>
        <v>E391</v>
      </c>
      <c r="B392" t="str" cm="1">
        <f t="array" aca="1" ref="B392" ca="1">INDEX(sheet2!$A$2:$A$6, RANDBETWEEN(1, 5))</f>
        <v>IT</v>
      </c>
      <c r="C392" t="str">
        <f ca="1">_xlfn.XLOOKUP(Table1[[#This Row],[Department]],sheet2!$A$2:$A$6,sheet2!$B$2:$B$6,_xleta.NA,0)</f>
        <v>Software Engineer</v>
      </c>
      <c r="D392" s="1">
        <f t="shared" ca="1" si="52"/>
        <v>44245</v>
      </c>
      <c r="E392" s="1">
        <f ca="1">Table1[[#This Row],[Job Posting Date]]+ RANDBETWEEN(15, 90)</f>
        <v>44304</v>
      </c>
      <c r="F392" s="1">
        <f ca="1">Table1[[#This Row],[Hire Date]]+ RANDBETWEEN(1, 15)</f>
        <v>44312</v>
      </c>
      <c r="G392" s="1" t="str">
        <f ca="1">IF(RAND() &lt; 0.5,  Table1[[#This Row],[Join Date]]+ RANDBETWEEN(30, TODAY()- Table1[[#This Row],[Join Date]]), "-")</f>
        <v>-</v>
      </c>
      <c r="H392" t="str">
        <f ca="1">IF(Table1[[#This Row],[Exit Date]]= "-", "Active", "Exited")</f>
        <v>Active</v>
      </c>
      <c r="I392" s="5">
        <f t="shared" ca="1" si="53"/>
        <v>4587</v>
      </c>
      <c r="J392" t="str" cm="1">
        <f t="array" aca="1" ref="J392" ca="1">INDEX(sheet2!$C$2:$C$6, RANDBETWEEN(1, 5))</f>
        <v>Communication Skills</v>
      </c>
      <c r="K392" t="str">
        <f t="shared" ca="1" si="54"/>
        <v>Not Completed</v>
      </c>
      <c r="L392">
        <v>260</v>
      </c>
      <c r="M392">
        <f t="shared" ca="1" si="56"/>
        <v>4</v>
      </c>
      <c r="N392" t="str">
        <f t="shared" ca="1" si="57"/>
        <v>Other</v>
      </c>
      <c r="O392" s="6">
        <f t="shared" ca="1" si="58"/>
        <v>1344</v>
      </c>
      <c r="P392">
        <f ca="1">Table1[[#This Row],[Hire Date]]-Table1[[#This Row],[Job Posting Date]]</f>
        <v>59</v>
      </c>
      <c r="Q392" s="7">
        <f ca="1">Table1[[#This Row],[Join Date]]-Table1[[#This Row],[Hire Date]]</f>
        <v>8</v>
      </c>
      <c r="R392" s="8">
        <f ca="1">(IF(Table1[[#This Row],[Status]]="Exited",Table1[[#This Row],[Exit Date]]-Table1[[#This Row],[Join Date]],TODAY()-Table1[[#This Row],[Join Date]]))/30</f>
        <v>45.033333333333331</v>
      </c>
      <c r="S392">
        <f ca="1">Table1[[#This Row],[Hire Date]]-Table1[[#This Row],[Job Posting Date]]</f>
        <v>59</v>
      </c>
      <c r="T392" s="7">
        <f ca="1">Table1[[#This Row],[Time to onboard]]/Table1[[#This Row],[Time to Fill]]*100</f>
        <v>13.559322033898304</v>
      </c>
      <c r="U392" s="8">
        <f ca="1">Table1[[#This Row],[Time to onboard]]/Table1[[#This Row],[Time to Fill]]*100</f>
        <v>13.559322033898304</v>
      </c>
      <c r="V392">
        <f ca="1">Table1[[#This Row],[Join Date]]-Table1[[#This Row],[Job Posting Date]]</f>
        <v>67</v>
      </c>
      <c r="W392">
        <f t="shared" ca="1" si="59"/>
        <v>121</v>
      </c>
      <c r="X392" s="8">
        <f ca="1">Table1[[#This Row],[Absentee Days]]/Table1[[#This Row],[Total Work Days]]*100</f>
        <v>1.5384615384615385</v>
      </c>
      <c r="Y392">
        <f ca="1">YEAR(Table1[[#This Row],[Join Date]])</f>
        <v>2021</v>
      </c>
      <c r="Z392">
        <f ca="1">IF(Table1[[#This Row],[Status]]="Active",1,0)</f>
        <v>1</v>
      </c>
      <c r="AA392">
        <f ca="1">IF(Table1[[#This Row],[Status]]="Exited",Table1[[#This Row],[Recruitment Cost]]+Table1[[#This Row],[Onboarding cost]]+Table1[[#This Row],[Training Cost]],0)</f>
        <v>0</v>
      </c>
    </row>
    <row r="393" spans="1:27">
      <c r="A393" t="str">
        <f t="shared" si="55"/>
        <v>E392</v>
      </c>
      <c r="B393" t="str" cm="1">
        <f t="array" aca="1" ref="B393" ca="1">INDEX(sheet2!$A$2:$A$6, RANDBETWEEN(1, 5))</f>
        <v>Finance</v>
      </c>
      <c r="C393" t="str">
        <f ca="1">_xlfn.XLOOKUP(Table1[[#This Row],[Department]],sheet2!$A$2:$A$6,sheet2!$B$2:$B$6,_xleta.NA,0)</f>
        <v>Finance Manager</v>
      </c>
      <c r="D393" s="1">
        <f t="shared" ca="1" si="52"/>
        <v>44080</v>
      </c>
      <c r="E393" s="1">
        <f ca="1">Table1[[#This Row],[Job Posting Date]]+ RANDBETWEEN(15, 90)</f>
        <v>44098</v>
      </c>
      <c r="F393" s="1">
        <f ca="1">Table1[[#This Row],[Hire Date]]+ RANDBETWEEN(1, 15)</f>
        <v>44113</v>
      </c>
      <c r="G393" s="1" t="str">
        <f ca="1">IF(RAND() &lt; 0.5,  Table1[[#This Row],[Join Date]]+ RANDBETWEEN(30, TODAY()- Table1[[#This Row],[Join Date]]), "-")</f>
        <v>-</v>
      </c>
      <c r="H393" t="str">
        <f ca="1">IF(Table1[[#This Row],[Exit Date]]= "-", "Active", "Exited")</f>
        <v>Active</v>
      </c>
      <c r="I393" s="5">
        <f t="shared" ca="1" si="53"/>
        <v>3337</v>
      </c>
      <c r="J393" t="str" cm="1">
        <f t="array" aca="1" ref="J393" ca="1">INDEX(sheet2!$C$2:$C$6, RANDBETWEEN(1, 5))</f>
        <v>Ethics and Responsibilities</v>
      </c>
      <c r="K393" t="str">
        <f t="shared" ca="1" si="54"/>
        <v>Completed</v>
      </c>
      <c r="L393">
        <v>260</v>
      </c>
      <c r="M393">
        <f t="shared" ca="1" si="56"/>
        <v>8</v>
      </c>
      <c r="N393" t="str">
        <f t="shared" ca="1" si="57"/>
        <v>Other</v>
      </c>
      <c r="O393" s="6">
        <f t="shared" ca="1" si="58"/>
        <v>2470</v>
      </c>
      <c r="P393">
        <f ca="1">Table1[[#This Row],[Hire Date]]-Table1[[#This Row],[Job Posting Date]]</f>
        <v>18</v>
      </c>
      <c r="Q393" s="7">
        <f ca="1">Table1[[#This Row],[Join Date]]-Table1[[#This Row],[Hire Date]]</f>
        <v>15</v>
      </c>
      <c r="R393" s="8">
        <f ca="1">(IF(Table1[[#This Row],[Status]]="Exited",Table1[[#This Row],[Exit Date]]-Table1[[#This Row],[Join Date]],TODAY()-Table1[[#This Row],[Join Date]]))/30</f>
        <v>51.666666666666664</v>
      </c>
      <c r="S393">
        <f ca="1">Table1[[#This Row],[Hire Date]]-Table1[[#This Row],[Job Posting Date]]</f>
        <v>18</v>
      </c>
      <c r="T393" s="7">
        <f ca="1">Table1[[#This Row],[Time to onboard]]/Table1[[#This Row],[Time to Fill]]*100</f>
        <v>83.333333333333343</v>
      </c>
      <c r="U393" s="8">
        <f ca="1">Table1[[#This Row],[Time to onboard]]/Table1[[#This Row],[Time to Fill]]*100</f>
        <v>83.333333333333343</v>
      </c>
      <c r="V393">
        <f ca="1">Table1[[#This Row],[Join Date]]-Table1[[#This Row],[Job Posting Date]]</f>
        <v>33</v>
      </c>
      <c r="W393">
        <f t="shared" ca="1" si="59"/>
        <v>110</v>
      </c>
      <c r="X393" s="8">
        <f ca="1">Table1[[#This Row],[Absentee Days]]/Table1[[#This Row],[Total Work Days]]*100</f>
        <v>3.0769230769230771</v>
      </c>
      <c r="Y393">
        <f ca="1">YEAR(Table1[[#This Row],[Join Date]])</f>
        <v>2020</v>
      </c>
      <c r="Z393">
        <f ca="1">IF(Table1[[#This Row],[Status]]="Active",1,0)</f>
        <v>1</v>
      </c>
      <c r="AA393">
        <f ca="1">IF(Table1[[#This Row],[Status]]="Exited",Table1[[#This Row],[Recruitment Cost]]+Table1[[#This Row],[Onboarding cost]]+Table1[[#This Row],[Training Cost]],0)</f>
        <v>0</v>
      </c>
    </row>
    <row r="394" spans="1:27">
      <c r="A394" t="str">
        <f t="shared" si="55"/>
        <v>E393</v>
      </c>
      <c r="B394" t="str" cm="1">
        <f t="array" aca="1" ref="B394" ca="1">INDEX(sheet2!$A$2:$A$6, RANDBETWEEN(1, 5))</f>
        <v>IT</v>
      </c>
      <c r="C394" t="str">
        <f ca="1">_xlfn.XLOOKUP(Table1[[#This Row],[Department]],sheet2!$A$2:$A$6,sheet2!$B$2:$B$6,_xleta.NA,0)</f>
        <v>Software Engineer</v>
      </c>
      <c r="D394" s="1">
        <f t="shared" ca="1" si="52"/>
        <v>43874</v>
      </c>
      <c r="E394" s="1">
        <f ca="1">Table1[[#This Row],[Job Posting Date]]+ RANDBETWEEN(15, 90)</f>
        <v>43924</v>
      </c>
      <c r="F394" s="1">
        <f ca="1">Table1[[#This Row],[Hire Date]]+ RANDBETWEEN(1, 15)</f>
        <v>43937</v>
      </c>
      <c r="G394" s="1">
        <f ca="1">IF(RAND() &lt; 0.5,  Table1[[#This Row],[Join Date]]+ RANDBETWEEN(30, TODAY()- Table1[[#This Row],[Join Date]]), "-")</f>
        <v>44547</v>
      </c>
      <c r="H394" t="str">
        <f ca="1">IF(Table1[[#This Row],[Exit Date]]= "-", "Active", "Exited")</f>
        <v>Exited</v>
      </c>
      <c r="I394" s="5">
        <f t="shared" ca="1" si="53"/>
        <v>4726</v>
      </c>
      <c r="J394" t="str" cm="1">
        <f t="array" aca="1" ref="J394" ca="1">INDEX(sheet2!$C$2:$C$6, RANDBETWEEN(1, 5))</f>
        <v>Advanced Excel Skills </v>
      </c>
      <c r="K394" t="str">
        <f t="shared" ca="1" si="54"/>
        <v>Completed</v>
      </c>
      <c r="L394">
        <v>260</v>
      </c>
      <c r="M394">
        <f t="shared" ca="1" si="56"/>
        <v>9</v>
      </c>
      <c r="N394" t="str">
        <f t="shared" ca="1" si="57"/>
        <v>Other</v>
      </c>
      <c r="O394" s="6">
        <f t="shared" ca="1" si="58"/>
        <v>1807</v>
      </c>
      <c r="P394">
        <f ca="1">Table1[[#This Row],[Hire Date]]-Table1[[#This Row],[Job Posting Date]]</f>
        <v>50</v>
      </c>
      <c r="Q394" s="7">
        <f ca="1">Table1[[#This Row],[Join Date]]-Table1[[#This Row],[Hire Date]]</f>
        <v>13</v>
      </c>
      <c r="R394" s="8">
        <f ca="1">(IF(Table1[[#This Row],[Status]]="Exited",Table1[[#This Row],[Exit Date]]-Table1[[#This Row],[Join Date]],TODAY()-Table1[[#This Row],[Join Date]]))/30</f>
        <v>20.333333333333332</v>
      </c>
      <c r="S394">
        <f ca="1">Table1[[#This Row],[Hire Date]]-Table1[[#This Row],[Job Posting Date]]</f>
        <v>50</v>
      </c>
      <c r="T394" s="7">
        <f ca="1">Table1[[#This Row],[Time to onboard]]/Table1[[#This Row],[Time to Fill]]*100</f>
        <v>26</v>
      </c>
      <c r="U394" s="8">
        <f ca="1">Table1[[#This Row],[Time to onboard]]/Table1[[#This Row],[Time to Fill]]*100</f>
        <v>26</v>
      </c>
      <c r="V394">
        <f ca="1">Table1[[#This Row],[Join Date]]-Table1[[#This Row],[Job Posting Date]]</f>
        <v>63</v>
      </c>
      <c r="W394">
        <f t="shared" ca="1" si="59"/>
        <v>148</v>
      </c>
      <c r="X394" s="8">
        <f ca="1">Table1[[#This Row],[Absentee Days]]/Table1[[#This Row],[Total Work Days]]*100</f>
        <v>3.4615384615384617</v>
      </c>
      <c r="Y394">
        <f ca="1">YEAR(Table1[[#This Row],[Join Date]])</f>
        <v>2020</v>
      </c>
      <c r="Z394">
        <f ca="1">IF(Table1[[#This Row],[Status]]="Active",1,0)</f>
        <v>0</v>
      </c>
      <c r="AA394">
        <f ca="1">IF(Table1[[#This Row],[Status]]="Exited",Table1[[#This Row],[Recruitment Cost]]+Table1[[#This Row],[Onboarding cost]]+Table1[[#This Row],[Training Cost]],0)</f>
        <v>6681</v>
      </c>
    </row>
    <row r="395" spans="1:27">
      <c r="A395" t="str">
        <f t="shared" si="55"/>
        <v>E394</v>
      </c>
      <c r="B395" t="str" cm="1">
        <f t="array" aca="1" ref="B395" ca="1">INDEX(sheet2!$A$2:$A$6, RANDBETWEEN(1, 5))</f>
        <v>Analytics</v>
      </c>
      <c r="C395" t="str">
        <f ca="1">_xlfn.XLOOKUP(Table1[[#This Row],[Department]],sheet2!$A$2:$A$6,sheet2!$B$2:$B$6,_xleta.NA,0)</f>
        <v>Data Analyst</v>
      </c>
      <c r="D395" s="1">
        <f t="shared" ca="1" si="52"/>
        <v>44703</v>
      </c>
      <c r="E395" s="1">
        <f ca="1">Table1[[#This Row],[Job Posting Date]]+ RANDBETWEEN(15, 90)</f>
        <v>44726</v>
      </c>
      <c r="F395" s="1">
        <f ca="1">Table1[[#This Row],[Hire Date]]+ RANDBETWEEN(1, 15)</f>
        <v>44741</v>
      </c>
      <c r="G395" s="1" t="str">
        <f ca="1">IF(RAND() &lt; 0.5,  Table1[[#This Row],[Join Date]]+ RANDBETWEEN(30, TODAY()- Table1[[#This Row],[Join Date]]), "-")</f>
        <v>-</v>
      </c>
      <c r="H395" t="str">
        <f ca="1">IF(Table1[[#This Row],[Exit Date]]= "-", "Active", "Exited")</f>
        <v>Active</v>
      </c>
      <c r="I395" s="5">
        <f t="shared" ca="1" si="53"/>
        <v>3676</v>
      </c>
      <c r="J395" t="str" cm="1">
        <f t="array" aca="1" ref="J395" ca="1">INDEX(sheet2!$C$2:$C$6, RANDBETWEEN(1, 5))</f>
        <v>Advanced Excel Skills </v>
      </c>
      <c r="K395" t="str">
        <f t="shared" ca="1" si="54"/>
        <v>Completed</v>
      </c>
      <c r="L395">
        <v>260</v>
      </c>
      <c r="M395">
        <f t="shared" ca="1" si="56"/>
        <v>17</v>
      </c>
      <c r="N395" t="str">
        <f t="shared" ca="1" si="57"/>
        <v>Female</v>
      </c>
      <c r="O395" s="6">
        <f t="shared" ca="1" si="58"/>
        <v>1779</v>
      </c>
      <c r="P395">
        <f ca="1">Table1[[#This Row],[Hire Date]]-Table1[[#This Row],[Job Posting Date]]</f>
        <v>23</v>
      </c>
      <c r="Q395" s="7">
        <f ca="1">Table1[[#This Row],[Join Date]]-Table1[[#This Row],[Hire Date]]</f>
        <v>15</v>
      </c>
      <c r="R395" s="8">
        <f ca="1">(IF(Table1[[#This Row],[Status]]="Exited",Table1[[#This Row],[Exit Date]]-Table1[[#This Row],[Join Date]],TODAY()-Table1[[#This Row],[Join Date]]))/30</f>
        <v>30.733333333333334</v>
      </c>
      <c r="S395">
        <f ca="1">Table1[[#This Row],[Hire Date]]-Table1[[#This Row],[Job Posting Date]]</f>
        <v>23</v>
      </c>
      <c r="T395" s="7">
        <f ca="1">Table1[[#This Row],[Time to onboard]]/Table1[[#This Row],[Time to Fill]]*100</f>
        <v>65.217391304347828</v>
      </c>
      <c r="U395" s="8">
        <f ca="1">Table1[[#This Row],[Time to onboard]]/Table1[[#This Row],[Time to Fill]]*100</f>
        <v>65.217391304347828</v>
      </c>
      <c r="V395">
        <f ca="1">Table1[[#This Row],[Join Date]]-Table1[[#This Row],[Job Posting Date]]</f>
        <v>38</v>
      </c>
      <c r="W395">
        <f t="shared" ca="1" si="59"/>
        <v>164</v>
      </c>
      <c r="X395" s="8">
        <f ca="1">Table1[[#This Row],[Absentee Days]]/Table1[[#This Row],[Total Work Days]]*100</f>
        <v>6.5384615384615392</v>
      </c>
      <c r="Y395">
        <f ca="1">YEAR(Table1[[#This Row],[Join Date]])</f>
        <v>2022</v>
      </c>
      <c r="Z395">
        <f ca="1">IF(Table1[[#This Row],[Status]]="Active",1,0)</f>
        <v>1</v>
      </c>
      <c r="AA395">
        <f ca="1">IF(Table1[[#This Row],[Status]]="Exited",Table1[[#This Row],[Recruitment Cost]]+Table1[[#This Row],[Onboarding cost]]+Table1[[#This Row],[Training Cost]],0)</f>
        <v>0</v>
      </c>
    </row>
    <row r="396" spans="1:27">
      <c r="A396" t="str">
        <f t="shared" si="55"/>
        <v>E395</v>
      </c>
      <c r="B396" t="str" cm="1">
        <f t="array" aca="1" ref="B396" ca="1">INDEX(sheet2!$A$2:$A$6, RANDBETWEEN(1, 5))</f>
        <v>Analytics</v>
      </c>
      <c r="C396" t="str">
        <f ca="1">_xlfn.XLOOKUP(Table1[[#This Row],[Department]],sheet2!$A$2:$A$6,sheet2!$B$2:$B$6,_xleta.NA,0)</f>
        <v>Data Analyst</v>
      </c>
      <c r="D396" s="1">
        <f t="shared" ca="1" si="52"/>
        <v>44873</v>
      </c>
      <c r="E396" s="1">
        <f ca="1">Table1[[#This Row],[Job Posting Date]]+ RANDBETWEEN(15, 90)</f>
        <v>44890</v>
      </c>
      <c r="F396" s="1">
        <f ca="1">Table1[[#This Row],[Hire Date]]+ RANDBETWEEN(1, 15)</f>
        <v>44903</v>
      </c>
      <c r="G396" s="1" t="str">
        <f ca="1">IF(RAND() &lt; 0.5,  Table1[[#This Row],[Join Date]]+ RANDBETWEEN(30, TODAY()- Table1[[#This Row],[Join Date]]), "-")</f>
        <v>-</v>
      </c>
      <c r="H396" t="str">
        <f ca="1">IF(Table1[[#This Row],[Exit Date]]= "-", "Active", "Exited")</f>
        <v>Active</v>
      </c>
      <c r="I396" s="5">
        <f t="shared" ca="1" si="53"/>
        <v>4263</v>
      </c>
      <c r="J396" t="str" cm="1">
        <f t="array" aca="1" ref="J396" ca="1">INDEX(sheet2!$C$2:$C$6, RANDBETWEEN(1, 5))</f>
        <v>Leadership Development</v>
      </c>
      <c r="K396" t="str">
        <f t="shared" ca="1" si="54"/>
        <v>Not Completed</v>
      </c>
      <c r="L396">
        <v>260</v>
      </c>
      <c r="M396">
        <f t="shared" ca="1" si="56"/>
        <v>17</v>
      </c>
      <c r="N396" t="str">
        <f t="shared" ca="1" si="57"/>
        <v>Female</v>
      </c>
      <c r="O396" s="6">
        <f t="shared" ca="1" si="58"/>
        <v>1211</v>
      </c>
      <c r="P396">
        <f ca="1">Table1[[#This Row],[Hire Date]]-Table1[[#This Row],[Job Posting Date]]</f>
        <v>17</v>
      </c>
      <c r="Q396" s="7">
        <f ca="1">Table1[[#This Row],[Join Date]]-Table1[[#This Row],[Hire Date]]</f>
        <v>13</v>
      </c>
      <c r="R396" s="8">
        <f ca="1">(IF(Table1[[#This Row],[Status]]="Exited",Table1[[#This Row],[Exit Date]]-Table1[[#This Row],[Join Date]],TODAY()-Table1[[#This Row],[Join Date]]))/30</f>
        <v>25.333333333333332</v>
      </c>
      <c r="S396">
        <f ca="1">Table1[[#This Row],[Hire Date]]-Table1[[#This Row],[Job Posting Date]]</f>
        <v>17</v>
      </c>
      <c r="T396" s="7">
        <f ca="1">Table1[[#This Row],[Time to onboard]]/Table1[[#This Row],[Time to Fill]]*100</f>
        <v>76.470588235294116</v>
      </c>
      <c r="U396" s="8">
        <f ca="1">Table1[[#This Row],[Time to onboard]]/Table1[[#This Row],[Time to Fill]]*100</f>
        <v>76.470588235294116</v>
      </c>
      <c r="V396">
        <f ca="1">Table1[[#This Row],[Join Date]]-Table1[[#This Row],[Job Posting Date]]</f>
        <v>30</v>
      </c>
      <c r="W396">
        <f t="shared" ca="1" si="59"/>
        <v>162</v>
      </c>
      <c r="X396" s="8">
        <f ca="1">Table1[[#This Row],[Absentee Days]]/Table1[[#This Row],[Total Work Days]]*100</f>
        <v>6.5384615384615392</v>
      </c>
      <c r="Y396">
        <f ca="1">YEAR(Table1[[#This Row],[Join Date]])</f>
        <v>2022</v>
      </c>
      <c r="Z396">
        <f ca="1">IF(Table1[[#This Row],[Status]]="Active",1,0)</f>
        <v>1</v>
      </c>
      <c r="AA396">
        <f ca="1">IF(Table1[[#This Row],[Status]]="Exited",Table1[[#This Row],[Recruitment Cost]]+Table1[[#This Row],[Onboarding cost]]+Table1[[#This Row],[Training Cost]],0)</f>
        <v>0</v>
      </c>
    </row>
    <row r="397" spans="1:27">
      <c r="A397" t="str">
        <f t="shared" si="55"/>
        <v>E396</v>
      </c>
      <c r="B397" t="str" cm="1">
        <f t="array" aca="1" ref="B397" ca="1">INDEX(sheet2!$A$2:$A$6, RANDBETWEEN(1, 5))</f>
        <v>Sales</v>
      </c>
      <c r="C397" t="str">
        <f ca="1">_xlfn.XLOOKUP(Table1[[#This Row],[Department]],sheet2!$A$2:$A$6,sheet2!$B$2:$B$6,_xleta.NA,0)</f>
        <v>Marketing Manager</v>
      </c>
      <c r="D397" s="1">
        <f t="shared" ca="1" si="52"/>
        <v>43772</v>
      </c>
      <c r="E397" s="1">
        <f ca="1">Table1[[#This Row],[Job Posting Date]]+ RANDBETWEEN(15, 90)</f>
        <v>43791</v>
      </c>
      <c r="F397" s="1">
        <f ca="1">Table1[[#This Row],[Hire Date]]+ RANDBETWEEN(1, 15)</f>
        <v>43804</v>
      </c>
      <c r="G397" s="1">
        <f ca="1">IF(RAND() &lt; 0.5,  Table1[[#This Row],[Join Date]]+ RANDBETWEEN(30, TODAY()- Table1[[#This Row],[Join Date]]), "-")</f>
        <v>45362</v>
      </c>
      <c r="H397" t="str">
        <f ca="1">IF(Table1[[#This Row],[Exit Date]]= "-", "Active", "Exited")</f>
        <v>Exited</v>
      </c>
      <c r="I397" s="5">
        <f t="shared" ca="1" si="53"/>
        <v>1918</v>
      </c>
      <c r="J397" t="str" cm="1">
        <f t="array" aca="1" ref="J397" ca="1">INDEX(sheet2!$C$2:$C$6, RANDBETWEEN(1, 5))</f>
        <v>Conflict Resolution</v>
      </c>
      <c r="K397" t="str">
        <f t="shared" ca="1" si="54"/>
        <v>Not Completed</v>
      </c>
      <c r="L397">
        <v>260</v>
      </c>
      <c r="M397">
        <f t="shared" ca="1" si="56"/>
        <v>10</v>
      </c>
      <c r="N397" t="str">
        <f t="shared" ca="1" si="57"/>
        <v>Female</v>
      </c>
      <c r="O397" s="6">
        <f t="shared" ca="1" si="58"/>
        <v>1491</v>
      </c>
      <c r="P397">
        <f ca="1">Table1[[#This Row],[Hire Date]]-Table1[[#This Row],[Job Posting Date]]</f>
        <v>19</v>
      </c>
      <c r="Q397" s="7">
        <f ca="1">Table1[[#This Row],[Join Date]]-Table1[[#This Row],[Hire Date]]</f>
        <v>13</v>
      </c>
      <c r="R397" s="8">
        <f ca="1">(IF(Table1[[#This Row],[Status]]="Exited",Table1[[#This Row],[Exit Date]]-Table1[[#This Row],[Join Date]],TODAY()-Table1[[#This Row],[Join Date]]))/30</f>
        <v>51.93333333333333</v>
      </c>
      <c r="S397">
        <f ca="1">Table1[[#This Row],[Hire Date]]-Table1[[#This Row],[Job Posting Date]]</f>
        <v>19</v>
      </c>
      <c r="T397" s="7">
        <f ca="1">Table1[[#This Row],[Time to onboard]]/Table1[[#This Row],[Time to Fill]]*100</f>
        <v>68.421052631578945</v>
      </c>
      <c r="U397" s="8">
        <f ca="1">Table1[[#This Row],[Time to onboard]]/Table1[[#This Row],[Time to Fill]]*100</f>
        <v>68.421052631578945</v>
      </c>
      <c r="V397">
        <f ca="1">Table1[[#This Row],[Join Date]]-Table1[[#This Row],[Job Posting Date]]</f>
        <v>32</v>
      </c>
      <c r="W397">
        <f t="shared" ca="1" si="59"/>
        <v>107</v>
      </c>
      <c r="X397" s="8">
        <f ca="1">Table1[[#This Row],[Absentee Days]]/Table1[[#This Row],[Total Work Days]]*100</f>
        <v>3.8461538461538463</v>
      </c>
      <c r="Y397">
        <f ca="1">YEAR(Table1[[#This Row],[Join Date]])</f>
        <v>2019</v>
      </c>
      <c r="Z397">
        <f ca="1">IF(Table1[[#This Row],[Status]]="Active",1,0)</f>
        <v>0</v>
      </c>
      <c r="AA397">
        <f ca="1">IF(Table1[[#This Row],[Status]]="Exited",Table1[[#This Row],[Recruitment Cost]]+Table1[[#This Row],[Onboarding cost]]+Table1[[#This Row],[Training Cost]],0)</f>
        <v>3516</v>
      </c>
    </row>
    <row r="398" spans="1:27">
      <c r="A398" t="str">
        <f t="shared" si="55"/>
        <v>E397</v>
      </c>
      <c r="B398" t="str" cm="1">
        <f t="array" aca="1" ref="B398" ca="1">INDEX(sheet2!$A$2:$A$6, RANDBETWEEN(1, 5))</f>
        <v>IT</v>
      </c>
      <c r="C398" t="str">
        <f ca="1">_xlfn.XLOOKUP(Table1[[#This Row],[Department]],sheet2!$A$2:$A$6,sheet2!$B$2:$B$6,_xleta.NA,0)</f>
        <v>Software Engineer</v>
      </c>
      <c r="D398" s="1">
        <f t="shared" ca="1" si="52"/>
        <v>43876</v>
      </c>
      <c r="E398" s="1">
        <f ca="1">Table1[[#This Row],[Job Posting Date]]+ RANDBETWEEN(15, 90)</f>
        <v>43920</v>
      </c>
      <c r="F398" s="1">
        <f ca="1">Table1[[#This Row],[Hire Date]]+ RANDBETWEEN(1, 15)</f>
        <v>43930</v>
      </c>
      <c r="G398" s="1" t="str">
        <f ca="1">IF(RAND() &lt; 0.5,  Table1[[#This Row],[Join Date]]+ RANDBETWEEN(30, TODAY()- Table1[[#This Row],[Join Date]]), "-")</f>
        <v>-</v>
      </c>
      <c r="H398" t="str">
        <f ca="1">IF(Table1[[#This Row],[Exit Date]]= "-", "Active", "Exited")</f>
        <v>Active</v>
      </c>
      <c r="I398" s="5">
        <f t="shared" ca="1" si="53"/>
        <v>2541</v>
      </c>
      <c r="J398" t="str" cm="1">
        <f t="array" aca="1" ref="J398" ca="1">INDEX(sheet2!$C$2:$C$6, RANDBETWEEN(1, 5))</f>
        <v>Advanced Excel Skills </v>
      </c>
      <c r="K398" t="str">
        <f t="shared" ca="1" si="54"/>
        <v>Not Completed</v>
      </c>
      <c r="L398">
        <v>260</v>
      </c>
      <c r="M398">
        <f t="shared" ca="1" si="56"/>
        <v>12</v>
      </c>
      <c r="N398" t="str">
        <f t="shared" ca="1" si="57"/>
        <v>Other</v>
      </c>
      <c r="O398" s="6">
        <f t="shared" ca="1" si="58"/>
        <v>2380</v>
      </c>
      <c r="P398">
        <f ca="1">Table1[[#This Row],[Hire Date]]-Table1[[#This Row],[Job Posting Date]]</f>
        <v>44</v>
      </c>
      <c r="Q398" s="7">
        <f ca="1">Table1[[#This Row],[Join Date]]-Table1[[#This Row],[Hire Date]]</f>
        <v>10</v>
      </c>
      <c r="R398" s="8">
        <f ca="1">(IF(Table1[[#This Row],[Status]]="Exited",Table1[[#This Row],[Exit Date]]-Table1[[#This Row],[Join Date]],TODAY()-Table1[[#This Row],[Join Date]]))/30</f>
        <v>57.766666666666666</v>
      </c>
      <c r="S398">
        <f ca="1">Table1[[#This Row],[Hire Date]]-Table1[[#This Row],[Job Posting Date]]</f>
        <v>44</v>
      </c>
      <c r="T398" s="7">
        <f ca="1">Table1[[#This Row],[Time to onboard]]/Table1[[#This Row],[Time to Fill]]*100</f>
        <v>22.727272727272727</v>
      </c>
      <c r="U398" s="8">
        <f ca="1">Table1[[#This Row],[Time to onboard]]/Table1[[#This Row],[Time to Fill]]*100</f>
        <v>22.727272727272727</v>
      </c>
      <c r="V398">
        <f ca="1">Table1[[#This Row],[Join Date]]-Table1[[#This Row],[Job Posting Date]]</f>
        <v>54</v>
      </c>
      <c r="W398">
        <f t="shared" ca="1" si="59"/>
        <v>104</v>
      </c>
      <c r="X398" s="8">
        <f ca="1">Table1[[#This Row],[Absentee Days]]/Table1[[#This Row],[Total Work Days]]*100</f>
        <v>4.6153846153846159</v>
      </c>
      <c r="Y398">
        <f ca="1">YEAR(Table1[[#This Row],[Join Date]])</f>
        <v>2020</v>
      </c>
      <c r="Z398">
        <f ca="1">IF(Table1[[#This Row],[Status]]="Active",1,0)</f>
        <v>1</v>
      </c>
      <c r="AA398">
        <f ca="1">IF(Table1[[#This Row],[Status]]="Exited",Table1[[#This Row],[Recruitment Cost]]+Table1[[#This Row],[Onboarding cost]]+Table1[[#This Row],[Training Cost]],0)</f>
        <v>0</v>
      </c>
    </row>
    <row r="399" spans="1:27">
      <c r="A399" t="str">
        <f t="shared" si="55"/>
        <v>E398</v>
      </c>
      <c r="B399" t="str" cm="1">
        <f t="array" aca="1" ref="B399" ca="1">INDEX(sheet2!$A$2:$A$6, RANDBETWEEN(1, 5))</f>
        <v>Finance</v>
      </c>
      <c r="C399" t="str">
        <f ca="1">_xlfn.XLOOKUP(Table1[[#This Row],[Department]],sheet2!$A$2:$A$6,sheet2!$B$2:$B$6,_xleta.NA,0)</f>
        <v>Finance Manager</v>
      </c>
      <c r="D399" s="1">
        <f t="shared" ca="1" si="52"/>
        <v>44331</v>
      </c>
      <c r="E399" s="1">
        <f ca="1">Table1[[#This Row],[Job Posting Date]]+ RANDBETWEEN(15, 90)</f>
        <v>44410</v>
      </c>
      <c r="F399" s="1">
        <f ca="1">Table1[[#This Row],[Hire Date]]+ RANDBETWEEN(1, 15)</f>
        <v>44416</v>
      </c>
      <c r="G399" s="1" t="str">
        <f ca="1">IF(RAND() &lt; 0.5,  Table1[[#This Row],[Join Date]]+ RANDBETWEEN(30, TODAY()- Table1[[#This Row],[Join Date]]), "-")</f>
        <v>-</v>
      </c>
      <c r="H399" t="str">
        <f ca="1">IF(Table1[[#This Row],[Exit Date]]= "-", "Active", "Exited")</f>
        <v>Active</v>
      </c>
      <c r="I399" s="5">
        <f t="shared" ca="1" si="53"/>
        <v>1608</v>
      </c>
      <c r="J399" t="str" cm="1">
        <f t="array" aca="1" ref="J399" ca="1">INDEX(sheet2!$C$2:$C$6, RANDBETWEEN(1, 5))</f>
        <v>Ethics and Responsibilities</v>
      </c>
      <c r="K399" t="str">
        <f t="shared" ca="1" si="54"/>
        <v>Completed</v>
      </c>
      <c r="L399">
        <v>260</v>
      </c>
      <c r="M399">
        <f t="shared" ca="1" si="56"/>
        <v>5</v>
      </c>
      <c r="N399" t="str">
        <f t="shared" ca="1" si="57"/>
        <v>Male</v>
      </c>
      <c r="O399" s="6">
        <f t="shared" ca="1" si="58"/>
        <v>1966</v>
      </c>
      <c r="P399">
        <f ca="1">Table1[[#This Row],[Hire Date]]-Table1[[#This Row],[Job Posting Date]]</f>
        <v>79</v>
      </c>
      <c r="Q399" s="7">
        <f ca="1">Table1[[#This Row],[Join Date]]-Table1[[#This Row],[Hire Date]]</f>
        <v>6</v>
      </c>
      <c r="R399" s="8">
        <f ca="1">(IF(Table1[[#This Row],[Status]]="Exited",Table1[[#This Row],[Exit Date]]-Table1[[#This Row],[Join Date]],TODAY()-Table1[[#This Row],[Join Date]]))/30</f>
        <v>41.56666666666667</v>
      </c>
      <c r="S399">
        <f ca="1">Table1[[#This Row],[Hire Date]]-Table1[[#This Row],[Job Posting Date]]</f>
        <v>79</v>
      </c>
      <c r="T399" s="7">
        <f ca="1">Table1[[#This Row],[Time to onboard]]/Table1[[#This Row],[Time to Fill]]*100</f>
        <v>7.59493670886076</v>
      </c>
      <c r="U399" s="8">
        <f ca="1">Table1[[#This Row],[Time to onboard]]/Table1[[#This Row],[Time to Fill]]*100</f>
        <v>7.59493670886076</v>
      </c>
      <c r="V399">
        <f ca="1">Table1[[#This Row],[Join Date]]-Table1[[#This Row],[Job Posting Date]]</f>
        <v>85</v>
      </c>
      <c r="W399">
        <f t="shared" ca="1" si="59"/>
        <v>167</v>
      </c>
      <c r="X399" s="8">
        <f ca="1">Table1[[#This Row],[Absentee Days]]/Table1[[#This Row],[Total Work Days]]*100</f>
        <v>1.9230769230769231</v>
      </c>
      <c r="Y399">
        <f ca="1">YEAR(Table1[[#This Row],[Join Date]])</f>
        <v>2021</v>
      </c>
      <c r="Z399">
        <f ca="1">IF(Table1[[#This Row],[Status]]="Active",1,0)</f>
        <v>1</v>
      </c>
      <c r="AA399">
        <f ca="1">IF(Table1[[#This Row],[Status]]="Exited",Table1[[#This Row],[Recruitment Cost]]+Table1[[#This Row],[Onboarding cost]]+Table1[[#This Row],[Training Cost]],0)</f>
        <v>0</v>
      </c>
    </row>
    <row r="400" spans="1:27">
      <c r="A400" t="str">
        <f t="shared" si="55"/>
        <v>E399</v>
      </c>
      <c r="B400" t="str" cm="1">
        <f t="array" aca="1" ref="B400" ca="1">INDEX(sheet2!$A$2:$A$6, RANDBETWEEN(1, 5))</f>
        <v>IT</v>
      </c>
      <c r="C400" t="str">
        <f ca="1">_xlfn.XLOOKUP(Table1[[#This Row],[Department]],sheet2!$A$2:$A$6,sheet2!$B$2:$B$6,_xleta.NA,0)</f>
        <v>Software Engineer</v>
      </c>
      <c r="D400" s="1">
        <f t="shared" ca="1" si="52"/>
        <v>43510</v>
      </c>
      <c r="E400" s="1">
        <f ca="1">Table1[[#This Row],[Job Posting Date]]+ RANDBETWEEN(15, 90)</f>
        <v>43546</v>
      </c>
      <c r="F400" s="1">
        <f ca="1">Table1[[#This Row],[Hire Date]]+ RANDBETWEEN(1, 15)</f>
        <v>43549</v>
      </c>
      <c r="G400" s="1">
        <f ca="1">IF(RAND() &lt; 0.5,  Table1[[#This Row],[Join Date]]+ RANDBETWEEN(30, TODAY()- Table1[[#This Row],[Join Date]]), "-")</f>
        <v>44091</v>
      </c>
      <c r="H400" t="str">
        <f ca="1">IF(Table1[[#This Row],[Exit Date]]= "-", "Active", "Exited")</f>
        <v>Exited</v>
      </c>
      <c r="I400" s="5">
        <f t="shared" ca="1" si="53"/>
        <v>3831</v>
      </c>
      <c r="J400" t="str" cm="1">
        <f t="array" aca="1" ref="J400" ca="1">INDEX(sheet2!$C$2:$C$6, RANDBETWEEN(1, 5))</f>
        <v>Advanced Excel Skills </v>
      </c>
      <c r="K400" t="str">
        <f t="shared" ca="1" si="54"/>
        <v>Completed</v>
      </c>
      <c r="L400">
        <v>260</v>
      </c>
      <c r="M400">
        <f t="shared" ca="1" si="56"/>
        <v>8</v>
      </c>
      <c r="N400" t="str">
        <f t="shared" ca="1" si="57"/>
        <v>Female</v>
      </c>
      <c r="O400" s="6">
        <f t="shared" ca="1" si="58"/>
        <v>1769</v>
      </c>
      <c r="P400">
        <f ca="1">Table1[[#This Row],[Hire Date]]-Table1[[#This Row],[Job Posting Date]]</f>
        <v>36</v>
      </c>
      <c r="Q400" s="7">
        <f ca="1">Table1[[#This Row],[Join Date]]-Table1[[#This Row],[Hire Date]]</f>
        <v>3</v>
      </c>
      <c r="R400" s="8">
        <f ca="1">(IF(Table1[[#This Row],[Status]]="Exited",Table1[[#This Row],[Exit Date]]-Table1[[#This Row],[Join Date]],TODAY()-Table1[[#This Row],[Join Date]]))/30</f>
        <v>18.066666666666666</v>
      </c>
      <c r="S400">
        <f ca="1">Table1[[#This Row],[Hire Date]]-Table1[[#This Row],[Job Posting Date]]</f>
        <v>36</v>
      </c>
      <c r="T400" s="7">
        <f ca="1">Table1[[#This Row],[Time to onboard]]/Table1[[#This Row],[Time to Fill]]*100</f>
        <v>8.3333333333333321</v>
      </c>
      <c r="U400" s="8">
        <f ca="1">Table1[[#This Row],[Time to onboard]]/Table1[[#This Row],[Time to Fill]]*100</f>
        <v>8.3333333333333321</v>
      </c>
      <c r="V400">
        <f ca="1">Table1[[#This Row],[Join Date]]-Table1[[#This Row],[Job Posting Date]]</f>
        <v>39</v>
      </c>
      <c r="W400">
        <f t="shared" ca="1" si="59"/>
        <v>130</v>
      </c>
      <c r="X400" s="8">
        <f ca="1">Table1[[#This Row],[Absentee Days]]/Table1[[#This Row],[Total Work Days]]*100</f>
        <v>3.0769230769230771</v>
      </c>
      <c r="Y400">
        <f ca="1">YEAR(Table1[[#This Row],[Join Date]])</f>
        <v>2019</v>
      </c>
      <c r="Z400">
        <f ca="1">IF(Table1[[#This Row],[Status]]="Active",1,0)</f>
        <v>0</v>
      </c>
      <c r="AA400">
        <f ca="1">IF(Table1[[#This Row],[Status]]="Exited",Table1[[#This Row],[Recruitment Cost]]+Table1[[#This Row],[Onboarding cost]]+Table1[[#This Row],[Training Cost]],0)</f>
        <v>5730</v>
      </c>
    </row>
    <row r="401" spans="1:27">
      <c r="A401" t="str">
        <f t="shared" si="55"/>
        <v>E400</v>
      </c>
      <c r="B401" t="str" cm="1">
        <f t="array" aca="1" ref="B401" ca="1">INDEX(sheet2!$A$2:$A$6, RANDBETWEEN(1, 5))</f>
        <v>HR</v>
      </c>
      <c r="C401" t="str">
        <f ca="1">_xlfn.XLOOKUP(Table1[[#This Row],[Department]],sheet2!$A$2:$A$6,sheet2!$B$2:$B$6,_xleta.NA,0)</f>
        <v>HR Manager</v>
      </c>
      <c r="D401" s="1">
        <f t="shared" ca="1" si="52"/>
        <v>44531</v>
      </c>
      <c r="E401" s="1">
        <f ca="1">Table1[[#This Row],[Job Posting Date]]+ RANDBETWEEN(15, 90)</f>
        <v>44589</v>
      </c>
      <c r="F401" s="1">
        <f ca="1">Table1[[#This Row],[Hire Date]]+ RANDBETWEEN(1, 15)</f>
        <v>44595</v>
      </c>
      <c r="G401" s="1" t="str">
        <f ca="1">IF(RAND() &lt; 0.5,  Table1[[#This Row],[Join Date]]+ RANDBETWEEN(30, TODAY()- Table1[[#This Row],[Join Date]]), "-")</f>
        <v>-</v>
      </c>
      <c r="H401" t="str">
        <f ca="1">IF(Table1[[#This Row],[Exit Date]]= "-", "Active", "Exited")</f>
        <v>Active</v>
      </c>
      <c r="I401" s="5">
        <f t="shared" ca="1" si="53"/>
        <v>1559</v>
      </c>
      <c r="J401" t="str" cm="1">
        <f t="array" aca="1" ref="J401" ca="1">INDEX(sheet2!$C$2:$C$6, RANDBETWEEN(1, 5))</f>
        <v>Leadership Development</v>
      </c>
      <c r="K401" t="str">
        <f t="shared" ca="1" si="54"/>
        <v>Completed</v>
      </c>
      <c r="L401">
        <v>260</v>
      </c>
      <c r="M401">
        <f t="shared" ca="1" si="56"/>
        <v>3</v>
      </c>
      <c r="N401" t="str">
        <f t="shared" ca="1" si="57"/>
        <v>Male</v>
      </c>
      <c r="O401" s="6">
        <f t="shared" ca="1" si="58"/>
        <v>1726</v>
      </c>
      <c r="P401">
        <f ca="1">Table1[[#This Row],[Hire Date]]-Table1[[#This Row],[Job Posting Date]]</f>
        <v>58</v>
      </c>
      <c r="Q401" s="7">
        <f ca="1">Table1[[#This Row],[Join Date]]-Table1[[#This Row],[Hire Date]]</f>
        <v>6</v>
      </c>
      <c r="R401" s="8">
        <f ca="1">(IF(Table1[[#This Row],[Status]]="Exited",Table1[[#This Row],[Exit Date]]-Table1[[#This Row],[Join Date]],TODAY()-Table1[[#This Row],[Join Date]]))/30</f>
        <v>35.6</v>
      </c>
      <c r="S401">
        <f ca="1">Table1[[#This Row],[Hire Date]]-Table1[[#This Row],[Job Posting Date]]</f>
        <v>58</v>
      </c>
      <c r="T401" s="7">
        <f ca="1">Table1[[#This Row],[Time to onboard]]/Table1[[#This Row],[Time to Fill]]*100</f>
        <v>10.344827586206897</v>
      </c>
      <c r="U401" s="8">
        <f ca="1">Table1[[#This Row],[Time to onboard]]/Table1[[#This Row],[Time to Fill]]*100</f>
        <v>10.344827586206897</v>
      </c>
      <c r="V401">
        <f ca="1">Table1[[#This Row],[Join Date]]-Table1[[#This Row],[Job Posting Date]]</f>
        <v>64</v>
      </c>
      <c r="W401">
        <f t="shared" ca="1" si="59"/>
        <v>176</v>
      </c>
      <c r="X401" s="8">
        <f ca="1">Table1[[#This Row],[Absentee Days]]/Table1[[#This Row],[Total Work Days]]*100</f>
        <v>1.153846153846154</v>
      </c>
      <c r="Y401">
        <f ca="1">YEAR(Table1[[#This Row],[Join Date]])</f>
        <v>2022</v>
      </c>
      <c r="Z401">
        <f ca="1">IF(Table1[[#This Row],[Status]]="Active",1,0)</f>
        <v>1</v>
      </c>
      <c r="AA401">
        <f ca="1">IF(Table1[[#This Row],[Status]]="Exited",Table1[[#This Row],[Recruitment Cost]]+Table1[[#This Row],[Onboarding cost]]+Table1[[#This Row],[Training Cost]],0)</f>
        <v>0</v>
      </c>
    </row>
    <row r="402" spans="1:27">
      <c r="A402" t="str">
        <f t="shared" si="55"/>
        <v>E401</v>
      </c>
      <c r="B402" t="str" cm="1">
        <f t="array" aca="1" ref="B402" ca="1">INDEX(sheet2!$A$2:$A$6, RANDBETWEEN(1, 5))</f>
        <v>Sales</v>
      </c>
      <c r="C402" t="str">
        <f ca="1">_xlfn.XLOOKUP(Table1[[#This Row],[Department]],sheet2!$A$2:$A$6,sheet2!$B$2:$B$6,_xleta.NA,0)</f>
        <v>Marketing Manager</v>
      </c>
      <c r="D402" s="1">
        <f t="shared" ca="1" si="52"/>
        <v>44291</v>
      </c>
      <c r="E402" s="1">
        <f ca="1">Table1[[#This Row],[Job Posting Date]]+ RANDBETWEEN(15, 90)</f>
        <v>44372</v>
      </c>
      <c r="F402" s="1">
        <f ca="1">Table1[[#This Row],[Hire Date]]+ RANDBETWEEN(1, 15)</f>
        <v>44386</v>
      </c>
      <c r="G402" s="1" t="str">
        <f ca="1">IF(RAND() &lt; 0.5,  Table1[[#This Row],[Join Date]]+ RANDBETWEEN(30, TODAY()- Table1[[#This Row],[Join Date]]), "-")</f>
        <v>-</v>
      </c>
      <c r="H402" t="str">
        <f ca="1">IF(Table1[[#This Row],[Exit Date]]= "-", "Active", "Exited")</f>
        <v>Active</v>
      </c>
      <c r="I402" s="5">
        <f t="shared" ca="1" si="53"/>
        <v>4663</v>
      </c>
      <c r="J402" t="str" cm="1">
        <f t="array" aca="1" ref="J402" ca="1">INDEX(sheet2!$C$2:$C$6, RANDBETWEEN(1, 5))</f>
        <v>Ethics and Responsibilities</v>
      </c>
      <c r="K402" t="str">
        <f t="shared" ca="1" si="54"/>
        <v>Completed</v>
      </c>
      <c r="L402">
        <v>260</v>
      </c>
      <c r="M402">
        <f t="shared" ca="1" si="56"/>
        <v>0</v>
      </c>
      <c r="N402" t="str">
        <f t="shared" ca="1" si="57"/>
        <v>Other</v>
      </c>
      <c r="O402" s="6">
        <f t="shared" ca="1" si="58"/>
        <v>1695</v>
      </c>
      <c r="P402">
        <f ca="1">Table1[[#This Row],[Hire Date]]-Table1[[#This Row],[Job Posting Date]]</f>
        <v>81</v>
      </c>
      <c r="Q402" s="7">
        <f ca="1">Table1[[#This Row],[Join Date]]-Table1[[#This Row],[Hire Date]]</f>
        <v>14</v>
      </c>
      <c r="R402" s="8">
        <f ca="1">(IF(Table1[[#This Row],[Status]]="Exited",Table1[[#This Row],[Exit Date]]-Table1[[#This Row],[Join Date]],TODAY()-Table1[[#This Row],[Join Date]]))/30</f>
        <v>42.56666666666667</v>
      </c>
      <c r="S402">
        <f ca="1">Table1[[#This Row],[Hire Date]]-Table1[[#This Row],[Job Posting Date]]</f>
        <v>81</v>
      </c>
      <c r="T402" s="7">
        <f ca="1">Table1[[#This Row],[Time to onboard]]/Table1[[#This Row],[Time to Fill]]*100</f>
        <v>17.283950617283949</v>
      </c>
      <c r="U402" s="8">
        <f ca="1">Table1[[#This Row],[Time to onboard]]/Table1[[#This Row],[Time to Fill]]*100</f>
        <v>17.283950617283949</v>
      </c>
      <c r="V402">
        <f ca="1">Table1[[#This Row],[Join Date]]-Table1[[#This Row],[Job Posting Date]]</f>
        <v>95</v>
      </c>
      <c r="W402">
        <f t="shared" ca="1" si="59"/>
        <v>176</v>
      </c>
      <c r="X402" s="8">
        <f ca="1">Table1[[#This Row],[Absentee Days]]/Table1[[#This Row],[Total Work Days]]*100</f>
        <v>0</v>
      </c>
      <c r="Y402">
        <f ca="1">YEAR(Table1[[#This Row],[Join Date]])</f>
        <v>2021</v>
      </c>
      <c r="Z402">
        <f ca="1">IF(Table1[[#This Row],[Status]]="Active",1,0)</f>
        <v>1</v>
      </c>
      <c r="AA402">
        <f ca="1">IF(Table1[[#This Row],[Status]]="Exited",Table1[[#This Row],[Recruitment Cost]]+Table1[[#This Row],[Onboarding cost]]+Table1[[#This Row],[Training Cost]],0)</f>
        <v>0</v>
      </c>
    </row>
    <row r="403" spans="1:27">
      <c r="A403" t="str">
        <f t="shared" si="55"/>
        <v>E402</v>
      </c>
      <c r="B403" t="str" cm="1">
        <f t="array" aca="1" ref="B403" ca="1">INDEX(sheet2!$A$2:$A$6, RANDBETWEEN(1, 5))</f>
        <v>Analytics</v>
      </c>
      <c r="C403" t="str">
        <f ca="1">_xlfn.XLOOKUP(Table1[[#This Row],[Department]],sheet2!$A$2:$A$6,sheet2!$B$2:$B$6,_xleta.NA,0)</f>
        <v>Data Analyst</v>
      </c>
      <c r="D403" s="1">
        <f t="shared" ca="1" si="52"/>
        <v>43808</v>
      </c>
      <c r="E403" s="1">
        <f ca="1">Table1[[#This Row],[Job Posting Date]]+ RANDBETWEEN(15, 90)</f>
        <v>43826</v>
      </c>
      <c r="F403" s="1">
        <f ca="1">Table1[[#This Row],[Hire Date]]+ RANDBETWEEN(1, 15)</f>
        <v>43827</v>
      </c>
      <c r="G403" s="1" t="str">
        <f ca="1">IF(RAND() &lt; 0.5,  Table1[[#This Row],[Join Date]]+ RANDBETWEEN(30, TODAY()- Table1[[#This Row],[Join Date]]), "-")</f>
        <v>-</v>
      </c>
      <c r="H403" t="str">
        <f ca="1">IF(Table1[[#This Row],[Exit Date]]= "-", "Active", "Exited")</f>
        <v>Active</v>
      </c>
      <c r="I403" s="5">
        <f t="shared" ca="1" si="53"/>
        <v>2623</v>
      </c>
      <c r="J403" t="str" cm="1">
        <f t="array" aca="1" ref="J403" ca="1">INDEX(sheet2!$C$2:$C$6, RANDBETWEEN(1, 5))</f>
        <v>Ethics and Responsibilities</v>
      </c>
      <c r="K403" t="str">
        <f t="shared" ca="1" si="54"/>
        <v>Not Completed</v>
      </c>
      <c r="L403">
        <v>260</v>
      </c>
      <c r="M403">
        <f t="shared" ca="1" si="56"/>
        <v>11</v>
      </c>
      <c r="N403" t="str">
        <f t="shared" ca="1" si="57"/>
        <v>Other</v>
      </c>
      <c r="O403" s="6">
        <f t="shared" ca="1" si="58"/>
        <v>2194</v>
      </c>
      <c r="P403">
        <f ca="1">Table1[[#This Row],[Hire Date]]-Table1[[#This Row],[Job Posting Date]]</f>
        <v>18</v>
      </c>
      <c r="Q403" s="7">
        <f ca="1">Table1[[#This Row],[Join Date]]-Table1[[#This Row],[Hire Date]]</f>
        <v>1</v>
      </c>
      <c r="R403" s="8">
        <f ca="1">(IF(Table1[[#This Row],[Status]]="Exited",Table1[[#This Row],[Exit Date]]-Table1[[#This Row],[Join Date]],TODAY()-Table1[[#This Row],[Join Date]]))/30</f>
        <v>61.2</v>
      </c>
      <c r="S403">
        <f ca="1">Table1[[#This Row],[Hire Date]]-Table1[[#This Row],[Job Posting Date]]</f>
        <v>18</v>
      </c>
      <c r="T403" s="7">
        <f ca="1">Table1[[#This Row],[Time to onboard]]/Table1[[#This Row],[Time to Fill]]*100</f>
        <v>5.5555555555555554</v>
      </c>
      <c r="U403" s="8">
        <f ca="1">Table1[[#This Row],[Time to onboard]]/Table1[[#This Row],[Time to Fill]]*100</f>
        <v>5.5555555555555554</v>
      </c>
      <c r="V403">
        <f ca="1">Table1[[#This Row],[Join Date]]-Table1[[#This Row],[Job Posting Date]]</f>
        <v>19</v>
      </c>
      <c r="W403">
        <f t="shared" ca="1" si="59"/>
        <v>140</v>
      </c>
      <c r="X403" s="8">
        <f ca="1">Table1[[#This Row],[Absentee Days]]/Table1[[#This Row],[Total Work Days]]*100</f>
        <v>4.2307692307692308</v>
      </c>
      <c r="Y403">
        <f ca="1">YEAR(Table1[[#This Row],[Join Date]])</f>
        <v>2019</v>
      </c>
      <c r="Z403">
        <f ca="1">IF(Table1[[#This Row],[Status]]="Active",1,0)</f>
        <v>1</v>
      </c>
      <c r="AA403">
        <f ca="1">IF(Table1[[#This Row],[Status]]="Exited",Table1[[#This Row],[Recruitment Cost]]+Table1[[#This Row],[Onboarding cost]]+Table1[[#This Row],[Training Cost]],0)</f>
        <v>0</v>
      </c>
    </row>
    <row r="404" spans="1:27">
      <c r="A404" t="str">
        <f t="shared" si="55"/>
        <v>E403</v>
      </c>
      <c r="B404" t="str" cm="1">
        <f t="array" aca="1" ref="B404" ca="1">INDEX(sheet2!$A$2:$A$6, RANDBETWEEN(1, 5))</f>
        <v>Analytics</v>
      </c>
      <c r="C404" t="str">
        <f ca="1">_xlfn.XLOOKUP(Table1[[#This Row],[Department]],sheet2!$A$2:$A$6,sheet2!$B$2:$B$6,_xleta.NA,0)</f>
        <v>Data Analyst</v>
      </c>
      <c r="D404" s="1">
        <f t="shared" ca="1" si="52"/>
        <v>44330</v>
      </c>
      <c r="E404" s="1">
        <f ca="1">Table1[[#This Row],[Job Posting Date]]+ RANDBETWEEN(15, 90)</f>
        <v>44377</v>
      </c>
      <c r="F404" s="1">
        <f ca="1">Table1[[#This Row],[Hire Date]]+ RANDBETWEEN(1, 15)</f>
        <v>44388</v>
      </c>
      <c r="G404" s="1" t="str">
        <f ca="1">IF(RAND() &lt; 0.5,  Table1[[#This Row],[Join Date]]+ RANDBETWEEN(30, TODAY()- Table1[[#This Row],[Join Date]]), "-")</f>
        <v>-</v>
      </c>
      <c r="H404" t="str">
        <f ca="1">IF(Table1[[#This Row],[Exit Date]]= "-", "Active", "Exited")</f>
        <v>Active</v>
      </c>
      <c r="I404" s="5">
        <f t="shared" ca="1" si="53"/>
        <v>1521</v>
      </c>
      <c r="J404" t="str" cm="1">
        <f t="array" aca="1" ref="J404" ca="1">INDEX(sheet2!$C$2:$C$6, RANDBETWEEN(1, 5))</f>
        <v>Conflict Resolution</v>
      </c>
      <c r="K404" t="str">
        <f t="shared" ca="1" si="54"/>
        <v>Completed</v>
      </c>
      <c r="L404">
        <v>260</v>
      </c>
      <c r="M404">
        <f t="shared" ca="1" si="56"/>
        <v>1</v>
      </c>
      <c r="N404" t="str">
        <f t="shared" ca="1" si="57"/>
        <v>Male</v>
      </c>
      <c r="O404" s="6">
        <f t="shared" ca="1" si="58"/>
        <v>1993</v>
      </c>
      <c r="P404">
        <f ca="1">Table1[[#This Row],[Hire Date]]-Table1[[#This Row],[Job Posting Date]]</f>
        <v>47</v>
      </c>
      <c r="Q404" s="7">
        <f ca="1">Table1[[#This Row],[Join Date]]-Table1[[#This Row],[Hire Date]]</f>
        <v>11</v>
      </c>
      <c r="R404" s="8">
        <f ca="1">(IF(Table1[[#This Row],[Status]]="Exited",Table1[[#This Row],[Exit Date]]-Table1[[#This Row],[Join Date]],TODAY()-Table1[[#This Row],[Join Date]]))/30</f>
        <v>42.5</v>
      </c>
      <c r="S404">
        <f ca="1">Table1[[#This Row],[Hire Date]]-Table1[[#This Row],[Job Posting Date]]</f>
        <v>47</v>
      </c>
      <c r="T404" s="7">
        <f ca="1">Table1[[#This Row],[Time to onboard]]/Table1[[#This Row],[Time to Fill]]*100</f>
        <v>23.404255319148938</v>
      </c>
      <c r="U404" s="8">
        <f ca="1">Table1[[#This Row],[Time to onboard]]/Table1[[#This Row],[Time to Fill]]*100</f>
        <v>23.404255319148938</v>
      </c>
      <c r="V404">
        <f ca="1">Table1[[#This Row],[Join Date]]-Table1[[#This Row],[Job Posting Date]]</f>
        <v>58</v>
      </c>
      <c r="W404">
        <f t="shared" ca="1" si="59"/>
        <v>126</v>
      </c>
      <c r="X404" s="8">
        <f ca="1">Table1[[#This Row],[Absentee Days]]/Table1[[#This Row],[Total Work Days]]*100</f>
        <v>0.38461538461538464</v>
      </c>
      <c r="Y404">
        <f ca="1">YEAR(Table1[[#This Row],[Join Date]])</f>
        <v>2021</v>
      </c>
      <c r="Z404">
        <f ca="1">IF(Table1[[#This Row],[Status]]="Active",1,0)</f>
        <v>1</v>
      </c>
      <c r="AA404">
        <f ca="1">IF(Table1[[#This Row],[Status]]="Exited",Table1[[#This Row],[Recruitment Cost]]+Table1[[#This Row],[Onboarding cost]]+Table1[[#This Row],[Training Cost]],0)</f>
        <v>0</v>
      </c>
    </row>
    <row r="405" spans="1:27">
      <c r="A405" t="str">
        <f t="shared" si="55"/>
        <v>E404</v>
      </c>
      <c r="B405" t="str" cm="1">
        <f t="array" aca="1" ref="B405" ca="1">INDEX(sheet2!$A$2:$A$6, RANDBETWEEN(1, 5))</f>
        <v>Sales</v>
      </c>
      <c r="C405" t="str">
        <f ca="1">_xlfn.XLOOKUP(Table1[[#This Row],[Department]],sheet2!$A$2:$A$6,sheet2!$B$2:$B$6,_xleta.NA,0)</f>
        <v>Marketing Manager</v>
      </c>
      <c r="D405" s="1">
        <f t="shared" ca="1" si="52"/>
        <v>43362</v>
      </c>
      <c r="E405" s="1">
        <f ca="1">Table1[[#This Row],[Job Posting Date]]+ RANDBETWEEN(15, 90)</f>
        <v>43380</v>
      </c>
      <c r="F405" s="1">
        <f ca="1">Table1[[#This Row],[Hire Date]]+ RANDBETWEEN(1, 15)</f>
        <v>43389</v>
      </c>
      <c r="G405" s="1" t="str">
        <f ca="1">IF(RAND() &lt; 0.5,  Table1[[#This Row],[Join Date]]+ RANDBETWEEN(30, TODAY()- Table1[[#This Row],[Join Date]]), "-")</f>
        <v>-</v>
      </c>
      <c r="H405" t="str">
        <f ca="1">IF(Table1[[#This Row],[Exit Date]]= "-", "Active", "Exited")</f>
        <v>Active</v>
      </c>
      <c r="I405" s="5">
        <f t="shared" ca="1" si="53"/>
        <v>2365</v>
      </c>
      <c r="J405" t="str" cm="1">
        <f t="array" aca="1" ref="J405" ca="1">INDEX(sheet2!$C$2:$C$6, RANDBETWEEN(1, 5))</f>
        <v>Communication Skills</v>
      </c>
      <c r="K405" t="str">
        <f t="shared" ca="1" si="54"/>
        <v>Completed</v>
      </c>
      <c r="L405">
        <v>260</v>
      </c>
      <c r="M405">
        <f t="shared" ca="1" si="56"/>
        <v>20</v>
      </c>
      <c r="N405" t="str">
        <f t="shared" ca="1" si="57"/>
        <v>Other</v>
      </c>
      <c r="O405" s="6">
        <f t="shared" ca="1" si="58"/>
        <v>1324</v>
      </c>
      <c r="P405">
        <f ca="1">Table1[[#This Row],[Hire Date]]-Table1[[#This Row],[Job Posting Date]]</f>
        <v>18</v>
      </c>
      <c r="Q405" s="7">
        <f ca="1">Table1[[#This Row],[Join Date]]-Table1[[#This Row],[Hire Date]]</f>
        <v>9</v>
      </c>
      <c r="R405" s="8">
        <f ca="1">(IF(Table1[[#This Row],[Status]]="Exited",Table1[[#This Row],[Exit Date]]-Table1[[#This Row],[Join Date]],TODAY()-Table1[[#This Row],[Join Date]]))/30</f>
        <v>75.8</v>
      </c>
      <c r="S405">
        <f ca="1">Table1[[#This Row],[Hire Date]]-Table1[[#This Row],[Job Posting Date]]</f>
        <v>18</v>
      </c>
      <c r="T405" s="7">
        <f ca="1">Table1[[#This Row],[Time to onboard]]/Table1[[#This Row],[Time to Fill]]*100</f>
        <v>50</v>
      </c>
      <c r="U405" s="8">
        <f ca="1">Table1[[#This Row],[Time to onboard]]/Table1[[#This Row],[Time to Fill]]*100</f>
        <v>50</v>
      </c>
      <c r="V405">
        <f ca="1">Table1[[#This Row],[Join Date]]-Table1[[#This Row],[Job Posting Date]]</f>
        <v>27</v>
      </c>
      <c r="W405">
        <f t="shared" ca="1" si="59"/>
        <v>107</v>
      </c>
      <c r="X405" s="8">
        <f ca="1">Table1[[#This Row],[Absentee Days]]/Table1[[#This Row],[Total Work Days]]*100</f>
        <v>7.6923076923076925</v>
      </c>
      <c r="Y405">
        <f ca="1">YEAR(Table1[[#This Row],[Join Date]])</f>
        <v>2018</v>
      </c>
      <c r="Z405">
        <f ca="1">IF(Table1[[#This Row],[Status]]="Active",1,0)</f>
        <v>1</v>
      </c>
      <c r="AA405">
        <f ca="1">IF(Table1[[#This Row],[Status]]="Exited",Table1[[#This Row],[Recruitment Cost]]+Table1[[#This Row],[Onboarding cost]]+Table1[[#This Row],[Training Cost]],0)</f>
        <v>0</v>
      </c>
    </row>
    <row r="406" spans="1:27">
      <c r="A406" t="str">
        <f t="shared" si="55"/>
        <v>E405</v>
      </c>
      <c r="B406" t="str" cm="1">
        <f t="array" aca="1" ref="B406" ca="1">INDEX(sheet2!$A$2:$A$6, RANDBETWEEN(1, 5))</f>
        <v>Sales</v>
      </c>
      <c r="C406" t="str">
        <f ca="1">_xlfn.XLOOKUP(Table1[[#This Row],[Department]],sheet2!$A$2:$A$6,sheet2!$B$2:$B$6,_xleta.NA,0)</f>
        <v>Marketing Manager</v>
      </c>
      <c r="D406" s="1">
        <f t="shared" ca="1" si="52"/>
        <v>44015</v>
      </c>
      <c r="E406" s="1">
        <f ca="1">Table1[[#This Row],[Job Posting Date]]+ RANDBETWEEN(15, 90)</f>
        <v>44052</v>
      </c>
      <c r="F406" s="1">
        <f ca="1">Table1[[#This Row],[Hire Date]]+ RANDBETWEEN(1, 15)</f>
        <v>44064</v>
      </c>
      <c r="G406" s="1">
        <f ca="1">IF(RAND() &lt; 0.5,  Table1[[#This Row],[Join Date]]+ RANDBETWEEN(30, TODAY()- Table1[[#This Row],[Join Date]]), "-")</f>
        <v>44733</v>
      </c>
      <c r="H406" t="str">
        <f ca="1">IF(Table1[[#This Row],[Exit Date]]= "-", "Active", "Exited")</f>
        <v>Exited</v>
      </c>
      <c r="I406" s="5">
        <f t="shared" ca="1" si="53"/>
        <v>3716</v>
      </c>
      <c r="J406" t="str" cm="1">
        <f t="array" aca="1" ref="J406" ca="1">INDEX(sheet2!$C$2:$C$6, RANDBETWEEN(1, 5))</f>
        <v>Advanced Excel Skills </v>
      </c>
      <c r="K406" t="str">
        <f t="shared" ca="1" si="54"/>
        <v>Completed</v>
      </c>
      <c r="L406">
        <v>260</v>
      </c>
      <c r="M406">
        <f t="shared" ca="1" si="56"/>
        <v>11</v>
      </c>
      <c r="N406" t="str">
        <f t="shared" ca="1" si="57"/>
        <v>Female</v>
      </c>
      <c r="O406" s="6">
        <f t="shared" ca="1" si="58"/>
        <v>2230</v>
      </c>
      <c r="P406">
        <f ca="1">Table1[[#This Row],[Hire Date]]-Table1[[#This Row],[Job Posting Date]]</f>
        <v>37</v>
      </c>
      <c r="Q406" s="7">
        <f ca="1">Table1[[#This Row],[Join Date]]-Table1[[#This Row],[Hire Date]]</f>
        <v>12</v>
      </c>
      <c r="R406" s="8">
        <f ca="1">(IF(Table1[[#This Row],[Status]]="Exited",Table1[[#This Row],[Exit Date]]-Table1[[#This Row],[Join Date]],TODAY()-Table1[[#This Row],[Join Date]]))/30</f>
        <v>22.3</v>
      </c>
      <c r="S406">
        <f ca="1">Table1[[#This Row],[Hire Date]]-Table1[[#This Row],[Job Posting Date]]</f>
        <v>37</v>
      </c>
      <c r="T406" s="7">
        <f ca="1">Table1[[#This Row],[Time to onboard]]/Table1[[#This Row],[Time to Fill]]*100</f>
        <v>32.432432432432435</v>
      </c>
      <c r="U406" s="8">
        <f ca="1">Table1[[#This Row],[Time to onboard]]/Table1[[#This Row],[Time to Fill]]*100</f>
        <v>32.432432432432435</v>
      </c>
      <c r="V406">
        <f ca="1">Table1[[#This Row],[Join Date]]-Table1[[#This Row],[Job Posting Date]]</f>
        <v>49</v>
      </c>
      <c r="W406">
        <f t="shared" ca="1" si="59"/>
        <v>144</v>
      </c>
      <c r="X406" s="8">
        <f ca="1">Table1[[#This Row],[Absentee Days]]/Table1[[#This Row],[Total Work Days]]*100</f>
        <v>4.2307692307692308</v>
      </c>
      <c r="Y406">
        <f ca="1">YEAR(Table1[[#This Row],[Join Date]])</f>
        <v>2020</v>
      </c>
      <c r="Z406">
        <f ca="1">IF(Table1[[#This Row],[Status]]="Active",1,0)</f>
        <v>0</v>
      </c>
      <c r="AA406">
        <f ca="1">IF(Table1[[#This Row],[Status]]="Exited",Table1[[#This Row],[Recruitment Cost]]+Table1[[#This Row],[Onboarding cost]]+Table1[[#This Row],[Training Cost]],0)</f>
        <v>6090</v>
      </c>
    </row>
    <row r="407" spans="1:27">
      <c r="A407" t="str">
        <f t="shared" si="55"/>
        <v>E406</v>
      </c>
      <c r="B407" t="str" cm="1">
        <f t="array" aca="1" ref="B407" ca="1">INDEX(sheet2!$A$2:$A$6, RANDBETWEEN(1, 5))</f>
        <v>IT</v>
      </c>
      <c r="C407" t="str">
        <f ca="1">_xlfn.XLOOKUP(Table1[[#This Row],[Department]],sheet2!$A$2:$A$6,sheet2!$B$2:$B$6,_xleta.NA,0)</f>
        <v>Software Engineer</v>
      </c>
      <c r="D407" s="1">
        <f t="shared" ca="1" si="52"/>
        <v>44504</v>
      </c>
      <c r="E407" s="1">
        <f ca="1">Table1[[#This Row],[Job Posting Date]]+ RANDBETWEEN(15, 90)</f>
        <v>44589</v>
      </c>
      <c r="F407" s="1">
        <f ca="1">Table1[[#This Row],[Hire Date]]+ RANDBETWEEN(1, 15)</f>
        <v>44597</v>
      </c>
      <c r="G407" s="1">
        <f ca="1">IF(RAND() &lt; 0.5,  Table1[[#This Row],[Join Date]]+ RANDBETWEEN(30, TODAY()- Table1[[#This Row],[Join Date]]), "-")</f>
        <v>45320</v>
      </c>
      <c r="H407" t="str">
        <f ca="1">IF(Table1[[#This Row],[Exit Date]]= "-", "Active", "Exited")</f>
        <v>Exited</v>
      </c>
      <c r="I407" s="5">
        <f t="shared" ca="1" si="53"/>
        <v>3480</v>
      </c>
      <c r="J407" t="str" cm="1">
        <f t="array" aca="1" ref="J407" ca="1">INDEX(sheet2!$C$2:$C$6, RANDBETWEEN(1, 5))</f>
        <v>Leadership Development</v>
      </c>
      <c r="K407" t="str">
        <f t="shared" ca="1" si="54"/>
        <v>Not Completed</v>
      </c>
      <c r="L407">
        <v>260</v>
      </c>
      <c r="M407">
        <f t="shared" ca="1" si="56"/>
        <v>13</v>
      </c>
      <c r="N407" t="str">
        <f t="shared" ca="1" si="57"/>
        <v>Other</v>
      </c>
      <c r="O407" s="6">
        <f t="shared" ca="1" si="58"/>
        <v>2187</v>
      </c>
      <c r="P407">
        <f ca="1">Table1[[#This Row],[Hire Date]]-Table1[[#This Row],[Job Posting Date]]</f>
        <v>85</v>
      </c>
      <c r="Q407" s="7">
        <f ca="1">Table1[[#This Row],[Join Date]]-Table1[[#This Row],[Hire Date]]</f>
        <v>8</v>
      </c>
      <c r="R407" s="8">
        <f ca="1">(IF(Table1[[#This Row],[Status]]="Exited",Table1[[#This Row],[Exit Date]]-Table1[[#This Row],[Join Date]],TODAY()-Table1[[#This Row],[Join Date]]))/30</f>
        <v>24.1</v>
      </c>
      <c r="S407">
        <f ca="1">Table1[[#This Row],[Hire Date]]-Table1[[#This Row],[Job Posting Date]]</f>
        <v>85</v>
      </c>
      <c r="T407" s="7">
        <f ca="1">Table1[[#This Row],[Time to onboard]]/Table1[[#This Row],[Time to Fill]]*100</f>
        <v>9.4117647058823533</v>
      </c>
      <c r="U407" s="8">
        <f ca="1">Table1[[#This Row],[Time to onboard]]/Table1[[#This Row],[Time to Fill]]*100</f>
        <v>9.4117647058823533</v>
      </c>
      <c r="V407">
        <f ca="1">Table1[[#This Row],[Join Date]]-Table1[[#This Row],[Job Posting Date]]</f>
        <v>93</v>
      </c>
      <c r="W407">
        <f t="shared" ca="1" si="59"/>
        <v>182</v>
      </c>
      <c r="X407" s="8">
        <f ca="1">Table1[[#This Row],[Absentee Days]]/Table1[[#This Row],[Total Work Days]]*100</f>
        <v>5</v>
      </c>
      <c r="Y407">
        <f ca="1">YEAR(Table1[[#This Row],[Join Date]])</f>
        <v>2022</v>
      </c>
      <c r="Z407">
        <f ca="1">IF(Table1[[#This Row],[Status]]="Active",1,0)</f>
        <v>0</v>
      </c>
      <c r="AA407">
        <f ca="1">IF(Table1[[#This Row],[Status]]="Exited",Table1[[#This Row],[Recruitment Cost]]+Table1[[#This Row],[Onboarding cost]]+Table1[[#This Row],[Training Cost]],0)</f>
        <v>5849</v>
      </c>
    </row>
    <row r="408" spans="1:27">
      <c r="A408" t="str">
        <f t="shared" si="55"/>
        <v>E407</v>
      </c>
      <c r="B408" t="str" cm="1">
        <f t="array" aca="1" ref="B408" ca="1">INDEX(sheet2!$A$2:$A$6, RANDBETWEEN(1, 5))</f>
        <v>Sales</v>
      </c>
      <c r="C408" t="str">
        <f ca="1">_xlfn.XLOOKUP(Table1[[#This Row],[Department]],sheet2!$A$2:$A$6,sheet2!$B$2:$B$6,_xleta.NA,0)</f>
        <v>Marketing Manager</v>
      </c>
      <c r="D408" s="1">
        <f t="shared" ca="1" si="52"/>
        <v>43635</v>
      </c>
      <c r="E408" s="1">
        <f ca="1">Table1[[#This Row],[Job Posting Date]]+ RANDBETWEEN(15, 90)</f>
        <v>43686</v>
      </c>
      <c r="F408" s="1">
        <f ca="1">Table1[[#This Row],[Hire Date]]+ RANDBETWEEN(1, 15)</f>
        <v>43701</v>
      </c>
      <c r="G408" s="1">
        <f ca="1">IF(RAND() &lt; 0.5,  Table1[[#This Row],[Join Date]]+ RANDBETWEEN(30, TODAY()- Table1[[#This Row],[Join Date]]), "-")</f>
        <v>44961</v>
      </c>
      <c r="H408" t="str">
        <f ca="1">IF(Table1[[#This Row],[Exit Date]]= "-", "Active", "Exited")</f>
        <v>Exited</v>
      </c>
      <c r="I408" s="5">
        <f t="shared" ca="1" si="53"/>
        <v>2707</v>
      </c>
      <c r="J408" t="str" cm="1">
        <f t="array" aca="1" ref="J408" ca="1">INDEX(sheet2!$C$2:$C$6, RANDBETWEEN(1, 5))</f>
        <v>Ethics and Responsibilities</v>
      </c>
      <c r="K408" t="str">
        <f t="shared" ca="1" si="54"/>
        <v>Not Completed</v>
      </c>
      <c r="L408">
        <v>260</v>
      </c>
      <c r="M408">
        <f t="shared" ca="1" si="56"/>
        <v>5</v>
      </c>
      <c r="N408" t="str">
        <f t="shared" ca="1" si="57"/>
        <v>Female</v>
      </c>
      <c r="O408" s="6">
        <f t="shared" ca="1" si="58"/>
        <v>2298</v>
      </c>
      <c r="P408">
        <f ca="1">Table1[[#This Row],[Hire Date]]-Table1[[#This Row],[Job Posting Date]]</f>
        <v>51</v>
      </c>
      <c r="Q408" s="7">
        <f ca="1">Table1[[#This Row],[Join Date]]-Table1[[#This Row],[Hire Date]]</f>
        <v>15</v>
      </c>
      <c r="R408" s="8">
        <f ca="1">(IF(Table1[[#This Row],[Status]]="Exited",Table1[[#This Row],[Exit Date]]-Table1[[#This Row],[Join Date]],TODAY()-Table1[[#This Row],[Join Date]]))/30</f>
        <v>42</v>
      </c>
      <c r="S408">
        <f ca="1">Table1[[#This Row],[Hire Date]]-Table1[[#This Row],[Job Posting Date]]</f>
        <v>51</v>
      </c>
      <c r="T408" s="7">
        <f ca="1">Table1[[#This Row],[Time to onboard]]/Table1[[#This Row],[Time to Fill]]*100</f>
        <v>29.411764705882355</v>
      </c>
      <c r="U408" s="8">
        <f ca="1">Table1[[#This Row],[Time to onboard]]/Table1[[#This Row],[Time to Fill]]*100</f>
        <v>29.411764705882355</v>
      </c>
      <c r="V408">
        <f ca="1">Table1[[#This Row],[Join Date]]-Table1[[#This Row],[Job Posting Date]]</f>
        <v>66</v>
      </c>
      <c r="W408">
        <f t="shared" ca="1" si="59"/>
        <v>124</v>
      </c>
      <c r="X408" s="8">
        <f ca="1">Table1[[#This Row],[Absentee Days]]/Table1[[#This Row],[Total Work Days]]*100</f>
        <v>1.9230769230769231</v>
      </c>
      <c r="Y408">
        <f ca="1">YEAR(Table1[[#This Row],[Join Date]])</f>
        <v>2019</v>
      </c>
      <c r="Z408">
        <f ca="1">IF(Table1[[#This Row],[Status]]="Active",1,0)</f>
        <v>0</v>
      </c>
      <c r="AA408">
        <f ca="1">IF(Table1[[#This Row],[Status]]="Exited",Table1[[#This Row],[Recruitment Cost]]+Table1[[#This Row],[Onboarding cost]]+Table1[[#This Row],[Training Cost]],0)</f>
        <v>5129</v>
      </c>
    </row>
    <row r="409" spans="1:27">
      <c r="A409" t="str">
        <f t="shared" si="55"/>
        <v>E408</v>
      </c>
      <c r="B409" t="str" cm="1">
        <f t="array" aca="1" ref="B409" ca="1">INDEX(sheet2!$A$2:$A$6, RANDBETWEEN(1, 5))</f>
        <v>IT</v>
      </c>
      <c r="C409" t="str">
        <f ca="1">_xlfn.XLOOKUP(Table1[[#This Row],[Department]],sheet2!$A$2:$A$6,sheet2!$B$2:$B$6,_xleta.NA,0)</f>
        <v>Software Engineer</v>
      </c>
      <c r="D409" s="1">
        <f t="shared" ca="1" si="52"/>
        <v>44017</v>
      </c>
      <c r="E409" s="1">
        <f ca="1">Table1[[#This Row],[Job Posting Date]]+ RANDBETWEEN(15, 90)</f>
        <v>44033</v>
      </c>
      <c r="F409" s="1">
        <f ca="1">Table1[[#This Row],[Hire Date]]+ RANDBETWEEN(1, 15)</f>
        <v>44042</v>
      </c>
      <c r="G409" s="1" t="str">
        <f ca="1">IF(RAND() &lt; 0.5,  Table1[[#This Row],[Join Date]]+ RANDBETWEEN(30, TODAY()- Table1[[#This Row],[Join Date]]), "-")</f>
        <v>-</v>
      </c>
      <c r="H409" t="str">
        <f ca="1">IF(Table1[[#This Row],[Exit Date]]= "-", "Active", "Exited")</f>
        <v>Active</v>
      </c>
      <c r="I409" s="5">
        <f t="shared" ca="1" si="53"/>
        <v>2649</v>
      </c>
      <c r="J409" t="str" cm="1">
        <f t="array" aca="1" ref="J409" ca="1">INDEX(sheet2!$C$2:$C$6, RANDBETWEEN(1, 5))</f>
        <v>Ethics and Responsibilities</v>
      </c>
      <c r="K409" t="str">
        <f t="shared" ca="1" si="54"/>
        <v>Completed</v>
      </c>
      <c r="L409">
        <v>260</v>
      </c>
      <c r="M409">
        <f t="shared" ca="1" si="56"/>
        <v>9</v>
      </c>
      <c r="N409" t="str">
        <f t="shared" ca="1" si="57"/>
        <v>Male</v>
      </c>
      <c r="O409" s="6">
        <f t="shared" ca="1" si="58"/>
        <v>1943</v>
      </c>
      <c r="P409">
        <f ca="1">Table1[[#This Row],[Hire Date]]-Table1[[#This Row],[Job Posting Date]]</f>
        <v>16</v>
      </c>
      <c r="Q409" s="7">
        <f ca="1">Table1[[#This Row],[Join Date]]-Table1[[#This Row],[Hire Date]]</f>
        <v>9</v>
      </c>
      <c r="R409" s="8">
        <f ca="1">(IF(Table1[[#This Row],[Status]]="Exited",Table1[[#This Row],[Exit Date]]-Table1[[#This Row],[Join Date]],TODAY()-Table1[[#This Row],[Join Date]]))/30</f>
        <v>54.033333333333331</v>
      </c>
      <c r="S409">
        <f ca="1">Table1[[#This Row],[Hire Date]]-Table1[[#This Row],[Job Posting Date]]</f>
        <v>16</v>
      </c>
      <c r="T409" s="7">
        <f ca="1">Table1[[#This Row],[Time to onboard]]/Table1[[#This Row],[Time to Fill]]*100</f>
        <v>56.25</v>
      </c>
      <c r="U409" s="8">
        <f ca="1">Table1[[#This Row],[Time to onboard]]/Table1[[#This Row],[Time to Fill]]*100</f>
        <v>56.25</v>
      </c>
      <c r="V409">
        <f ca="1">Table1[[#This Row],[Join Date]]-Table1[[#This Row],[Job Posting Date]]</f>
        <v>25</v>
      </c>
      <c r="W409">
        <f t="shared" ca="1" si="59"/>
        <v>129</v>
      </c>
      <c r="X409" s="8">
        <f ca="1">Table1[[#This Row],[Absentee Days]]/Table1[[#This Row],[Total Work Days]]*100</f>
        <v>3.4615384615384617</v>
      </c>
      <c r="Y409">
        <f ca="1">YEAR(Table1[[#This Row],[Join Date]])</f>
        <v>2020</v>
      </c>
      <c r="Z409">
        <f ca="1">IF(Table1[[#This Row],[Status]]="Active",1,0)</f>
        <v>1</v>
      </c>
      <c r="AA409">
        <f ca="1">IF(Table1[[#This Row],[Status]]="Exited",Table1[[#This Row],[Recruitment Cost]]+Table1[[#This Row],[Onboarding cost]]+Table1[[#This Row],[Training Cost]],0)</f>
        <v>0</v>
      </c>
    </row>
    <row r="410" spans="1:27">
      <c r="A410" t="str">
        <f t="shared" si="55"/>
        <v>E409</v>
      </c>
      <c r="B410" t="str" cm="1">
        <f t="array" aca="1" ref="B410" ca="1">INDEX(sheet2!$A$2:$A$6, RANDBETWEEN(1, 5))</f>
        <v>Analytics</v>
      </c>
      <c r="C410" t="str">
        <f ca="1">_xlfn.XLOOKUP(Table1[[#This Row],[Department]],sheet2!$A$2:$A$6,sheet2!$B$2:$B$6,_xleta.NA,0)</f>
        <v>Data Analyst</v>
      </c>
      <c r="D410" s="1">
        <f t="shared" ca="1" si="52"/>
        <v>43994</v>
      </c>
      <c r="E410" s="1">
        <f ca="1">Table1[[#This Row],[Job Posting Date]]+ RANDBETWEEN(15, 90)</f>
        <v>44009</v>
      </c>
      <c r="F410" s="1">
        <f ca="1">Table1[[#This Row],[Hire Date]]+ RANDBETWEEN(1, 15)</f>
        <v>44016</v>
      </c>
      <c r="G410" s="1">
        <f ca="1">IF(RAND() &lt; 0.5,  Table1[[#This Row],[Join Date]]+ RANDBETWEEN(30, TODAY()- Table1[[#This Row],[Join Date]]), "-")</f>
        <v>45054</v>
      </c>
      <c r="H410" t="str">
        <f ca="1">IF(Table1[[#This Row],[Exit Date]]= "-", "Active", "Exited")</f>
        <v>Exited</v>
      </c>
      <c r="I410" s="5">
        <f t="shared" ca="1" si="53"/>
        <v>2155</v>
      </c>
      <c r="J410" t="str" cm="1">
        <f t="array" aca="1" ref="J410" ca="1">INDEX(sheet2!$C$2:$C$6, RANDBETWEEN(1, 5))</f>
        <v>Conflict Resolution</v>
      </c>
      <c r="K410" t="str">
        <f t="shared" ca="1" si="54"/>
        <v>Not Completed</v>
      </c>
      <c r="L410">
        <v>260</v>
      </c>
      <c r="M410">
        <f t="shared" ca="1" si="56"/>
        <v>13</v>
      </c>
      <c r="N410" t="str">
        <f t="shared" ca="1" si="57"/>
        <v>Male</v>
      </c>
      <c r="O410" s="6">
        <f t="shared" ca="1" si="58"/>
        <v>2246</v>
      </c>
      <c r="P410">
        <f ca="1">Table1[[#This Row],[Hire Date]]-Table1[[#This Row],[Job Posting Date]]</f>
        <v>15</v>
      </c>
      <c r="Q410" s="7">
        <f ca="1">Table1[[#This Row],[Join Date]]-Table1[[#This Row],[Hire Date]]</f>
        <v>7</v>
      </c>
      <c r="R410" s="8">
        <f ca="1">(IF(Table1[[#This Row],[Status]]="Exited",Table1[[#This Row],[Exit Date]]-Table1[[#This Row],[Join Date]],TODAY()-Table1[[#This Row],[Join Date]]))/30</f>
        <v>34.6</v>
      </c>
      <c r="S410">
        <f ca="1">Table1[[#This Row],[Hire Date]]-Table1[[#This Row],[Job Posting Date]]</f>
        <v>15</v>
      </c>
      <c r="T410" s="7">
        <f ca="1">Table1[[#This Row],[Time to onboard]]/Table1[[#This Row],[Time to Fill]]*100</f>
        <v>46.666666666666664</v>
      </c>
      <c r="U410" s="8">
        <f ca="1">Table1[[#This Row],[Time to onboard]]/Table1[[#This Row],[Time to Fill]]*100</f>
        <v>46.666666666666664</v>
      </c>
      <c r="V410">
        <f ca="1">Table1[[#This Row],[Join Date]]-Table1[[#This Row],[Job Posting Date]]</f>
        <v>22</v>
      </c>
      <c r="W410">
        <f t="shared" ca="1" si="59"/>
        <v>135</v>
      </c>
      <c r="X410" s="8">
        <f ca="1">Table1[[#This Row],[Absentee Days]]/Table1[[#This Row],[Total Work Days]]*100</f>
        <v>5</v>
      </c>
      <c r="Y410">
        <f ca="1">YEAR(Table1[[#This Row],[Join Date]])</f>
        <v>2020</v>
      </c>
      <c r="Z410">
        <f ca="1">IF(Table1[[#This Row],[Status]]="Active",1,0)</f>
        <v>0</v>
      </c>
      <c r="AA410">
        <f ca="1">IF(Table1[[#This Row],[Status]]="Exited",Table1[[#This Row],[Recruitment Cost]]+Table1[[#This Row],[Onboarding cost]]+Table1[[#This Row],[Training Cost]],0)</f>
        <v>4536</v>
      </c>
    </row>
    <row r="411" spans="1:27">
      <c r="A411" t="str">
        <f t="shared" si="55"/>
        <v>E410</v>
      </c>
      <c r="B411" t="str" cm="1">
        <f t="array" aca="1" ref="B411" ca="1">INDEX(sheet2!$A$2:$A$6, RANDBETWEEN(1, 5))</f>
        <v>HR</v>
      </c>
      <c r="C411" t="str">
        <f ca="1">_xlfn.XLOOKUP(Table1[[#This Row],[Department]],sheet2!$A$2:$A$6,sheet2!$B$2:$B$6,_xleta.NA,0)</f>
        <v>HR Manager</v>
      </c>
      <c r="D411" s="1">
        <f t="shared" ca="1" si="52"/>
        <v>43326</v>
      </c>
      <c r="E411" s="1">
        <f ca="1">Table1[[#This Row],[Job Posting Date]]+ RANDBETWEEN(15, 90)</f>
        <v>43346</v>
      </c>
      <c r="F411" s="1">
        <f ca="1">Table1[[#This Row],[Hire Date]]+ RANDBETWEEN(1, 15)</f>
        <v>43348</v>
      </c>
      <c r="G411" s="1">
        <f ca="1">IF(RAND() &lt; 0.5,  Table1[[#This Row],[Join Date]]+ RANDBETWEEN(30, TODAY()- Table1[[#This Row],[Join Date]]), "-")</f>
        <v>45331</v>
      </c>
      <c r="H411" t="str">
        <f ca="1">IF(Table1[[#This Row],[Exit Date]]= "-", "Active", "Exited")</f>
        <v>Exited</v>
      </c>
      <c r="I411" s="5">
        <f t="shared" ca="1" si="53"/>
        <v>3862</v>
      </c>
      <c r="J411" t="str" cm="1">
        <f t="array" aca="1" ref="J411" ca="1">INDEX(sheet2!$C$2:$C$6, RANDBETWEEN(1, 5))</f>
        <v>Advanced Excel Skills </v>
      </c>
      <c r="K411" t="str">
        <f t="shared" ca="1" si="54"/>
        <v>Completed</v>
      </c>
      <c r="L411">
        <v>260</v>
      </c>
      <c r="M411">
        <f t="shared" ca="1" si="56"/>
        <v>16</v>
      </c>
      <c r="N411" t="str">
        <f t="shared" ca="1" si="57"/>
        <v>Other</v>
      </c>
      <c r="O411" s="6">
        <f t="shared" ca="1" si="58"/>
        <v>2462</v>
      </c>
      <c r="P411">
        <f ca="1">Table1[[#This Row],[Hire Date]]-Table1[[#This Row],[Job Posting Date]]</f>
        <v>20</v>
      </c>
      <c r="Q411" s="7">
        <f ca="1">Table1[[#This Row],[Join Date]]-Table1[[#This Row],[Hire Date]]</f>
        <v>2</v>
      </c>
      <c r="R411" s="8">
        <f ca="1">(IF(Table1[[#This Row],[Status]]="Exited",Table1[[#This Row],[Exit Date]]-Table1[[#This Row],[Join Date]],TODAY()-Table1[[#This Row],[Join Date]]))/30</f>
        <v>66.099999999999994</v>
      </c>
      <c r="S411">
        <f ca="1">Table1[[#This Row],[Hire Date]]-Table1[[#This Row],[Job Posting Date]]</f>
        <v>20</v>
      </c>
      <c r="T411" s="7">
        <f ca="1">Table1[[#This Row],[Time to onboard]]/Table1[[#This Row],[Time to Fill]]*100</f>
        <v>10</v>
      </c>
      <c r="U411" s="8">
        <f ca="1">Table1[[#This Row],[Time to onboard]]/Table1[[#This Row],[Time to Fill]]*100</f>
        <v>10</v>
      </c>
      <c r="V411">
        <f ca="1">Table1[[#This Row],[Join Date]]-Table1[[#This Row],[Job Posting Date]]</f>
        <v>22</v>
      </c>
      <c r="W411">
        <f t="shared" ca="1" si="59"/>
        <v>184</v>
      </c>
      <c r="X411" s="8">
        <f ca="1">Table1[[#This Row],[Absentee Days]]/Table1[[#This Row],[Total Work Days]]*100</f>
        <v>6.1538461538461542</v>
      </c>
      <c r="Y411">
        <f ca="1">YEAR(Table1[[#This Row],[Join Date]])</f>
        <v>2018</v>
      </c>
      <c r="Z411">
        <f ca="1">IF(Table1[[#This Row],[Status]]="Active",1,0)</f>
        <v>0</v>
      </c>
      <c r="AA411">
        <f ca="1">IF(Table1[[#This Row],[Status]]="Exited",Table1[[#This Row],[Recruitment Cost]]+Table1[[#This Row],[Onboarding cost]]+Table1[[#This Row],[Training Cost]],0)</f>
        <v>6508</v>
      </c>
    </row>
    <row r="412" spans="1:27">
      <c r="A412" t="str">
        <f t="shared" si="55"/>
        <v>E411</v>
      </c>
      <c r="B412" t="str" cm="1">
        <f t="array" aca="1" ref="B412" ca="1">INDEX(sheet2!$A$2:$A$6, RANDBETWEEN(1, 5))</f>
        <v>Finance</v>
      </c>
      <c r="C412" t="str">
        <f ca="1">_xlfn.XLOOKUP(Table1[[#This Row],[Department]],sheet2!$A$2:$A$6,sheet2!$B$2:$B$6,_xleta.NA,0)</f>
        <v>Finance Manager</v>
      </c>
      <c r="D412" s="1">
        <f t="shared" ca="1" si="52"/>
        <v>43137</v>
      </c>
      <c r="E412" s="1">
        <f ca="1">Table1[[#This Row],[Job Posting Date]]+ RANDBETWEEN(15, 90)</f>
        <v>43223</v>
      </c>
      <c r="F412" s="1">
        <f ca="1">Table1[[#This Row],[Hire Date]]+ RANDBETWEEN(1, 15)</f>
        <v>43233</v>
      </c>
      <c r="G412" s="1">
        <f ca="1">IF(RAND() &lt; 0.5,  Table1[[#This Row],[Join Date]]+ RANDBETWEEN(30, TODAY()- Table1[[#This Row],[Join Date]]), "-")</f>
        <v>45653</v>
      </c>
      <c r="H412" t="str">
        <f ca="1">IF(Table1[[#This Row],[Exit Date]]= "-", "Active", "Exited")</f>
        <v>Exited</v>
      </c>
      <c r="I412" s="5">
        <f t="shared" ca="1" si="53"/>
        <v>2928</v>
      </c>
      <c r="J412" t="str" cm="1">
        <f t="array" aca="1" ref="J412" ca="1">INDEX(sheet2!$C$2:$C$6, RANDBETWEEN(1, 5))</f>
        <v>Communication Skills</v>
      </c>
      <c r="K412" t="str">
        <f t="shared" ca="1" si="54"/>
        <v>Completed</v>
      </c>
      <c r="L412">
        <v>260</v>
      </c>
      <c r="M412">
        <f t="shared" ca="1" si="56"/>
        <v>1</v>
      </c>
      <c r="N412" t="str">
        <f t="shared" ca="1" si="57"/>
        <v>Other</v>
      </c>
      <c r="O412" s="6">
        <f t="shared" ca="1" si="58"/>
        <v>1830</v>
      </c>
      <c r="P412">
        <f ca="1">Table1[[#This Row],[Hire Date]]-Table1[[#This Row],[Job Posting Date]]</f>
        <v>86</v>
      </c>
      <c r="Q412" s="7">
        <f ca="1">Table1[[#This Row],[Join Date]]-Table1[[#This Row],[Hire Date]]</f>
        <v>10</v>
      </c>
      <c r="R412" s="8">
        <f ca="1">(IF(Table1[[#This Row],[Status]]="Exited",Table1[[#This Row],[Exit Date]]-Table1[[#This Row],[Join Date]],TODAY()-Table1[[#This Row],[Join Date]]))/30</f>
        <v>80.666666666666671</v>
      </c>
      <c r="S412">
        <f ca="1">Table1[[#This Row],[Hire Date]]-Table1[[#This Row],[Job Posting Date]]</f>
        <v>86</v>
      </c>
      <c r="T412" s="7">
        <f ca="1">Table1[[#This Row],[Time to onboard]]/Table1[[#This Row],[Time to Fill]]*100</f>
        <v>11.627906976744185</v>
      </c>
      <c r="U412" s="8">
        <f ca="1">Table1[[#This Row],[Time to onboard]]/Table1[[#This Row],[Time to Fill]]*100</f>
        <v>11.627906976744185</v>
      </c>
      <c r="V412">
        <f ca="1">Table1[[#This Row],[Join Date]]-Table1[[#This Row],[Job Posting Date]]</f>
        <v>96</v>
      </c>
      <c r="W412">
        <f t="shared" ca="1" si="59"/>
        <v>195</v>
      </c>
      <c r="X412" s="8">
        <f ca="1">Table1[[#This Row],[Absentee Days]]/Table1[[#This Row],[Total Work Days]]*100</f>
        <v>0.38461538461538464</v>
      </c>
      <c r="Y412">
        <f ca="1">YEAR(Table1[[#This Row],[Join Date]])</f>
        <v>2018</v>
      </c>
      <c r="Z412">
        <f ca="1">IF(Table1[[#This Row],[Status]]="Active",1,0)</f>
        <v>0</v>
      </c>
      <c r="AA412">
        <f ca="1">IF(Table1[[#This Row],[Status]]="Exited",Table1[[#This Row],[Recruitment Cost]]+Table1[[#This Row],[Onboarding cost]]+Table1[[#This Row],[Training Cost]],0)</f>
        <v>4953</v>
      </c>
    </row>
    <row r="413" spans="1:27">
      <c r="A413" t="str">
        <f t="shared" si="55"/>
        <v>E412</v>
      </c>
      <c r="B413" t="str" cm="1">
        <f t="array" aca="1" ref="B413" ca="1">INDEX(sheet2!$A$2:$A$6, RANDBETWEEN(1, 5))</f>
        <v>Finance</v>
      </c>
      <c r="C413" t="str">
        <f ca="1">_xlfn.XLOOKUP(Table1[[#This Row],[Department]],sheet2!$A$2:$A$6,sheet2!$B$2:$B$6,_xleta.NA,0)</f>
        <v>Finance Manager</v>
      </c>
      <c r="D413" s="1">
        <f t="shared" ca="1" si="52"/>
        <v>44690</v>
      </c>
      <c r="E413" s="1">
        <f ca="1">Table1[[#This Row],[Job Posting Date]]+ RANDBETWEEN(15, 90)</f>
        <v>44740</v>
      </c>
      <c r="F413" s="1">
        <f ca="1">Table1[[#This Row],[Hire Date]]+ RANDBETWEEN(1, 15)</f>
        <v>44751</v>
      </c>
      <c r="G413" s="1">
        <f ca="1">IF(RAND() &lt; 0.5,  Table1[[#This Row],[Join Date]]+ RANDBETWEEN(30, TODAY()- Table1[[#This Row],[Join Date]]), "-")</f>
        <v>44952</v>
      </c>
      <c r="H413" t="str">
        <f ca="1">IF(Table1[[#This Row],[Exit Date]]= "-", "Active", "Exited")</f>
        <v>Exited</v>
      </c>
      <c r="I413" s="5">
        <f t="shared" ca="1" si="53"/>
        <v>3817</v>
      </c>
      <c r="J413" t="str" cm="1">
        <f t="array" aca="1" ref="J413" ca="1">INDEX(sheet2!$C$2:$C$6, RANDBETWEEN(1, 5))</f>
        <v>Ethics and Responsibilities</v>
      </c>
      <c r="K413" t="str">
        <f t="shared" ca="1" si="54"/>
        <v>Not Completed</v>
      </c>
      <c r="L413">
        <v>260</v>
      </c>
      <c r="M413">
        <f t="shared" ca="1" si="56"/>
        <v>6</v>
      </c>
      <c r="N413" t="str">
        <f t="shared" ca="1" si="57"/>
        <v>Female</v>
      </c>
      <c r="O413" s="6">
        <f t="shared" ca="1" si="58"/>
        <v>1474</v>
      </c>
      <c r="P413">
        <f ca="1">Table1[[#This Row],[Hire Date]]-Table1[[#This Row],[Job Posting Date]]</f>
        <v>50</v>
      </c>
      <c r="Q413" s="7">
        <f ca="1">Table1[[#This Row],[Join Date]]-Table1[[#This Row],[Hire Date]]</f>
        <v>11</v>
      </c>
      <c r="R413" s="8">
        <f ca="1">(IF(Table1[[#This Row],[Status]]="Exited",Table1[[#This Row],[Exit Date]]-Table1[[#This Row],[Join Date]],TODAY()-Table1[[#This Row],[Join Date]]))/30</f>
        <v>6.7</v>
      </c>
      <c r="S413">
        <f ca="1">Table1[[#This Row],[Hire Date]]-Table1[[#This Row],[Job Posting Date]]</f>
        <v>50</v>
      </c>
      <c r="T413" s="7">
        <f ca="1">Table1[[#This Row],[Time to onboard]]/Table1[[#This Row],[Time to Fill]]*100</f>
        <v>22</v>
      </c>
      <c r="U413" s="8">
        <f ca="1">Table1[[#This Row],[Time to onboard]]/Table1[[#This Row],[Time to Fill]]*100</f>
        <v>22</v>
      </c>
      <c r="V413">
        <f ca="1">Table1[[#This Row],[Join Date]]-Table1[[#This Row],[Job Posting Date]]</f>
        <v>61</v>
      </c>
      <c r="W413">
        <f t="shared" ca="1" si="59"/>
        <v>108</v>
      </c>
      <c r="X413" s="8">
        <f ca="1">Table1[[#This Row],[Absentee Days]]/Table1[[#This Row],[Total Work Days]]*100</f>
        <v>2.3076923076923079</v>
      </c>
      <c r="Y413">
        <f ca="1">YEAR(Table1[[#This Row],[Join Date]])</f>
        <v>2022</v>
      </c>
      <c r="Z413">
        <f ca="1">IF(Table1[[#This Row],[Status]]="Active",1,0)</f>
        <v>0</v>
      </c>
      <c r="AA413">
        <f ca="1">IF(Table1[[#This Row],[Status]]="Exited",Table1[[#This Row],[Recruitment Cost]]+Table1[[#This Row],[Onboarding cost]]+Table1[[#This Row],[Training Cost]],0)</f>
        <v>5399</v>
      </c>
    </row>
    <row r="414" spans="1:27">
      <c r="A414" t="str">
        <f t="shared" si="55"/>
        <v>E413</v>
      </c>
      <c r="B414" t="str" cm="1">
        <f t="array" aca="1" ref="B414" ca="1">INDEX(sheet2!$A$2:$A$6, RANDBETWEEN(1, 5))</f>
        <v>IT</v>
      </c>
      <c r="C414" t="str">
        <f ca="1">_xlfn.XLOOKUP(Table1[[#This Row],[Department]],sheet2!$A$2:$A$6,sheet2!$B$2:$B$6,_xleta.NA,0)</f>
        <v>Software Engineer</v>
      </c>
      <c r="D414" s="1">
        <f t="shared" ca="1" si="52"/>
        <v>44885</v>
      </c>
      <c r="E414" s="1">
        <f ca="1">Table1[[#This Row],[Job Posting Date]]+ RANDBETWEEN(15, 90)</f>
        <v>44944</v>
      </c>
      <c r="F414" s="1">
        <f ca="1">Table1[[#This Row],[Hire Date]]+ RANDBETWEEN(1, 15)</f>
        <v>44955</v>
      </c>
      <c r="G414" s="1" t="str">
        <f ca="1">IF(RAND() &lt; 0.5,  Table1[[#This Row],[Join Date]]+ RANDBETWEEN(30, TODAY()- Table1[[#This Row],[Join Date]]), "-")</f>
        <v>-</v>
      </c>
      <c r="H414" t="str">
        <f ca="1">IF(Table1[[#This Row],[Exit Date]]= "-", "Active", "Exited")</f>
        <v>Active</v>
      </c>
      <c r="I414" s="5">
        <f t="shared" ca="1" si="53"/>
        <v>3034</v>
      </c>
      <c r="J414" t="str" cm="1">
        <f t="array" aca="1" ref="J414" ca="1">INDEX(sheet2!$C$2:$C$6, RANDBETWEEN(1, 5))</f>
        <v>Advanced Excel Skills </v>
      </c>
      <c r="K414" t="str">
        <f t="shared" ca="1" si="54"/>
        <v>Not Completed</v>
      </c>
      <c r="L414">
        <v>260</v>
      </c>
      <c r="M414">
        <f t="shared" ca="1" si="56"/>
        <v>11</v>
      </c>
      <c r="N414" t="str">
        <f t="shared" ca="1" si="57"/>
        <v>Female</v>
      </c>
      <c r="O414" s="6">
        <f t="shared" ca="1" si="58"/>
        <v>2243</v>
      </c>
      <c r="P414">
        <f ca="1">Table1[[#This Row],[Hire Date]]-Table1[[#This Row],[Job Posting Date]]</f>
        <v>59</v>
      </c>
      <c r="Q414" s="7">
        <f ca="1">Table1[[#This Row],[Join Date]]-Table1[[#This Row],[Hire Date]]</f>
        <v>11</v>
      </c>
      <c r="R414" s="8">
        <f ca="1">(IF(Table1[[#This Row],[Status]]="Exited",Table1[[#This Row],[Exit Date]]-Table1[[#This Row],[Join Date]],TODAY()-Table1[[#This Row],[Join Date]]))/30</f>
        <v>23.6</v>
      </c>
      <c r="S414">
        <f ca="1">Table1[[#This Row],[Hire Date]]-Table1[[#This Row],[Job Posting Date]]</f>
        <v>59</v>
      </c>
      <c r="T414" s="7">
        <f ca="1">Table1[[#This Row],[Time to onboard]]/Table1[[#This Row],[Time to Fill]]*100</f>
        <v>18.64406779661017</v>
      </c>
      <c r="U414" s="8">
        <f ca="1">Table1[[#This Row],[Time to onboard]]/Table1[[#This Row],[Time to Fill]]*100</f>
        <v>18.64406779661017</v>
      </c>
      <c r="V414">
        <f ca="1">Table1[[#This Row],[Join Date]]-Table1[[#This Row],[Job Posting Date]]</f>
        <v>70</v>
      </c>
      <c r="W414">
        <f t="shared" ca="1" si="59"/>
        <v>162</v>
      </c>
      <c r="X414" s="8">
        <f ca="1">Table1[[#This Row],[Absentee Days]]/Table1[[#This Row],[Total Work Days]]*100</f>
        <v>4.2307692307692308</v>
      </c>
      <c r="Y414">
        <f ca="1">YEAR(Table1[[#This Row],[Join Date]])</f>
        <v>2023</v>
      </c>
      <c r="Z414">
        <f ca="1">IF(Table1[[#This Row],[Status]]="Active",1,0)</f>
        <v>1</v>
      </c>
      <c r="AA414">
        <f ca="1">IF(Table1[[#This Row],[Status]]="Exited",Table1[[#This Row],[Recruitment Cost]]+Table1[[#This Row],[Onboarding cost]]+Table1[[#This Row],[Training Cost]],0)</f>
        <v>0</v>
      </c>
    </row>
    <row r="415" spans="1:27">
      <c r="A415" t="str">
        <f t="shared" si="55"/>
        <v>E414</v>
      </c>
      <c r="B415" t="str" cm="1">
        <f t="array" aca="1" ref="B415" ca="1">INDEX(sheet2!$A$2:$A$6, RANDBETWEEN(1, 5))</f>
        <v>Sales</v>
      </c>
      <c r="C415" t="str">
        <f ca="1">_xlfn.XLOOKUP(Table1[[#This Row],[Department]],sheet2!$A$2:$A$6,sheet2!$B$2:$B$6,_xleta.NA,0)</f>
        <v>Marketing Manager</v>
      </c>
      <c r="D415" s="1">
        <f t="shared" ca="1" si="52"/>
        <v>43855</v>
      </c>
      <c r="E415" s="1">
        <f ca="1">Table1[[#This Row],[Job Posting Date]]+ RANDBETWEEN(15, 90)</f>
        <v>43872</v>
      </c>
      <c r="F415" s="1">
        <f ca="1">Table1[[#This Row],[Hire Date]]+ RANDBETWEEN(1, 15)</f>
        <v>43876</v>
      </c>
      <c r="G415" s="1" t="str">
        <f ca="1">IF(RAND() &lt; 0.5,  Table1[[#This Row],[Join Date]]+ RANDBETWEEN(30, TODAY()- Table1[[#This Row],[Join Date]]), "-")</f>
        <v>-</v>
      </c>
      <c r="H415" t="str">
        <f ca="1">IF(Table1[[#This Row],[Exit Date]]= "-", "Active", "Exited")</f>
        <v>Active</v>
      </c>
      <c r="I415" s="5">
        <f t="shared" ca="1" si="53"/>
        <v>1743</v>
      </c>
      <c r="J415" t="str" cm="1">
        <f t="array" aca="1" ref="J415" ca="1">INDEX(sheet2!$C$2:$C$6, RANDBETWEEN(1, 5))</f>
        <v>Leadership Development</v>
      </c>
      <c r="K415" t="str">
        <f t="shared" ca="1" si="54"/>
        <v>Not Completed</v>
      </c>
      <c r="L415">
        <v>260</v>
      </c>
      <c r="M415">
        <f t="shared" ca="1" si="56"/>
        <v>7</v>
      </c>
      <c r="N415" t="str">
        <f t="shared" ca="1" si="57"/>
        <v>Other</v>
      </c>
      <c r="O415" s="6">
        <f t="shared" ca="1" si="58"/>
        <v>1258</v>
      </c>
      <c r="P415">
        <f ca="1">Table1[[#This Row],[Hire Date]]-Table1[[#This Row],[Job Posting Date]]</f>
        <v>17</v>
      </c>
      <c r="Q415" s="7">
        <f ca="1">Table1[[#This Row],[Join Date]]-Table1[[#This Row],[Hire Date]]</f>
        <v>4</v>
      </c>
      <c r="R415" s="8">
        <f ca="1">(IF(Table1[[#This Row],[Status]]="Exited",Table1[[#This Row],[Exit Date]]-Table1[[#This Row],[Join Date]],TODAY()-Table1[[#This Row],[Join Date]]))/30</f>
        <v>59.56666666666667</v>
      </c>
      <c r="S415">
        <f ca="1">Table1[[#This Row],[Hire Date]]-Table1[[#This Row],[Job Posting Date]]</f>
        <v>17</v>
      </c>
      <c r="T415" s="7">
        <f ca="1">Table1[[#This Row],[Time to onboard]]/Table1[[#This Row],[Time to Fill]]*100</f>
        <v>23.52941176470588</v>
      </c>
      <c r="U415" s="8">
        <f ca="1">Table1[[#This Row],[Time to onboard]]/Table1[[#This Row],[Time to Fill]]*100</f>
        <v>23.52941176470588</v>
      </c>
      <c r="V415">
        <f ca="1">Table1[[#This Row],[Join Date]]-Table1[[#This Row],[Job Posting Date]]</f>
        <v>21</v>
      </c>
      <c r="W415">
        <f t="shared" ca="1" si="59"/>
        <v>120</v>
      </c>
      <c r="X415" s="8">
        <f ca="1">Table1[[#This Row],[Absentee Days]]/Table1[[#This Row],[Total Work Days]]*100</f>
        <v>2.6923076923076925</v>
      </c>
      <c r="Y415">
        <f ca="1">YEAR(Table1[[#This Row],[Join Date]])</f>
        <v>2020</v>
      </c>
      <c r="Z415">
        <f ca="1">IF(Table1[[#This Row],[Status]]="Active",1,0)</f>
        <v>1</v>
      </c>
      <c r="AA415">
        <f ca="1">IF(Table1[[#This Row],[Status]]="Exited",Table1[[#This Row],[Recruitment Cost]]+Table1[[#This Row],[Onboarding cost]]+Table1[[#This Row],[Training Cost]],0)</f>
        <v>0</v>
      </c>
    </row>
    <row r="416" spans="1:27">
      <c r="A416" t="str">
        <f t="shared" si="55"/>
        <v>E415</v>
      </c>
      <c r="B416" t="str" cm="1">
        <f t="array" aca="1" ref="B416" ca="1">INDEX(sheet2!$A$2:$A$6, RANDBETWEEN(1, 5))</f>
        <v>Finance</v>
      </c>
      <c r="C416" t="str">
        <f ca="1">_xlfn.XLOOKUP(Table1[[#This Row],[Department]],sheet2!$A$2:$A$6,sheet2!$B$2:$B$6,_xleta.NA,0)</f>
        <v>Finance Manager</v>
      </c>
      <c r="D416" s="1">
        <f t="shared" ca="1" si="52"/>
        <v>43949</v>
      </c>
      <c r="E416" s="1">
        <f ca="1">Table1[[#This Row],[Job Posting Date]]+ RANDBETWEEN(15, 90)</f>
        <v>44039</v>
      </c>
      <c r="F416" s="1">
        <f ca="1">Table1[[#This Row],[Hire Date]]+ RANDBETWEEN(1, 15)</f>
        <v>44042</v>
      </c>
      <c r="G416" s="1" t="str">
        <f ca="1">IF(RAND() &lt; 0.5,  Table1[[#This Row],[Join Date]]+ RANDBETWEEN(30, TODAY()- Table1[[#This Row],[Join Date]]), "-")</f>
        <v>-</v>
      </c>
      <c r="H416" t="str">
        <f ca="1">IF(Table1[[#This Row],[Exit Date]]= "-", "Active", "Exited")</f>
        <v>Active</v>
      </c>
      <c r="I416" s="5">
        <f t="shared" ca="1" si="53"/>
        <v>2434</v>
      </c>
      <c r="J416" t="str" cm="1">
        <f t="array" aca="1" ref="J416" ca="1">INDEX(sheet2!$C$2:$C$6, RANDBETWEEN(1, 5))</f>
        <v>Communication Skills</v>
      </c>
      <c r="K416" t="str">
        <f t="shared" ca="1" si="54"/>
        <v>Not Completed</v>
      </c>
      <c r="L416">
        <v>260</v>
      </c>
      <c r="M416">
        <f t="shared" ca="1" si="56"/>
        <v>0</v>
      </c>
      <c r="N416" t="str">
        <f t="shared" ca="1" si="57"/>
        <v>Male</v>
      </c>
      <c r="O416" s="6">
        <f t="shared" ca="1" si="58"/>
        <v>1652</v>
      </c>
      <c r="P416">
        <f ca="1">Table1[[#This Row],[Hire Date]]-Table1[[#This Row],[Job Posting Date]]</f>
        <v>90</v>
      </c>
      <c r="Q416" s="7">
        <f ca="1">Table1[[#This Row],[Join Date]]-Table1[[#This Row],[Hire Date]]</f>
        <v>3</v>
      </c>
      <c r="R416" s="8">
        <f ca="1">(IF(Table1[[#This Row],[Status]]="Exited",Table1[[#This Row],[Exit Date]]-Table1[[#This Row],[Join Date]],TODAY()-Table1[[#This Row],[Join Date]]))/30</f>
        <v>54.033333333333331</v>
      </c>
      <c r="S416">
        <f ca="1">Table1[[#This Row],[Hire Date]]-Table1[[#This Row],[Job Posting Date]]</f>
        <v>90</v>
      </c>
      <c r="T416" s="7">
        <f ca="1">Table1[[#This Row],[Time to onboard]]/Table1[[#This Row],[Time to Fill]]*100</f>
        <v>3.3333333333333335</v>
      </c>
      <c r="U416" s="8">
        <f ca="1">Table1[[#This Row],[Time to onboard]]/Table1[[#This Row],[Time to Fill]]*100</f>
        <v>3.3333333333333335</v>
      </c>
      <c r="V416">
        <f ca="1">Table1[[#This Row],[Join Date]]-Table1[[#This Row],[Job Posting Date]]</f>
        <v>93</v>
      </c>
      <c r="W416">
        <f t="shared" ca="1" si="59"/>
        <v>111</v>
      </c>
      <c r="X416" s="8">
        <f ca="1">Table1[[#This Row],[Absentee Days]]/Table1[[#This Row],[Total Work Days]]*100</f>
        <v>0</v>
      </c>
      <c r="Y416">
        <f ca="1">YEAR(Table1[[#This Row],[Join Date]])</f>
        <v>2020</v>
      </c>
      <c r="Z416">
        <f ca="1">IF(Table1[[#This Row],[Status]]="Active",1,0)</f>
        <v>1</v>
      </c>
      <c r="AA416">
        <f ca="1">IF(Table1[[#This Row],[Status]]="Exited",Table1[[#This Row],[Recruitment Cost]]+Table1[[#This Row],[Onboarding cost]]+Table1[[#This Row],[Training Cost]],0)</f>
        <v>0</v>
      </c>
    </row>
    <row r="417" spans="1:27">
      <c r="A417" t="str">
        <f t="shared" si="55"/>
        <v>E416</v>
      </c>
      <c r="B417" t="str" cm="1">
        <f t="array" aca="1" ref="B417" ca="1">INDEX(sheet2!$A$2:$A$6, RANDBETWEEN(1, 5))</f>
        <v>Finance</v>
      </c>
      <c r="C417" t="str">
        <f ca="1">_xlfn.XLOOKUP(Table1[[#This Row],[Department]],sheet2!$A$2:$A$6,sheet2!$B$2:$B$6,_xleta.NA,0)</f>
        <v>Finance Manager</v>
      </c>
      <c r="D417" s="1">
        <f t="shared" ca="1" si="52"/>
        <v>43258</v>
      </c>
      <c r="E417" s="1">
        <f ca="1">Table1[[#This Row],[Job Posting Date]]+ RANDBETWEEN(15, 90)</f>
        <v>43295</v>
      </c>
      <c r="F417" s="1">
        <f ca="1">Table1[[#This Row],[Hire Date]]+ RANDBETWEEN(1, 15)</f>
        <v>43308</v>
      </c>
      <c r="G417" s="1">
        <f ca="1">IF(RAND() &lt; 0.5,  Table1[[#This Row],[Join Date]]+ RANDBETWEEN(30, TODAY()- Table1[[#This Row],[Join Date]]), "-")</f>
        <v>43911</v>
      </c>
      <c r="H417" t="str">
        <f ca="1">IF(Table1[[#This Row],[Exit Date]]= "-", "Active", "Exited")</f>
        <v>Exited</v>
      </c>
      <c r="I417" s="5">
        <f t="shared" ca="1" si="53"/>
        <v>2846</v>
      </c>
      <c r="J417" t="str" cm="1">
        <f t="array" aca="1" ref="J417" ca="1">INDEX(sheet2!$C$2:$C$6, RANDBETWEEN(1, 5))</f>
        <v>Communication Skills</v>
      </c>
      <c r="K417" t="str">
        <f t="shared" ca="1" si="54"/>
        <v>Completed</v>
      </c>
      <c r="L417">
        <v>260</v>
      </c>
      <c r="M417">
        <f t="shared" ca="1" si="56"/>
        <v>0</v>
      </c>
      <c r="N417" t="str">
        <f t="shared" ca="1" si="57"/>
        <v>Other</v>
      </c>
      <c r="O417" s="6">
        <f t="shared" ca="1" si="58"/>
        <v>2486</v>
      </c>
      <c r="P417">
        <f ca="1">Table1[[#This Row],[Hire Date]]-Table1[[#This Row],[Job Posting Date]]</f>
        <v>37</v>
      </c>
      <c r="Q417" s="7">
        <f ca="1">Table1[[#This Row],[Join Date]]-Table1[[#This Row],[Hire Date]]</f>
        <v>13</v>
      </c>
      <c r="R417" s="8">
        <f ca="1">(IF(Table1[[#This Row],[Status]]="Exited",Table1[[#This Row],[Exit Date]]-Table1[[#This Row],[Join Date]],TODAY()-Table1[[#This Row],[Join Date]]))/30</f>
        <v>20.100000000000001</v>
      </c>
      <c r="S417">
        <f ca="1">Table1[[#This Row],[Hire Date]]-Table1[[#This Row],[Job Posting Date]]</f>
        <v>37</v>
      </c>
      <c r="T417" s="7">
        <f ca="1">Table1[[#This Row],[Time to onboard]]/Table1[[#This Row],[Time to Fill]]*100</f>
        <v>35.135135135135137</v>
      </c>
      <c r="U417" s="8">
        <f ca="1">Table1[[#This Row],[Time to onboard]]/Table1[[#This Row],[Time to Fill]]*100</f>
        <v>35.135135135135137</v>
      </c>
      <c r="V417">
        <f ca="1">Table1[[#This Row],[Join Date]]-Table1[[#This Row],[Job Posting Date]]</f>
        <v>50</v>
      </c>
      <c r="W417">
        <f t="shared" ca="1" si="59"/>
        <v>175</v>
      </c>
      <c r="X417" s="8">
        <f ca="1">Table1[[#This Row],[Absentee Days]]/Table1[[#This Row],[Total Work Days]]*100</f>
        <v>0</v>
      </c>
      <c r="Y417">
        <f ca="1">YEAR(Table1[[#This Row],[Join Date]])</f>
        <v>2018</v>
      </c>
      <c r="Z417">
        <f ca="1">IF(Table1[[#This Row],[Status]]="Active",1,0)</f>
        <v>0</v>
      </c>
      <c r="AA417">
        <f ca="1">IF(Table1[[#This Row],[Status]]="Exited",Table1[[#This Row],[Recruitment Cost]]+Table1[[#This Row],[Onboarding cost]]+Table1[[#This Row],[Training Cost]],0)</f>
        <v>5507</v>
      </c>
    </row>
    <row r="418" spans="1:27">
      <c r="A418" t="str">
        <f t="shared" si="55"/>
        <v>E417</v>
      </c>
      <c r="B418" t="str" cm="1">
        <f t="array" aca="1" ref="B418" ca="1">INDEX(sheet2!$A$2:$A$6, RANDBETWEEN(1, 5))</f>
        <v>Analytics</v>
      </c>
      <c r="C418" t="str">
        <f ca="1">_xlfn.XLOOKUP(Table1[[#This Row],[Department]],sheet2!$A$2:$A$6,sheet2!$B$2:$B$6,_xleta.NA,0)</f>
        <v>Data Analyst</v>
      </c>
      <c r="D418" s="1">
        <f t="shared" ca="1" si="52"/>
        <v>44854</v>
      </c>
      <c r="E418" s="1">
        <f ca="1">Table1[[#This Row],[Job Posting Date]]+ RANDBETWEEN(15, 90)</f>
        <v>44936</v>
      </c>
      <c r="F418" s="1">
        <f ca="1">Table1[[#This Row],[Hire Date]]+ RANDBETWEEN(1, 15)</f>
        <v>44941</v>
      </c>
      <c r="G418" s="1" t="str">
        <f ca="1">IF(RAND() &lt; 0.5,  Table1[[#This Row],[Join Date]]+ RANDBETWEEN(30, TODAY()- Table1[[#This Row],[Join Date]]), "-")</f>
        <v>-</v>
      </c>
      <c r="H418" t="str">
        <f ca="1">IF(Table1[[#This Row],[Exit Date]]= "-", "Active", "Exited")</f>
        <v>Active</v>
      </c>
      <c r="I418" s="5">
        <f t="shared" ca="1" si="53"/>
        <v>4097</v>
      </c>
      <c r="J418" t="str" cm="1">
        <f t="array" aca="1" ref="J418" ca="1">INDEX(sheet2!$C$2:$C$6, RANDBETWEEN(1, 5))</f>
        <v>Communication Skills</v>
      </c>
      <c r="K418" t="str">
        <f t="shared" ca="1" si="54"/>
        <v>Completed</v>
      </c>
      <c r="L418">
        <v>260</v>
      </c>
      <c r="M418">
        <f t="shared" ca="1" si="56"/>
        <v>18</v>
      </c>
      <c r="N418" t="str">
        <f t="shared" ca="1" si="57"/>
        <v>Male</v>
      </c>
      <c r="O418" s="6">
        <f t="shared" ca="1" si="58"/>
        <v>2166</v>
      </c>
      <c r="P418">
        <f ca="1">Table1[[#This Row],[Hire Date]]-Table1[[#This Row],[Job Posting Date]]</f>
        <v>82</v>
      </c>
      <c r="Q418" s="7">
        <f ca="1">Table1[[#This Row],[Join Date]]-Table1[[#This Row],[Hire Date]]</f>
        <v>5</v>
      </c>
      <c r="R418" s="8">
        <f ca="1">(IF(Table1[[#This Row],[Status]]="Exited",Table1[[#This Row],[Exit Date]]-Table1[[#This Row],[Join Date]],TODAY()-Table1[[#This Row],[Join Date]]))/30</f>
        <v>24.066666666666666</v>
      </c>
      <c r="S418">
        <f ca="1">Table1[[#This Row],[Hire Date]]-Table1[[#This Row],[Job Posting Date]]</f>
        <v>82</v>
      </c>
      <c r="T418" s="7">
        <f ca="1">Table1[[#This Row],[Time to onboard]]/Table1[[#This Row],[Time to Fill]]*100</f>
        <v>6.0975609756097562</v>
      </c>
      <c r="U418" s="8">
        <f ca="1">Table1[[#This Row],[Time to onboard]]/Table1[[#This Row],[Time to Fill]]*100</f>
        <v>6.0975609756097562</v>
      </c>
      <c r="V418">
        <f ca="1">Table1[[#This Row],[Join Date]]-Table1[[#This Row],[Job Posting Date]]</f>
        <v>87</v>
      </c>
      <c r="W418">
        <f t="shared" ca="1" si="59"/>
        <v>112</v>
      </c>
      <c r="X418" s="8">
        <f ca="1">Table1[[#This Row],[Absentee Days]]/Table1[[#This Row],[Total Work Days]]*100</f>
        <v>6.9230769230769234</v>
      </c>
      <c r="Y418">
        <f ca="1">YEAR(Table1[[#This Row],[Join Date]])</f>
        <v>2023</v>
      </c>
      <c r="Z418">
        <f ca="1">IF(Table1[[#This Row],[Status]]="Active",1,0)</f>
        <v>1</v>
      </c>
      <c r="AA418">
        <f ca="1">IF(Table1[[#This Row],[Status]]="Exited",Table1[[#This Row],[Recruitment Cost]]+Table1[[#This Row],[Onboarding cost]]+Table1[[#This Row],[Training Cost]],0)</f>
        <v>0</v>
      </c>
    </row>
    <row r="419" spans="1:27">
      <c r="A419" t="str">
        <f t="shared" si="55"/>
        <v>E418</v>
      </c>
      <c r="B419" t="str" cm="1">
        <f t="array" aca="1" ref="B419" ca="1">INDEX(sheet2!$A$2:$A$6, RANDBETWEEN(1, 5))</f>
        <v>IT</v>
      </c>
      <c r="C419" t="str">
        <f ca="1">_xlfn.XLOOKUP(Table1[[#This Row],[Department]],sheet2!$A$2:$A$6,sheet2!$B$2:$B$6,_xleta.NA,0)</f>
        <v>Software Engineer</v>
      </c>
      <c r="D419" s="1">
        <f t="shared" ca="1" si="52"/>
        <v>43326</v>
      </c>
      <c r="E419" s="1">
        <f ca="1">Table1[[#This Row],[Job Posting Date]]+ RANDBETWEEN(15, 90)</f>
        <v>43411</v>
      </c>
      <c r="F419" s="1">
        <f ca="1">Table1[[#This Row],[Hire Date]]+ RANDBETWEEN(1, 15)</f>
        <v>43420</v>
      </c>
      <c r="G419" s="1" t="str">
        <f ca="1">IF(RAND() &lt; 0.5,  Table1[[#This Row],[Join Date]]+ RANDBETWEEN(30, TODAY()- Table1[[#This Row],[Join Date]]), "-")</f>
        <v>-</v>
      </c>
      <c r="H419" t="str">
        <f ca="1">IF(Table1[[#This Row],[Exit Date]]= "-", "Active", "Exited")</f>
        <v>Active</v>
      </c>
      <c r="I419" s="5">
        <f t="shared" ca="1" si="53"/>
        <v>2623</v>
      </c>
      <c r="J419" t="str" cm="1">
        <f t="array" aca="1" ref="J419" ca="1">INDEX(sheet2!$C$2:$C$6, RANDBETWEEN(1, 5))</f>
        <v>Communication Skills</v>
      </c>
      <c r="K419" t="str">
        <f t="shared" ca="1" si="54"/>
        <v>Completed</v>
      </c>
      <c r="L419">
        <v>260</v>
      </c>
      <c r="M419">
        <f t="shared" ca="1" si="56"/>
        <v>2</v>
      </c>
      <c r="N419" t="str">
        <f t="shared" ca="1" si="57"/>
        <v>Other</v>
      </c>
      <c r="O419" s="6">
        <f t="shared" ca="1" si="58"/>
        <v>2017</v>
      </c>
      <c r="P419">
        <f ca="1">Table1[[#This Row],[Hire Date]]-Table1[[#This Row],[Job Posting Date]]</f>
        <v>85</v>
      </c>
      <c r="Q419" s="7">
        <f ca="1">Table1[[#This Row],[Join Date]]-Table1[[#This Row],[Hire Date]]</f>
        <v>9</v>
      </c>
      <c r="R419" s="8">
        <f ca="1">(IF(Table1[[#This Row],[Status]]="Exited",Table1[[#This Row],[Exit Date]]-Table1[[#This Row],[Join Date]],TODAY()-Table1[[#This Row],[Join Date]]))/30</f>
        <v>74.766666666666666</v>
      </c>
      <c r="S419">
        <f ca="1">Table1[[#This Row],[Hire Date]]-Table1[[#This Row],[Job Posting Date]]</f>
        <v>85</v>
      </c>
      <c r="T419" s="7">
        <f ca="1">Table1[[#This Row],[Time to onboard]]/Table1[[#This Row],[Time to Fill]]*100</f>
        <v>10.588235294117647</v>
      </c>
      <c r="U419" s="8">
        <f ca="1">Table1[[#This Row],[Time to onboard]]/Table1[[#This Row],[Time to Fill]]*100</f>
        <v>10.588235294117647</v>
      </c>
      <c r="V419">
        <f ca="1">Table1[[#This Row],[Join Date]]-Table1[[#This Row],[Job Posting Date]]</f>
        <v>94</v>
      </c>
      <c r="W419">
        <f t="shared" ca="1" si="59"/>
        <v>162</v>
      </c>
      <c r="X419" s="8">
        <f ca="1">Table1[[#This Row],[Absentee Days]]/Table1[[#This Row],[Total Work Days]]*100</f>
        <v>0.76923076923076927</v>
      </c>
      <c r="Y419">
        <f ca="1">YEAR(Table1[[#This Row],[Join Date]])</f>
        <v>2018</v>
      </c>
      <c r="Z419">
        <f ca="1">IF(Table1[[#This Row],[Status]]="Active",1,0)</f>
        <v>1</v>
      </c>
      <c r="AA419">
        <f ca="1">IF(Table1[[#This Row],[Status]]="Exited",Table1[[#This Row],[Recruitment Cost]]+Table1[[#This Row],[Onboarding cost]]+Table1[[#This Row],[Training Cost]],0)</f>
        <v>0</v>
      </c>
    </row>
    <row r="420" spans="1:27">
      <c r="A420" t="str">
        <f t="shared" si="55"/>
        <v>E419</v>
      </c>
      <c r="B420" t="str" cm="1">
        <f t="array" aca="1" ref="B420" ca="1">INDEX(sheet2!$A$2:$A$6, RANDBETWEEN(1, 5))</f>
        <v>Analytics</v>
      </c>
      <c r="C420" t="str">
        <f ca="1">_xlfn.XLOOKUP(Table1[[#This Row],[Department]],sheet2!$A$2:$A$6,sheet2!$B$2:$B$6,_xleta.NA,0)</f>
        <v>Data Analyst</v>
      </c>
      <c r="D420" s="1">
        <f t="shared" ca="1" si="52"/>
        <v>43124</v>
      </c>
      <c r="E420" s="1">
        <f ca="1">Table1[[#This Row],[Job Posting Date]]+ RANDBETWEEN(15, 90)</f>
        <v>43204</v>
      </c>
      <c r="F420" s="1">
        <f ca="1">Table1[[#This Row],[Hire Date]]+ RANDBETWEEN(1, 15)</f>
        <v>43210</v>
      </c>
      <c r="G420" s="1">
        <f ca="1">IF(RAND() &lt; 0.5,  Table1[[#This Row],[Join Date]]+ RANDBETWEEN(30, TODAY()- Table1[[#This Row],[Join Date]]), "-")</f>
        <v>44503</v>
      </c>
      <c r="H420" t="str">
        <f ca="1">IF(Table1[[#This Row],[Exit Date]]= "-", "Active", "Exited")</f>
        <v>Exited</v>
      </c>
      <c r="I420" s="5">
        <f t="shared" ca="1" si="53"/>
        <v>1814</v>
      </c>
      <c r="J420" t="str" cm="1">
        <f t="array" aca="1" ref="J420" ca="1">INDEX(sheet2!$C$2:$C$6, RANDBETWEEN(1, 5))</f>
        <v>Ethics and Responsibilities</v>
      </c>
      <c r="K420" t="str">
        <f t="shared" ca="1" si="54"/>
        <v>Completed</v>
      </c>
      <c r="L420">
        <v>260</v>
      </c>
      <c r="M420">
        <f t="shared" ca="1" si="56"/>
        <v>16</v>
      </c>
      <c r="N420" t="str">
        <f t="shared" ca="1" si="57"/>
        <v>Male</v>
      </c>
      <c r="O420" s="6">
        <f t="shared" ca="1" si="58"/>
        <v>2216</v>
      </c>
      <c r="P420">
        <f ca="1">Table1[[#This Row],[Hire Date]]-Table1[[#This Row],[Job Posting Date]]</f>
        <v>80</v>
      </c>
      <c r="Q420" s="7">
        <f ca="1">Table1[[#This Row],[Join Date]]-Table1[[#This Row],[Hire Date]]</f>
        <v>6</v>
      </c>
      <c r="R420" s="8">
        <f ca="1">(IF(Table1[[#This Row],[Status]]="Exited",Table1[[#This Row],[Exit Date]]-Table1[[#This Row],[Join Date]],TODAY()-Table1[[#This Row],[Join Date]]))/30</f>
        <v>43.1</v>
      </c>
      <c r="S420">
        <f ca="1">Table1[[#This Row],[Hire Date]]-Table1[[#This Row],[Job Posting Date]]</f>
        <v>80</v>
      </c>
      <c r="T420" s="7">
        <f ca="1">Table1[[#This Row],[Time to onboard]]/Table1[[#This Row],[Time to Fill]]*100</f>
        <v>7.5</v>
      </c>
      <c r="U420" s="8">
        <f ca="1">Table1[[#This Row],[Time to onboard]]/Table1[[#This Row],[Time to Fill]]*100</f>
        <v>7.5</v>
      </c>
      <c r="V420">
        <f ca="1">Table1[[#This Row],[Join Date]]-Table1[[#This Row],[Job Posting Date]]</f>
        <v>86</v>
      </c>
      <c r="W420">
        <f t="shared" ca="1" si="59"/>
        <v>180</v>
      </c>
      <c r="X420" s="8">
        <f ca="1">Table1[[#This Row],[Absentee Days]]/Table1[[#This Row],[Total Work Days]]*100</f>
        <v>6.1538461538461542</v>
      </c>
      <c r="Y420">
        <f ca="1">YEAR(Table1[[#This Row],[Join Date]])</f>
        <v>2018</v>
      </c>
      <c r="Z420">
        <f ca="1">IF(Table1[[#This Row],[Status]]="Active",1,0)</f>
        <v>0</v>
      </c>
      <c r="AA420">
        <f ca="1">IF(Table1[[#This Row],[Status]]="Exited",Table1[[#This Row],[Recruitment Cost]]+Table1[[#This Row],[Onboarding cost]]+Table1[[#This Row],[Training Cost]],0)</f>
        <v>4210</v>
      </c>
    </row>
    <row r="421" spans="1:27">
      <c r="A421" t="str">
        <f t="shared" si="55"/>
        <v>E420</v>
      </c>
      <c r="B421" t="str" cm="1">
        <f t="array" aca="1" ref="B421" ca="1">INDEX(sheet2!$A$2:$A$6, RANDBETWEEN(1, 5))</f>
        <v>Sales</v>
      </c>
      <c r="C421" t="str">
        <f ca="1">_xlfn.XLOOKUP(Table1[[#This Row],[Department]],sheet2!$A$2:$A$6,sheet2!$B$2:$B$6,_xleta.NA,0)</f>
        <v>Marketing Manager</v>
      </c>
      <c r="D421" s="1">
        <f t="shared" ca="1" si="52"/>
        <v>44546</v>
      </c>
      <c r="E421" s="1">
        <f ca="1">Table1[[#This Row],[Job Posting Date]]+ RANDBETWEEN(15, 90)</f>
        <v>44591</v>
      </c>
      <c r="F421" s="1">
        <f ca="1">Table1[[#This Row],[Hire Date]]+ RANDBETWEEN(1, 15)</f>
        <v>44606</v>
      </c>
      <c r="G421" s="1" t="str">
        <f ca="1">IF(RAND() &lt; 0.5,  Table1[[#This Row],[Join Date]]+ RANDBETWEEN(30, TODAY()- Table1[[#This Row],[Join Date]]), "-")</f>
        <v>-</v>
      </c>
      <c r="H421" t="str">
        <f ca="1">IF(Table1[[#This Row],[Exit Date]]= "-", "Active", "Exited")</f>
        <v>Active</v>
      </c>
      <c r="I421" s="5">
        <f t="shared" ca="1" si="53"/>
        <v>1681</v>
      </c>
      <c r="J421" t="str" cm="1">
        <f t="array" aca="1" ref="J421" ca="1">INDEX(sheet2!$C$2:$C$6, RANDBETWEEN(1, 5))</f>
        <v>Advanced Excel Skills </v>
      </c>
      <c r="K421" t="str">
        <f t="shared" ca="1" si="54"/>
        <v>Completed</v>
      </c>
      <c r="L421">
        <v>260</v>
      </c>
      <c r="M421">
        <f t="shared" ca="1" si="56"/>
        <v>9</v>
      </c>
      <c r="N421" t="str">
        <f t="shared" ca="1" si="57"/>
        <v>Female</v>
      </c>
      <c r="O421" s="6">
        <f t="shared" ca="1" si="58"/>
        <v>1828</v>
      </c>
      <c r="P421">
        <f ca="1">Table1[[#This Row],[Hire Date]]-Table1[[#This Row],[Job Posting Date]]</f>
        <v>45</v>
      </c>
      <c r="Q421" s="7">
        <f ca="1">Table1[[#This Row],[Join Date]]-Table1[[#This Row],[Hire Date]]</f>
        <v>15</v>
      </c>
      <c r="R421" s="8">
        <f ca="1">(IF(Table1[[#This Row],[Status]]="Exited",Table1[[#This Row],[Exit Date]]-Table1[[#This Row],[Join Date]],TODAY()-Table1[[#This Row],[Join Date]]))/30</f>
        <v>35.233333333333334</v>
      </c>
      <c r="S421">
        <f ca="1">Table1[[#This Row],[Hire Date]]-Table1[[#This Row],[Job Posting Date]]</f>
        <v>45</v>
      </c>
      <c r="T421" s="7">
        <f ca="1">Table1[[#This Row],[Time to onboard]]/Table1[[#This Row],[Time to Fill]]*100</f>
        <v>33.333333333333329</v>
      </c>
      <c r="U421" s="8">
        <f ca="1">Table1[[#This Row],[Time to onboard]]/Table1[[#This Row],[Time to Fill]]*100</f>
        <v>33.333333333333329</v>
      </c>
      <c r="V421">
        <f ca="1">Table1[[#This Row],[Join Date]]-Table1[[#This Row],[Job Posting Date]]</f>
        <v>60</v>
      </c>
      <c r="W421">
        <f t="shared" ca="1" si="59"/>
        <v>108</v>
      </c>
      <c r="X421" s="8">
        <f ca="1">Table1[[#This Row],[Absentee Days]]/Table1[[#This Row],[Total Work Days]]*100</f>
        <v>3.4615384615384617</v>
      </c>
      <c r="Y421">
        <f ca="1">YEAR(Table1[[#This Row],[Join Date]])</f>
        <v>2022</v>
      </c>
      <c r="Z421">
        <f ca="1">IF(Table1[[#This Row],[Status]]="Active",1,0)</f>
        <v>1</v>
      </c>
      <c r="AA421">
        <f ca="1">IF(Table1[[#This Row],[Status]]="Exited",Table1[[#This Row],[Recruitment Cost]]+Table1[[#This Row],[Onboarding cost]]+Table1[[#This Row],[Training Cost]],0)</f>
        <v>0</v>
      </c>
    </row>
    <row r="422" spans="1:27">
      <c r="A422" t="str">
        <f t="shared" si="55"/>
        <v>E421</v>
      </c>
      <c r="B422" t="str" cm="1">
        <f t="array" aca="1" ref="B422" ca="1">INDEX(sheet2!$A$2:$A$6, RANDBETWEEN(1, 5))</f>
        <v>Finance</v>
      </c>
      <c r="C422" t="str">
        <f ca="1">_xlfn.XLOOKUP(Table1[[#This Row],[Department]],sheet2!$A$2:$A$6,sheet2!$B$2:$B$6,_xleta.NA,0)</f>
        <v>Finance Manager</v>
      </c>
      <c r="D422" s="1">
        <f t="shared" ref="D422:D485" ca="1" si="60">DATE(RANDBETWEEN(2018, 2022), RANDBETWEEN(1, 12), RANDBETWEEN(1, 28))</f>
        <v>44626</v>
      </c>
      <c r="E422" s="1">
        <f ca="1">Table1[[#This Row],[Job Posting Date]]+ RANDBETWEEN(15, 90)</f>
        <v>44706</v>
      </c>
      <c r="F422" s="1">
        <f ca="1">Table1[[#This Row],[Hire Date]]+ RANDBETWEEN(1, 15)</f>
        <v>44707</v>
      </c>
      <c r="G422" s="1" t="str">
        <f ca="1">IF(RAND() &lt; 0.5,  Table1[[#This Row],[Join Date]]+ RANDBETWEEN(30, TODAY()- Table1[[#This Row],[Join Date]]), "-")</f>
        <v>-</v>
      </c>
      <c r="H422" t="str">
        <f ca="1">IF(Table1[[#This Row],[Exit Date]]= "-", "Active", "Exited")</f>
        <v>Active</v>
      </c>
      <c r="I422" s="5">
        <f t="shared" ref="I422:I485" ca="1" si="61">RANDBETWEEN(1500, 5000)</f>
        <v>2516</v>
      </c>
      <c r="J422" t="str" cm="1">
        <f t="array" aca="1" ref="J422" ca="1">INDEX(sheet2!$C$2:$C$6, RANDBETWEEN(1, 5))</f>
        <v>Communication Skills</v>
      </c>
      <c r="K422" t="str">
        <f t="shared" ref="K422:K485" ca="1" si="62">IF(RAND() &lt; 0.7, "Completed", "Not Completed")</f>
        <v>Not Completed</v>
      </c>
      <c r="L422">
        <v>260</v>
      </c>
      <c r="M422">
        <f t="shared" ca="1" si="56"/>
        <v>6</v>
      </c>
      <c r="N422" t="str">
        <f t="shared" ca="1" si="57"/>
        <v>Female</v>
      </c>
      <c r="O422" s="6">
        <f t="shared" ca="1" si="58"/>
        <v>1673</v>
      </c>
      <c r="P422">
        <f ca="1">Table1[[#This Row],[Hire Date]]-Table1[[#This Row],[Job Posting Date]]</f>
        <v>80</v>
      </c>
      <c r="Q422" s="7">
        <f ca="1">Table1[[#This Row],[Join Date]]-Table1[[#This Row],[Hire Date]]</f>
        <v>1</v>
      </c>
      <c r="R422" s="8">
        <f ca="1">(IF(Table1[[#This Row],[Status]]="Exited",Table1[[#This Row],[Exit Date]]-Table1[[#This Row],[Join Date]],TODAY()-Table1[[#This Row],[Join Date]]))/30</f>
        <v>31.866666666666667</v>
      </c>
      <c r="S422">
        <f ca="1">Table1[[#This Row],[Hire Date]]-Table1[[#This Row],[Job Posting Date]]</f>
        <v>80</v>
      </c>
      <c r="T422" s="7">
        <f ca="1">Table1[[#This Row],[Time to onboard]]/Table1[[#This Row],[Time to Fill]]*100</f>
        <v>1.25</v>
      </c>
      <c r="U422" s="8">
        <f ca="1">Table1[[#This Row],[Time to onboard]]/Table1[[#This Row],[Time to Fill]]*100</f>
        <v>1.25</v>
      </c>
      <c r="V422">
        <f ca="1">Table1[[#This Row],[Join Date]]-Table1[[#This Row],[Job Posting Date]]</f>
        <v>81</v>
      </c>
      <c r="W422">
        <f t="shared" ca="1" si="59"/>
        <v>136</v>
      </c>
      <c r="X422" s="8">
        <f ca="1">Table1[[#This Row],[Absentee Days]]/Table1[[#This Row],[Total Work Days]]*100</f>
        <v>2.3076923076923079</v>
      </c>
      <c r="Y422">
        <f ca="1">YEAR(Table1[[#This Row],[Join Date]])</f>
        <v>2022</v>
      </c>
      <c r="Z422">
        <f ca="1">IF(Table1[[#This Row],[Status]]="Active",1,0)</f>
        <v>1</v>
      </c>
      <c r="AA422">
        <f ca="1">IF(Table1[[#This Row],[Status]]="Exited",Table1[[#This Row],[Recruitment Cost]]+Table1[[#This Row],[Onboarding cost]]+Table1[[#This Row],[Training Cost]],0)</f>
        <v>0</v>
      </c>
    </row>
    <row r="423" spans="1:27">
      <c r="A423" t="str">
        <f t="shared" si="55"/>
        <v>E422</v>
      </c>
      <c r="B423" t="str" cm="1">
        <f t="array" aca="1" ref="B423" ca="1">INDEX(sheet2!$A$2:$A$6, RANDBETWEEN(1, 5))</f>
        <v>Analytics</v>
      </c>
      <c r="C423" t="str">
        <f ca="1">_xlfn.XLOOKUP(Table1[[#This Row],[Department]],sheet2!$A$2:$A$6,sheet2!$B$2:$B$6,_xleta.NA,0)</f>
        <v>Data Analyst</v>
      </c>
      <c r="D423" s="1">
        <f t="shared" ca="1" si="60"/>
        <v>44296</v>
      </c>
      <c r="E423" s="1">
        <f ca="1">Table1[[#This Row],[Job Posting Date]]+ RANDBETWEEN(15, 90)</f>
        <v>44358</v>
      </c>
      <c r="F423" s="1">
        <f ca="1">Table1[[#This Row],[Hire Date]]+ RANDBETWEEN(1, 15)</f>
        <v>44363</v>
      </c>
      <c r="G423" s="1" t="str">
        <f ca="1">IF(RAND() &lt; 0.5,  Table1[[#This Row],[Join Date]]+ RANDBETWEEN(30, TODAY()- Table1[[#This Row],[Join Date]]), "-")</f>
        <v>-</v>
      </c>
      <c r="H423" t="str">
        <f ca="1">IF(Table1[[#This Row],[Exit Date]]= "-", "Active", "Exited")</f>
        <v>Active</v>
      </c>
      <c r="I423" s="5">
        <f t="shared" ca="1" si="61"/>
        <v>4799</v>
      </c>
      <c r="J423" t="str" cm="1">
        <f t="array" aca="1" ref="J423" ca="1">INDEX(sheet2!$C$2:$C$6, RANDBETWEEN(1, 5))</f>
        <v>Advanced Excel Skills </v>
      </c>
      <c r="K423" t="str">
        <f t="shared" ca="1" si="62"/>
        <v>Not Completed</v>
      </c>
      <c r="L423">
        <v>260</v>
      </c>
      <c r="M423">
        <f t="shared" ca="1" si="56"/>
        <v>15</v>
      </c>
      <c r="N423" t="str">
        <f t="shared" ca="1" si="57"/>
        <v>Female</v>
      </c>
      <c r="O423" s="6">
        <f t="shared" ca="1" si="58"/>
        <v>1292</v>
      </c>
      <c r="P423">
        <f ca="1">Table1[[#This Row],[Hire Date]]-Table1[[#This Row],[Job Posting Date]]</f>
        <v>62</v>
      </c>
      <c r="Q423" s="7">
        <f ca="1">Table1[[#This Row],[Join Date]]-Table1[[#This Row],[Hire Date]]</f>
        <v>5</v>
      </c>
      <c r="R423" s="8">
        <f ca="1">(IF(Table1[[#This Row],[Status]]="Exited",Table1[[#This Row],[Exit Date]]-Table1[[#This Row],[Join Date]],TODAY()-Table1[[#This Row],[Join Date]]))/30</f>
        <v>43.333333333333336</v>
      </c>
      <c r="S423">
        <f ca="1">Table1[[#This Row],[Hire Date]]-Table1[[#This Row],[Job Posting Date]]</f>
        <v>62</v>
      </c>
      <c r="T423" s="7">
        <f ca="1">Table1[[#This Row],[Time to onboard]]/Table1[[#This Row],[Time to Fill]]*100</f>
        <v>8.064516129032258</v>
      </c>
      <c r="U423" s="8">
        <f ca="1">Table1[[#This Row],[Time to onboard]]/Table1[[#This Row],[Time to Fill]]*100</f>
        <v>8.064516129032258</v>
      </c>
      <c r="V423">
        <f ca="1">Table1[[#This Row],[Join Date]]-Table1[[#This Row],[Job Posting Date]]</f>
        <v>67</v>
      </c>
      <c r="W423">
        <f t="shared" ca="1" si="59"/>
        <v>137</v>
      </c>
      <c r="X423" s="8">
        <f ca="1">Table1[[#This Row],[Absentee Days]]/Table1[[#This Row],[Total Work Days]]*100</f>
        <v>5.7692307692307692</v>
      </c>
      <c r="Y423">
        <f ca="1">YEAR(Table1[[#This Row],[Join Date]])</f>
        <v>2021</v>
      </c>
      <c r="Z423">
        <f ca="1">IF(Table1[[#This Row],[Status]]="Active",1,0)</f>
        <v>1</v>
      </c>
      <c r="AA423">
        <f ca="1">IF(Table1[[#This Row],[Status]]="Exited",Table1[[#This Row],[Recruitment Cost]]+Table1[[#This Row],[Onboarding cost]]+Table1[[#This Row],[Training Cost]],0)</f>
        <v>0</v>
      </c>
    </row>
    <row r="424" spans="1:27">
      <c r="A424" t="str">
        <f t="shared" si="55"/>
        <v>E423</v>
      </c>
      <c r="B424" t="str" cm="1">
        <f t="array" aca="1" ref="B424" ca="1">INDEX(sheet2!$A$2:$A$6, RANDBETWEEN(1, 5))</f>
        <v>Analytics</v>
      </c>
      <c r="C424" t="str">
        <f ca="1">_xlfn.XLOOKUP(Table1[[#This Row],[Department]],sheet2!$A$2:$A$6,sheet2!$B$2:$B$6,_xleta.NA,0)</f>
        <v>Data Analyst</v>
      </c>
      <c r="D424" s="1">
        <f t="shared" ca="1" si="60"/>
        <v>43760</v>
      </c>
      <c r="E424" s="1">
        <f ca="1">Table1[[#This Row],[Job Posting Date]]+ RANDBETWEEN(15, 90)</f>
        <v>43812</v>
      </c>
      <c r="F424" s="1">
        <f ca="1">Table1[[#This Row],[Hire Date]]+ RANDBETWEEN(1, 15)</f>
        <v>43817</v>
      </c>
      <c r="G424" s="1">
        <f ca="1">IF(RAND() &lt; 0.5,  Table1[[#This Row],[Join Date]]+ RANDBETWEEN(30, TODAY()- Table1[[#This Row],[Join Date]]), "-")</f>
        <v>45439</v>
      </c>
      <c r="H424" t="str">
        <f ca="1">IF(Table1[[#This Row],[Exit Date]]= "-", "Active", "Exited")</f>
        <v>Exited</v>
      </c>
      <c r="I424" s="5">
        <f t="shared" ca="1" si="61"/>
        <v>3859</v>
      </c>
      <c r="J424" t="str" cm="1">
        <f t="array" aca="1" ref="J424" ca="1">INDEX(sheet2!$C$2:$C$6, RANDBETWEEN(1, 5))</f>
        <v>Conflict Resolution</v>
      </c>
      <c r="K424" t="str">
        <f t="shared" ca="1" si="62"/>
        <v>Not Completed</v>
      </c>
      <c r="L424">
        <v>260</v>
      </c>
      <c r="M424">
        <f t="shared" ca="1" si="56"/>
        <v>18</v>
      </c>
      <c r="N424" t="str">
        <f t="shared" ca="1" si="57"/>
        <v>Male</v>
      </c>
      <c r="O424" s="6">
        <f t="shared" ca="1" si="58"/>
        <v>1407</v>
      </c>
      <c r="P424">
        <f ca="1">Table1[[#This Row],[Hire Date]]-Table1[[#This Row],[Job Posting Date]]</f>
        <v>52</v>
      </c>
      <c r="Q424" s="7">
        <f ca="1">Table1[[#This Row],[Join Date]]-Table1[[#This Row],[Hire Date]]</f>
        <v>5</v>
      </c>
      <c r="R424" s="8">
        <f ca="1">(IF(Table1[[#This Row],[Status]]="Exited",Table1[[#This Row],[Exit Date]]-Table1[[#This Row],[Join Date]],TODAY()-Table1[[#This Row],[Join Date]]))/30</f>
        <v>54.06666666666667</v>
      </c>
      <c r="S424">
        <f ca="1">Table1[[#This Row],[Hire Date]]-Table1[[#This Row],[Job Posting Date]]</f>
        <v>52</v>
      </c>
      <c r="T424" s="7">
        <f ca="1">Table1[[#This Row],[Time to onboard]]/Table1[[#This Row],[Time to Fill]]*100</f>
        <v>9.6153846153846168</v>
      </c>
      <c r="U424" s="8">
        <f ca="1">Table1[[#This Row],[Time to onboard]]/Table1[[#This Row],[Time to Fill]]*100</f>
        <v>9.6153846153846168</v>
      </c>
      <c r="V424">
        <f ca="1">Table1[[#This Row],[Join Date]]-Table1[[#This Row],[Job Posting Date]]</f>
        <v>57</v>
      </c>
      <c r="W424">
        <f t="shared" ca="1" si="59"/>
        <v>187</v>
      </c>
      <c r="X424" s="8">
        <f ca="1">Table1[[#This Row],[Absentee Days]]/Table1[[#This Row],[Total Work Days]]*100</f>
        <v>6.9230769230769234</v>
      </c>
      <c r="Y424">
        <f ca="1">YEAR(Table1[[#This Row],[Join Date]])</f>
        <v>2019</v>
      </c>
      <c r="Z424">
        <f ca="1">IF(Table1[[#This Row],[Status]]="Active",1,0)</f>
        <v>0</v>
      </c>
      <c r="AA424">
        <f ca="1">IF(Table1[[#This Row],[Status]]="Exited",Table1[[#This Row],[Recruitment Cost]]+Table1[[#This Row],[Onboarding cost]]+Table1[[#This Row],[Training Cost]],0)</f>
        <v>5453</v>
      </c>
    </row>
    <row r="425" spans="1:27">
      <c r="A425" t="str">
        <f t="shared" si="55"/>
        <v>E424</v>
      </c>
      <c r="B425" t="str" cm="1">
        <f t="array" aca="1" ref="B425" ca="1">INDEX(sheet2!$A$2:$A$6, RANDBETWEEN(1, 5))</f>
        <v>Finance</v>
      </c>
      <c r="C425" t="str">
        <f ca="1">_xlfn.XLOOKUP(Table1[[#This Row],[Department]],sheet2!$A$2:$A$6,sheet2!$B$2:$B$6,_xleta.NA,0)</f>
        <v>Finance Manager</v>
      </c>
      <c r="D425" s="1">
        <f t="shared" ca="1" si="60"/>
        <v>43316</v>
      </c>
      <c r="E425" s="1">
        <f ca="1">Table1[[#This Row],[Job Posting Date]]+ RANDBETWEEN(15, 90)</f>
        <v>43331</v>
      </c>
      <c r="F425" s="1">
        <f ca="1">Table1[[#This Row],[Hire Date]]+ RANDBETWEEN(1, 15)</f>
        <v>43335</v>
      </c>
      <c r="G425" s="1" t="str">
        <f ca="1">IF(RAND() &lt; 0.5,  Table1[[#This Row],[Join Date]]+ RANDBETWEEN(30, TODAY()- Table1[[#This Row],[Join Date]]), "-")</f>
        <v>-</v>
      </c>
      <c r="H425" t="str">
        <f ca="1">IF(Table1[[#This Row],[Exit Date]]= "-", "Active", "Exited")</f>
        <v>Active</v>
      </c>
      <c r="I425" s="5">
        <f t="shared" ca="1" si="61"/>
        <v>4844</v>
      </c>
      <c r="J425" t="str" cm="1">
        <f t="array" aca="1" ref="J425" ca="1">INDEX(sheet2!$C$2:$C$6, RANDBETWEEN(1, 5))</f>
        <v>Communication Skills</v>
      </c>
      <c r="K425" t="str">
        <f t="shared" ca="1" si="62"/>
        <v>Completed</v>
      </c>
      <c r="L425">
        <v>260</v>
      </c>
      <c r="M425">
        <f t="shared" ca="1" si="56"/>
        <v>2</v>
      </c>
      <c r="N425" t="str">
        <f t="shared" ca="1" si="57"/>
        <v>Other</v>
      </c>
      <c r="O425" s="6">
        <f t="shared" ca="1" si="58"/>
        <v>1866</v>
      </c>
      <c r="P425">
        <f ca="1">Table1[[#This Row],[Hire Date]]-Table1[[#This Row],[Job Posting Date]]</f>
        <v>15</v>
      </c>
      <c r="Q425" s="7">
        <f ca="1">Table1[[#This Row],[Join Date]]-Table1[[#This Row],[Hire Date]]</f>
        <v>4</v>
      </c>
      <c r="R425" s="8">
        <f ca="1">(IF(Table1[[#This Row],[Status]]="Exited",Table1[[#This Row],[Exit Date]]-Table1[[#This Row],[Join Date]],TODAY()-Table1[[#This Row],[Join Date]]))/30</f>
        <v>77.599999999999994</v>
      </c>
      <c r="S425">
        <f ca="1">Table1[[#This Row],[Hire Date]]-Table1[[#This Row],[Job Posting Date]]</f>
        <v>15</v>
      </c>
      <c r="T425" s="7">
        <f ca="1">Table1[[#This Row],[Time to onboard]]/Table1[[#This Row],[Time to Fill]]*100</f>
        <v>26.666666666666668</v>
      </c>
      <c r="U425" s="8">
        <f ca="1">Table1[[#This Row],[Time to onboard]]/Table1[[#This Row],[Time to Fill]]*100</f>
        <v>26.666666666666668</v>
      </c>
      <c r="V425">
        <f ca="1">Table1[[#This Row],[Join Date]]-Table1[[#This Row],[Job Posting Date]]</f>
        <v>19</v>
      </c>
      <c r="W425">
        <f t="shared" ca="1" si="59"/>
        <v>196</v>
      </c>
      <c r="X425" s="8">
        <f ca="1">Table1[[#This Row],[Absentee Days]]/Table1[[#This Row],[Total Work Days]]*100</f>
        <v>0.76923076923076927</v>
      </c>
      <c r="Y425">
        <f ca="1">YEAR(Table1[[#This Row],[Join Date]])</f>
        <v>2018</v>
      </c>
      <c r="Z425">
        <f ca="1">IF(Table1[[#This Row],[Status]]="Active",1,0)</f>
        <v>1</v>
      </c>
      <c r="AA425">
        <f ca="1">IF(Table1[[#This Row],[Status]]="Exited",Table1[[#This Row],[Recruitment Cost]]+Table1[[#This Row],[Onboarding cost]]+Table1[[#This Row],[Training Cost]],0)</f>
        <v>0</v>
      </c>
    </row>
    <row r="426" spans="1:27">
      <c r="A426" t="str">
        <f t="shared" si="55"/>
        <v>E425</v>
      </c>
      <c r="B426" t="str" cm="1">
        <f t="array" aca="1" ref="B426" ca="1">INDEX(sheet2!$A$2:$A$6, RANDBETWEEN(1, 5))</f>
        <v>Analytics</v>
      </c>
      <c r="C426" t="str">
        <f ca="1">_xlfn.XLOOKUP(Table1[[#This Row],[Department]],sheet2!$A$2:$A$6,sheet2!$B$2:$B$6,_xleta.NA,0)</f>
        <v>Data Analyst</v>
      </c>
      <c r="D426" s="1">
        <f t="shared" ca="1" si="60"/>
        <v>43274</v>
      </c>
      <c r="E426" s="1">
        <f ca="1">Table1[[#This Row],[Job Posting Date]]+ RANDBETWEEN(15, 90)</f>
        <v>43318</v>
      </c>
      <c r="F426" s="1">
        <f ca="1">Table1[[#This Row],[Hire Date]]+ RANDBETWEEN(1, 15)</f>
        <v>43331</v>
      </c>
      <c r="G426" s="1" t="str">
        <f ca="1">IF(RAND() &lt; 0.5,  Table1[[#This Row],[Join Date]]+ RANDBETWEEN(30, TODAY()- Table1[[#This Row],[Join Date]]), "-")</f>
        <v>-</v>
      </c>
      <c r="H426" t="str">
        <f ca="1">IF(Table1[[#This Row],[Exit Date]]= "-", "Active", "Exited")</f>
        <v>Active</v>
      </c>
      <c r="I426" s="5">
        <f t="shared" ca="1" si="61"/>
        <v>2055</v>
      </c>
      <c r="J426" t="str" cm="1">
        <f t="array" aca="1" ref="J426" ca="1">INDEX(sheet2!$C$2:$C$6, RANDBETWEEN(1, 5))</f>
        <v>Leadership Development</v>
      </c>
      <c r="K426" t="str">
        <f t="shared" ca="1" si="62"/>
        <v>Completed</v>
      </c>
      <c r="L426">
        <v>260</v>
      </c>
      <c r="M426">
        <f t="shared" ca="1" si="56"/>
        <v>6</v>
      </c>
      <c r="N426" t="str">
        <f t="shared" ca="1" si="57"/>
        <v>Other</v>
      </c>
      <c r="O426" s="6">
        <f t="shared" ca="1" si="58"/>
        <v>2416</v>
      </c>
      <c r="P426">
        <f ca="1">Table1[[#This Row],[Hire Date]]-Table1[[#This Row],[Job Posting Date]]</f>
        <v>44</v>
      </c>
      <c r="Q426" s="7">
        <f ca="1">Table1[[#This Row],[Join Date]]-Table1[[#This Row],[Hire Date]]</f>
        <v>13</v>
      </c>
      <c r="R426" s="8">
        <f ca="1">(IF(Table1[[#This Row],[Status]]="Exited",Table1[[#This Row],[Exit Date]]-Table1[[#This Row],[Join Date]],TODAY()-Table1[[#This Row],[Join Date]]))/30</f>
        <v>77.733333333333334</v>
      </c>
      <c r="S426">
        <f ca="1">Table1[[#This Row],[Hire Date]]-Table1[[#This Row],[Job Posting Date]]</f>
        <v>44</v>
      </c>
      <c r="T426" s="7">
        <f ca="1">Table1[[#This Row],[Time to onboard]]/Table1[[#This Row],[Time to Fill]]*100</f>
        <v>29.545454545454547</v>
      </c>
      <c r="U426" s="8">
        <f ca="1">Table1[[#This Row],[Time to onboard]]/Table1[[#This Row],[Time to Fill]]*100</f>
        <v>29.545454545454547</v>
      </c>
      <c r="V426">
        <f ca="1">Table1[[#This Row],[Join Date]]-Table1[[#This Row],[Job Posting Date]]</f>
        <v>57</v>
      </c>
      <c r="W426">
        <f t="shared" ca="1" si="59"/>
        <v>186</v>
      </c>
      <c r="X426" s="8">
        <f ca="1">Table1[[#This Row],[Absentee Days]]/Table1[[#This Row],[Total Work Days]]*100</f>
        <v>2.3076923076923079</v>
      </c>
      <c r="Y426">
        <f ca="1">YEAR(Table1[[#This Row],[Join Date]])</f>
        <v>2018</v>
      </c>
      <c r="Z426">
        <f ca="1">IF(Table1[[#This Row],[Status]]="Active",1,0)</f>
        <v>1</v>
      </c>
      <c r="AA426">
        <f ca="1">IF(Table1[[#This Row],[Status]]="Exited",Table1[[#This Row],[Recruitment Cost]]+Table1[[#This Row],[Onboarding cost]]+Table1[[#This Row],[Training Cost]],0)</f>
        <v>0</v>
      </c>
    </row>
    <row r="427" spans="1:27">
      <c r="A427" t="str">
        <f t="shared" si="55"/>
        <v>E426</v>
      </c>
      <c r="B427" t="str" cm="1">
        <f t="array" aca="1" ref="B427" ca="1">INDEX(sheet2!$A$2:$A$6, RANDBETWEEN(1, 5))</f>
        <v>HR</v>
      </c>
      <c r="C427" t="str">
        <f ca="1">_xlfn.XLOOKUP(Table1[[#This Row],[Department]],sheet2!$A$2:$A$6,sheet2!$B$2:$B$6,_xleta.NA,0)</f>
        <v>HR Manager</v>
      </c>
      <c r="D427" s="1">
        <f t="shared" ca="1" si="60"/>
        <v>44740</v>
      </c>
      <c r="E427" s="1">
        <f ca="1">Table1[[#This Row],[Job Posting Date]]+ RANDBETWEEN(15, 90)</f>
        <v>44828</v>
      </c>
      <c r="F427" s="1">
        <f ca="1">Table1[[#This Row],[Hire Date]]+ RANDBETWEEN(1, 15)</f>
        <v>44834</v>
      </c>
      <c r="G427" s="1">
        <f ca="1">IF(RAND() &lt; 0.5,  Table1[[#This Row],[Join Date]]+ RANDBETWEEN(30, TODAY()- Table1[[#This Row],[Join Date]]), "-")</f>
        <v>44998</v>
      </c>
      <c r="H427" t="str">
        <f ca="1">IF(Table1[[#This Row],[Exit Date]]= "-", "Active", "Exited")</f>
        <v>Exited</v>
      </c>
      <c r="I427" s="5">
        <f t="shared" ca="1" si="61"/>
        <v>3062</v>
      </c>
      <c r="J427" t="str" cm="1">
        <f t="array" aca="1" ref="J427" ca="1">INDEX(sheet2!$C$2:$C$6, RANDBETWEEN(1, 5))</f>
        <v>Advanced Excel Skills </v>
      </c>
      <c r="K427" t="str">
        <f t="shared" ca="1" si="62"/>
        <v>Completed</v>
      </c>
      <c r="L427">
        <v>260</v>
      </c>
      <c r="M427">
        <f t="shared" ca="1" si="56"/>
        <v>1</v>
      </c>
      <c r="N427" t="str">
        <f t="shared" ca="1" si="57"/>
        <v>Male</v>
      </c>
      <c r="O427" s="6">
        <f t="shared" ca="1" si="58"/>
        <v>2044</v>
      </c>
      <c r="P427">
        <f ca="1">Table1[[#This Row],[Hire Date]]-Table1[[#This Row],[Job Posting Date]]</f>
        <v>88</v>
      </c>
      <c r="Q427" s="7">
        <f ca="1">Table1[[#This Row],[Join Date]]-Table1[[#This Row],[Hire Date]]</f>
        <v>6</v>
      </c>
      <c r="R427" s="8">
        <f ca="1">(IF(Table1[[#This Row],[Status]]="Exited",Table1[[#This Row],[Exit Date]]-Table1[[#This Row],[Join Date]],TODAY()-Table1[[#This Row],[Join Date]]))/30</f>
        <v>5.4666666666666668</v>
      </c>
      <c r="S427">
        <f ca="1">Table1[[#This Row],[Hire Date]]-Table1[[#This Row],[Job Posting Date]]</f>
        <v>88</v>
      </c>
      <c r="T427" s="7">
        <f ca="1">Table1[[#This Row],[Time to onboard]]/Table1[[#This Row],[Time to Fill]]*100</f>
        <v>6.8181818181818175</v>
      </c>
      <c r="U427" s="8">
        <f ca="1">Table1[[#This Row],[Time to onboard]]/Table1[[#This Row],[Time to Fill]]*100</f>
        <v>6.8181818181818175</v>
      </c>
      <c r="V427">
        <f ca="1">Table1[[#This Row],[Join Date]]-Table1[[#This Row],[Job Posting Date]]</f>
        <v>94</v>
      </c>
      <c r="W427">
        <f t="shared" ca="1" si="59"/>
        <v>112</v>
      </c>
      <c r="X427" s="8">
        <f ca="1">Table1[[#This Row],[Absentee Days]]/Table1[[#This Row],[Total Work Days]]*100</f>
        <v>0.38461538461538464</v>
      </c>
      <c r="Y427">
        <f ca="1">YEAR(Table1[[#This Row],[Join Date]])</f>
        <v>2022</v>
      </c>
      <c r="Z427">
        <f ca="1">IF(Table1[[#This Row],[Status]]="Active",1,0)</f>
        <v>0</v>
      </c>
      <c r="AA427">
        <f ca="1">IF(Table1[[#This Row],[Status]]="Exited",Table1[[#This Row],[Recruitment Cost]]+Table1[[#This Row],[Onboarding cost]]+Table1[[#This Row],[Training Cost]],0)</f>
        <v>5218</v>
      </c>
    </row>
    <row r="428" spans="1:27">
      <c r="A428" t="str">
        <f t="shared" si="55"/>
        <v>E427</v>
      </c>
      <c r="B428" t="str" cm="1">
        <f t="array" aca="1" ref="B428" ca="1">INDEX(sheet2!$A$2:$A$6, RANDBETWEEN(1, 5))</f>
        <v>Finance</v>
      </c>
      <c r="C428" t="str">
        <f ca="1">_xlfn.XLOOKUP(Table1[[#This Row],[Department]],sheet2!$A$2:$A$6,sheet2!$B$2:$B$6,_xleta.NA,0)</f>
        <v>Finance Manager</v>
      </c>
      <c r="D428" s="1">
        <f t="shared" ca="1" si="60"/>
        <v>44090</v>
      </c>
      <c r="E428" s="1">
        <f ca="1">Table1[[#This Row],[Job Posting Date]]+ RANDBETWEEN(15, 90)</f>
        <v>44170</v>
      </c>
      <c r="F428" s="1">
        <f ca="1">Table1[[#This Row],[Hire Date]]+ RANDBETWEEN(1, 15)</f>
        <v>44181</v>
      </c>
      <c r="G428" s="1" t="str">
        <f ca="1">IF(RAND() &lt; 0.5,  Table1[[#This Row],[Join Date]]+ RANDBETWEEN(30, TODAY()- Table1[[#This Row],[Join Date]]), "-")</f>
        <v>-</v>
      </c>
      <c r="H428" t="str">
        <f ca="1">IF(Table1[[#This Row],[Exit Date]]= "-", "Active", "Exited")</f>
        <v>Active</v>
      </c>
      <c r="I428" s="5">
        <f t="shared" ca="1" si="61"/>
        <v>4508</v>
      </c>
      <c r="J428" t="str" cm="1">
        <f t="array" aca="1" ref="J428" ca="1">INDEX(sheet2!$C$2:$C$6, RANDBETWEEN(1, 5))</f>
        <v>Leadership Development</v>
      </c>
      <c r="K428" t="str">
        <f t="shared" ca="1" si="62"/>
        <v>Completed</v>
      </c>
      <c r="L428">
        <v>260</v>
      </c>
      <c r="M428">
        <f t="shared" ca="1" si="56"/>
        <v>9</v>
      </c>
      <c r="N428" t="str">
        <f t="shared" ca="1" si="57"/>
        <v>Male</v>
      </c>
      <c r="O428" s="6">
        <f t="shared" ca="1" si="58"/>
        <v>1222</v>
      </c>
      <c r="P428">
        <f ca="1">Table1[[#This Row],[Hire Date]]-Table1[[#This Row],[Job Posting Date]]</f>
        <v>80</v>
      </c>
      <c r="Q428" s="7">
        <f ca="1">Table1[[#This Row],[Join Date]]-Table1[[#This Row],[Hire Date]]</f>
        <v>11</v>
      </c>
      <c r="R428" s="8">
        <f ca="1">(IF(Table1[[#This Row],[Status]]="Exited",Table1[[#This Row],[Exit Date]]-Table1[[#This Row],[Join Date]],TODAY()-Table1[[#This Row],[Join Date]]))/30</f>
        <v>49.4</v>
      </c>
      <c r="S428">
        <f ca="1">Table1[[#This Row],[Hire Date]]-Table1[[#This Row],[Job Posting Date]]</f>
        <v>80</v>
      </c>
      <c r="T428" s="7">
        <f ca="1">Table1[[#This Row],[Time to onboard]]/Table1[[#This Row],[Time to Fill]]*100</f>
        <v>13.750000000000002</v>
      </c>
      <c r="U428" s="8">
        <f ca="1">Table1[[#This Row],[Time to onboard]]/Table1[[#This Row],[Time to Fill]]*100</f>
        <v>13.750000000000002</v>
      </c>
      <c r="V428">
        <f ca="1">Table1[[#This Row],[Join Date]]-Table1[[#This Row],[Job Posting Date]]</f>
        <v>91</v>
      </c>
      <c r="W428">
        <f t="shared" ca="1" si="59"/>
        <v>189</v>
      </c>
      <c r="X428" s="8">
        <f ca="1">Table1[[#This Row],[Absentee Days]]/Table1[[#This Row],[Total Work Days]]*100</f>
        <v>3.4615384615384617</v>
      </c>
      <c r="Y428">
        <f ca="1">YEAR(Table1[[#This Row],[Join Date]])</f>
        <v>2020</v>
      </c>
      <c r="Z428">
        <f ca="1">IF(Table1[[#This Row],[Status]]="Active",1,0)</f>
        <v>1</v>
      </c>
      <c r="AA428">
        <f ca="1">IF(Table1[[#This Row],[Status]]="Exited",Table1[[#This Row],[Recruitment Cost]]+Table1[[#This Row],[Onboarding cost]]+Table1[[#This Row],[Training Cost]],0)</f>
        <v>0</v>
      </c>
    </row>
    <row r="429" spans="1:27">
      <c r="A429" t="str">
        <f t="shared" si="55"/>
        <v>E428</v>
      </c>
      <c r="B429" t="str" cm="1">
        <f t="array" aca="1" ref="B429" ca="1">INDEX(sheet2!$A$2:$A$6, RANDBETWEEN(1, 5))</f>
        <v>HR</v>
      </c>
      <c r="C429" t="str">
        <f ca="1">_xlfn.XLOOKUP(Table1[[#This Row],[Department]],sheet2!$A$2:$A$6,sheet2!$B$2:$B$6,_xleta.NA,0)</f>
        <v>HR Manager</v>
      </c>
      <c r="D429" s="1">
        <f t="shared" ca="1" si="60"/>
        <v>44214</v>
      </c>
      <c r="E429" s="1">
        <f ca="1">Table1[[#This Row],[Job Posting Date]]+ RANDBETWEEN(15, 90)</f>
        <v>44277</v>
      </c>
      <c r="F429" s="1">
        <f ca="1">Table1[[#This Row],[Hire Date]]+ RANDBETWEEN(1, 15)</f>
        <v>44284</v>
      </c>
      <c r="G429" s="1" t="str">
        <f ca="1">IF(RAND() &lt; 0.5,  Table1[[#This Row],[Join Date]]+ RANDBETWEEN(30, TODAY()- Table1[[#This Row],[Join Date]]), "-")</f>
        <v>-</v>
      </c>
      <c r="H429" t="str">
        <f ca="1">IF(Table1[[#This Row],[Exit Date]]= "-", "Active", "Exited")</f>
        <v>Active</v>
      </c>
      <c r="I429" s="5">
        <f t="shared" ca="1" si="61"/>
        <v>2673</v>
      </c>
      <c r="J429" t="str" cm="1">
        <f t="array" aca="1" ref="J429" ca="1">INDEX(sheet2!$C$2:$C$6, RANDBETWEEN(1, 5))</f>
        <v>Communication Skills</v>
      </c>
      <c r="K429" t="str">
        <f t="shared" ca="1" si="62"/>
        <v>Not Completed</v>
      </c>
      <c r="L429">
        <v>260</v>
      </c>
      <c r="M429">
        <f t="shared" ca="1" si="56"/>
        <v>19</v>
      </c>
      <c r="N429" t="str">
        <f t="shared" ca="1" si="57"/>
        <v>Male</v>
      </c>
      <c r="O429" s="6">
        <f t="shared" ca="1" si="58"/>
        <v>1371</v>
      </c>
      <c r="P429">
        <f ca="1">Table1[[#This Row],[Hire Date]]-Table1[[#This Row],[Job Posting Date]]</f>
        <v>63</v>
      </c>
      <c r="Q429" s="7">
        <f ca="1">Table1[[#This Row],[Join Date]]-Table1[[#This Row],[Hire Date]]</f>
        <v>7</v>
      </c>
      <c r="R429" s="8">
        <f ca="1">(IF(Table1[[#This Row],[Status]]="Exited",Table1[[#This Row],[Exit Date]]-Table1[[#This Row],[Join Date]],TODAY()-Table1[[#This Row],[Join Date]]))/30</f>
        <v>45.966666666666669</v>
      </c>
      <c r="S429">
        <f ca="1">Table1[[#This Row],[Hire Date]]-Table1[[#This Row],[Job Posting Date]]</f>
        <v>63</v>
      </c>
      <c r="T429" s="7">
        <f ca="1">Table1[[#This Row],[Time to onboard]]/Table1[[#This Row],[Time to Fill]]*100</f>
        <v>11.111111111111111</v>
      </c>
      <c r="U429" s="8">
        <f ca="1">Table1[[#This Row],[Time to onboard]]/Table1[[#This Row],[Time to Fill]]*100</f>
        <v>11.111111111111111</v>
      </c>
      <c r="V429">
        <f ca="1">Table1[[#This Row],[Join Date]]-Table1[[#This Row],[Job Posting Date]]</f>
        <v>70</v>
      </c>
      <c r="W429">
        <f t="shared" ca="1" si="59"/>
        <v>192</v>
      </c>
      <c r="X429" s="8">
        <f ca="1">Table1[[#This Row],[Absentee Days]]/Table1[[#This Row],[Total Work Days]]*100</f>
        <v>7.3076923076923084</v>
      </c>
      <c r="Y429">
        <f ca="1">YEAR(Table1[[#This Row],[Join Date]])</f>
        <v>2021</v>
      </c>
      <c r="Z429">
        <f ca="1">IF(Table1[[#This Row],[Status]]="Active",1,0)</f>
        <v>1</v>
      </c>
      <c r="AA429">
        <f ca="1">IF(Table1[[#This Row],[Status]]="Exited",Table1[[#This Row],[Recruitment Cost]]+Table1[[#This Row],[Onboarding cost]]+Table1[[#This Row],[Training Cost]],0)</f>
        <v>0</v>
      </c>
    </row>
    <row r="430" spans="1:27">
      <c r="A430" t="str">
        <f t="shared" si="55"/>
        <v>E429</v>
      </c>
      <c r="B430" t="str" cm="1">
        <f t="array" aca="1" ref="B430" ca="1">INDEX(sheet2!$A$2:$A$6, RANDBETWEEN(1, 5))</f>
        <v>HR</v>
      </c>
      <c r="C430" t="str">
        <f ca="1">_xlfn.XLOOKUP(Table1[[#This Row],[Department]],sheet2!$A$2:$A$6,sheet2!$B$2:$B$6,_xleta.NA,0)</f>
        <v>HR Manager</v>
      </c>
      <c r="D430" s="1">
        <f t="shared" ca="1" si="60"/>
        <v>44253</v>
      </c>
      <c r="E430" s="1">
        <f ca="1">Table1[[#This Row],[Job Posting Date]]+ RANDBETWEEN(15, 90)</f>
        <v>44293</v>
      </c>
      <c r="F430" s="1">
        <f ca="1">Table1[[#This Row],[Hire Date]]+ RANDBETWEEN(1, 15)</f>
        <v>44307</v>
      </c>
      <c r="G430" s="1" t="str">
        <f ca="1">IF(RAND() &lt; 0.5,  Table1[[#This Row],[Join Date]]+ RANDBETWEEN(30, TODAY()- Table1[[#This Row],[Join Date]]), "-")</f>
        <v>-</v>
      </c>
      <c r="H430" t="str">
        <f ca="1">IF(Table1[[#This Row],[Exit Date]]= "-", "Active", "Exited")</f>
        <v>Active</v>
      </c>
      <c r="I430" s="5">
        <f t="shared" ca="1" si="61"/>
        <v>3267</v>
      </c>
      <c r="J430" t="str" cm="1">
        <f t="array" aca="1" ref="J430" ca="1">INDEX(sheet2!$C$2:$C$6, RANDBETWEEN(1, 5))</f>
        <v>Leadership Development</v>
      </c>
      <c r="K430" t="str">
        <f t="shared" ca="1" si="62"/>
        <v>Completed</v>
      </c>
      <c r="L430">
        <v>260</v>
      </c>
      <c r="M430">
        <f t="shared" ca="1" si="56"/>
        <v>16</v>
      </c>
      <c r="N430" t="str">
        <f t="shared" ca="1" si="57"/>
        <v>Female</v>
      </c>
      <c r="O430" s="6">
        <f t="shared" ca="1" si="58"/>
        <v>1428</v>
      </c>
      <c r="P430">
        <f ca="1">Table1[[#This Row],[Hire Date]]-Table1[[#This Row],[Job Posting Date]]</f>
        <v>40</v>
      </c>
      <c r="Q430" s="7">
        <f ca="1">Table1[[#This Row],[Join Date]]-Table1[[#This Row],[Hire Date]]</f>
        <v>14</v>
      </c>
      <c r="R430" s="8">
        <f ca="1">(IF(Table1[[#This Row],[Status]]="Exited",Table1[[#This Row],[Exit Date]]-Table1[[#This Row],[Join Date]],TODAY()-Table1[[#This Row],[Join Date]]))/30</f>
        <v>45.2</v>
      </c>
      <c r="S430">
        <f ca="1">Table1[[#This Row],[Hire Date]]-Table1[[#This Row],[Job Posting Date]]</f>
        <v>40</v>
      </c>
      <c r="T430" s="7">
        <f ca="1">Table1[[#This Row],[Time to onboard]]/Table1[[#This Row],[Time to Fill]]*100</f>
        <v>35</v>
      </c>
      <c r="U430" s="8">
        <f ca="1">Table1[[#This Row],[Time to onboard]]/Table1[[#This Row],[Time to Fill]]*100</f>
        <v>35</v>
      </c>
      <c r="V430">
        <f ca="1">Table1[[#This Row],[Join Date]]-Table1[[#This Row],[Job Posting Date]]</f>
        <v>54</v>
      </c>
      <c r="W430">
        <f t="shared" ca="1" si="59"/>
        <v>185</v>
      </c>
      <c r="X430" s="8">
        <f ca="1">Table1[[#This Row],[Absentee Days]]/Table1[[#This Row],[Total Work Days]]*100</f>
        <v>6.1538461538461542</v>
      </c>
      <c r="Y430">
        <f ca="1">YEAR(Table1[[#This Row],[Join Date]])</f>
        <v>2021</v>
      </c>
      <c r="Z430">
        <f ca="1">IF(Table1[[#This Row],[Status]]="Active",1,0)</f>
        <v>1</v>
      </c>
      <c r="AA430">
        <f ca="1">IF(Table1[[#This Row],[Status]]="Exited",Table1[[#This Row],[Recruitment Cost]]+Table1[[#This Row],[Onboarding cost]]+Table1[[#This Row],[Training Cost]],0)</f>
        <v>0</v>
      </c>
    </row>
    <row r="431" spans="1:27">
      <c r="A431" t="str">
        <f t="shared" si="55"/>
        <v>E430</v>
      </c>
      <c r="B431" t="str" cm="1">
        <f t="array" aca="1" ref="B431" ca="1">INDEX(sheet2!$A$2:$A$6, RANDBETWEEN(1, 5))</f>
        <v>Sales</v>
      </c>
      <c r="C431" t="str">
        <f ca="1">_xlfn.XLOOKUP(Table1[[#This Row],[Department]],sheet2!$A$2:$A$6,sheet2!$B$2:$B$6,_xleta.NA,0)</f>
        <v>Marketing Manager</v>
      </c>
      <c r="D431" s="1">
        <f t="shared" ca="1" si="60"/>
        <v>44606</v>
      </c>
      <c r="E431" s="1">
        <f ca="1">Table1[[#This Row],[Job Posting Date]]+ RANDBETWEEN(15, 90)</f>
        <v>44690</v>
      </c>
      <c r="F431" s="1">
        <f ca="1">Table1[[#This Row],[Hire Date]]+ RANDBETWEEN(1, 15)</f>
        <v>44692</v>
      </c>
      <c r="G431" s="1">
        <f ca="1">IF(RAND() &lt; 0.5,  Table1[[#This Row],[Join Date]]+ RANDBETWEEN(30, TODAY()- Table1[[#This Row],[Join Date]]), "-")</f>
        <v>45241</v>
      </c>
      <c r="H431" t="str">
        <f ca="1">IF(Table1[[#This Row],[Exit Date]]= "-", "Active", "Exited")</f>
        <v>Exited</v>
      </c>
      <c r="I431" s="5">
        <f t="shared" ca="1" si="61"/>
        <v>3536</v>
      </c>
      <c r="J431" t="str" cm="1">
        <f t="array" aca="1" ref="J431" ca="1">INDEX(sheet2!$C$2:$C$6, RANDBETWEEN(1, 5))</f>
        <v>Communication Skills</v>
      </c>
      <c r="K431" t="str">
        <f t="shared" ca="1" si="62"/>
        <v>Completed</v>
      </c>
      <c r="L431">
        <v>260</v>
      </c>
      <c r="M431">
        <f t="shared" ca="1" si="56"/>
        <v>19</v>
      </c>
      <c r="N431" t="str">
        <f t="shared" ca="1" si="57"/>
        <v>Female</v>
      </c>
      <c r="O431" s="6">
        <f t="shared" ca="1" si="58"/>
        <v>2445</v>
      </c>
      <c r="P431">
        <f ca="1">Table1[[#This Row],[Hire Date]]-Table1[[#This Row],[Job Posting Date]]</f>
        <v>84</v>
      </c>
      <c r="Q431" s="7">
        <f ca="1">Table1[[#This Row],[Join Date]]-Table1[[#This Row],[Hire Date]]</f>
        <v>2</v>
      </c>
      <c r="R431" s="8">
        <f ca="1">(IF(Table1[[#This Row],[Status]]="Exited",Table1[[#This Row],[Exit Date]]-Table1[[#This Row],[Join Date]],TODAY()-Table1[[#This Row],[Join Date]]))/30</f>
        <v>18.3</v>
      </c>
      <c r="S431">
        <f ca="1">Table1[[#This Row],[Hire Date]]-Table1[[#This Row],[Job Posting Date]]</f>
        <v>84</v>
      </c>
      <c r="T431" s="7">
        <f ca="1">Table1[[#This Row],[Time to onboard]]/Table1[[#This Row],[Time to Fill]]*100</f>
        <v>2.3809523809523809</v>
      </c>
      <c r="U431" s="8">
        <f ca="1">Table1[[#This Row],[Time to onboard]]/Table1[[#This Row],[Time to Fill]]*100</f>
        <v>2.3809523809523809</v>
      </c>
      <c r="V431">
        <f ca="1">Table1[[#This Row],[Join Date]]-Table1[[#This Row],[Job Posting Date]]</f>
        <v>86</v>
      </c>
      <c r="W431">
        <f t="shared" ca="1" si="59"/>
        <v>151</v>
      </c>
      <c r="X431" s="8">
        <f ca="1">Table1[[#This Row],[Absentee Days]]/Table1[[#This Row],[Total Work Days]]*100</f>
        <v>7.3076923076923084</v>
      </c>
      <c r="Y431">
        <f ca="1">YEAR(Table1[[#This Row],[Join Date]])</f>
        <v>2022</v>
      </c>
      <c r="Z431">
        <f ca="1">IF(Table1[[#This Row],[Status]]="Active",1,0)</f>
        <v>0</v>
      </c>
      <c r="AA431">
        <f ca="1">IF(Table1[[#This Row],[Status]]="Exited",Table1[[#This Row],[Recruitment Cost]]+Table1[[#This Row],[Onboarding cost]]+Table1[[#This Row],[Training Cost]],0)</f>
        <v>6132</v>
      </c>
    </row>
    <row r="432" spans="1:27">
      <c r="A432" t="str">
        <f t="shared" si="55"/>
        <v>E431</v>
      </c>
      <c r="B432" t="str" cm="1">
        <f t="array" aca="1" ref="B432" ca="1">INDEX(sheet2!$A$2:$A$6, RANDBETWEEN(1, 5))</f>
        <v>HR</v>
      </c>
      <c r="C432" t="str">
        <f ca="1">_xlfn.XLOOKUP(Table1[[#This Row],[Department]],sheet2!$A$2:$A$6,sheet2!$B$2:$B$6,_xleta.NA,0)</f>
        <v>HR Manager</v>
      </c>
      <c r="D432" s="1">
        <f t="shared" ca="1" si="60"/>
        <v>43466</v>
      </c>
      <c r="E432" s="1">
        <f ca="1">Table1[[#This Row],[Job Posting Date]]+ RANDBETWEEN(15, 90)</f>
        <v>43546</v>
      </c>
      <c r="F432" s="1">
        <f ca="1">Table1[[#This Row],[Hire Date]]+ RANDBETWEEN(1, 15)</f>
        <v>43555</v>
      </c>
      <c r="G432" s="1" t="str">
        <f ca="1">IF(RAND() &lt; 0.5,  Table1[[#This Row],[Join Date]]+ RANDBETWEEN(30, TODAY()- Table1[[#This Row],[Join Date]]), "-")</f>
        <v>-</v>
      </c>
      <c r="H432" t="str">
        <f ca="1">IF(Table1[[#This Row],[Exit Date]]= "-", "Active", "Exited")</f>
        <v>Active</v>
      </c>
      <c r="I432" s="5">
        <f t="shared" ca="1" si="61"/>
        <v>2257</v>
      </c>
      <c r="J432" t="str" cm="1">
        <f t="array" aca="1" ref="J432" ca="1">INDEX(sheet2!$C$2:$C$6, RANDBETWEEN(1, 5))</f>
        <v>Leadership Development</v>
      </c>
      <c r="K432" t="str">
        <f t="shared" ca="1" si="62"/>
        <v>Completed</v>
      </c>
      <c r="L432">
        <v>260</v>
      </c>
      <c r="M432">
        <f t="shared" ca="1" si="56"/>
        <v>9</v>
      </c>
      <c r="N432" t="str">
        <f t="shared" ca="1" si="57"/>
        <v>Male</v>
      </c>
      <c r="O432" s="6">
        <f t="shared" ca="1" si="58"/>
        <v>2458</v>
      </c>
      <c r="P432">
        <f ca="1">Table1[[#This Row],[Hire Date]]-Table1[[#This Row],[Job Posting Date]]</f>
        <v>80</v>
      </c>
      <c r="Q432" s="7">
        <f ca="1">Table1[[#This Row],[Join Date]]-Table1[[#This Row],[Hire Date]]</f>
        <v>9</v>
      </c>
      <c r="R432" s="8">
        <f ca="1">(IF(Table1[[#This Row],[Status]]="Exited",Table1[[#This Row],[Exit Date]]-Table1[[#This Row],[Join Date]],TODAY()-Table1[[#This Row],[Join Date]]))/30</f>
        <v>70.266666666666666</v>
      </c>
      <c r="S432">
        <f ca="1">Table1[[#This Row],[Hire Date]]-Table1[[#This Row],[Job Posting Date]]</f>
        <v>80</v>
      </c>
      <c r="T432" s="7">
        <f ca="1">Table1[[#This Row],[Time to onboard]]/Table1[[#This Row],[Time to Fill]]*100</f>
        <v>11.25</v>
      </c>
      <c r="U432" s="8">
        <f ca="1">Table1[[#This Row],[Time to onboard]]/Table1[[#This Row],[Time to Fill]]*100</f>
        <v>11.25</v>
      </c>
      <c r="V432">
        <f ca="1">Table1[[#This Row],[Join Date]]-Table1[[#This Row],[Job Posting Date]]</f>
        <v>89</v>
      </c>
      <c r="W432">
        <f t="shared" ca="1" si="59"/>
        <v>110</v>
      </c>
      <c r="X432" s="8">
        <f ca="1">Table1[[#This Row],[Absentee Days]]/Table1[[#This Row],[Total Work Days]]*100</f>
        <v>3.4615384615384617</v>
      </c>
      <c r="Y432">
        <f ca="1">YEAR(Table1[[#This Row],[Join Date]])</f>
        <v>2019</v>
      </c>
      <c r="Z432">
        <f ca="1">IF(Table1[[#This Row],[Status]]="Active",1,0)</f>
        <v>1</v>
      </c>
      <c r="AA432">
        <f ca="1">IF(Table1[[#This Row],[Status]]="Exited",Table1[[#This Row],[Recruitment Cost]]+Table1[[#This Row],[Onboarding cost]]+Table1[[#This Row],[Training Cost]],0)</f>
        <v>0</v>
      </c>
    </row>
    <row r="433" spans="1:27">
      <c r="A433" t="str">
        <f t="shared" si="55"/>
        <v>E432</v>
      </c>
      <c r="B433" t="str" cm="1">
        <f t="array" aca="1" ref="B433" ca="1">INDEX(sheet2!$A$2:$A$6, RANDBETWEEN(1, 5))</f>
        <v>IT</v>
      </c>
      <c r="C433" t="str">
        <f ca="1">_xlfn.XLOOKUP(Table1[[#This Row],[Department]],sheet2!$A$2:$A$6,sheet2!$B$2:$B$6,_xleta.NA,0)</f>
        <v>Software Engineer</v>
      </c>
      <c r="D433" s="1">
        <f t="shared" ca="1" si="60"/>
        <v>43381</v>
      </c>
      <c r="E433" s="1">
        <f ca="1">Table1[[#This Row],[Job Posting Date]]+ RANDBETWEEN(15, 90)</f>
        <v>43465</v>
      </c>
      <c r="F433" s="1">
        <f ca="1">Table1[[#This Row],[Hire Date]]+ RANDBETWEEN(1, 15)</f>
        <v>43467</v>
      </c>
      <c r="G433" s="1">
        <f ca="1">IF(RAND() &lt; 0.5,  Table1[[#This Row],[Join Date]]+ RANDBETWEEN(30, TODAY()- Table1[[#This Row],[Join Date]]), "-")</f>
        <v>44405</v>
      </c>
      <c r="H433" t="str">
        <f ca="1">IF(Table1[[#This Row],[Exit Date]]= "-", "Active", "Exited")</f>
        <v>Exited</v>
      </c>
      <c r="I433" s="5">
        <f t="shared" ca="1" si="61"/>
        <v>2888</v>
      </c>
      <c r="J433" t="str" cm="1">
        <f t="array" aca="1" ref="J433" ca="1">INDEX(sheet2!$C$2:$C$6, RANDBETWEEN(1, 5))</f>
        <v>Advanced Excel Skills </v>
      </c>
      <c r="K433" t="str">
        <f t="shared" ca="1" si="62"/>
        <v>Completed</v>
      </c>
      <c r="L433">
        <v>260</v>
      </c>
      <c r="M433">
        <f t="shared" ca="1" si="56"/>
        <v>11</v>
      </c>
      <c r="N433" t="str">
        <f t="shared" ca="1" si="57"/>
        <v>Female</v>
      </c>
      <c r="O433" s="6">
        <f t="shared" ca="1" si="58"/>
        <v>1212</v>
      </c>
      <c r="P433">
        <f ca="1">Table1[[#This Row],[Hire Date]]-Table1[[#This Row],[Job Posting Date]]</f>
        <v>84</v>
      </c>
      <c r="Q433" s="7">
        <f ca="1">Table1[[#This Row],[Join Date]]-Table1[[#This Row],[Hire Date]]</f>
        <v>2</v>
      </c>
      <c r="R433" s="8">
        <f ca="1">(IF(Table1[[#This Row],[Status]]="Exited",Table1[[#This Row],[Exit Date]]-Table1[[#This Row],[Join Date]],TODAY()-Table1[[#This Row],[Join Date]]))/30</f>
        <v>31.266666666666666</v>
      </c>
      <c r="S433">
        <f ca="1">Table1[[#This Row],[Hire Date]]-Table1[[#This Row],[Job Posting Date]]</f>
        <v>84</v>
      </c>
      <c r="T433" s="7">
        <f ca="1">Table1[[#This Row],[Time to onboard]]/Table1[[#This Row],[Time to Fill]]*100</f>
        <v>2.3809523809523809</v>
      </c>
      <c r="U433" s="8">
        <f ca="1">Table1[[#This Row],[Time to onboard]]/Table1[[#This Row],[Time to Fill]]*100</f>
        <v>2.3809523809523809</v>
      </c>
      <c r="V433">
        <f ca="1">Table1[[#This Row],[Join Date]]-Table1[[#This Row],[Job Posting Date]]</f>
        <v>86</v>
      </c>
      <c r="W433">
        <f t="shared" ca="1" si="59"/>
        <v>122</v>
      </c>
      <c r="X433" s="8">
        <f ca="1">Table1[[#This Row],[Absentee Days]]/Table1[[#This Row],[Total Work Days]]*100</f>
        <v>4.2307692307692308</v>
      </c>
      <c r="Y433">
        <f ca="1">YEAR(Table1[[#This Row],[Join Date]])</f>
        <v>2019</v>
      </c>
      <c r="Z433">
        <f ca="1">IF(Table1[[#This Row],[Status]]="Active",1,0)</f>
        <v>0</v>
      </c>
      <c r="AA433">
        <f ca="1">IF(Table1[[#This Row],[Status]]="Exited",Table1[[#This Row],[Recruitment Cost]]+Table1[[#This Row],[Onboarding cost]]+Table1[[#This Row],[Training Cost]],0)</f>
        <v>4222</v>
      </c>
    </row>
    <row r="434" spans="1:27">
      <c r="A434" t="str">
        <f t="shared" si="55"/>
        <v>E433</v>
      </c>
      <c r="B434" t="str" cm="1">
        <f t="array" aca="1" ref="B434" ca="1">INDEX(sheet2!$A$2:$A$6, RANDBETWEEN(1, 5))</f>
        <v>Sales</v>
      </c>
      <c r="C434" t="str">
        <f ca="1">_xlfn.XLOOKUP(Table1[[#This Row],[Department]],sheet2!$A$2:$A$6,sheet2!$B$2:$B$6,_xleta.NA,0)</f>
        <v>Marketing Manager</v>
      </c>
      <c r="D434" s="1">
        <f t="shared" ca="1" si="60"/>
        <v>43274</v>
      </c>
      <c r="E434" s="1">
        <f ca="1">Table1[[#This Row],[Job Posting Date]]+ RANDBETWEEN(15, 90)</f>
        <v>43321</v>
      </c>
      <c r="F434" s="1">
        <f ca="1">Table1[[#This Row],[Hire Date]]+ RANDBETWEEN(1, 15)</f>
        <v>43331</v>
      </c>
      <c r="G434" s="1">
        <f ca="1">IF(RAND() &lt; 0.5,  Table1[[#This Row],[Join Date]]+ RANDBETWEEN(30, TODAY()- Table1[[#This Row],[Join Date]]), "-")</f>
        <v>45228</v>
      </c>
      <c r="H434" t="str">
        <f ca="1">IF(Table1[[#This Row],[Exit Date]]= "-", "Active", "Exited")</f>
        <v>Exited</v>
      </c>
      <c r="I434" s="5">
        <f t="shared" ca="1" si="61"/>
        <v>3353</v>
      </c>
      <c r="J434" t="str" cm="1">
        <f t="array" aca="1" ref="J434" ca="1">INDEX(sheet2!$C$2:$C$6, RANDBETWEEN(1, 5))</f>
        <v>Advanced Excel Skills </v>
      </c>
      <c r="K434" t="str">
        <f t="shared" ca="1" si="62"/>
        <v>Not Completed</v>
      </c>
      <c r="L434">
        <v>260</v>
      </c>
      <c r="M434">
        <f t="shared" ca="1" si="56"/>
        <v>5</v>
      </c>
      <c r="N434" t="str">
        <f t="shared" ca="1" si="57"/>
        <v>Female</v>
      </c>
      <c r="O434" s="6">
        <f t="shared" ca="1" si="58"/>
        <v>2220</v>
      </c>
      <c r="P434">
        <f ca="1">Table1[[#This Row],[Hire Date]]-Table1[[#This Row],[Job Posting Date]]</f>
        <v>47</v>
      </c>
      <c r="Q434" s="7">
        <f ca="1">Table1[[#This Row],[Join Date]]-Table1[[#This Row],[Hire Date]]</f>
        <v>10</v>
      </c>
      <c r="R434" s="8">
        <f ca="1">(IF(Table1[[#This Row],[Status]]="Exited",Table1[[#This Row],[Exit Date]]-Table1[[#This Row],[Join Date]],TODAY()-Table1[[#This Row],[Join Date]]))/30</f>
        <v>63.233333333333334</v>
      </c>
      <c r="S434">
        <f ca="1">Table1[[#This Row],[Hire Date]]-Table1[[#This Row],[Job Posting Date]]</f>
        <v>47</v>
      </c>
      <c r="T434" s="7">
        <f ca="1">Table1[[#This Row],[Time to onboard]]/Table1[[#This Row],[Time to Fill]]*100</f>
        <v>21.276595744680851</v>
      </c>
      <c r="U434" s="8">
        <f ca="1">Table1[[#This Row],[Time to onboard]]/Table1[[#This Row],[Time to Fill]]*100</f>
        <v>21.276595744680851</v>
      </c>
      <c r="V434">
        <f ca="1">Table1[[#This Row],[Join Date]]-Table1[[#This Row],[Job Posting Date]]</f>
        <v>57</v>
      </c>
      <c r="W434">
        <f t="shared" ca="1" si="59"/>
        <v>154</v>
      </c>
      <c r="X434" s="8">
        <f ca="1">Table1[[#This Row],[Absentee Days]]/Table1[[#This Row],[Total Work Days]]*100</f>
        <v>1.9230769230769231</v>
      </c>
      <c r="Y434">
        <f ca="1">YEAR(Table1[[#This Row],[Join Date]])</f>
        <v>2018</v>
      </c>
      <c r="Z434">
        <f ca="1">IF(Table1[[#This Row],[Status]]="Active",1,0)</f>
        <v>0</v>
      </c>
      <c r="AA434">
        <f ca="1">IF(Table1[[#This Row],[Status]]="Exited",Table1[[#This Row],[Recruitment Cost]]+Table1[[#This Row],[Onboarding cost]]+Table1[[#This Row],[Training Cost]],0)</f>
        <v>5727</v>
      </c>
    </row>
    <row r="435" spans="1:27">
      <c r="A435" t="str">
        <f t="shared" si="55"/>
        <v>E434</v>
      </c>
      <c r="B435" t="str" cm="1">
        <f t="array" aca="1" ref="B435" ca="1">INDEX(sheet2!$A$2:$A$6, RANDBETWEEN(1, 5))</f>
        <v>HR</v>
      </c>
      <c r="C435" t="str">
        <f ca="1">_xlfn.XLOOKUP(Table1[[#This Row],[Department]],sheet2!$A$2:$A$6,sheet2!$B$2:$B$6,_xleta.NA,0)</f>
        <v>HR Manager</v>
      </c>
      <c r="D435" s="1">
        <f t="shared" ca="1" si="60"/>
        <v>43223</v>
      </c>
      <c r="E435" s="1">
        <f ca="1">Table1[[#This Row],[Job Posting Date]]+ RANDBETWEEN(15, 90)</f>
        <v>43262</v>
      </c>
      <c r="F435" s="1">
        <f ca="1">Table1[[#This Row],[Hire Date]]+ RANDBETWEEN(1, 15)</f>
        <v>43275</v>
      </c>
      <c r="G435" s="1">
        <f ca="1">IF(RAND() &lt; 0.5,  Table1[[#This Row],[Join Date]]+ RANDBETWEEN(30, TODAY()- Table1[[#This Row],[Join Date]]), "-")</f>
        <v>45115</v>
      </c>
      <c r="H435" t="str">
        <f ca="1">IF(Table1[[#This Row],[Exit Date]]= "-", "Active", "Exited")</f>
        <v>Exited</v>
      </c>
      <c r="I435" s="5">
        <f t="shared" ca="1" si="61"/>
        <v>1676</v>
      </c>
      <c r="J435" t="str" cm="1">
        <f t="array" aca="1" ref="J435" ca="1">INDEX(sheet2!$C$2:$C$6, RANDBETWEEN(1, 5))</f>
        <v>Leadership Development</v>
      </c>
      <c r="K435" t="str">
        <f t="shared" ca="1" si="62"/>
        <v>Completed</v>
      </c>
      <c r="L435">
        <v>260</v>
      </c>
      <c r="M435">
        <f t="shared" ca="1" si="56"/>
        <v>17</v>
      </c>
      <c r="N435" t="str">
        <f t="shared" ca="1" si="57"/>
        <v>Other</v>
      </c>
      <c r="O435" s="6">
        <f t="shared" ca="1" si="58"/>
        <v>2021</v>
      </c>
      <c r="P435">
        <f ca="1">Table1[[#This Row],[Hire Date]]-Table1[[#This Row],[Job Posting Date]]</f>
        <v>39</v>
      </c>
      <c r="Q435" s="7">
        <f ca="1">Table1[[#This Row],[Join Date]]-Table1[[#This Row],[Hire Date]]</f>
        <v>13</v>
      </c>
      <c r="R435" s="8">
        <f ca="1">(IF(Table1[[#This Row],[Status]]="Exited",Table1[[#This Row],[Exit Date]]-Table1[[#This Row],[Join Date]],TODAY()-Table1[[#This Row],[Join Date]]))/30</f>
        <v>61.333333333333336</v>
      </c>
      <c r="S435">
        <f ca="1">Table1[[#This Row],[Hire Date]]-Table1[[#This Row],[Job Posting Date]]</f>
        <v>39</v>
      </c>
      <c r="T435" s="7">
        <f ca="1">Table1[[#This Row],[Time to onboard]]/Table1[[#This Row],[Time to Fill]]*100</f>
        <v>33.333333333333329</v>
      </c>
      <c r="U435" s="8">
        <f ca="1">Table1[[#This Row],[Time to onboard]]/Table1[[#This Row],[Time to Fill]]*100</f>
        <v>33.333333333333329</v>
      </c>
      <c r="V435">
        <f ca="1">Table1[[#This Row],[Join Date]]-Table1[[#This Row],[Job Posting Date]]</f>
        <v>52</v>
      </c>
      <c r="W435">
        <f t="shared" ca="1" si="59"/>
        <v>177</v>
      </c>
      <c r="X435" s="8">
        <f ca="1">Table1[[#This Row],[Absentee Days]]/Table1[[#This Row],[Total Work Days]]*100</f>
        <v>6.5384615384615392</v>
      </c>
      <c r="Y435">
        <f ca="1">YEAR(Table1[[#This Row],[Join Date]])</f>
        <v>2018</v>
      </c>
      <c r="Z435">
        <f ca="1">IF(Table1[[#This Row],[Status]]="Active",1,0)</f>
        <v>0</v>
      </c>
      <c r="AA435">
        <f ca="1">IF(Table1[[#This Row],[Status]]="Exited",Table1[[#This Row],[Recruitment Cost]]+Table1[[#This Row],[Onboarding cost]]+Table1[[#This Row],[Training Cost]],0)</f>
        <v>3874</v>
      </c>
    </row>
    <row r="436" spans="1:27">
      <c r="A436" t="str">
        <f t="shared" si="55"/>
        <v>E435</v>
      </c>
      <c r="B436" t="str" cm="1">
        <f t="array" aca="1" ref="B436" ca="1">INDEX(sheet2!$A$2:$A$6, RANDBETWEEN(1, 5))</f>
        <v>Finance</v>
      </c>
      <c r="C436" t="str">
        <f ca="1">_xlfn.XLOOKUP(Table1[[#This Row],[Department]],sheet2!$A$2:$A$6,sheet2!$B$2:$B$6,_xleta.NA,0)</f>
        <v>Finance Manager</v>
      </c>
      <c r="D436" s="1">
        <f t="shared" ca="1" si="60"/>
        <v>43972</v>
      </c>
      <c r="E436" s="1">
        <f ca="1">Table1[[#This Row],[Job Posting Date]]+ RANDBETWEEN(15, 90)</f>
        <v>44055</v>
      </c>
      <c r="F436" s="1">
        <f ca="1">Table1[[#This Row],[Hire Date]]+ RANDBETWEEN(1, 15)</f>
        <v>44066</v>
      </c>
      <c r="G436" s="1" t="str">
        <f ca="1">IF(RAND() &lt; 0.5,  Table1[[#This Row],[Join Date]]+ RANDBETWEEN(30, TODAY()- Table1[[#This Row],[Join Date]]), "-")</f>
        <v>-</v>
      </c>
      <c r="H436" t="str">
        <f ca="1">IF(Table1[[#This Row],[Exit Date]]= "-", "Active", "Exited")</f>
        <v>Active</v>
      </c>
      <c r="I436" s="5">
        <f t="shared" ca="1" si="61"/>
        <v>3624</v>
      </c>
      <c r="J436" t="str" cm="1">
        <f t="array" aca="1" ref="J436" ca="1">INDEX(sheet2!$C$2:$C$6, RANDBETWEEN(1, 5))</f>
        <v>Leadership Development</v>
      </c>
      <c r="K436" t="str">
        <f t="shared" ca="1" si="62"/>
        <v>Not Completed</v>
      </c>
      <c r="L436">
        <v>260</v>
      </c>
      <c r="M436">
        <f t="shared" ca="1" si="56"/>
        <v>8</v>
      </c>
      <c r="N436" t="str">
        <f t="shared" ca="1" si="57"/>
        <v>Male</v>
      </c>
      <c r="O436" s="6">
        <f t="shared" ca="1" si="58"/>
        <v>1622</v>
      </c>
      <c r="P436">
        <f ca="1">Table1[[#This Row],[Hire Date]]-Table1[[#This Row],[Job Posting Date]]</f>
        <v>83</v>
      </c>
      <c r="Q436" s="7">
        <f ca="1">Table1[[#This Row],[Join Date]]-Table1[[#This Row],[Hire Date]]</f>
        <v>11</v>
      </c>
      <c r="R436" s="8">
        <f ca="1">(IF(Table1[[#This Row],[Status]]="Exited",Table1[[#This Row],[Exit Date]]-Table1[[#This Row],[Join Date]],TODAY()-Table1[[#This Row],[Join Date]]))/30</f>
        <v>53.233333333333334</v>
      </c>
      <c r="S436">
        <f ca="1">Table1[[#This Row],[Hire Date]]-Table1[[#This Row],[Job Posting Date]]</f>
        <v>83</v>
      </c>
      <c r="T436" s="7">
        <f ca="1">Table1[[#This Row],[Time to onboard]]/Table1[[#This Row],[Time to Fill]]*100</f>
        <v>13.253012048192772</v>
      </c>
      <c r="U436" s="8">
        <f ca="1">Table1[[#This Row],[Time to onboard]]/Table1[[#This Row],[Time to Fill]]*100</f>
        <v>13.253012048192772</v>
      </c>
      <c r="V436">
        <f ca="1">Table1[[#This Row],[Join Date]]-Table1[[#This Row],[Job Posting Date]]</f>
        <v>94</v>
      </c>
      <c r="W436">
        <f t="shared" ca="1" si="59"/>
        <v>169</v>
      </c>
      <c r="X436" s="8">
        <f ca="1">Table1[[#This Row],[Absentee Days]]/Table1[[#This Row],[Total Work Days]]*100</f>
        <v>3.0769230769230771</v>
      </c>
      <c r="Y436">
        <f ca="1">YEAR(Table1[[#This Row],[Join Date]])</f>
        <v>2020</v>
      </c>
      <c r="Z436">
        <f ca="1">IF(Table1[[#This Row],[Status]]="Active",1,0)</f>
        <v>1</v>
      </c>
      <c r="AA436">
        <f ca="1">IF(Table1[[#This Row],[Status]]="Exited",Table1[[#This Row],[Recruitment Cost]]+Table1[[#This Row],[Onboarding cost]]+Table1[[#This Row],[Training Cost]],0)</f>
        <v>0</v>
      </c>
    </row>
    <row r="437" spans="1:27">
      <c r="A437" t="str">
        <f t="shared" si="55"/>
        <v>E436</v>
      </c>
      <c r="B437" t="str" cm="1">
        <f t="array" aca="1" ref="B437" ca="1">INDEX(sheet2!$A$2:$A$6, RANDBETWEEN(1, 5))</f>
        <v>Analytics</v>
      </c>
      <c r="C437" t="str">
        <f ca="1">_xlfn.XLOOKUP(Table1[[#This Row],[Department]],sheet2!$A$2:$A$6,sheet2!$B$2:$B$6,_xleta.NA,0)</f>
        <v>Data Analyst</v>
      </c>
      <c r="D437" s="1">
        <f t="shared" ca="1" si="60"/>
        <v>44631</v>
      </c>
      <c r="E437" s="1">
        <f ca="1">Table1[[#This Row],[Job Posting Date]]+ RANDBETWEEN(15, 90)</f>
        <v>44705</v>
      </c>
      <c r="F437" s="1">
        <f ca="1">Table1[[#This Row],[Hire Date]]+ RANDBETWEEN(1, 15)</f>
        <v>44712</v>
      </c>
      <c r="G437" s="1">
        <f ca="1">IF(RAND() &lt; 0.5,  Table1[[#This Row],[Join Date]]+ RANDBETWEEN(30, TODAY()- Table1[[#This Row],[Join Date]]), "-")</f>
        <v>44943</v>
      </c>
      <c r="H437" t="str">
        <f ca="1">IF(Table1[[#This Row],[Exit Date]]= "-", "Active", "Exited")</f>
        <v>Exited</v>
      </c>
      <c r="I437" s="5">
        <f t="shared" ca="1" si="61"/>
        <v>1696</v>
      </c>
      <c r="J437" t="str" cm="1">
        <f t="array" aca="1" ref="J437" ca="1">INDEX(sheet2!$C$2:$C$6, RANDBETWEEN(1, 5))</f>
        <v>Communication Skills</v>
      </c>
      <c r="K437" t="str">
        <f t="shared" ca="1" si="62"/>
        <v>Completed</v>
      </c>
      <c r="L437">
        <v>260</v>
      </c>
      <c r="M437">
        <f t="shared" ca="1" si="56"/>
        <v>16</v>
      </c>
      <c r="N437" t="str">
        <f t="shared" ca="1" si="57"/>
        <v>Other</v>
      </c>
      <c r="O437" s="6">
        <f t="shared" ca="1" si="58"/>
        <v>2309</v>
      </c>
      <c r="P437">
        <f ca="1">Table1[[#This Row],[Hire Date]]-Table1[[#This Row],[Job Posting Date]]</f>
        <v>74</v>
      </c>
      <c r="Q437" s="7">
        <f ca="1">Table1[[#This Row],[Join Date]]-Table1[[#This Row],[Hire Date]]</f>
        <v>7</v>
      </c>
      <c r="R437" s="8">
        <f ca="1">(IF(Table1[[#This Row],[Status]]="Exited",Table1[[#This Row],[Exit Date]]-Table1[[#This Row],[Join Date]],TODAY()-Table1[[#This Row],[Join Date]]))/30</f>
        <v>7.7</v>
      </c>
      <c r="S437">
        <f ca="1">Table1[[#This Row],[Hire Date]]-Table1[[#This Row],[Job Posting Date]]</f>
        <v>74</v>
      </c>
      <c r="T437" s="7">
        <f ca="1">Table1[[#This Row],[Time to onboard]]/Table1[[#This Row],[Time to Fill]]*100</f>
        <v>9.4594594594594597</v>
      </c>
      <c r="U437" s="8">
        <f ca="1">Table1[[#This Row],[Time to onboard]]/Table1[[#This Row],[Time to Fill]]*100</f>
        <v>9.4594594594594597</v>
      </c>
      <c r="V437">
        <f ca="1">Table1[[#This Row],[Join Date]]-Table1[[#This Row],[Job Posting Date]]</f>
        <v>81</v>
      </c>
      <c r="W437">
        <f t="shared" ca="1" si="59"/>
        <v>159</v>
      </c>
      <c r="X437" s="8">
        <f ca="1">Table1[[#This Row],[Absentee Days]]/Table1[[#This Row],[Total Work Days]]*100</f>
        <v>6.1538461538461542</v>
      </c>
      <c r="Y437">
        <f ca="1">YEAR(Table1[[#This Row],[Join Date]])</f>
        <v>2022</v>
      </c>
      <c r="Z437">
        <f ca="1">IF(Table1[[#This Row],[Status]]="Active",1,0)</f>
        <v>0</v>
      </c>
      <c r="AA437">
        <f ca="1">IF(Table1[[#This Row],[Status]]="Exited",Table1[[#This Row],[Recruitment Cost]]+Table1[[#This Row],[Onboarding cost]]+Table1[[#This Row],[Training Cost]],0)</f>
        <v>4164</v>
      </c>
    </row>
    <row r="438" spans="1:27">
      <c r="A438" t="str">
        <f t="shared" si="55"/>
        <v>E437</v>
      </c>
      <c r="B438" t="str" cm="1">
        <f t="array" aca="1" ref="B438" ca="1">INDEX(sheet2!$A$2:$A$6, RANDBETWEEN(1, 5))</f>
        <v>IT</v>
      </c>
      <c r="C438" t="str">
        <f ca="1">_xlfn.XLOOKUP(Table1[[#This Row],[Department]],sheet2!$A$2:$A$6,sheet2!$B$2:$B$6,_xleta.NA,0)</f>
        <v>Software Engineer</v>
      </c>
      <c r="D438" s="1">
        <f t="shared" ca="1" si="60"/>
        <v>44008</v>
      </c>
      <c r="E438" s="1">
        <f ca="1">Table1[[#This Row],[Job Posting Date]]+ RANDBETWEEN(15, 90)</f>
        <v>44086</v>
      </c>
      <c r="F438" s="1">
        <f ca="1">Table1[[#This Row],[Hire Date]]+ RANDBETWEEN(1, 15)</f>
        <v>44101</v>
      </c>
      <c r="G438" s="1">
        <f ca="1">IF(RAND() &lt; 0.5,  Table1[[#This Row],[Join Date]]+ RANDBETWEEN(30, TODAY()- Table1[[#This Row],[Join Date]]), "-")</f>
        <v>44552</v>
      </c>
      <c r="H438" t="str">
        <f ca="1">IF(Table1[[#This Row],[Exit Date]]= "-", "Active", "Exited")</f>
        <v>Exited</v>
      </c>
      <c r="I438" s="5">
        <f t="shared" ca="1" si="61"/>
        <v>4356</v>
      </c>
      <c r="J438" t="str" cm="1">
        <f t="array" aca="1" ref="J438" ca="1">INDEX(sheet2!$C$2:$C$6, RANDBETWEEN(1, 5))</f>
        <v>Advanced Excel Skills </v>
      </c>
      <c r="K438" t="str">
        <f t="shared" ca="1" si="62"/>
        <v>Completed</v>
      </c>
      <c r="L438">
        <v>260</v>
      </c>
      <c r="M438">
        <f t="shared" ca="1" si="56"/>
        <v>18</v>
      </c>
      <c r="N438" t="str">
        <f t="shared" ca="1" si="57"/>
        <v>Male</v>
      </c>
      <c r="O438" s="6">
        <f t="shared" ca="1" si="58"/>
        <v>1385</v>
      </c>
      <c r="P438">
        <f ca="1">Table1[[#This Row],[Hire Date]]-Table1[[#This Row],[Job Posting Date]]</f>
        <v>78</v>
      </c>
      <c r="Q438" s="7">
        <f ca="1">Table1[[#This Row],[Join Date]]-Table1[[#This Row],[Hire Date]]</f>
        <v>15</v>
      </c>
      <c r="R438" s="8">
        <f ca="1">(IF(Table1[[#This Row],[Status]]="Exited",Table1[[#This Row],[Exit Date]]-Table1[[#This Row],[Join Date]],TODAY()-Table1[[#This Row],[Join Date]]))/30</f>
        <v>15.033333333333333</v>
      </c>
      <c r="S438">
        <f ca="1">Table1[[#This Row],[Hire Date]]-Table1[[#This Row],[Job Posting Date]]</f>
        <v>78</v>
      </c>
      <c r="T438" s="7">
        <f ca="1">Table1[[#This Row],[Time to onboard]]/Table1[[#This Row],[Time to Fill]]*100</f>
        <v>19.230769230769234</v>
      </c>
      <c r="U438" s="8">
        <f ca="1">Table1[[#This Row],[Time to onboard]]/Table1[[#This Row],[Time to Fill]]*100</f>
        <v>19.230769230769234</v>
      </c>
      <c r="V438">
        <f ca="1">Table1[[#This Row],[Join Date]]-Table1[[#This Row],[Job Posting Date]]</f>
        <v>93</v>
      </c>
      <c r="W438">
        <f t="shared" ca="1" si="59"/>
        <v>113</v>
      </c>
      <c r="X438" s="8">
        <f ca="1">Table1[[#This Row],[Absentee Days]]/Table1[[#This Row],[Total Work Days]]*100</f>
        <v>6.9230769230769234</v>
      </c>
      <c r="Y438">
        <f ca="1">YEAR(Table1[[#This Row],[Join Date]])</f>
        <v>2020</v>
      </c>
      <c r="Z438">
        <f ca="1">IF(Table1[[#This Row],[Status]]="Active",1,0)</f>
        <v>0</v>
      </c>
      <c r="AA438">
        <f ca="1">IF(Table1[[#This Row],[Status]]="Exited",Table1[[#This Row],[Recruitment Cost]]+Table1[[#This Row],[Onboarding cost]]+Table1[[#This Row],[Training Cost]],0)</f>
        <v>5854</v>
      </c>
    </row>
    <row r="439" spans="1:27">
      <c r="A439" t="str">
        <f t="shared" si="55"/>
        <v>E438</v>
      </c>
      <c r="B439" t="str" cm="1">
        <f t="array" aca="1" ref="B439" ca="1">INDEX(sheet2!$A$2:$A$6, RANDBETWEEN(1, 5))</f>
        <v>Finance</v>
      </c>
      <c r="C439" t="str">
        <f ca="1">_xlfn.XLOOKUP(Table1[[#This Row],[Department]],sheet2!$A$2:$A$6,sheet2!$B$2:$B$6,_xleta.NA,0)</f>
        <v>Finance Manager</v>
      </c>
      <c r="D439" s="1">
        <f t="shared" ca="1" si="60"/>
        <v>43942</v>
      </c>
      <c r="E439" s="1">
        <f ca="1">Table1[[#This Row],[Job Posting Date]]+ RANDBETWEEN(15, 90)</f>
        <v>43981</v>
      </c>
      <c r="F439" s="1">
        <f ca="1">Table1[[#This Row],[Hire Date]]+ RANDBETWEEN(1, 15)</f>
        <v>43991</v>
      </c>
      <c r="G439" s="1">
        <f ca="1">IF(RAND() &lt; 0.5,  Table1[[#This Row],[Join Date]]+ RANDBETWEEN(30, TODAY()- Table1[[#This Row],[Join Date]]), "-")</f>
        <v>44192</v>
      </c>
      <c r="H439" t="str">
        <f ca="1">IF(Table1[[#This Row],[Exit Date]]= "-", "Active", "Exited")</f>
        <v>Exited</v>
      </c>
      <c r="I439" s="5">
        <f t="shared" ca="1" si="61"/>
        <v>4879</v>
      </c>
      <c r="J439" t="str" cm="1">
        <f t="array" aca="1" ref="J439" ca="1">INDEX(sheet2!$C$2:$C$6, RANDBETWEEN(1, 5))</f>
        <v>Conflict Resolution</v>
      </c>
      <c r="K439" t="str">
        <f t="shared" ca="1" si="62"/>
        <v>Completed</v>
      </c>
      <c r="L439">
        <v>260</v>
      </c>
      <c r="M439">
        <f t="shared" ca="1" si="56"/>
        <v>6</v>
      </c>
      <c r="N439" t="str">
        <f t="shared" ca="1" si="57"/>
        <v>Other</v>
      </c>
      <c r="O439" s="6">
        <f t="shared" ca="1" si="58"/>
        <v>1399</v>
      </c>
      <c r="P439">
        <f ca="1">Table1[[#This Row],[Hire Date]]-Table1[[#This Row],[Job Posting Date]]</f>
        <v>39</v>
      </c>
      <c r="Q439" s="7">
        <f ca="1">Table1[[#This Row],[Join Date]]-Table1[[#This Row],[Hire Date]]</f>
        <v>10</v>
      </c>
      <c r="R439" s="8">
        <f ca="1">(IF(Table1[[#This Row],[Status]]="Exited",Table1[[#This Row],[Exit Date]]-Table1[[#This Row],[Join Date]],TODAY()-Table1[[#This Row],[Join Date]]))/30</f>
        <v>6.7</v>
      </c>
      <c r="S439">
        <f ca="1">Table1[[#This Row],[Hire Date]]-Table1[[#This Row],[Job Posting Date]]</f>
        <v>39</v>
      </c>
      <c r="T439" s="7">
        <f ca="1">Table1[[#This Row],[Time to onboard]]/Table1[[#This Row],[Time to Fill]]*100</f>
        <v>25.641025641025639</v>
      </c>
      <c r="U439" s="8">
        <f ca="1">Table1[[#This Row],[Time to onboard]]/Table1[[#This Row],[Time to Fill]]*100</f>
        <v>25.641025641025639</v>
      </c>
      <c r="V439">
        <f ca="1">Table1[[#This Row],[Join Date]]-Table1[[#This Row],[Job Posting Date]]</f>
        <v>49</v>
      </c>
      <c r="W439">
        <f t="shared" ca="1" si="59"/>
        <v>176</v>
      </c>
      <c r="X439" s="8">
        <f ca="1">Table1[[#This Row],[Absentee Days]]/Table1[[#This Row],[Total Work Days]]*100</f>
        <v>2.3076923076923079</v>
      </c>
      <c r="Y439">
        <f ca="1">YEAR(Table1[[#This Row],[Join Date]])</f>
        <v>2020</v>
      </c>
      <c r="Z439">
        <f ca="1">IF(Table1[[#This Row],[Status]]="Active",1,0)</f>
        <v>0</v>
      </c>
      <c r="AA439">
        <f ca="1">IF(Table1[[#This Row],[Status]]="Exited",Table1[[#This Row],[Recruitment Cost]]+Table1[[#This Row],[Onboarding cost]]+Table1[[#This Row],[Training Cost]],0)</f>
        <v>6454</v>
      </c>
    </row>
    <row r="440" spans="1:27">
      <c r="A440" t="str">
        <f t="shared" si="55"/>
        <v>E439</v>
      </c>
      <c r="B440" t="str" cm="1">
        <f t="array" aca="1" ref="B440" ca="1">INDEX(sheet2!$A$2:$A$6, RANDBETWEEN(1, 5))</f>
        <v>HR</v>
      </c>
      <c r="C440" t="str">
        <f ca="1">_xlfn.XLOOKUP(Table1[[#This Row],[Department]],sheet2!$A$2:$A$6,sheet2!$B$2:$B$6,_xleta.NA,0)</f>
        <v>HR Manager</v>
      </c>
      <c r="D440" s="1">
        <f t="shared" ca="1" si="60"/>
        <v>44738</v>
      </c>
      <c r="E440" s="1">
        <f ca="1">Table1[[#This Row],[Job Posting Date]]+ RANDBETWEEN(15, 90)</f>
        <v>44817</v>
      </c>
      <c r="F440" s="1">
        <f ca="1">Table1[[#This Row],[Hire Date]]+ RANDBETWEEN(1, 15)</f>
        <v>44827</v>
      </c>
      <c r="G440" s="1">
        <f ca="1">IF(RAND() &lt; 0.5,  Table1[[#This Row],[Join Date]]+ RANDBETWEEN(30, TODAY()- Table1[[#This Row],[Join Date]]), "-")</f>
        <v>45418</v>
      </c>
      <c r="H440" t="str">
        <f ca="1">IF(Table1[[#This Row],[Exit Date]]= "-", "Active", "Exited")</f>
        <v>Exited</v>
      </c>
      <c r="I440" s="5">
        <f t="shared" ca="1" si="61"/>
        <v>3366</v>
      </c>
      <c r="J440" t="str" cm="1">
        <f t="array" aca="1" ref="J440" ca="1">INDEX(sheet2!$C$2:$C$6, RANDBETWEEN(1, 5))</f>
        <v>Communication Skills</v>
      </c>
      <c r="K440" t="str">
        <f t="shared" ca="1" si="62"/>
        <v>Completed</v>
      </c>
      <c r="L440">
        <v>260</v>
      </c>
      <c r="M440">
        <f t="shared" ca="1" si="56"/>
        <v>0</v>
      </c>
      <c r="N440" t="str">
        <f t="shared" ca="1" si="57"/>
        <v>Female</v>
      </c>
      <c r="O440" s="6">
        <f t="shared" ca="1" si="58"/>
        <v>2072</v>
      </c>
      <c r="P440">
        <f ca="1">Table1[[#This Row],[Hire Date]]-Table1[[#This Row],[Job Posting Date]]</f>
        <v>79</v>
      </c>
      <c r="Q440" s="7">
        <f ca="1">Table1[[#This Row],[Join Date]]-Table1[[#This Row],[Hire Date]]</f>
        <v>10</v>
      </c>
      <c r="R440" s="8">
        <f ca="1">(IF(Table1[[#This Row],[Status]]="Exited",Table1[[#This Row],[Exit Date]]-Table1[[#This Row],[Join Date]],TODAY()-Table1[[#This Row],[Join Date]]))/30</f>
        <v>19.7</v>
      </c>
      <c r="S440">
        <f ca="1">Table1[[#This Row],[Hire Date]]-Table1[[#This Row],[Job Posting Date]]</f>
        <v>79</v>
      </c>
      <c r="T440" s="7">
        <f ca="1">Table1[[#This Row],[Time to onboard]]/Table1[[#This Row],[Time to Fill]]*100</f>
        <v>12.658227848101266</v>
      </c>
      <c r="U440" s="8">
        <f ca="1">Table1[[#This Row],[Time to onboard]]/Table1[[#This Row],[Time to Fill]]*100</f>
        <v>12.658227848101266</v>
      </c>
      <c r="V440">
        <f ca="1">Table1[[#This Row],[Join Date]]-Table1[[#This Row],[Job Posting Date]]</f>
        <v>89</v>
      </c>
      <c r="W440">
        <f t="shared" ca="1" si="59"/>
        <v>108</v>
      </c>
      <c r="X440" s="8">
        <f ca="1">Table1[[#This Row],[Absentee Days]]/Table1[[#This Row],[Total Work Days]]*100</f>
        <v>0</v>
      </c>
      <c r="Y440">
        <f ca="1">YEAR(Table1[[#This Row],[Join Date]])</f>
        <v>2022</v>
      </c>
      <c r="Z440">
        <f ca="1">IF(Table1[[#This Row],[Status]]="Active",1,0)</f>
        <v>0</v>
      </c>
      <c r="AA440">
        <f ca="1">IF(Table1[[#This Row],[Status]]="Exited",Table1[[#This Row],[Recruitment Cost]]+Table1[[#This Row],[Onboarding cost]]+Table1[[#This Row],[Training Cost]],0)</f>
        <v>5546</v>
      </c>
    </row>
    <row r="441" spans="1:27">
      <c r="A441" t="str">
        <f t="shared" si="55"/>
        <v>E440</v>
      </c>
      <c r="B441" t="str" cm="1">
        <f t="array" aca="1" ref="B441" ca="1">INDEX(sheet2!$A$2:$A$6, RANDBETWEEN(1, 5))</f>
        <v>Sales</v>
      </c>
      <c r="C441" t="str">
        <f ca="1">_xlfn.XLOOKUP(Table1[[#This Row],[Department]],sheet2!$A$2:$A$6,sheet2!$B$2:$B$6,_xleta.NA,0)</f>
        <v>Marketing Manager</v>
      </c>
      <c r="D441" s="1">
        <f t="shared" ca="1" si="60"/>
        <v>44557</v>
      </c>
      <c r="E441" s="1">
        <f ca="1">Table1[[#This Row],[Job Posting Date]]+ RANDBETWEEN(15, 90)</f>
        <v>44579</v>
      </c>
      <c r="F441" s="1">
        <f ca="1">Table1[[#This Row],[Hire Date]]+ RANDBETWEEN(1, 15)</f>
        <v>44593</v>
      </c>
      <c r="G441" s="1" t="str">
        <f ca="1">IF(RAND() &lt; 0.5,  Table1[[#This Row],[Join Date]]+ RANDBETWEEN(30, TODAY()- Table1[[#This Row],[Join Date]]), "-")</f>
        <v>-</v>
      </c>
      <c r="H441" t="str">
        <f ca="1">IF(Table1[[#This Row],[Exit Date]]= "-", "Active", "Exited")</f>
        <v>Active</v>
      </c>
      <c r="I441" s="5">
        <f t="shared" ca="1" si="61"/>
        <v>2254</v>
      </c>
      <c r="J441" t="str" cm="1">
        <f t="array" aca="1" ref="J441" ca="1">INDEX(sheet2!$C$2:$C$6, RANDBETWEEN(1, 5))</f>
        <v>Ethics and Responsibilities</v>
      </c>
      <c r="K441" t="str">
        <f t="shared" ca="1" si="62"/>
        <v>Completed</v>
      </c>
      <c r="L441">
        <v>260</v>
      </c>
      <c r="M441">
        <f t="shared" ca="1" si="56"/>
        <v>5</v>
      </c>
      <c r="N441" t="str">
        <f t="shared" ca="1" si="57"/>
        <v>Female</v>
      </c>
      <c r="O441" s="6">
        <f t="shared" ca="1" si="58"/>
        <v>1551</v>
      </c>
      <c r="P441">
        <f ca="1">Table1[[#This Row],[Hire Date]]-Table1[[#This Row],[Job Posting Date]]</f>
        <v>22</v>
      </c>
      <c r="Q441" s="7">
        <f ca="1">Table1[[#This Row],[Join Date]]-Table1[[#This Row],[Hire Date]]</f>
        <v>14</v>
      </c>
      <c r="R441" s="8">
        <f ca="1">(IF(Table1[[#This Row],[Status]]="Exited",Table1[[#This Row],[Exit Date]]-Table1[[#This Row],[Join Date]],TODAY()-Table1[[#This Row],[Join Date]]))/30</f>
        <v>35.666666666666664</v>
      </c>
      <c r="S441">
        <f ca="1">Table1[[#This Row],[Hire Date]]-Table1[[#This Row],[Job Posting Date]]</f>
        <v>22</v>
      </c>
      <c r="T441" s="7">
        <f ca="1">Table1[[#This Row],[Time to onboard]]/Table1[[#This Row],[Time to Fill]]*100</f>
        <v>63.636363636363633</v>
      </c>
      <c r="U441" s="8">
        <f ca="1">Table1[[#This Row],[Time to onboard]]/Table1[[#This Row],[Time to Fill]]*100</f>
        <v>63.636363636363633</v>
      </c>
      <c r="V441">
        <f ca="1">Table1[[#This Row],[Join Date]]-Table1[[#This Row],[Job Posting Date]]</f>
        <v>36</v>
      </c>
      <c r="W441">
        <f t="shared" ca="1" si="59"/>
        <v>101</v>
      </c>
      <c r="X441" s="8">
        <f ca="1">Table1[[#This Row],[Absentee Days]]/Table1[[#This Row],[Total Work Days]]*100</f>
        <v>1.9230769230769231</v>
      </c>
      <c r="Y441">
        <f ca="1">YEAR(Table1[[#This Row],[Join Date]])</f>
        <v>2022</v>
      </c>
      <c r="Z441">
        <f ca="1">IF(Table1[[#This Row],[Status]]="Active",1,0)</f>
        <v>1</v>
      </c>
      <c r="AA441">
        <f ca="1">IF(Table1[[#This Row],[Status]]="Exited",Table1[[#This Row],[Recruitment Cost]]+Table1[[#This Row],[Onboarding cost]]+Table1[[#This Row],[Training Cost]],0)</f>
        <v>0</v>
      </c>
    </row>
    <row r="442" spans="1:27">
      <c r="A442" t="str">
        <f t="shared" si="55"/>
        <v>E441</v>
      </c>
      <c r="B442" t="str" cm="1">
        <f t="array" aca="1" ref="B442" ca="1">INDEX(sheet2!$A$2:$A$6, RANDBETWEEN(1, 5))</f>
        <v>IT</v>
      </c>
      <c r="C442" t="str">
        <f ca="1">_xlfn.XLOOKUP(Table1[[#This Row],[Department]],sheet2!$A$2:$A$6,sheet2!$B$2:$B$6,_xleta.NA,0)</f>
        <v>Software Engineer</v>
      </c>
      <c r="D442" s="1">
        <f t="shared" ca="1" si="60"/>
        <v>43626</v>
      </c>
      <c r="E442" s="1">
        <f ca="1">Table1[[#This Row],[Job Posting Date]]+ RANDBETWEEN(15, 90)</f>
        <v>43695</v>
      </c>
      <c r="F442" s="1">
        <f ca="1">Table1[[#This Row],[Hire Date]]+ RANDBETWEEN(1, 15)</f>
        <v>43697</v>
      </c>
      <c r="G442" s="1" t="str">
        <f ca="1">IF(RAND() &lt; 0.5,  Table1[[#This Row],[Join Date]]+ RANDBETWEEN(30, TODAY()- Table1[[#This Row],[Join Date]]), "-")</f>
        <v>-</v>
      </c>
      <c r="H442" t="str">
        <f ca="1">IF(Table1[[#This Row],[Exit Date]]= "-", "Active", "Exited")</f>
        <v>Active</v>
      </c>
      <c r="I442" s="5">
        <f t="shared" ca="1" si="61"/>
        <v>3423</v>
      </c>
      <c r="J442" t="str" cm="1">
        <f t="array" aca="1" ref="J442" ca="1">INDEX(sheet2!$C$2:$C$6, RANDBETWEEN(1, 5))</f>
        <v>Conflict Resolution</v>
      </c>
      <c r="K442" t="str">
        <f t="shared" ca="1" si="62"/>
        <v>Not Completed</v>
      </c>
      <c r="L442">
        <v>260</v>
      </c>
      <c r="M442">
        <f t="shared" ca="1" si="56"/>
        <v>15</v>
      </c>
      <c r="N442" t="str">
        <f t="shared" ca="1" si="57"/>
        <v>Female</v>
      </c>
      <c r="O442" s="6">
        <f t="shared" ca="1" si="58"/>
        <v>1814</v>
      </c>
      <c r="P442">
        <f ca="1">Table1[[#This Row],[Hire Date]]-Table1[[#This Row],[Job Posting Date]]</f>
        <v>69</v>
      </c>
      <c r="Q442" s="7">
        <f ca="1">Table1[[#This Row],[Join Date]]-Table1[[#This Row],[Hire Date]]</f>
        <v>2</v>
      </c>
      <c r="R442" s="8">
        <f ca="1">(IF(Table1[[#This Row],[Status]]="Exited",Table1[[#This Row],[Exit Date]]-Table1[[#This Row],[Join Date]],TODAY()-Table1[[#This Row],[Join Date]]))/30</f>
        <v>65.533333333333331</v>
      </c>
      <c r="S442">
        <f ca="1">Table1[[#This Row],[Hire Date]]-Table1[[#This Row],[Job Posting Date]]</f>
        <v>69</v>
      </c>
      <c r="T442" s="7">
        <f ca="1">Table1[[#This Row],[Time to onboard]]/Table1[[#This Row],[Time to Fill]]*100</f>
        <v>2.8985507246376812</v>
      </c>
      <c r="U442" s="8">
        <f ca="1">Table1[[#This Row],[Time to onboard]]/Table1[[#This Row],[Time to Fill]]*100</f>
        <v>2.8985507246376812</v>
      </c>
      <c r="V442">
        <f ca="1">Table1[[#This Row],[Join Date]]-Table1[[#This Row],[Job Posting Date]]</f>
        <v>71</v>
      </c>
      <c r="W442">
        <f t="shared" ca="1" si="59"/>
        <v>113</v>
      </c>
      <c r="X442" s="8">
        <f ca="1">Table1[[#This Row],[Absentee Days]]/Table1[[#This Row],[Total Work Days]]*100</f>
        <v>5.7692307692307692</v>
      </c>
      <c r="Y442">
        <f ca="1">YEAR(Table1[[#This Row],[Join Date]])</f>
        <v>2019</v>
      </c>
      <c r="Z442">
        <f ca="1">IF(Table1[[#This Row],[Status]]="Active",1,0)</f>
        <v>1</v>
      </c>
      <c r="AA442">
        <f ca="1">IF(Table1[[#This Row],[Status]]="Exited",Table1[[#This Row],[Recruitment Cost]]+Table1[[#This Row],[Onboarding cost]]+Table1[[#This Row],[Training Cost]],0)</f>
        <v>0</v>
      </c>
    </row>
    <row r="443" spans="1:27">
      <c r="A443" t="str">
        <f t="shared" si="55"/>
        <v>E442</v>
      </c>
      <c r="B443" t="str" cm="1">
        <f t="array" aca="1" ref="B443" ca="1">INDEX(sheet2!$A$2:$A$6, RANDBETWEEN(1, 5))</f>
        <v>Analytics</v>
      </c>
      <c r="C443" t="str">
        <f ca="1">_xlfn.XLOOKUP(Table1[[#This Row],[Department]],sheet2!$A$2:$A$6,sheet2!$B$2:$B$6,_xleta.NA,0)</f>
        <v>Data Analyst</v>
      </c>
      <c r="D443" s="1">
        <f t="shared" ca="1" si="60"/>
        <v>44053</v>
      </c>
      <c r="E443" s="1">
        <f ca="1">Table1[[#This Row],[Job Posting Date]]+ RANDBETWEEN(15, 90)</f>
        <v>44112</v>
      </c>
      <c r="F443" s="1">
        <f ca="1">Table1[[#This Row],[Hire Date]]+ RANDBETWEEN(1, 15)</f>
        <v>44120</v>
      </c>
      <c r="G443" s="1">
        <f ca="1">IF(RAND() &lt; 0.5,  Table1[[#This Row],[Join Date]]+ RANDBETWEEN(30, TODAY()- Table1[[#This Row],[Join Date]]), "-")</f>
        <v>45557</v>
      </c>
      <c r="H443" t="str">
        <f ca="1">IF(Table1[[#This Row],[Exit Date]]= "-", "Active", "Exited")</f>
        <v>Exited</v>
      </c>
      <c r="I443" s="5">
        <f t="shared" ca="1" si="61"/>
        <v>3739</v>
      </c>
      <c r="J443" t="str" cm="1">
        <f t="array" aca="1" ref="J443" ca="1">INDEX(sheet2!$C$2:$C$6, RANDBETWEEN(1, 5))</f>
        <v>Ethics and Responsibilities</v>
      </c>
      <c r="K443" t="str">
        <f t="shared" ca="1" si="62"/>
        <v>Completed</v>
      </c>
      <c r="L443">
        <v>260</v>
      </c>
      <c r="M443">
        <f t="shared" ca="1" si="56"/>
        <v>12</v>
      </c>
      <c r="N443" t="str">
        <f t="shared" ca="1" si="57"/>
        <v>Other</v>
      </c>
      <c r="O443" s="6">
        <f t="shared" ca="1" si="58"/>
        <v>1880</v>
      </c>
      <c r="P443">
        <f ca="1">Table1[[#This Row],[Hire Date]]-Table1[[#This Row],[Job Posting Date]]</f>
        <v>59</v>
      </c>
      <c r="Q443" s="7">
        <f ca="1">Table1[[#This Row],[Join Date]]-Table1[[#This Row],[Hire Date]]</f>
        <v>8</v>
      </c>
      <c r="R443" s="8">
        <f ca="1">(IF(Table1[[#This Row],[Status]]="Exited",Table1[[#This Row],[Exit Date]]-Table1[[#This Row],[Join Date]],TODAY()-Table1[[#This Row],[Join Date]]))/30</f>
        <v>47.9</v>
      </c>
      <c r="S443">
        <f ca="1">Table1[[#This Row],[Hire Date]]-Table1[[#This Row],[Job Posting Date]]</f>
        <v>59</v>
      </c>
      <c r="T443" s="7">
        <f ca="1">Table1[[#This Row],[Time to onboard]]/Table1[[#This Row],[Time to Fill]]*100</f>
        <v>13.559322033898304</v>
      </c>
      <c r="U443" s="8">
        <f ca="1">Table1[[#This Row],[Time to onboard]]/Table1[[#This Row],[Time to Fill]]*100</f>
        <v>13.559322033898304</v>
      </c>
      <c r="V443">
        <f ca="1">Table1[[#This Row],[Join Date]]-Table1[[#This Row],[Job Posting Date]]</f>
        <v>67</v>
      </c>
      <c r="W443">
        <f t="shared" ca="1" si="59"/>
        <v>135</v>
      </c>
      <c r="X443" s="8">
        <f ca="1">Table1[[#This Row],[Absentee Days]]/Table1[[#This Row],[Total Work Days]]*100</f>
        <v>4.6153846153846159</v>
      </c>
      <c r="Y443">
        <f ca="1">YEAR(Table1[[#This Row],[Join Date]])</f>
        <v>2020</v>
      </c>
      <c r="Z443">
        <f ca="1">IF(Table1[[#This Row],[Status]]="Active",1,0)</f>
        <v>0</v>
      </c>
      <c r="AA443">
        <f ca="1">IF(Table1[[#This Row],[Status]]="Exited",Table1[[#This Row],[Recruitment Cost]]+Table1[[#This Row],[Onboarding cost]]+Table1[[#This Row],[Training Cost]],0)</f>
        <v>5754</v>
      </c>
    </row>
    <row r="444" spans="1:27">
      <c r="A444" t="str">
        <f t="shared" si="55"/>
        <v>E443</v>
      </c>
      <c r="B444" t="str" cm="1">
        <f t="array" aca="1" ref="B444" ca="1">INDEX(sheet2!$A$2:$A$6, RANDBETWEEN(1, 5))</f>
        <v>IT</v>
      </c>
      <c r="C444" t="str">
        <f ca="1">_xlfn.XLOOKUP(Table1[[#This Row],[Department]],sheet2!$A$2:$A$6,sheet2!$B$2:$B$6,_xleta.NA,0)</f>
        <v>Software Engineer</v>
      </c>
      <c r="D444" s="1">
        <f t="shared" ca="1" si="60"/>
        <v>43393</v>
      </c>
      <c r="E444" s="1">
        <f ca="1">Table1[[#This Row],[Job Posting Date]]+ RANDBETWEEN(15, 90)</f>
        <v>43433</v>
      </c>
      <c r="F444" s="1">
        <f ca="1">Table1[[#This Row],[Hire Date]]+ RANDBETWEEN(1, 15)</f>
        <v>43438</v>
      </c>
      <c r="G444" s="1">
        <f ca="1">IF(RAND() &lt; 0.5,  Table1[[#This Row],[Join Date]]+ RANDBETWEEN(30, TODAY()- Table1[[#This Row],[Join Date]]), "-")</f>
        <v>44247</v>
      </c>
      <c r="H444" t="str">
        <f ca="1">IF(Table1[[#This Row],[Exit Date]]= "-", "Active", "Exited")</f>
        <v>Exited</v>
      </c>
      <c r="I444" s="5">
        <f t="shared" ca="1" si="61"/>
        <v>3437</v>
      </c>
      <c r="J444" t="str" cm="1">
        <f t="array" aca="1" ref="J444" ca="1">INDEX(sheet2!$C$2:$C$6, RANDBETWEEN(1, 5))</f>
        <v>Leadership Development</v>
      </c>
      <c r="K444" t="str">
        <f t="shared" ca="1" si="62"/>
        <v>Completed</v>
      </c>
      <c r="L444">
        <v>260</v>
      </c>
      <c r="M444">
        <f t="shared" ca="1" si="56"/>
        <v>9</v>
      </c>
      <c r="N444" t="str">
        <f t="shared" ca="1" si="57"/>
        <v>Female</v>
      </c>
      <c r="O444" s="6">
        <f t="shared" ca="1" si="58"/>
        <v>2291</v>
      </c>
      <c r="P444">
        <f ca="1">Table1[[#This Row],[Hire Date]]-Table1[[#This Row],[Job Posting Date]]</f>
        <v>40</v>
      </c>
      <c r="Q444" s="7">
        <f ca="1">Table1[[#This Row],[Join Date]]-Table1[[#This Row],[Hire Date]]</f>
        <v>5</v>
      </c>
      <c r="R444" s="8">
        <f ca="1">(IF(Table1[[#This Row],[Status]]="Exited",Table1[[#This Row],[Exit Date]]-Table1[[#This Row],[Join Date]],TODAY()-Table1[[#This Row],[Join Date]]))/30</f>
        <v>26.966666666666665</v>
      </c>
      <c r="S444">
        <f ca="1">Table1[[#This Row],[Hire Date]]-Table1[[#This Row],[Job Posting Date]]</f>
        <v>40</v>
      </c>
      <c r="T444" s="7">
        <f ca="1">Table1[[#This Row],[Time to onboard]]/Table1[[#This Row],[Time to Fill]]*100</f>
        <v>12.5</v>
      </c>
      <c r="U444" s="8">
        <f ca="1">Table1[[#This Row],[Time to onboard]]/Table1[[#This Row],[Time to Fill]]*100</f>
        <v>12.5</v>
      </c>
      <c r="V444">
        <f ca="1">Table1[[#This Row],[Join Date]]-Table1[[#This Row],[Job Posting Date]]</f>
        <v>45</v>
      </c>
      <c r="W444">
        <f t="shared" ca="1" si="59"/>
        <v>105</v>
      </c>
      <c r="X444" s="8">
        <f ca="1">Table1[[#This Row],[Absentee Days]]/Table1[[#This Row],[Total Work Days]]*100</f>
        <v>3.4615384615384617</v>
      </c>
      <c r="Y444">
        <f ca="1">YEAR(Table1[[#This Row],[Join Date]])</f>
        <v>2018</v>
      </c>
      <c r="Z444">
        <f ca="1">IF(Table1[[#This Row],[Status]]="Active",1,0)</f>
        <v>0</v>
      </c>
      <c r="AA444">
        <f ca="1">IF(Table1[[#This Row],[Status]]="Exited",Table1[[#This Row],[Recruitment Cost]]+Table1[[#This Row],[Onboarding cost]]+Table1[[#This Row],[Training Cost]],0)</f>
        <v>5833</v>
      </c>
    </row>
    <row r="445" spans="1:27">
      <c r="A445" t="str">
        <f t="shared" si="55"/>
        <v>E444</v>
      </c>
      <c r="B445" t="str" cm="1">
        <f t="array" aca="1" ref="B445" ca="1">INDEX(sheet2!$A$2:$A$6, RANDBETWEEN(1, 5))</f>
        <v>Analytics</v>
      </c>
      <c r="C445" t="str">
        <f ca="1">_xlfn.XLOOKUP(Table1[[#This Row],[Department]],sheet2!$A$2:$A$6,sheet2!$B$2:$B$6,_xleta.NA,0)</f>
        <v>Data Analyst</v>
      </c>
      <c r="D445" s="1">
        <f t="shared" ca="1" si="60"/>
        <v>43823</v>
      </c>
      <c r="E445" s="1">
        <f ca="1">Table1[[#This Row],[Job Posting Date]]+ RANDBETWEEN(15, 90)</f>
        <v>43874</v>
      </c>
      <c r="F445" s="1">
        <f ca="1">Table1[[#This Row],[Hire Date]]+ RANDBETWEEN(1, 15)</f>
        <v>43885</v>
      </c>
      <c r="G445" s="1" t="str">
        <f ca="1">IF(RAND() &lt; 0.5,  Table1[[#This Row],[Join Date]]+ RANDBETWEEN(30, TODAY()- Table1[[#This Row],[Join Date]]), "-")</f>
        <v>-</v>
      </c>
      <c r="H445" t="str">
        <f ca="1">IF(Table1[[#This Row],[Exit Date]]= "-", "Active", "Exited")</f>
        <v>Active</v>
      </c>
      <c r="I445" s="5">
        <f t="shared" ca="1" si="61"/>
        <v>3332</v>
      </c>
      <c r="J445" t="str" cm="1">
        <f t="array" aca="1" ref="J445" ca="1">INDEX(sheet2!$C$2:$C$6, RANDBETWEEN(1, 5))</f>
        <v>Conflict Resolution</v>
      </c>
      <c r="K445" t="str">
        <f t="shared" ca="1" si="62"/>
        <v>Completed</v>
      </c>
      <c r="L445">
        <v>260</v>
      </c>
      <c r="M445">
        <f t="shared" ca="1" si="56"/>
        <v>18</v>
      </c>
      <c r="N445" t="str">
        <f t="shared" ca="1" si="57"/>
        <v>Other</v>
      </c>
      <c r="O445" s="6">
        <f t="shared" ca="1" si="58"/>
        <v>2432</v>
      </c>
      <c r="P445">
        <f ca="1">Table1[[#This Row],[Hire Date]]-Table1[[#This Row],[Job Posting Date]]</f>
        <v>51</v>
      </c>
      <c r="Q445" s="7">
        <f ca="1">Table1[[#This Row],[Join Date]]-Table1[[#This Row],[Hire Date]]</f>
        <v>11</v>
      </c>
      <c r="R445" s="8">
        <f ca="1">(IF(Table1[[#This Row],[Status]]="Exited",Table1[[#This Row],[Exit Date]]-Table1[[#This Row],[Join Date]],TODAY()-Table1[[#This Row],[Join Date]]))/30</f>
        <v>59.266666666666666</v>
      </c>
      <c r="S445">
        <f ca="1">Table1[[#This Row],[Hire Date]]-Table1[[#This Row],[Job Posting Date]]</f>
        <v>51</v>
      </c>
      <c r="T445" s="7">
        <f ca="1">Table1[[#This Row],[Time to onboard]]/Table1[[#This Row],[Time to Fill]]*100</f>
        <v>21.568627450980394</v>
      </c>
      <c r="U445" s="8">
        <f ca="1">Table1[[#This Row],[Time to onboard]]/Table1[[#This Row],[Time to Fill]]*100</f>
        <v>21.568627450980394</v>
      </c>
      <c r="V445">
        <f ca="1">Table1[[#This Row],[Join Date]]-Table1[[#This Row],[Job Posting Date]]</f>
        <v>62</v>
      </c>
      <c r="W445">
        <f t="shared" ca="1" si="59"/>
        <v>143</v>
      </c>
      <c r="X445" s="8">
        <f ca="1">Table1[[#This Row],[Absentee Days]]/Table1[[#This Row],[Total Work Days]]*100</f>
        <v>6.9230769230769234</v>
      </c>
      <c r="Y445">
        <f ca="1">YEAR(Table1[[#This Row],[Join Date]])</f>
        <v>2020</v>
      </c>
      <c r="Z445">
        <f ca="1">IF(Table1[[#This Row],[Status]]="Active",1,0)</f>
        <v>1</v>
      </c>
      <c r="AA445">
        <f ca="1">IF(Table1[[#This Row],[Status]]="Exited",Table1[[#This Row],[Recruitment Cost]]+Table1[[#This Row],[Onboarding cost]]+Table1[[#This Row],[Training Cost]],0)</f>
        <v>0</v>
      </c>
    </row>
    <row r="446" spans="1:27">
      <c r="A446" t="str">
        <f t="shared" si="55"/>
        <v>E445</v>
      </c>
      <c r="B446" t="str" cm="1">
        <f t="array" aca="1" ref="B446" ca="1">INDEX(sheet2!$A$2:$A$6, RANDBETWEEN(1, 5))</f>
        <v>HR</v>
      </c>
      <c r="C446" t="str">
        <f ca="1">_xlfn.XLOOKUP(Table1[[#This Row],[Department]],sheet2!$A$2:$A$6,sheet2!$B$2:$B$6,_xleta.NA,0)</f>
        <v>HR Manager</v>
      </c>
      <c r="D446" s="1">
        <f t="shared" ca="1" si="60"/>
        <v>43521</v>
      </c>
      <c r="E446" s="1">
        <f ca="1">Table1[[#This Row],[Job Posting Date]]+ RANDBETWEEN(15, 90)</f>
        <v>43551</v>
      </c>
      <c r="F446" s="1">
        <f ca="1">Table1[[#This Row],[Hire Date]]+ RANDBETWEEN(1, 15)</f>
        <v>43554</v>
      </c>
      <c r="G446" s="1" t="str">
        <f ca="1">IF(RAND() &lt; 0.5,  Table1[[#This Row],[Join Date]]+ RANDBETWEEN(30, TODAY()- Table1[[#This Row],[Join Date]]), "-")</f>
        <v>-</v>
      </c>
      <c r="H446" t="str">
        <f ca="1">IF(Table1[[#This Row],[Exit Date]]= "-", "Active", "Exited")</f>
        <v>Active</v>
      </c>
      <c r="I446" s="5">
        <f t="shared" ca="1" si="61"/>
        <v>3708</v>
      </c>
      <c r="J446" t="str" cm="1">
        <f t="array" aca="1" ref="J446" ca="1">INDEX(sheet2!$C$2:$C$6, RANDBETWEEN(1, 5))</f>
        <v>Advanced Excel Skills </v>
      </c>
      <c r="K446" t="str">
        <f t="shared" ca="1" si="62"/>
        <v>Completed</v>
      </c>
      <c r="L446">
        <v>260</v>
      </c>
      <c r="M446">
        <f t="shared" ca="1" si="56"/>
        <v>3</v>
      </c>
      <c r="N446" t="str">
        <f t="shared" ca="1" si="57"/>
        <v>Other</v>
      </c>
      <c r="O446" s="6">
        <f t="shared" ca="1" si="58"/>
        <v>2112</v>
      </c>
      <c r="P446">
        <f ca="1">Table1[[#This Row],[Hire Date]]-Table1[[#This Row],[Job Posting Date]]</f>
        <v>30</v>
      </c>
      <c r="Q446" s="7">
        <f ca="1">Table1[[#This Row],[Join Date]]-Table1[[#This Row],[Hire Date]]</f>
        <v>3</v>
      </c>
      <c r="R446" s="8">
        <f ca="1">(IF(Table1[[#This Row],[Status]]="Exited",Table1[[#This Row],[Exit Date]]-Table1[[#This Row],[Join Date]],TODAY()-Table1[[#This Row],[Join Date]]))/30</f>
        <v>70.3</v>
      </c>
      <c r="S446">
        <f ca="1">Table1[[#This Row],[Hire Date]]-Table1[[#This Row],[Job Posting Date]]</f>
        <v>30</v>
      </c>
      <c r="T446" s="7">
        <f ca="1">Table1[[#This Row],[Time to onboard]]/Table1[[#This Row],[Time to Fill]]*100</f>
        <v>10</v>
      </c>
      <c r="U446" s="8">
        <f ca="1">Table1[[#This Row],[Time to onboard]]/Table1[[#This Row],[Time to Fill]]*100</f>
        <v>10</v>
      </c>
      <c r="V446">
        <f ca="1">Table1[[#This Row],[Join Date]]-Table1[[#This Row],[Job Posting Date]]</f>
        <v>33</v>
      </c>
      <c r="W446">
        <f t="shared" ca="1" si="59"/>
        <v>172</v>
      </c>
      <c r="X446" s="8">
        <f ca="1">Table1[[#This Row],[Absentee Days]]/Table1[[#This Row],[Total Work Days]]*100</f>
        <v>1.153846153846154</v>
      </c>
      <c r="Y446">
        <f ca="1">YEAR(Table1[[#This Row],[Join Date]])</f>
        <v>2019</v>
      </c>
      <c r="Z446">
        <f ca="1">IF(Table1[[#This Row],[Status]]="Active",1,0)</f>
        <v>1</v>
      </c>
      <c r="AA446">
        <f ca="1">IF(Table1[[#This Row],[Status]]="Exited",Table1[[#This Row],[Recruitment Cost]]+Table1[[#This Row],[Onboarding cost]]+Table1[[#This Row],[Training Cost]],0)</f>
        <v>0</v>
      </c>
    </row>
    <row r="447" spans="1:27">
      <c r="A447" t="str">
        <f t="shared" si="55"/>
        <v>E446</v>
      </c>
      <c r="B447" t="str" cm="1">
        <f t="array" aca="1" ref="B447" ca="1">INDEX(sheet2!$A$2:$A$6, RANDBETWEEN(1, 5))</f>
        <v>HR</v>
      </c>
      <c r="C447" t="str">
        <f ca="1">_xlfn.XLOOKUP(Table1[[#This Row],[Department]],sheet2!$A$2:$A$6,sheet2!$B$2:$B$6,_xleta.NA,0)</f>
        <v>HR Manager</v>
      </c>
      <c r="D447" s="1">
        <f t="shared" ca="1" si="60"/>
        <v>44858</v>
      </c>
      <c r="E447" s="1">
        <f ca="1">Table1[[#This Row],[Job Posting Date]]+ RANDBETWEEN(15, 90)</f>
        <v>44947</v>
      </c>
      <c r="F447" s="1">
        <f ca="1">Table1[[#This Row],[Hire Date]]+ RANDBETWEEN(1, 15)</f>
        <v>44955</v>
      </c>
      <c r="G447" s="1">
        <f ca="1">IF(RAND() &lt; 0.5,  Table1[[#This Row],[Join Date]]+ RANDBETWEEN(30, TODAY()- Table1[[#This Row],[Join Date]]), "-")</f>
        <v>45354</v>
      </c>
      <c r="H447" t="str">
        <f ca="1">IF(Table1[[#This Row],[Exit Date]]= "-", "Active", "Exited")</f>
        <v>Exited</v>
      </c>
      <c r="I447" s="5">
        <f t="shared" ca="1" si="61"/>
        <v>4398</v>
      </c>
      <c r="J447" t="str" cm="1">
        <f t="array" aca="1" ref="J447" ca="1">INDEX(sheet2!$C$2:$C$6, RANDBETWEEN(1, 5))</f>
        <v>Advanced Excel Skills </v>
      </c>
      <c r="K447" t="str">
        <f t="shared" ca="1" si="62"/>
        <v>Not Completed</v>
      </c>
      <c r="L447">
        <v>260</v>
      </c>
      <c r="M447">
        <f t="shared" ca="1" si="56"/>
        <v>3</v>
      </c>
      <c r="N447" t="str">
        <f t="shared" ca="1" si="57"/>
        <v>Female</v>
      </c>
      <c r="O447" s="6">
        <f t="shared" ca="1" si="58"/>
        <v>1792</v>
      </c>
      <c r="P447">
        <f ca="1">Table1[[#This Row],[Hire Date]]-Table1[[#This Row],[Job Posting Date]]</f>
        <v>89</v>
      </c>
      <c r="Q447" s="7">
        <f ca="1">Table1[[#This Row],[Join Date]]-Table1[[#This Row],[Hire Date]]</f>
        <v>8</v>
      </c>
      <c r="R447" s="8">
        <f ca="1">(IF(Table1[[#This Row],[Status]]="Exited",Table1[[#This Row],[Exit Date]]-Table1[[#This Row],[Join Date]],TODAY()-Table1[[#This Row],[Join Date]]))/30</f>
        <v>13.3</v>
      </c>
      <c r="S447">
        <f ca="1">Table1[[#This Row],[Hire Date]]-Table1[[#This Row],[Job Posting Date]]</f>
        <v>89</v>
      </c>
      <c r="T447" s="7">
        <f ca="1">Table1[[#This Row],[Time to onboard]]/Table1[[#This Row],[Time to Fill]]*100</f>
        <v>8.9887640449438209</v>
      </c>
      <c r="U447" s="8">
        <f ca="1">Table1[[#This Row],[Time to onboard]]/Table1[[#This Row],[Time to Fill]]*100</f>
        <v>8.9887640449438209</v>
      </c>
      <c r="V447">
        <f ca="1">Table1[[#This Row],[Join Date]]-Table1[[#This Row],[Job Posting Date]]</f>
        <v>97</v>
      </c>
      <c r="W447">
        <f t="shared" ca="1" si="59"/>
        <v>118</v>
      </c>
      <c r="X447" s="8">
        <f ca="1">Table1[[#This Row],[Absentee Days]]/Table1[[#This Row],[Total Work Days]]*100</f>
        <v>1.153846153846154</v>
      </c>
      <c r="Y447">
        <f ca="1">YEAR(Table1[[#This Row],[Join Date]])</f>
        <v>2023</v>
      </c>
      <c r="Z447">
        <f ca="1">IF(Table1[[#This Row],[Status]]="Active",1,0)</f>
        <v>0</v>
      </c>
      <c r="AA447">
        <f ca="1">IF(Table1[[#This Row],[Status]]="Exited",Table1[[#This Row],[Recruitment Cost]]+Table1[[#This Row],[Onboarding cost]]+Table1[[#This Row],[Training Cost]],0)</f>
        <v>6308</v>
      </c>
    </row>
    <row r="448" spans="1:27">
      <c r="A448" t="str">
        <f t="shared" si="55"/>
        <v>E447</v>
      </c>
      <c r="B448" t="str" cm="1">
        <f t="array" aca="1" ref="B448" ca="1">INDEX(sheet2!$A$2:$A$6, RANDBETWEEN(1, 5))</f>
        <v>Analytics</v>
      </c>
      <c r="C448" t="str">
        <f ca="1">_xlfn.XLOOKUP(Table1[[#This Row],[Department]],sheet2!$A$2:$A$6,sheet2!$B$2:$B$6,_xleta.NA,0)</f>
        <v>Data Analyst</v>
      </c>
      <c r="D448" s="1">
        <f t="shared" ca="1" si="60"/>
        <v>43872</v>
      </c>
      <c r="E448" s="1">
        <f ca="1">Table1[[#This Row],[Job Posting Date]]+ RANDBETWEEN(15, 90)</f>
        <v>43902</v>
      </c>
      <c r="F448" s="1">
        <f ca="1">Table1[[#This Row],[Hire Date]]+ RANDBETWEEN(1, 15)</f>
        <v>43904</v>
      </c>
      <c r="G448" s="1" t="str">
        <f ca="1">IF(RAND() &lt; 0.5,  Table1[[#This Row],[Join Date]]+ RANDBETWEEN(30, TODAY()- Table1[[#This Row],[Join Date]]), "-")</f>
        <v>-</v>
      </c>
      <c r="H448" t="str">
        <f ca="1">IF(Table1[[#This Row],[Exit Date]]= "-", "Active", "Exited")</f>
        <v>Active</v>
      </c>
      <c r="I448" s="5">
        <f t="shared" ca="1" si="61"/>
        <v>3405</v>
      </c>
      <c r="J448" t="str" cm="1">
        <f t="array" aca="1" ref="J448" ca="1">INDEX(sheet2!$C$2:$C$6, RANDBETWEEN(1, 5))</f>
        <v>Communication Skills</v>
      </c>
      <c r="K448" t="str">
        <f t="shared" ca="1" si="62"/>
        <v>Not Completed</v>
      </c>
      <c r="L448">
        <v>260</v>
      </c>
      <c r="M448">
        <f t="shared" ca="1" si="56"/>
        <v>17</v>
      </c>
      <c r="N448" t="str">
        <f t="shared" ca="1" si="57"/>
        <v>Female</v>
      </c>
      <c r="O448" s="6">
        <f t="shared" ca="1" si="58"/>
        <v>1860</v>
      </c>
      <c r="P448">
        <f ca="1">Table1[[#This Row],[Hire Date]]-Table1[[#This Row],[Job Posting Date]]</f>
        <v>30</v>
      </c>
      <c r="Q448" s="7">
        <f ca="1">Table1[[#This Row],[Join Date]]-Table1[[#This Row],[Hire Date]]</f>
        <v>2</v>
      </c>
      <c r="R448" s="8">
        <f ca="1">(IF(Table1[[#This Row],[Status]]="Exited",Table1[[#This Row],[Exit Date]]-Table1[[#This Row],[Join Date]],TODAY()-Table1[[#This Row],[Join Date]]))/30</f>
        <v>58.633333333333333</v>
      </c>
      <c r="S448">
        <f ca="1">Table1[[#This Row],[Hire Date]]-Table1[[#This Row],[Job Posting Date]]</f>
        <v>30</v>
      </c>
      <c r="T448" s="7">
        <f ca="1">Table1[[#This Row],[Time to onboard]]/Table1[[#This Row],[Time to Fill]]*100</f>
        <v>6.666666666666667</v>
      </c>
      <c r="U448" s="8">
        <f ca="1">Table1[[#This Row],[Time to onboard]]/Table1[[#This Row],[Time to Fill]]*100</f>
        <v>6.666666666666667</v>
      </c>
      <c r="V448">
        <f ca="1">Table1[[#This Row],[Join Date]]-Table1[[#This Row],[Job Posting Date]]</f>
        <v>32</v>
      </c>
      <c r="W448">
        <f t="shared" ca="1" si="59"/>
        <v>191</v>
      </c>
      <c r="X448" s="8">
        <f ca="1">Table1[[#This Row],[Absentee Days]]/Table1[[#This Row],[Total Work Days]]*100</f>
        <v>6.5384615384615392</v>
      </c>
      <c r="Y448">
        <f ca="1">YEAR(Table1[[#This Row],[Join Date]])</f>
        <v>2020</v>
      </c>
      <c r="Z448">
        <f ca="1">IF(Table1[[#This Row],[Status]]="Active",1,0)</f>
        <v>1</v>
      </c>
      <c r="AA448">
        <f ca="1">IF(Table1[[#This Row],[Status]]="Exited",Table1[[#This Row],[Recruitment Cost]]+Table1[[#This Row],[Onboarding cost]]+Table1[[#This Row],[Training Cost]],0)</f>
        <v>0</v>
      </c>
    </row>
    <row r="449" spans="1:27">
      <c r="A449" t="str">
        <f t="shared" si="55"/>
        <v>E448</v>
      </c>
      <c r="B449" t="str" cm="1">
        <f t="array" aca="1" ref="B449" ca="1">INDEX(sheet2!$A$2:$A$6, RANDBETWEEN(1, 5))</f>
        <v>HR</v>
      </c>
      <c r="C449" t="str">
        <f ca="1">_xlfn.XLOOKUP(Table1[[#This Row],[Department]],sheet2!$A$2:$A$6,sheet2!$B$2:$B$6,_xleta.NA,0)</f>
        <v>HR Manager</v>
      </c>
      <c r="D449" s="1">
        <f t="shared" ca="1" si="60"/>
        <v>44262</v>
      </c>
      <c r="E449" s="1">
        <f ca="1">Table1[[#This Row],[Job Posting Date]]+ RANDBETWEEN(15, 90)</f>
        <v>44286</v>
      </c>
      <c r="F449" s="1">
        <f ca="1">Table1[[#This Row],[Hire Date]]+ RANDBETWEEN(1, 15)</f>
        <v>44287</v>
      </c>
      <c r="G449" s="1">
        <f ca="1">IF(RAND() &lt; 0.5,  Table1[[#This Row],[Join Date]]+ RANDBETWEEN(30, TODAY()- Table1[[#This Row],[Join Date]]), "-")</f>
        <v>44642</v>
      </c>
      <c r="H449" t="str">
        <f ca="1">IF(Table1[[#This Row],[Exit Date]]= "-", "Active", "Exited")</f>
        <v>Exited</v>
      </c>
      <c r="I449" s="5">
        <f t="shared" ca="1" si="61"/>
        <v>3394</v>
      </c>
      <c r="J449" t="str" cm="1">
        <f t="array" aca="1" ref="J449" ca="1">INDEX(sheet2!$C$2:$C$6, RANDBETWEEN(1, 5))</f>
        <v>Conflict Resolution</v>
      </c>
      <c r="K449" t="str">
        <f t="shared" ca="1" si="62"/>
        <v>Completed</v>
      </c>
      <c r="L449">
        <v>260</v>
      </c>
      <c r="M449">
        <f t="shared" ca="1" si="56"/>
        <v>13</v>
      </c>
      <c r="N449" t="str">
        <f t="shared" ca="1" si="57"/>
        <v>Female</v>
      </c>
      <c r="O449" s="6">
        <f t="shared" ca="1" si="58"/>
        <v>2117</v>
      </c>
      <c r="P449">
        <f ca="1">Table1[[#This Row],[Hire Date]]-Table1[[#This Row],[Job Posting Date]]</f>
        <v>24</v>
      </c>
      <c r="Q449" s="7">
        <f ca="1">Table1[[#This Row],[Join Date]]-Table1[[#This Row],[Hire Date]]</f>
        <v>1</v>
      </c>
      <c r="R449" s="8">
        <f ca="1">(IF(Table1[[#This Row],[Status]]="Exited",Table1[[#This Row],[Exit Date]]-Table1[[#This Row],[Join Date]],TODAY()-Table1[[#This Row],[Join Date]]))/30</f>
        <v>11.833333333333334</v>
      </c>
      <c r="S449">
        <f ca="1">Table1[[#This Row],[Hire Date]]-Table1[[#This Row],[Job Posting Date]]</f>
        <v>24</v>
      </c>
      <c r="T449" s="7">
        <f ca="1">Table1[[#This Row],[Time to onboard]]/Table1[[#This Row],[Time to Fill]]*100</f>
        <v>4.1666666666666661</v>
      </c>
      <c r="U449" s="8">
        <f ca="1">Table1[[#This Row],[Time to onboard]]/Table1[[#This Row],[Time to Fill]]*100</f>
        <v>4.1666666666666661</v>
      </c>
      <c r="V449">
        <f ca="1">Table1[[#This Row],[Join Date]]-Table1[[#This Row],[Job Posting Date]]</f>
        <v>25</v>
      </c>
      <c r="W449">
        <f t="shared" ca="1" si="59"/>
        <v>190</v>
      </c>
      <c r="X449" s="8">
        <f ca="1">Table1[[#This Row],[Absentee Days]]/Table1[[#This Row],[Total Work Days]]*100</f>
        <v>5</v>
      </c>
      <c r="Y449">
        <f ca="1">YEAR(Table1[[#This Row],[Join Date]])</f>
        <v>2021</v>
      </c>
      <c r="Z449">
        <f ca="1">IF(Table1[[#This Row],[Status]]="Active",1,0)</f>
        <v>0</v>
      </c>
      <c r="AA449">
        <f ca="1">IF(Table1[[#This Row],[Status]]="Exited",Table1[[#This Row],[Recruitment Cost]]+Table1[[#This Row],[Onboarding cost]]+Table1[[#This Row],[Training Cost]],0)</f>
        <v>5701</v>
      </c>
    </row>
    <row r="450" spans="1:27">
      <c r="A450" t="str">
        <f t="shared" ref="A450:A501" si="63">"E" &amp; TEXT(ROW(A449), "000")</f>
        <v>E449</v>
      </c>
      <c r="B450" t="str" cm="1">
        <f t="array" aca="1" ref="B450" ca="1">INDEX(sheet2!$A$2:$A$6, RANDBETWEEN(1, 5))</f>
        <v>Sales</v>
      </c>
      <c r="C450" t="str">
        <f ca="1">_xlfn.XLOOKUP(Table1[[#This Row],[Department]],sheet2!$A$2:$A$6,sheet2!$B$2:$B$6,_xleta.NA,0)</f>
        <v>Marketing Manager</v>
      </c>
      <c r="D450" s="1">
        <f t="shared" ca="1" si="60"/>
        <v>44616</v>
      </c>
      <c r="E450" s="1">
        <f ca="1">Table1[[#This Row],[Job Posting Date]]+ RANDBETWEEN(15, 90)</f>
        <v>44641</v>
      </c>
      <c r="F450" s="1">
        <f ca="1">Table1[[#This Row],[Hire Date]]+ RANDBETWEEN(1, 15)</f>
        <v>44654</v>
      </c>
      <c r="G450" s="1">
        <f ca="1">IF(RAND() &lt; 0.5,  Table1[[#This Row],[Join Date]]+ RANDBETWEEN(30, TODAY()- Table1[[#This Row],[Join Date]]), "-")</f>
        <v>45572</v>
      </c>
      <c r="H450" t="str">
        <f ca="1">IF(Table1[[#This Row],[Exit Date]]= "-", "Active", "Exited")</f>
        <v>Exited</v>
      </c>
      <c r="I450" s="5">
        <f t="shared" ca="1" si="61"/>
        <v>2818</v>
      </c>
      <c r="J450" t="str" cm="1">
        <f t="array" aca="1" ref="J450" ca="1">INDEX(sheet2!$C$2:$C$6, RANDBETWEEN(1, 5))</f>
        <v>Advanced Excel Skills </v>
      </c>
      <c r="K450" t="str">
        <f t="shared" ca="1" si="62"/>
        <v>Not Completed</v>
      </c>
      <c r="L450">
        <v>260</v>
      </c>
      <c r="M450">
        <f t="shared" ref="M450:M501" ca="1" si="64">RANDBETWEEN(0, 20)</f>
        <v>7</v>
      </c>
      <c r="N450" t="str">
        <f t="shared" ref="N450:N501" ca="1" si="65">CHOOSE(RANDBETWEEN(1, 3), "Male", "Female", "Other")</f>
        <v>Male</v>
      </c>
      <c r="O450" s="6">
        <f t="shared" ref="O450:O501" ca="1" si="66">RANDBETWEEN(1200, 2500)</f>
        <v>1879</v>
      </c>
      <c r="P450">
        <f ca="1">Table1[[#This Row],[Hire Date]]-Table1[[#This Row],[Job Posting Date]]</f>
        <v>25</v>
      </c>
      <c r="Q450" s="7">
        <f ca="1">Table1[[#This Row],[Join Date]]-Table1[[#This Row],[Hire Date]]</f>
        <v>13</v>
      </c>
      <c r="R450" s="8">
        <f ca="1">(IF(Table1[[#This Row],[Status]]="Exited",Table1[[#This Row],[Exit Date]]-Table1[[#This Row],[Join Date]],TODAY()-Table1[[#This Row],[Join Date]]))/30</f>
        <v>30.6</v>
      </c>
      <c r="S450">
        <f ca="1">Table1[[#This Row],[Hire Date]]-Table1[[#This Row],[Job Posting Date]]</f>
        <v>25</v>
      </c>
      <c r="T450" s="7">
        <f ca="1">Table1[[#This Row],[Time to onboard]]/Table1[[#This Row],[Time to Fill]]*100</f>
        <v>52</v>
      </c>
      <c r="U450" s="8">
        <f ca="1">Table1[[#This Row],[Time to onboard]]/Table1[[#This Row],[Time to Fill]]*100</f>
        <v>52</v>
      </c>
      <c r="V450">
        <f ca="1">Table1[[#This Row],[Join Date]]-Table1[[#This Row],[Job Posting Date]]</f>
        <v>38</v>
      </c>
      <c r="W450">
        <f t="shared" ref="W450:W501" ca="1" si="67">RANDBETWEEN(100,200)</f>
        <v>187</v>
      </c>
      <c r="X450" s="8">
        <f ca="1">Table1[[#This Row],[Absentee Days]]/Table1[[#This Row],[Total Work Days]]*100</f>
        <v>2.6923076923076925</v>
      </c>
      <c r="Y450">
        <f ca="1">YEAR(Table1[[#This Row],[Join Date]])</f>
        <v>2022</v>
      </c>
      <c r="Z450">
        <f ca="1">IF(Table1[[#This Row],[Status]]="Active",1,0)</f>
        <v>0</v>
      </c>
      <c r="AA450">
        <f ca="1">IF(Table1[[#This Row],[Status]]="Exited",Table1[[#This Row],[Recruitment Cost]]+Table1[[#This Row],[Onboarding cost]]+Table1[[#This Row],[Training Cost]],0)</f>
        <v>4884</v>
      </c>
    </row>
    <row r="451" spans="1:27">
      <c r="A451" t="str">
        <f t="shared" si="63"/>
        <v>E450</v>
      </c>
      <c r="B451" t="str" cm="1">
        <f t="array" aca="1" ref="B451" ca="1">INDEX(sheet2!$A$2:$A$6, RANDBETWEEN(1, 5))</f>
        <v>Analytics</v>
      </c>
      <c r="C451" t="str">
        <f ca="1">_xlfn.XLOOKUP(Table1[[#This Row],[Department]],sheet2!$A$2:$A$6,sheet2!$B$2:$B$6,_xleta.NA,0)</f>
        <v>Data Analyst</v>
      </c>
      <c r="D451" s="1">
        <f t="shared" ca="1" si="60"/>
        <v>43917</v>
      </c>
      <c r="E451" s="1">
        <f ca="1">Table1[[#This Row],[Job Posting Date]]+ RANDBETWEEN(15, 90)</f>
        <v>43988</v>
      </c>
      <c r="F451" s="1">
        <f ca="1">Table1[[#This Row],[Hire Date]]+ RANDBETWEEN(1, 15)</f>
        <v>43990</v>
      </c>
      <c r="G451" s="1" t="str">
        <f ca="1">IF(RAND() &lt; 0.5,  Table1[[#This Row],[Join Date]]+ RANDBETWEEN(30, TODAY()- Table1[[#This Row],[Join Date]]), "-")</f>
        <v>-</v>
      </c>
      <c r="H451" t="str">
        <f ca="1">IF(Table1[[#This Row],[Exit Date]]= "-", "Active", "Exited")</f>
        <v>Active</v>
      </c>
      <c r="I451" s="5">
        <f t="shared" ca="1" si="61"/>
        <v>4574</v>
      </c>
      <c r="J451" t="str" cm="1">
        <f t="array" aca="1" ref="J451" ca="1">INDEX(sheet2!$C$2:$C$6, RANDBETWEEN(1, 5))</f>
        <v>Advanced Excel Skills </v>
      </c>
      <c r="K451" t="str">
        <f t="shared" ca="1" si="62"/>
        <v>Completed</v>
      </c>
      <c r="L451">
        <v>260</v>
      </c>
      <c r="M451">
        <f t="shared" ca="1" si="64"/>
        <v>8</v>
      </c>
      <c r="N451" t="str">
        <f t="shared" ca="1" si="65"/>
        <v>Other</v>
      </c>
      <c r="O451" s="6">
        <f t="shared" ca="1" si="66"/>
        <v>1794</v>
      </c>
      <c r="P451">
        <f ca="1">Table1[[#This Row],[Hire Date]]-Table1[[#This Row],[Job Posting Date]]</f>
        <v>71</v>
      </c>
      <c r="Q451" s="7">
        <f ca="1">Table1[[#This Row],[Join Date]]-Table1[[#This Row],[Hire Date]]</f>
        <v>2</v>
      </c>
      <c r="R451" s="8">
        <f ca="1">(IF(Table1[[#This Row],[Status]]="Exited",Table1[[#This Row],[Exit Date]]-Table1[[#This Row],[Join Date]],TODAY()-Table1[[#This Row],[Join Date]]))/30</f>
        <v>55.766666666666666</v>
      </c>
      <c r="S451">
        <f ca="1">Table1[[#This Row],[Hire Date]]-Table1[[#This Row],[Job Posting Date]]</f>
        <v>71</v>
      </c>
      <c r="T451" s="7">
        <f ca="1">Table1[[#This Row],[Time to onboard]]/Table1[[#This Row],[Time to Fill]]*100</f>
        <v>2.8169014084507045</v>
      </c>
      <c r="U451" s="8">
        <f ca="1">Table1[[#This Row],[Time to onboard]]/Table1[[#This Row],[Time to Fill]]*100</f>
        <v>2.8169014084507045</v>
      </c>
      <c r="V451">
        <f ca="1">Table1[[#This Row],[Join Date]]-Table1[[#This Row],[Job Posting Date]]</f>
        <v>73</v>
      </c>
      <c r="W451">
        <f t="shared" ca="1" si="67"/>
        <v>143</v>
      </c>
      <c r="X451" s="8">
        <f ca="1">Table1[[#This Row],[Absentee Days]]/Table1[[#This Row],[Total Work Days]]*100</f>
        <v>3.0769230769230771</v>
      </c>
      <c r="Y451">
        <f ca="1">YEAR(Table1[[#This Row],[Join Date]])</f>
        <v>2020</v>
      </c>
      <c r="Z451">
        <f ca="1">IF(Table1[[#This Row],[Status]]="Active",1,0)</f>
        <v>1</v>
      </c>
      <c r="AA451">
        <f ca="1">IF(Table1[[#This Row],[Status]]="Exited",Table1[[#This Row],[Recruitment Cost]]+Table1[[#This Row],[Onboarding cost]]+Table1[[#This Row],[Training Cost]],0)</f>
        <v>0</v>
      </c>
    </row>
    <row r="452" spans="1:27">
      <c r="A452" t="str">
        <f t="shared" si="63"/>
        <v>E451</v>
      </c>
      <c r="B452" t="str" cm="1">
        <f t="array" aca="1" ref="B452" ca="1">INDEX(sheet2!$A$2:$A$6, RANDBETWEEN(1, 5))</f>
        <v>Analytics</v>
      </c>
      <c r="C452" t="str">
        <f ca="1">_xlfn.XLOOKUP(Table1[[#This Row],[Department]],sheet2!$A$2:$A$6,sheet2!$B$2:$B$6,_xleta.NA,0)</f>
        <v>Data Analyst</v>
      </c>
      <c r="D452" s="1">
        <f t="shared" ca="1" si="60"/>
        <v>43893</v>
      </c>
      <c r="E452" s="1">
        <f ca="1">Table1[[#This Row],[Job Posting Date]]+ RANDBETWEEN(15, 90)</f>
        <v>43983</v>
      </c>
      <c r="F452" s="1">
        <f ca="1">Table1[[#This Row],[Hire Date]]+ RANDBETWEEN(1, 15)</f>
        <v>43989</v>
      </c>
      <c r="G452" s="1">
        <f ca="1">IF(RAND() &lt; 0.5,  Table1[[#This Row],[Join Date]]+ RANDBETWEEN(30, TODAY()- Table1[[#This Row],[Join Date]]), "-")</f>
        <v>45104</v>
      </c>
      <c r="H452" t="str">
        <f ca="1">IF(Table1[[#This Row],[Exit Date]]= "-", "Active", "Exited")</f>
        <v>Exited</v>
      </c>
      <c r="I452" s="5">
        <f t="shared" ca="1" si="61"/>
        <v>4901</v>
      </c>
      <c r="J452" t="str" cm="1">
        <f t="array" aca="1" ref="J452" ca="1">INDEX(sheet2!$C$2:$C$6, RANDBETWEEN(1, 5))</f>
        <v>Leadership Development</v>
      </c>
      <c r="K452" t="str">
        <f t="shared" ca="1" si="62"/>
        <v>Completed</v>
      </c>
      <c r="L452">
        <v>260</v>
      </c>
      <c r="M452">
        <f t="shared" ca="1" si="64"/>
        <v>4</v>
      </c>
      <c r="N452" t="str">
        <f t="shared" ca="1" si="65"/>
        <v>Male</v>
      </c>
      <c r="O452" s="6">
        <f t="shared" ca="1" si="66"/>
        <v>2341</v>
      </c>
      <c r="P452">
        <f ca="1">Table1[[#This Row],[Hire Date]]-Table1[[#This Row],[Job Posting Date]]</f>
        <v>90</v>
      </c>
      <c r="Q452" s="7">
        <f ca="1">Table1[[#This Row],[Join Date]]-Table1[[#This Row],[Hire Date]]</f>
        <v>6</v>
      </c>
      <c r="R452" s="8">
        <f ca="1">(IF(Table1[[#This Row],[Status]]="Exited",Table1[[#This Row],[Exit Date]]-Table1[[#This Row],[Join Date]],TODAY()-Table1[[#This Row],[Join Date]]))/30</f>
        <v>37.166666666666664</v>
      </c>
      <c r="S452">
        <f ca="1">Table1[[#This Row],[Hire Date]]-Table1[[#This Row],[Job Posting Date]]</f>
        <v>90</v>
      </c>
      <c r="T452" s="7">
        <f ca="1">Table1[[#This Row],[Time to onboard]]/Table1[[#This Row],[Time to Fill]]*100</f>
        <v>6.666666666666667</v>
      </c>
      <c r="U452" s="8">
        <f ca="1">Table1[[#This Row],[Time to onboard]]/Table1[[#This Row],[Time to Fill]]*100</f>
        <v>6.666666666666667</v>
      </c>
      <c r="V452">
        <f ca="1">Table1[[#This Row],[Join Date]]-Table1[[#This Row],[Job Posting Date]]</f>
        <v>96</v>
      </c>
      <c r="W452">
        <f t="shared" ca="1" si="67"/>
        <v>156</v>
      </c>
      <c r="X452" s="8">
        <f ca="1">Table1[[#This Row],[Absentee Days]]/Table1[[#This Row],[Total Work Days]]*100</f>
        <v>1.5384615384615385</v>
      </c>
      <c r="Y452">
        <f ca="1">YEAR(Table1[[#This Row],[Join Date]])</f>
        <v>2020</v>
      </c>
      <c r="Z452">
        <f ca="1">IF(Table1[[#This Row],[Status]]="Active",1,0)</f>
        <v>0</v>
      </c>
      <c r="AA452">
        <f ca="1">IF(Table1[[#This Row],[Status]]="Exited",Table1[[#This Row],[Recruitment Cost]]+Table1[[#This Row],[Onboarding cost]]+Table1[[#This Row],[Training Cost]],0)</f>
        <v>7398</v>
      </c>
    </row>
    <row r="453" spans="1:27">
      <c r="A453" t="str">
        <f t="shared" si="63"/>
        <v>E452</v>
      </c>
      <c r="B453" t="str" cm="1">
        <f t="array" aca="1" ref="B453" ca="1">INDEX(sheet2!$A$2:$A$6, RANDBETWEEN(1, 5))</f>
        <v>IT</v>
      </c>
      <c r="C453" t="str">
        <f ca="1">_xlfn.XLOOKUP(Table1[[#This Row],[Department]],sheet2!$A$2:$A$6,sheet2!$B$2:$B$6,_xleta.NA,0)</f>
        <v>Software Engineer</v>
      </c>
      <c r="D453" s="1">
        <f t="shared" ca="1" si="60"/>
        <v>44311</v>
      </c>
      <c r="E453" s="1">
        <f ca="1">Table1[[#This Row],[Job Posting Date]]+ RANDBETWEEN(15, 90)</f>
        <v>44344</v>
      </c>
      <c r="F453" s="1">
        <f ca="1">Table1[[#This Row],[Hire Date]]+ RANDBETWEEN(1, 15)</f>
        <v>44353</v>
      </c>
      <c r="G453" s="1">
        <f ca="1">IF(RAND() &lt; 0.5,  Table1[[#This Row],[Join Date]]+ RANDBETWEEN(30, TODAY()- Table1[[#This Row],[Join Date]]), "-")</f>
        <v>44562</v>
      </c>
      <c r="H453" t="str">
        <f ca="1">IF(Table1[[#This Row],[Exit Date]]= "-", "Active", "Exited")</f>
        <v>Exited</v>
      </c>
      <c r="I453" s="5">
        <f t="shared" ca="1" si="61"/>
        <v>2152</v>
      </c>
      <c r="J453" t="str" cm="1">
        <f t="array" aca="1" ref="J453" ca="1">INDEX(sheet2!$C$2:$C$6, RANDBETWEEN(1, 5))</f>
        <v>Leadership Development</v>
      </c>
      <c r="K453" t="str">
        <f t="shared" ca="1" si="62"/>
        <v>Completed</v>
      </c>
      <c r="L453">
        <v>260</v>
      </c>
      <c r="M453">
        <f t="shared" ca="1" si="64"/>
        <v>8</v>
      </c>
      <c r="N453" t="str">
        <f t="shared" ca="1" si="65"/>
        <v>Female</v>
      </c>
      <c r="O453" s="6">
        <f t="shared" ca="1" si="66"/>
        <v>1500</v>
      </c>
      <c r="P453">
        <f ca="1">Table1[[#This Row],[Hire Date]]-Table1[[#This Row],[Job Posting Date]]</f>
        <v>33</v>
      </c>
      <c r="Q453" s="7">
        <f ca="1">Table1[[#This Row],[Join Date]]-Table1[[#This Row],[Hire Date]]</f>
        <v>9</v>
      </c>
      <c r="R453" s="8">
        <f ca="1">(IF(Table1[[#This Row],[Status]]="Exited",Table1[[#This Row],[Exit Date]]-Table1[[#This Row],[Join Date]],TODAY()-Table1[[#This Row],[Join Date]]))/30</f>
        <v>6.9666666666666668</v>
      </c>
      <c r="S453">
        <f ca="1">Table1[[#This Row],[Hire Date]]-Table1[[#This Row],[Job Posting Date]]</f>
        <v>33</v>
      </c>
      <c r="T453" s="7">
        <f ca="1">Table1[[#This Row],[Time to onboard]]/Table1[[#This Row],[Time to Fill]]*100</f>
        <v>27.27272727272727</v>
      </c>
      <c r="U453" s="8">
        <f ca="1">Table1[[#This Row],[Time to onboard]]/Table1[[#This Row],[Time to Fill]]*100</f>
        <v>27.27272727272727</v>
      </c>
      <c r="V453">
        <f ca="1">Table1[[#This Row],[Join Date]]-Table1[[#This Row],[Job Posting Date]]</f>
        <v>42</v>
      </c>
      <c r="W453">
        <f t="shared" ca="1" si="67"/>
        <v>141</v>
      </c>
      <c r="X453" s="8">
        <f ca="1">Table1[[#This Row],[Absentee Days]]/Table1[[#This Row],[Total Work Days]]*100</f>
        <v>3.0769230769230771</v>
      </c>
      <c r="Y453">
        <f ca="1">YEAR(Table1[[#This Row],[Join Date]])</f>
        <v>2021</v>
      </c>
      <c r="Z453">
        <f ca="1">IF(Table1[[#This Row],[Status]]="Active",1,0)</f>
        <v>0</v>
      </c>
      <c r="AA453">
        <f ca="1">IF(Table1[[#This Row],[Status]]="Exited",Table1[[#This Row],[Recruitment Cost]]+Table1[[#This Row],[Onboarding cost]]+Table1[[#This Row],[Training Cost]],0)</f>
        <v>3793</v>
      </c>
    </row>
    <row r="454" spans="1:27">
      <c r="A454" t="str">
        <f t="shared" si="63"/>
        <v>E453</v>
      </c>
      <c r="B454" t="str" cm="1">
        <f t="array" aca="1" ref="B454" ca="1">INDEX(sheet2!$A$2:$A$6, RANDBETWEEN(1, 5))</f>
        <v>HR</v>
      </c>
      <c r="C454" t="str">
        <f ca="1">_xlfn.XLOOKUP(Table1[[#This Row],[Department]],sheet2!$A$2:$A$6,sheet2!$B$2:$B$6,_xleta.NA,0)</f>
        <v>HR Manager</v>
      </c>
      <c r="D454" s="1">
        <f t="shared" ca="1" si="60"/>
        <v>44550</v>
      </c>
      <c r="E454" s="1">
        <f ca="1">Table1[[#This Row],[Job Posting Date]]+ RANDBETWEEN(15, 90)</f>
        <v>44575</v>
      </c>
      <c r="F454" s="1">
        <f ca="1">Table1[[#This Row],[Hire Date]]+ RANDBETWEEN(1, 15)</f>
        <v>44582</v>
      </c>
      <c r="G454" s="1" t="str">
        <f ca="1">IF(RAND() &lt; 0.5,  Table1[[#This Row],[Join Date]]+ RANDBETWEEN(30, TODAY()- Table1[[#This Row],[Join Date]]), "-")</f>
        <v>-</v>
      </c>
      <c r="H454" t="str">
        <f ca="1">IF(Table1[[#This Row],[Exit Date]]= "-", "Active", "Exited")</f>
        <v>Active</v>
      </c>
      <c r="I454" s="5">
        <f t="shared" ca="1" si="61"/>
        <v>2316</v>
      </c>
      <c r="J454" t="str" cm="1">
        <f t="array" aca="1" ref="J454" ca="1">INDEX(sheet2!$C$2:$C$6, RANDBETWEEN(1, 5))</f>
        <v>Ethics and Responsibilities</v>
      </c>
      <c r="K454" t="str">
        <f t="shared" ca="1" si="62"/>
        <v>Completed</v>
      </c>
      <c r="L454">
        <v>260</v>
      </c>
      <c r="M454">
        <f t="shared" ca="1" si="64"/>
        <v>19</v>
      </c>
      <c r="N454" t="str">
        <f t="shared" ca="1" si="65"/>
        <v>Female</v>
      </c>
      <c r="O454" s="6">
        <f t="shared" ca="1" si="66"/>
        <v>1208</v>
      </c>
      <c r="P454">
        <f ca="1">Table1[[#This Row],[Hire Date]]-Table1[[#This Row],[Job Posting Date]]</f>
        <v>25</v>
      </c>
      <c r="Q454" s="7">
        <f ca="1">Table1[[#This Row],[Join Date]]-Table1[[#This Row],[Hire Date]]</f>
        <v>7</v>
      </c>
      <c r="R454" s="8">
        <f ca="1">(IF(Table1[[#This Row],[Status]]="Exited",Table1[[#This Row],[Exit Date]]-Table1[[#This Row],[Join Date]],TODAY()-Table1[[#This Row],[Join Date]]))/30</f>
        <v>36.033333333333331</v>
      </c>
      <c r="S454">
        <f ca="1">Table1[[#This Row],[Hire Date]]-Table1[[#This Row],[Job Posting Date]]</f>
        <v>25</v>
      </c>
      <c r="T454" s="7">
        <f ca="1">Table1[[#This Row],[Time to onboard]]/Table1[[#This Row],[Time to Fill]]*100</f>
        <v>28.000000000000004</v>
      </c>
      <c r="U454" s="8">
        <f ca="1">Table1[[#This Row],[Time to onboard]]/Table1[[#This Row],[Time to Fill]]*100</f>
        <v>28.000000000000004</v>
      </c>
      <c r="V454">
        <f ca="1">Table1[[#This Row],[Join Date]]-Table1[[#This Row],[Job Posting Date]]</f>
        <v>32</v>
      </c>
      <c r="W454">
        <f t="shared" ca="1" si="67"/>
        <v>174</v>
      </c>
      <c r="X454" s="8">
        <f ca="1">Table1[[#This Row],[Absentee Days]]/Table1[[#This Row],[Total Work Days]]*100</f>
        <v>7.3076923076923084</v>
      </c>
      <c r="Y454">
        <f ca="1">YEAR(Table1[[#This Row],[Join Date]])</f>
        <v>2022</v>
      </c>
      <c r="Z454">
        <f ca="1">IF(Table1[[#This Row],[Status]]="Active",1,0)</f>
        <v>1</v>
      </c>
      <c r="AA454">
        <f ca="1">IF(Table1[[#This Row],[Status]]="Exited",Table1[[#This Row],[Recruitment Cost]]+Table1[[#This Row],[Onboarding cost]]+Table1[[#This Row],[Training Cost]],0)</f>
        <v>0</v>
      </c>
    </row>
    <row r="455" spans="1:27">
      <c r="A455" t="str">
        <f t="shared" si="63"/>
        <v>E454</v>
      </c>
      <c r="B455" t="str" cm="1">
        <f t="array" aca="1" ref="B455" ca="1">INDEX(sheet2!$A$2:$A$6, RANDBETWEEN(1, 5))</f>
        <v>Sales</v>
      </c>
      <c r="C455" t="str">
        <f ca="1">_xlfn.XLOOKUP(Table1[[#This Row],[Department]],sheet2!$A$2:$A$6,sheet2!$B$2:$B$6,_xleta.NA,0)</f>
        <v>Marketing Manager</v>
      </c>
      <c r="D455" s="1">
        <f t="shared" ca="1" si="60"/>
        <v>44258</v>
      </c>
      <c r="E455" s="1">
        <f ca="1">Table1[[#This Row],[Job Posting Date]]+ RANDBETWEEN(15, 90)</f>
        <v>44297</v>
      </c>
      <c r="F455" s="1">
        <f ca="1">Table1[[#This Row],[Hire Date]]+ RANDBETWEEN(1, 15)</f>
        <v>44301</v>
      </c>
      <c r="G455" s="1" t="str">
        <f ca="1">IF(RAND() &lt; 0.5,  Table1[[#This Row],[Join Date]]+ RANDBETWEEN(30, TODAY()- Table1[[#This Row],[Join Date]]), "-")</f>
        <v>-</v>
      </c>
      <c r="H455" t="str">
        <f ca="1">IF(Table1[[#This Row],[Exit Date]]= "-", "Active", "Exited")</f>
        <v>Active</v>
      </c>
      <c r="I455" s="5">
        <f t="shared" ca="1" si="61"/>
        <v>2013</v>
      </c>
      <c r="J455" t="str" cm="1">
        <f t="array" aca="1" ref="J455" ca="1">INDEX(sheet2!$C$2:$C$6, RANDBETWEEN(1, 5))</f>
        <v>Leadership Development</v>
      </c>
      <c r="K455" t="str">
        <f t="shared" ca="1" si="62"/>
        <v>Not Completed</v>
      </c>
      <c r="L455">
        <v>260</v>
      </c>
      <c r="M455">
        <f t="shared" ca="1" si="64"/>
        <v>20</v>
      </c>
      <c r="N455" t="str">
        <f t="shared" ca="1" si="65"/>
        <v>Female</v>
      </c>
      <c r="O455" s="6">
        <f t="shared" ca="1" si="66"/>
        <v>2346</v>
      </c>
      <c r="P455">
        <f ca="1">Table1[[#This Row],[Hire Date]]-Table1[[#This Row],[Job Posting Date]]</f>
        <v>39</v>
      </c>
      <c r="Q455" s="7">
        <f ca="1">Table1[[#This Row],[Join Date]]-Table1[[#This Row],[Hire Date]]</f>
        <v>4</v>
      </c>
      <c r="R455" s="8">
        <f ca="1">(IF(Table1[[#This Row],[Status]]="Exited",Table1[[#This Row],[Exit Date]]-Table1[[#This Row],[Join Date]],TODAY()-Table1[[#This Row],[Join Date]]))/30</f>
        <v>45.4</v>
      </c>
      <c r="S455">
        <f ca="1">Table1[[#This Row],[Hire Date]]-Table1[[#This Row],[Job Posting Date]]</f>
        <v>39</v>
      </c>
      <c r="T455" s="7">
        <f ca="1">Table1[[#This Row],[Time to onboard]]/Table1[[#This Row],[Time to Fill]]*100</f>
        <v>10.256410256410255</v>
      </c>
      <c r="U455" s="8">
        <f ca="1">Table1[[#This Row],[Time to onboard]]/Table1[[#This Row],[Time to Fill]]*100</f>
        <v>10.256410256410255</v>
      </c>
      <c r="V455">
        <f ca="1">Table1[[#This Row],[Join Date]]-Table1[[#This Row],[Job Posting Date]]</f>
        <v>43</v>
      </c>
      <c r="W455">
        <f t="shared" ca="1" si="67"/>
        <v>158</v>
      </c>
      <c r="X455" s="8">
        <f ca="1">Table1[[#This Row],[Absentee Days]]/Table1[[#This Row],[Total Work Days]]*100</f>
        <v>7.6923076923076925</v>
      </c>
      <c r="Y455">
        <f ca="1">YEAR(Table1[[#This Row],[Join Date]])</f>
        <v>2021</v>
      </c>
      <c r="Z455">
        <f ca="1">IF(Table1[[#This Row],[Status]]="Active",1,0)</f>
        <v>1</v>
      </c>
      <c r="AA455">
        <f ca="1">IF(Table1[[#This Row],[Status]]="Exited",Table1[[#This Row],[Recruitment Cost]]+Table1[[#This Row],[Onboarding cost]]+Table1[[#This Row],[Training Cost]],0)</f>
        <v>0</v>
      </c>
    </row>
    <row r="456" spans="1:27">
      <c r="A456" t="str">
        <f t="shared" si="63"/>
        <v>E455</v>
      </c>
      <c r="B456" t="str" cm="1">
        <f t="array" aca="1" ref="B456" ca="1">INDEX(sheet2!$A$2:$A$6, RANDBETWEEN(1, 5))</f>
        <v>HR</v>
      </c>
      <c r="C456" t="str">
        <f ca="1">_xlfn.XLOOKUP(Table1[[#This Row],[Department]],sheet2!$A$2:$A$6,sheet2!$B$2:$B$6,_xleta.NA,0)</f>
        <v>HR Manager</v>
      </c>
      <c r="D456" s="1">
        <f t="shared" ca="1" si="60"/>
        <v>43691</v>
      </c>
      <c r="E456" s="1">
        <f ca="1">Table1[[#This Row],[Job Posting Date]]+ RANDBETWEEN(15, 90)</f>
        <v>43712</v>
      </c>
      <c r="F456" s="1">
        <f ca="1">Table1[[#This Row],[Hire Date]]+ RANDBETWEEN(1, 15)</f>
        <v>43725</v>
      </c>
      <c r="G456" s="1">
        <f ca="1">IF(RAND() &lt; 0.5,  Table1[[#This Row],[Join Date]]+ RANDBETWEEN(30, TODAY()- Table1[[#This Row],[Join Date]]), "-")</f>
        <v>44410</v>
      </c>
      <c r="H456" t="str">
        <f ca="1">IF(Table1[[#This Row],[Exit Date]]= "-", "Active", "Exited")</f>
        <v>Exited</v>
      </c>
      <c r="I456" s="5">
        <f t="shared" ca="1" si="61"/>
        <v>3237</v>
      </c>
      <c r="J456" t="str" cm="1">
        <f t="array" aca="1" ref="J456" ca="1">INDEX(sheet2!$C$2:$C$6, RANDBETWEEN(1, 5))</f>
        <v>Ethics and Responsibilities</v>
      </c>
      <c r="K456" t="str">
        <f t="shared" ca="1" si="62"/>
        <v>Completed</v>
      </c>
      <c r="L456">
        <v>260</v>
      </c>
      <c r="M456">
        <f t="shared" ca="1" si="64"/>
        <v>14</v>
      </c>
      <c r="N456" t="str">
        <f t="shared" ca="1" si="65"/>
        <v>Female</v>
      </c>
      <c r="O456" s="6">
        <f t="shared" ca="1" si="66"/>
        <v>1846</v>
      </c>
      <c r="P456">
        <f ca="1">Table1[[#This Row],[Hire Date]]-Table1[[#This Row],[Job Posting Date]]</f>
        <v>21</v>
      </c>
      <c r="Q456" s="7">
        <f ca="1">Table1[[#This Row],[Join Date]]-Table1[[#This Row],[Hire Date]]</f>
        <v>13</v>
      </c>
      <c r="R456" s="8">
        <f ca="1">(IF(Table1[[#This Row],[Status]]="Exited",Table1[[#This Row],[Exit Date]]-Table1[[#This Row],[Join Date]],TODAY()-Table1[[#This Row],[Join Date]]))/30</f>
        <v>22.833333333333332</v>
      </c>
      <c r="S456">
        <f ca="1">Table1[[#This Row],[Hire Date]]-Table1[[#This Row],[Job Posting Date]]</f>
        <v>21</v>
      </c>
      <c r="T456" s="7">
        <f ca="1">Table1[[#This Row],[Time to onboard]]/Table1[[#This Row],[Time to Fill]]*100</f>
        <v>61.904761904761905</v>
      </c>
      <c r="U456" s="8">
        <f ca="1">Table1[[#This Row],[Time to onboard]]/Table1[[#This Row],[Time to Fill]]*100</f>
        <v>61.904761904761905</v>
      </c>
      <c r="V456">
        <f ca="1">Table1[[#This Row],[Join Date]]-Table1[[#This Row],[Job Posting Date]]</f>
        <v>34</v>
      </c>
      <c r="W456">
        <f t="shared" ca="1" si="67"/>
        <v>139</v>
      </c>
      <c r="X456" s="8">
        <f ca="1">Table1[[#This Row],[Absentee Days]]/Table1[[#This Row],[Total Work Days]]*100</f>
        <v>5.384615384615385</v>
      </c>
      <c r="Y456">
        <f ca="1">YEAR(Table1[[#This Row],[Join Date]])</f>
        <v>2019</v>
      </c>
      <c r="Z456">
        <f ca="1">IF(Table1[[#This Row],[Status]]="Active",1,0)</f>
        <v>0</v>
      </c>
      <c r="AA456">
        <f ca="1">IF(Table1[[#This Row],[Status]]="Exited",Table1[[#This Row],[Recruitment Cost]]+Table1[[#This Row],[Onboarding cost]]+Table1[[#This Row],[Training Cost]],0)</f>
        <v>5222</v>
      </c>
    </row>
    <row r="457" spans="1:27">
      <c r="A457" t="str">
        <f t="shared" si="63"/>
        <v>E456</v>
      </c>
      <c r="B457" t="str" cm="1">
        <f t="array" aca="1" ref="B457" ca="1">INDEX(sheet2!$A$2:$A$6, RANDBETWEEN(1, 5))</f>
        <v>HR</v>
      </c>
      <c r="C457" t="str">
        <f ca="1">_xlfn.XLOOKUP(Table1[[#This Row],[Department]],sheet2!$A$2:$A$6,sheet2!$B$2:$B$6,_xleta.NA,0)</f>
        <v>HR Manager</v>
      </c>
      <c r="D457" s="1">
        <f t="shared" ca="1" si="60"/>
        <v>44673</v>
      </c>
      <c r="E457" s="1">
        <f ca="1">Table1[[#This Row],[Job Posting Date]]+ RANDBETWEEN(15, 90)</f>
        <v>44727</v>
      </c>
      <c r="F457" s="1">
        <f ca="1">Table1[[#This Row],[Hire Date]]+ RANDBETWEEN(1, 15)</f>
        <v>44737</v>
      </c>
      <c r="G457" s="1">
        <f ca="1">IF(RAND() &lt; 0.5,  Table1[[#This Row],[Join Date]]+ RANDBETWEEN(30, TODAY()- Table1[[#This Row],[Join Date]]), "-")</f>
        <v>45365</v>
      </c>
      <c r="H457" t="str">
        <f ca="1">IF(Table1[[#This Row],[Exit Date]]= "-", "Active", "Exited")</f>
        <v>Exited</v>
      </c>
      <c r="I457" s="5">
        <f t="shared" ca="1" si="61"/>
        <v>3993</v>
      </c>
      <c r="J457" t="str" cm="1">
        <f t="array" aca="1" ref="J457" ca="1">INDEX(sheet2!$C$2:$C$6, RANDBETWEEN(1, 5))</f>
        <v>Conflict Resolution</v>
      </c>
      <c r="K457" t="str">
        <f t="shared" ca="1" si="62"/>
        <v>Not Completed</v>
      </c>
      <c r="L457">
        <v>260</v>
      </c>
      <c r="M457">
        <f t="shared" ca="1" si="64"/>
        <v>8</v>
      </c>
      <c r="N457" t="str">
        <f t="shared" ca="1" si="65"/>
        <v>Female</v>
      </c>
      <c r="O457" s="6">
        <f t="shared" ca="1" si="66"/>
        <v>1601</v>
      </c>
      <c r="P457">
        <f ca="1">Table1[[#This Row],[Hire Date]]-Table1[[#This Row],[Job Posting Date]]</f>
        <v>54</v>
      </c>
      <c r="Q457" s="7">
        <f ca="1">Table1[[#This Row],[Join Date]]-Table1[[#This Row],[Hire Date]]</f>
        <v>10</v>
      </c>
      <c r="R457" s="8">
        <f ca="1">(IF(Table1[[#This Row],[Status]]="Exited",Table1[[#This Row],[Exit Date]]-Table1[[#This Row],[Join Date]],TODAY()-Table1[[#This Row],[Join Date]]))/30</f>
        <v>20.933333333333334</v>
      </c>
      <c r="S457">
        <f ca="1">Table1[[#This Row],[Hire Date]]-Table1[[#This Row],[Job Posting Date]]</f>
        <v>54</v>
      </c>
      <c r="T457" s="7">
        <f ca="1">Table1[[#This Row],[Time to onboard]]/Table1[[#This Row],[Time to Fill]]*100</f>
        <v>18.518518518518519</v>
      </c>
      <c r="U457" s="8">
        <f ca="1">Table1[[#This Row],[Time to onboard]]/Table1[[#This Row],[Time to Fill]]*100</f>
        <v>18.518518518518519</v>
      </c>
      <c r="V457">
        <f ca="1">Table1[[#This Row],[Join Date]]-Table1[[#This Row],[Job Posting Date]]</f>
        <v>64</v>
      </c>
      <c r="W457">
        <f t="shared" ca="1" si="67"/>
        <v>121</v>
      </c>
      <c r="X457" s="8">
        <f ca="1">Table1[[#This Row],[Absentee Days]]/Table1[[#This Row],[Total Work Days]]*100</f>
        <v>3.0769230769230771</v>
      </c>
      <c r="Y457">
        <f ca="1">YEAR(Table1[[#This Row],[Join Date]])</f>
        <v>2022</v>
      </c>
      <c r="Z457">
        <f ca="1">IF(Table1[[#This Row],[Status]]="Active",1,0)</f>
        <v>0</v>
      </c>
      <c r="AA457">
        <f ca="1">IF(Table1[[#This Row],[Status]]="Exited",Table1[[#This Row],[Recruitment Cost]]+Table1[[#This Row],[Onboarding cost]]+Table1[[#This Row],[Training Cost]],0)</f>
        <v>5715</v>
      </c>
    </row>
    <row r="458" spans="1:27">
      <c r="A458" t="str">
        <f t="shared" si="63"/>
        <v>E457</v>
      </c>
      <c r="B458" t="str" cm="1">
        <f t="array" aca="1" ref="B458" ca="1">INDEX(sheet2!$A$2:$A$6, RANDBETWEEN(1, 5))</f>
        <v>Analytics</v>
      </c>
      <c r="C458" t="str">
        <f ca="1">_xlfn.XLOOKUP(Table1[[#This Row],[Department]],sheet2!$A$2:$A$6,sheet2!$B$2:$B$6,_xleta.NA,0)</f>
        <v>Data Analyst</v>
      </c>
      <c r="D458" s="1">
        <f t="shared" ca="1" si="60"/>
        <v>44380</v>
      </c>
      <c r="E458" s="1">
        <f ca="1">Table1[[#This Row],[Job Posting Date]]+ RANDBETWEEN(15, 90)</f>
        <v>44460</v>
      </c>
      <c r="F458" s="1">
        <f ca="1">Table1[[#This Row],[Hire Date]]+ RANDBETWEEN(1, 15)</f>
        <v>44467</v>
      </c>
      <c r="G458" s="1" t="str">
        <f ca="1">IF(RAND() &lt; 0.5,  Table1[[#This Row],[Join Date]]+ RANDBETWEEN(30, TODAY()- Table1[[#This Row],[Join Date]]), "-")</f>
        <v>-</v>
      </c>
      <c r="H458" t="str">
        <f ca="1">IF(Table1[[#This Row],[Exit Date]]= "-", "Active", "Exited")</f>
        <v>Active</v>
      </c>
      <c r="I458" s="5">
        <f t="shared" ca="1" si="61"/>
        <v>4749</v>
      </c>
      <c r="J458" t="str" cm="1">
        <f t="array" aca="1" ref="J458" ca="1">INDEX(sheet2!$C$2:$C$6, RANDBETWEEN(1, 5))</f>
        <v>Communication Skills</v>
      </c>
      <c r="K458" t="str">
        <f t="shared" ca="1" si="62"/>
        <v>Completed</v>
      </c>
      <c r="L458">
        <v>260</v>
      </c>
      <c r="M458">
        <f t="shared" ca="1" si="64"/>
        <v>18</v>
      </c>
      <c r="N458" t="str">
        <f t="shared" ca="1" si="65"/>
        <v>Male</v>
      </c>
      <c r="O458" s="6">
        <f t="shared" ca="1" si="66"/>
        <v>1367</v>
      </c>
      <c r="P458">
        <f ca="1">Table1[[#This Row],[Hire Date]]-Table1[[#This Row],[Job Posting Date]]</f>
        <v>80</v>
      </c>
      <c r="Q458" s="7">
        <f ca="1">Table1[[#This Row],[Join Date]]-Table1[[#This Row],[Hire Date]]</f>
        <v>7</v>
      </c>
      <c r="R458" s="8">
        <f ca="1">(IF(Table1[[#This Row],[Status]]="Exited",Table1[[#This Row],[Exit Date]]-Table1[[#This Row],[Join Date]],TODAY()-Table1[[#This Row],[Join Date]]))/30</f>
        <v>39.866666666666667</v>
      </c>
      <c r="S458">
        <f ca="1">Table1[[#This Row],[Hire Date]]-Table1[[#This Row],[Job Posting Date]]</f>
        <v>80</v>
      </c>
      <c r="T458" s="7">
        <f ca="1">Table1[[#This Row],[Time to onboard]]/Table1[[#This Row],[Time to Fill]]*100</f>
        <v>8.75</v>
      </c>
      <c r="U458" s="8">
        <f ca="1">Table1[[#This Row],[Time to onboard]]/Table1[[#This Row],[Time to Fill]]*100</f>
        <v>8.75</v>
      </c>
      <c r="V458">
        <f ca="1">Table1[[#This Row],[Join Date]]-Table1[[#This Row],[Job Posting Date]]</f>
        <v>87</v>
      </c>
      <c r="W458">
        <f t="shared" ca="1" si="67"/>
        <v>166</v>
      </c>
      <c r="X458" s="8">
        <f ca="1">Table1[[#This Row],[Absentee Days]]/Table1[[#This Row],[Total Work Days]]*100</f>
        <v>6.9230769230769234</v>
      </c>
      <c r="Y458">
        <f ca="1">YEAR(Table1[[#This Row],[Join Date]])</f>
        <v>2021</v>
      </c>
      <c r="Z458">
        <f ca="1">IF(Table1[[#This Row],[Status]]="Active",1,0)</f>
        <v>1</v>
      </c>
      <c r="AA458">
        <f ca="1">IF(Table1[[#This Row],[Status]]="Exited",Table1[[#This Row],[Recruitment Cost]]+Table1[[#This Row],[Onboarding cost]]+Table1[[#This Row],[Training Cost]],0)</f>
        <v>0</v>
      </c>
    </row>
    <row r="459" spans="1:27">
      <c r="A459" t="str">
        <f t="shared" si="63"/>
        <v>E458</v>
      </c>
      <c r="B459" t="str" cm="1">
        <f t="array" aca="1" ref="B459" ca="1">INDEX(sheet2!$A$2:$A$6, RANDBETWEEN(1, 5))</f>
        <v>IT</v>
      </c>
      <c r="C459" t="str">
        <f ca="1">_xlfn.XLOOKUP(Table1[[#This Row],[Department]],sheet2!$A$2:$A$6,sheet2!$B$2:$B$6,_xleta.NA,0)</f>
        <v>Software Engineer</v>
      </c>
      <c r="D459" s="1">
        <f t="shared" ca="1" si="60"/>
        <v>44020</v>
      </c>
      <c r="E459" s="1">
        <f ca="1">Table1[[#This Row],[Job Posting Date]]+ RANDBETWEEN(15, 90)</f>
        <v>44093</v>
      </c>
      <c r="F459" s="1">
        <f ca="1">Table1[[#This Row],[Hire Date]]+ RANDBETWEEN(1, 15)</f>
        <v>44108</v>
      </c>
      <c r="G459" s="1">
        <f ca="1">IF(RAND() &lt; 0.5,  Table1[[#This Row],[Join Date]]+ RANDBETWEEN(30, TODAY()- Table1[[#This Row],[Join Date]]), "-")</f>
        <v>45465</v>
      </c>
      <c r="H459" t="str">
        <f ca="1">IF(Table1[[#This Row],[Exit Date]]= "-", "Active", "Exited")</f>
        <v>Exited</v>
      </c>
      <c r="I459" s="5">
        <f t="shared" ca="1" si="61"/>
        <v>3518</v>
      </c>
      <c r="J459" t="str" cm="1">
        <f t="array" aca="1" ref="J459" ca="1">INDEX(sheet2!$C$2:$C$6, RANDBETWEEN(1, 5))</f>
        <v>Leadership Development</v>
      </c>
      <c r="K459" t="str">
        <f t="shared" ca="1" si="62"/>
        <v>Completed</v>
      </c>
      <c r="L459">
        <v>260</v>
      </c>
      <c r="M459">
        <f t="shared" ca="1" si="64"/>
        <v>7</v>
      </c>
      <c r="N459" t="str">
        <f t="shared" ca="1" si="65"/>
        <v>Other</v>
      </c>
      <c r="O459" s="6">
        <f t="shared" ca="1" si="66"/>
        <v>2025</v>
      </c>
      <c r="P459">
        <f ca="1">Table1[[#This Row],[Hire Date]]-Table1[[#This Row],[Job Posting Date]]</f>
        <v>73</v>
      </c>
      <c r="Q459" s="7">
        <f ca="1">Table1[[#This Row],[Join Date]]-Table1[[#This Row],[Hire Date]]</f>
        <v>15</v>
      </c>
      <c r="R459" s="8">
        <f ca="1">(IF(Table1[[#This Row],[Status]]="Exited",Table1[[#This Row],[Exit Date]]-Table1[[#This Row],[Join Date]],TODAY()-Table1[[#This Row],[Join Date]]))/30</f>
        <v>45.233333333333334</v>
      </c>
      <c r="S459">
        <f ca="1">Table1[[#This Row],[Hire Date]]-Table1[[#This Row],[Job Posting Date]]</f>
        <v>73</v>
      </c>
      <c r="T459" s="7">
        <f ca="1">Table1[[#This Row],[Time to onboard]]/Table1[[#This Row],[Time to Fill]]*100</f>
        <v>20.547945205479451</v>
      </c>
      <c r="U459" s="8">
        <f ca="1">Table1[[#This Row],[Time to onboard]]/Table1[[#This Row],[Time to Fill]]*100</f>
        <v>20.547945205479451</v>
      </c>
      <c r="V459">
        <f ca="1">Table1[[#This Row],[Join Date]]-Table1[[#This Row],[Job Posting Date]]</f>
        <v>88</v>
      </c>
      <c r="W459">
        <f t="shared" ca="1" si="67"/>
        <v>154</v>
      </c>
      <c r="X459" s="8">
        <f ca="1">Table1[[#This Row],[Absentee Days]]/Table1[[#This Row],[Total Work Days]]*100</f>
        <v>2.6923076923076925</v>
      </c>
      <c r="Y459">
        <f ca="1">YEAR(Table1[[#This Row],[Join Date]])</f>
        <v>2020</v>
      </c>
      <c r="Z459">
        <f ca="1">IF(Table1[[#This Row],[Status]]="Active",1,0)</f>
        <v>0</v>
      </c>
      <c r="AA459">
        <f ca="1">IF(Table1[[#This Row],[Status]]="Exited",Table1[[#This Row],[Recruitment Cost]]+Table1[[#This Row],[Onboarding cost]]+Table1[[#This Row],[Training Cost]],0)</f>
        <v>5697</v>
      </c>
    </row>
    <row r="460" spans="1:27">
      <c r="A460" t="str">
        <f t="shared" si="63"/>
        <v>E459</v>
      </c>
      <c r="B460" t="str" cm="1">
        <f t="array" aca="1" ref="B460" ca="1">INDEX(sheet2!$A$2:$A$6, RANDBETWEEN(1, 5))</f>
        <v>Finance</v>
      </c>
      <c r="C460" t="str">
        <f ca="1">_xlfn.XLOOKUP(Table1[[#This Row],[Department]],sheet2!$A$2:$A$6,sheet2!$B$2:$B$6,_xleta.NA,0)</f>
        <v>Finance Manager</v>
      </c>
      <c r="D460" s="1">
        <f t="shared" ca="1" si="60"/>
        <v>44918</v>
      </c>
      <c r="E460" s="1">
        <f ca="1">Table1[[#This Row],[Job Posting Date]]+ RANDBETWEEN(15, 90)</f>
        <v>44963</v>
      </c>
      <c r="F460" s="1">
        <f ca="1">Table1[[#This Row],[Hire Date]]+ RANDBETWEEN(1, 15)</f>
        <v>44972</v>
      </c>
      <c r="G460" s="1">
        <f ca="1">IF(RAND() &lt; 0.5,  Table1[[#This Row],[Join Date]]+ RANDBETWEEN(30, TODAY()- Table1[[#This Row],[Join Date]]), "-")</f>
        <v>45575</v>
      </c>
      <c r="H460" t="str">
        <f ca="1">IF(Table1[[#This Row],[Exit Date]]= "-", "Active", "Exited")</f>
        <v>Exited</v>
      </c>
      <c r="I460" s="5">
        <f t="shared" ca="1" si="61"/>
        <v>4219</v>
      </c>
      <c r="J460" t="str" cm="1">
        <f t="array" aca="1" ref="J460" ca="1">INDEX(sheet2!$C$2:$C$6, RANDBETWEEN(1, 5))</f>
        <v>Communication Skills</v>
      </c>
      <c r="K460" t="str">
        <f t="shared" ca="1" si="62"/>
        <v>Completed</v>
      </c>
      <c r="L460">
        <v>260</v>
      </c>
      <c r="M460">
        <f t="shared" ca="1" si="64"/>
        <v>10</v>
      </c>
      <c r="N460" t="str">
        <f t="shared" ca="1" si="65"/>
        <v>Male</v>
      </c>
      <c r="O460" s="6">
        <f t="shared" ca="1" si="66"/>
        <v>1668</v>
      </c>
      <c r="P460">
        <f ca="1">Table1[[#This Row],[Hire Date]]-Table1[[#This Row],[Job Posting Date]]</f>
        <v>45</v>
      </c>
      <c r="Q460" s="7">
        <f ca="1">Table1[[#This Row],[Join Date]]-Table1[[#This Row],[Hire Date]]</f>
        <v>9</v>
      </c>
      <c r="R460" s="8">
        <f ca="1">(IF(Table1[[#This Row],[Status]]="Exited",Table1[[#This Row],[Exit Date]]-Table1[[#This Row],[Join Date]],TODAY()-Table1[[#This Row],[Join Date]]))/30</f>
        <v>20.100000000000001</v>
      </c>
      <c r="S460">
        <f ca="1">Table1[[#This Row],[Hire Date]]-Table1[[#This Row],[Job Posting Date]]</f>
        <v>45</v>
      </c>
      <c r="T460" s="7">
        <f ca="1">Table1[[#This Row],[Time to onboard]]/Table1[[#This Row],[Time to Fill]]*100</f>
        <v>20</v>
      </c>
      <c r="U460" s="8">
        <f ca="1">Table1[[#This Row],[Time to onboard]]/Table1[[#This Row],[Time to Fill]]*100</f>
        <v>20</v>
      </c>
      <c r="V460">
        <f ca="1">Table1[[#This Row],[Join Date]]-Table1[[#This Row],[Job Posting Date]]</f>
        <v>54</v>
      </c>
      <c r="W460">
        <f t="shared" ca="1" si="67"/>
        <v>190</v>
      </c>
      <c r="X460" s="8">
        <f ca="1">Table1[[#This Row],[Absentee Days]]/Table1[[#This Row],[Total Work Days]]*100</f>
        <v>3.8461538461538463</v>
      </c>
      <c r="Y460">
        <f ca="1">YEAR(Table1[[#This Row],[Join Date]])</f>
        <v>2023</v>
      </c>
      <c r="Z460">
        <f ca="1">IF(Table1[[#This Row],[Status]]="Active",1,0)</f>
        <v>0</v>
      </c>
      <c r="AA460">
        <f ca="1">IF(Table1[[#This Row],[Status]]="Exited",Table1[[#This Row],[Recruitment Cost]]+Table1[[#This Row],[Onboarding cost]]+Table1[[#This Row],[Training Cost]],0)</f>
        <v>6077</v>
      </c>
    </row>
    <row r="461" spans="1:27">
      <c r="A461" t="str">
        <f t="shared" si="63"/>
        <v>E460</v>
      </c>
      <c r="B461" t="str" cm="1">
        <f t="array" aca="1" ref="B461" ca="1">INDEX(sheet2!$A$2:$A$6, RANDBETWEEN(1, 5))</f>
        <v>IT</v>
      </c>
      <c r="C461" t="str">
        <f ca="1">_xlfn.XLOOKUP(Table1[[#This Row],[Department]],sheet2!$A$2:$A$6,sheet2!$B$2:$B$6,_xleta.NA,0)</f>
        <v>Software Engineer</v>
      </c>
      <c r="D461" s="1">
        <f t="shared" ca="1" si="60"/>
        <v>44385</v>
      </c>
      <c r="E461" s="1">
        <f ca="1">Table1[[#This Row],[Job Posting Date]]+ RANDBETWEEN(15, 90)</f>
        <v>44457</v>
      </c>
      <c r="F461" s="1">
        <f ca="1">Table1[[#This Row],[Hire Date]]+ RANDBETWEEN(1, 15)</f>
        <v>44469</v>
      </c>
      <c r="G461" s="1">
        <f ca="1">IF(RAND() &lt; 0.5,  Table1[[#This Row],[Join Date]]+ RANDBETWEEN(30, TODAY()- Table1[[#This Row],[Join Date]]), "-")</f>
        <v>45027</v>
      </c>
      <c r="H461" t="str">
        <f ca="1">IF(Table1[[#This Row],[Exit Date]]= "-", "Active", "Exited")</f>
        <v>Exited</v>
      </c>
      <c r="I461" s="5">
        <f t="shared" ca="1" si="61"/>
        <v>1885</v>
      </c>
      <c r="J461" t="str" cm="1">
        <f t="array" aca="1" ref="J461" ca="1">INDEX(sheet2!$C$2:$C$6, RANDBETWEEN(1, 5))</f>
        <v>Ethics and Responsibilities</v>
      </c>
      <c r="K461" t="str">
        <f t="shared" ca="1" si="62"/>
        <v>Not Completed</v>
      </c>
      <c r="L461">
        <v>260</v>
      </c>
      <c r="M461">
        <f t="shared" ca="1" si="64"/>
        <v>19</v>
      </c>
      <c r="N461" t="str">
        <f t="shared" ca="1" si="65"/>
        <v>Female</v>
      </c>
      <c r="O461" s="6">
        <f t="shared" ca="1" si="66"/>
        <v>2301</v>
      </c>
      <c r="P461">
        <f ca="1">Table1[[#This Row],[Hire Date]]-Table1[[#This Row],[Job Posting Date]]</f>
        <v>72</v>
      </c>
      <c r="Q461" s="7">
        <f ca="1">Table1[[#This Row],[Join Date]]-Table1[[#This Row],[Hire Date]]</f>
        <v>12</v>
      </c>
      <c r="R461" s="8">
        <f ca="1">(IF(Table1[[#This Row],[Status]]="Exited",Table1[[#This Row],[Exit Date]]-Table1[[#This Row],[Join Date]],TODAY()-Table1[[#This Row],[Join Date]]))/30</f>
        <v>18.600000000000001</v>
      </c>
      <c r="S461">
        <f ca="1">Table1[[#This Row],[Hire Date]]-Table1[[#This Row],[Job Posting Date]]</f>
        <v>72</v>
      </c>
      <c r="T461" s="7">
        <f ca="1">Table1[[#This Row],[Time to onboard]]/Table1[[#This Row],[Time to Fill]]*100</f>
        <v>16.666666666666664</v>
      </c>
      <c r="U461" s="8">
        <f ca="1">Table1[[#This Row],[Time to onboard]]/Table1[[#This Row],[Time to Fill]]*100</f>
        <v>16.666666666666664</v>
      </c>
      <c r="V461">
        <f ca="1">Table1[[#This Row],[Join Date]]-Table1[[#This Row],[Job Posting Date]]</f>
        <v>84</v>
      </c>
      <c r="W461">
        <f t="shared" ca="1" si="67"/>
        <v>144</v>
      </c>
      <c r="X461" s="8">
        <f ca="1">Table1[[#This Row],[Absentee Days]]/Table1[[#This Row],[Total Work Days]]*100</f>
        <v>7.3076923076923084</v>
      </c>
      <c r="Y461">
        <f ca="1">YEAR(Table1[[#This Row],[Join Date]])</f>
        <v>2021</v>
      </c>
      <c r="Z461">
        <f ca="1">IF(Table1[[#This Row],[Status]]="Active",1,0)</f>
        <v>0</v>
      </c>
      <c r="AA461">
        <f ca="1">IF(Table1[[#This Row],[Status]]="Exited",Table1[[#This Row],[Recruitment Cost]]+Table1[[#This Row],[Onboarding cost]]+Table1[[#This Row],[Training Cost]],0)</f>
        <v>4330</v>
      </c>
    </row>
    <row r="462" spans="1:27">
      <c r="A462" t="str">
        <f t="shared" si="63"/>
        <v>E461</v>
      </c>
      <c r="B462" t="str" cm="1">
        <f t="array" aca="1" ref="B462" ca="1">INDEX(sheet2!$A$2:$A$6, RANDBETWEEN(1, 5))</f>
        <v>HR</v>
      </c>
      <c r="C462" t="str">
        <f ca="1">_xlfn.XLOOKUP(Table1[[#This Row],[Department]],sheet2!$A$2:$A$6,sheet2!$B$2:$B$6,_xleta.NA,0)</f>
        <v>HR Manager</v>
      </c>
      <c r="D462" s="1">
        <f t="shared" ca="1" si="60"/>
        <v>44136</v>
      </c>
      <c r="E462" s="1">
        <f ca="1">Table1[[#This Row],[Job Posting Date]]+ RANDBETWEEN(15, 90)</f>
        <v>44196</v>
      </c>
      <c r="F462" s="1">
        <f ca="1">Table1[[#This Row],[Hire Date]]+ RANDBETWEEN(1, 15)</f>
        <v>44206</v>
      </c>
      <c r="G462" s="1" t="str">
        <f ca="1">IF(RAND() &lt; 0.5,  Table1[[#This Row],[Join Date]]+ RANDBETWEEN(30, TODAY()- Table1[[#This Row],[Join Date]]), "-")</f>
        <v>-</v>
      </c>
      <c r="H462" t="str">
        <f ca="1">IF(Table1[[#This Row],[Exit Date]]= "-", "Active", "Exited")</f>
        <v>Active</v>
      </c>
      <c r="I462" s="5">
        <f t="shared" ca="1" si="61"/>
        <v>3708</v>
      </c>
      <c r="J462" t="str" cm="1">
        <f t="array" aca="1" ref="J462" ca="1">INDEX(sheet2!$C$2:$C$6, RANDBETWEEN(1, 5))</f>
        <v>Advanced Excel Skills </v>
      </c>
      <c r="K462" t="str">
        <f t="shared" ca="1" si="62"/>
        <v>Completed</v>
      </c>
      <c r="L462">
        <v>260</v>
      </c>
      <c r="M462">
        <f t="shared" ca="1" si="64"/>
        <v>8</v>
      </c>
      <c r="N462" t="str">
        <f t="shared" ca="1" si="65"/>
        <v>Female</v>
      </c>
      <c r="O462" s="6">
        <f t="shared" ca="1" si="66"/>
        <v>1528</v>
      </c>
      <c r="P462">
        <f ca="1">Table1[[#This Row],[Hire Date]]-Table1[[#This Row],[Job Posting Date]]</f>
        <v>60</v>
      </c>
      <c r="Q462" s="7">
        <f ca="1">Table1[[#This Row],[Join Date]]-Table1[[#This Row],[Hire Date]]</f>
        <v>10</v>
      </c>
      <c r="R462" s="8">
        <f ca="1">(IF(Table1[[#This Row],[Status]]="Exited",Table1[[#This Row],[Exit Date]]-Table1[[#This Row],[Join Date]],TODAY()-Table1[[#This Row],[Join Date]]))/30</f>
        <v>48.56666666666667</v>
      </c>
      <c r="S462">
        <f ca="1">Table1[[#This Row],[Hire Date]]-Table1[[#This Row],[Job Posting Date]]</f>
        <v>60</v>
      </c>
      <c r="T462" s="7">
        <f ca="1">Table1[[#This Row],[Time to onboard]]/Table1[[#This Row],[Time to Fill]]*100</f>
        <v>16.666666666666664</v>
      </c>
      <c r="U462" s="8">
        <f ca="1">Table1[[#This Row],[Time to onboard]]/Table1[[#This Row],[Time to Fill]]*100</f>
        <v>16.666666666666664</v>
      </c>
      <c r="V462">
        <f ca="1">Table1[[#This Row],[Join Date]]-Table1[[#This Row],[Job Posting Date]]</f>
        <v>70</v>
      </c>
      <c r="W462">
        <f t="shared" ca="1" si="67"/>
        <v>174</v>
      </c>
      <c r="X462" s="8">
        <f ca="1">Table1[[#This Row],[Absentee Days]]/Table1[[#This Row],[Total Work Days]]*100</f>
        <v>3.0769230769230771</v>
      </c>
      <c r="Y462">
        <f ca="1">YEAR(Table1[[#This Row],[Join Date]])</f>
        <v>2021</v>
      </c>
      <c r="Z462">
        <f ca="1">IF(Table1[[#This Row],[Status]]="Active",1,0)</f>
        <v>1</v>
      </c>
      <c r="AA462">
        <f ca="1">IF(Table1[[#This Row],[Status]]="Exited",Table1[[#This Row],[Recruitment Cost]]+Table1[[#This Row],[Onboarding cost]]+Table1[[#This Row],[Training Cost]],0)</f>
        <v>0</v>
      </c>
    </row>
    <row r="463" spans="1:27">
      <c r="A463" t="str">
        <f t="shared" si="63"/>
        <v>E462</v>
      </c>
      <c r="B463" t="str" cm="1">
        <f t="array" aca="1" ref="B463" ca="1">INDEX(sheet2!$A$2:$A$6, RANDBETWEEN(1, 5))</f>
        <v>Analytics</v>
      </c>
      <c r="C463" t="str">
        <f ca="1">_xlfn.XLOOKUP(Table1[[#This Row],[Department]],sheet2!$A$2:$A$6,sheet2!$B$2:$B$6,_xleta.NA,0)</f>
        <v>Data Analyst</v>
      </c>
      <c r="D463" s="1">
        <f t="shared" ca="1" si="60"/>
        <v>43943</v>
      </c>
      <c r="E463" s="1">
        <f ca="1">Table1[[#This Row],[Job Posting Date]]+ RANDBETWEEN(15, 90)</f>
        <v>44001</v>
      </c>
      <c r="F463" s="1">
        <f ca="1">Table1[[#This Row],[Hire Date]]+ RANDBETWEEN(1, 15)</f>
        <v>44007</v>
      </c>
      <c r="G463" s="1">
        <f ca="1">IF(RAND() &lt; 0.5,  Table1[[#This Row],[Join Date]]+ RANDBETWEEN(30, TODAY()- Table1[[#This Row],[Join Date]]), "-")</f>
        <v>45065</v>
      </c>
      <c r="H463" t="str">
        <f ca="1">IF(Table1[[#This Row],[Exit Date]]= "-", "Active", "Exited")</f>
        <v>Exited</v>
      </c>
      <c r="I463" s="5">
        <f t="shared" ca="1" si="61"/>
        <v>3969</v>
      </c>
      <c r="J463" t="str" cm="1">
        <f t="array" aca="1" ref="J463" ca="1">INDEX(sheet2!$C$2:$C$6, RANDBETWEEN(1, 5))</f>
        <v>Advanced Excel Skills </v>
      </c>
      <c r="K463" t="str">
        <f t="shared" ca="1" si="62"/>
        <v>Completed</v>
      </c>
      <c r="L463">
        <v>260</v>
      </c>
      <c r="M463">
        <f t="shared" ca="1" si="64"/>
        <v>12</v>
      </c>
      <c r="N463" t="str">
        <f t="shared" ca="1" si="65"/>
        <v>Male</v>
      </c>
      <c r="O463" s="6">
        <f t="shared" ca="1" si="66"/>
        <v>1694</v>
      </c>
      <c r="P463">
        <f ca="1">Table1[[#This Row],[Hire Date]]-Table1[[#This Row],[Job Posting Date]]</f>
        <v>58</v>
      </c>
      <c r="Q463" s="7">
        <f ca="1">Table1[[#This Row],[Join Date]]-Table1[[#This Row],[Hire Date]]</f>
        <v>6</v>
      </c>
      <c r="R463" s="8">
        <f ca="1">(IF(Table1[[#This Row],[Status]]="Exited",Table1[[#This Row],[Exit Date]]-Table1[[#This Row],[Join Date]],TODAY()-Table1[[#This Row],[Join Date]]))/30</f>
        <v>35.266666666666666</v>
      </c>
      <c r="S463">
        <f ca="1">Table1[[#This Row],[Hire Date]]-Table1[[#This Row],[Job Posting Date]]</f>
        <v>58</v>
      </c>
      <c r="T463" s="7">
        <f ca="1">Table1[[#This Row],[Time to onboard]]/Table1[[#This Row],[Time to Fill]]*100</f>
        <v>10.344827586206897</v>
      </c>
      <c r="U463" s="8">
        <f ca="1">Table1[[#This Row],[Time to onboard]]/Table1[[#This Row],[Time to Fill]]*100</f>
        <v>10.344827586206897</v>
      </c>
      <c r="V463">
        <f ca="1">Table1[[#This Row],[Join Date]]-Table1[[#This Row],[Job Posting Date]]</f>
        <v>64</v>
      </c>
      <c r="W463">
        <f t="shared" ca="1" si="67"/>
        <v>145</v>
      </c>
      <c r="X463" s="8">
        <f ca="1">Table1[[#This Row],[Absentee Days]]/Table1[[#This Row],[Total Work Days]]*100</f>
        <v>4.6153846153846159</v>
      </c>
      <c r="Y463">
        <f ca="1">YEAR(Table1[[#This Row],[Join Date]])</f>
        <v>2020</v>
      </c>
      <c r="Z463">
        <f ca="1">IF(Table1[[#This Row],[Status]]="Active",1,0)</f>
        <v>0</v>
      </c>
      <c r="AA463">
        <f ca="1">IF(Table1[[#This Row],[Status]]="Exited",Table1[[#This Row],[Recruitment Cost]]+Table1[[#This Row],[Onboarding cost]]+Table1[[#This Row],[Training Cost]],0)</f>
        <v>5808</v>
      </c>
    </row>
    <row r="464" spans="1:27">
      <c r="A464" t="str">
        <f t="shared" si="63"/>
        <v>E463</v>
      </c>
      <c r="B464" t="str" cm="1">
        <f t="array" aca="1" ref="B464" ca="1">INDEX(sheet2!$A$2:$A$6, RANDBETWEEN(1, 5))</f>
        <v>HR</v>
      </c>
      <c r="C464" t="str">
        <f ca="1">_xlfn.XLOOKUP(Table1[[#This Row],[Department]],sheet2!$A$2:$A$6,sheet2!$B$2:$B$6,_xleta.NA,0)</f>
        <v>HR Manager</v>
      </c>
      <c r="D464" s="1">
        <f t="shared" ca="1" si="60"/>
        <v>44464</v>
      </c>
      <c r="E464" s="1">
        <f ca="1">Table1[[#This Row],[Job Posting Date]]+ RANDBETWEEN(15, 90)</f>
        <v>44508</v>
      </c>
      <c r="F464" s="1">
        <f ca="1">Table1[[#This Row],[Hire Date]]+ RANDBETWEEN(1, 15)</f>
        <v>44521</v>
      </c>
      <c r="G464" s="1">
        <f ca="1">IF(RAND() &lt; 0.5,  Table1[[#This Row],[Join Date]]+ RANDBETWEEN(30, TODAY()- Table1[[#This Row],[Join Date]]), "-")</f>
        <v>45541</v>
      </c>
      <c r="H464" t="str">
        <f ca="1">IF(Table1[[#This Row],[Exit Date]]= "-", "Active", "Exited")</f>
        <v>Exited</v>
      </c>
      <c r="I464" s="5">
        <f t="shared" ca="1" si="61"/>
        <v>2690</v>
      </c>
      <c r="J464" t="str" cm="1">
        <f t="array" aca="1" ref="J464" ca="1">INDEX(sheet2!$C$2:$C$6, RANDBETWEEN(1, 5))</f>
        <v>Ethics and Responsibilities</v>
      </c>
      <c r="K464" t="str">
        <f t="shared" ca="1" si="62"/>
        <v>Completed</v>
      </c>
      <c r="L464">
        <v>260</v>
      </c>
      <c r="M464">
        <f t="shared" ca="1" si="64"/>
        <v>15</v>
      </c>
      <c r="N464" t="str">
        <f t="shared" ca="1" si="65"/>
        <v>Male</v>
      </c>
      <c r="O464" s="6">
        <f t="shared" ca="1" si="66"/>
        <v>1498</v>
      </c>
      <c r="P464">
        <f ca="1">Table1[[#This Row],[Hire Date]]-Table1[[#This Row],[Job Posting Date]]</f>
        <v>44</v>
      </c>
      <c r="Q464" s="7">
        <f ca="1">Table1[[#This Row],[Join Date]]-Table1[[#This Row],[Hire Date]]</f>
        <v>13</v>
      </c>
      <c r="R464" s="8">
        <f ca="1">(IF(Table1[[#This Row],[Status]]="Exited",Table1[[#This Row],[Exit Date]]-Table1[[#This Row],[Join Date]],TODAY()-Table1[[#This Row],[Join Date]]))/30</f>
        <v>34</v>
      </c>
      <c r="S464">
        <f ca="1">Table1[[#This Row],[Hire Date]]-Table1[[#This Row],[Job Posting Date]]</f>
        <v>44</v>
      </c>
      <c r="T464" s="7">
        <f ca="1">Table1[[#This Row],[Time to onboard]]/Table1[[#This Row],[Time to Fill]]*100</f>
        <v>29.545454545454547</v>
      </c>
      <c r="U464" s="8">
        <f ca="1">Table1[[#This Row],[Time to onboard]]/Table1[[#This Row],[Time to Fill]]*100</f>
        <v>29.545454545454547</v>
      </c>
      <c r="V464">
        <f ca="1">Table1[[#This Row],[Join Date]]-Table1[[#This Row],[Job Posting Date]]</f>
        <v>57</v>
      </c>
      <c r="W464">
        <f t="shared" ca="1" si="67"/>
        <v>185</v>
      </c>
      <c r="X464" s="8">
        <f ca="1">Table1[[#This Row],[Absentee Days]]/Table1[[#This Row],[Total Work Days]]*100</f>
        <v>5.7692307692307692</v>
      </c>
      <c r="Y464">
        <f ca="1">YEAR(Table1[[#This Row],[Join Date]])</f>
        <v>2021</v>
      </c>
      <c r="Z464">
        <f ca="1">IF(Table1[[#This Row],[Status]]="Active",1,0)</f>
        <v>0</v>
      </c>
      <c r="AA464">
        <f ca="1">IF(Table1[[#This Row],[Status]]="Exited",Table1[[#This Row],[Recruitment Cost]]+Table1[[#This Row],[Onboarding cost]]+Table1[[#This Row],[Training Cost]],0)</f>
        <v>4373</v>
      </c>
    </row>
    <row r="465" spans="1:27">
      <c r="A465" t="str">
        <f t="shared" si="63"/>
        <v>E464</v>
      </c>
      <c r="B465" t="str" cm="1">
        <f t="array" aca="1" ref="B465" ca="1">INDEX(sheet2!$A$2:$A$6, RANDBETWEEN(1, 5))</f>
        <v>IT</v>
      </c>
      <c r="C465" t="str">
        <f ca="1">_xlfn.XLOOKUP(Table1[[#This Row],[Department]],sheet2!$A$2:$A$6,sheet2!$B$2:$B$6,_xleta.NA,0)</f>
        <v>Software Engineer</v>
      </c>
      <c r="D465" s="1">
        <f t="shared" ca="1" si="60"/>
        <v>44715</v>
      </c>
      <c r="E465" s="1">
        <f ca="1">Table1[[#This Row],[Job Posting Date]]+ RANDBETWEEN(15, 90)</f>
        <v>44791</v>
      </c>
      <c r="F465" s="1">
        <f ca="1">Table1[[#This Row],[Hire Date]]+ RANDBETWEEN(1, 15)</f>
        <v>44792</v>
      </c>
      <c r="G465" s="1" t="str">
        <f ca="1">IF(RAND() &lt; 0.5,  Table1[[#This Row],[Join Date]]+ RANDBETWEEN(30, TODAY()- Table1[[#This Row],[Join Date]]), "-")</f>
        <v>-</v>
      </c>
      <c r="H465" t="str">
        <f ca="1">IF(Table1[[#This Row],[Exit Date]]= "-", "Active", "Exited")</f>
        <v>Active</v>
      </c>
      <c r="I465" s="5">
        <f t="shared" ca="1" si="61"/>
        <v>1874</v>
      </c>
      <c r="J465" t="str" cm="1">
        <f t="array" aca="1" ref="J465" ca="1">INDEX(sheet2!$C$2:$C$6, RANDBETWEEN(1, 5))</f>
        <v>Conflict Resolution</v>
      </c>
      <c r="K465" t="str">
        <f t="shared" ca="1" si="62"/>
        <v>Completed</v>
      </c>
      <c r="L465">
        <v>260</v>
      </c>
      <c r="M465">
        <f t="shared" ca="1" si="64"/>
        <v>14</v>
      </c>
      <c r="N465" t="str">
        <f t="shared" ca="1" si="65"/>
        <v>Female</v>
      </c>
      <c r="O465" s="6">
        <f t="shared" ca="1" si="66"/>
        <v>1640</v>
      </c>
      <c r="P465">
        <f ca="1">Table1[[#This Row],[Hire Date]]-Table1[[#This Row],[Job Posting Date]]</f>
        <v>76</v>
      </c>
      <c r="Q465" s="7">
        <f ca="1">Table1[[#This Row],[Join Date]]-Table1[[#This Row],[Hire Date]]</f>
        <v>1</v>
      </c>
      <c r="R465" s="8">
        <f ca="1">(IF(Table1[[#This Row],[Status]]="Exited",Table1[[#This Row],[Exit Date]]-Table1[[#This Row],[Join Date]],TODAY()-Table1[[#This Row],[Join Date]]))/30</f>
        <v>29.033333333333335</v>
      </c>
      <c r="S465">
        <f ca="1">Table1[[#This Row],[Hire Date]]-Table1[[#This Row],[Job Posting Date]]</f>
        <v>76</v>
      </c>
      <c r="T465" s="7">
        <f ca="1">Table1[[#This Row],[Time to onboard]]/Table1[[#This Row],[Time to Fill]]*100</f>
        <v>1.3157894736842104</v>
      </c>
      <c r="U465" s="8">
        <f ca="1">Table1[[#This Row],[Time to onboard]]/Table1[[#This Row],[Time to Fill]]*100</f>
        <v>1.3157894736842104</v>
      </c>
      <c r="V465">
        <f ca="1">Table1[[#This Row],[Join Date]]-Table1[[#This Row],[Job Posting Date]]</f>
        <v>77</v>
      </c>
      <c r="W465">
        <f t="shared" ca="1" si="67"/>
        <v>135</v>
      </c>
      <c r="X465" s="8">
        <f ca="1">Table1[[#This Row],[Absentee Days]]/Table1[[#This Row],[Total Work Days]]*100</f>
        <v>5.384615384615385</v>
      </c>
      <c r="Y465">
        <f ca="1">YEAR(Table1[[#This Row],[Join Date]])</f>
        <v>2022</v>
      </c>
      <c r="Z465">
        <f ca="1">IF(Table1[[#This Row],[Status]]="Active",1,0)</f>
        <v>1</v>
      </c>
      <c r="AA465">
        <f ca="1">IF(Table1[[#This Row],[Status]]="Exited",Table1[[#This Row],[Recruitment Cost]]+Table1[[#This Row],[Onboarding cost]]+Table1[[#This Row],[Training Cost]],0)</f>
        <v>0</v>
      </c>
    </row>
    <row r="466" spans="1:27">
      <c r="A466" t="str">
        <f t="shared" si="63"/>
        <v>E465</v>
      </c>
      <c r="B466" t="str" cm="1">
        <f t="array" aca="1" ref="B466" ca="1">INDEX(sheet2!$A$2:$A$6, RANDBETWEEN(1, 5))</f>
        <v>HR</v>
      </c>
      <c r="C466" t="str">
        <f ca="1">_xlfn.XLOOKUP(Table1[[#This Row],[Department]],sheet2!$A$2:$A$6,sheet2!$B$2:$B$6,_xleta.NA,0)</f>
        <v>HR Manager</v>
      </c>
      <c r="D466" s="1">
        <f t="shared" ca="1" si="60"/>
        <v>44715</v>
      </c>
      <c r="E466" s="1">
        <f ca="1">Table1[[#This Row],[Job Posting Date]]+ RANDBETWEEN(15, 90)</f>
        <v>44802</v>
      </c>
      <c r="F466" s="1">
        <f ca="1">Table1[[#This Row],[Hire Date]]+ RANDBETWEEN(1, 15)</f>
        <v>44803</v>
      </c>
      <c r="G466" s="1">
        <f ca="1">IF(RAND() &lt; 0.5,  Table1[[#This Row],[Join Date]]+ RANDBETWEEN(30, TODAY()- Table1[[#This Row],[Join Date]]), "-")</f>
        <v>45152</v>
      </c>
      <c r="H466" t="str">
        <f ca="1">IF(Table1[[#This Row],[Exit Date]]= "-", "Active", "Exited")</f>
        <v>Exited</v>
      </c>
      <c r="I466" s="5">
        <f t="shared" ca="1" si="61"/>
        <v>1569</v>
      </c>
      <c r="J466" t="str" cm="1">
        <f t="array" aca="1" ref="J466" ca="1">INDEX(sheet2!$C$2:$C$6, RANDBETWEEN(1, 5))</f>
        <v>Leadership Development</v>
      </c>
      <c r="K466" t="str">
        <f t="shared" ca="1" si="62"/>
        <v>Completed</v>
      </c>
      <c r="L466">
        <v>260</v>
      </c>
      <c r="M466">
        <f t="shared" ca="1" si="64"/>
        <v>4</v>
      </c>
      <c r="N466" t="str">
        <f t="shared" ca="1" si="65"/>
        <v>Other</v>
      </c>
      <c r="O466" s="6">
        <f t="shared" ca="1" si="66"/>
        <v>2289</v>
      </c>
      <c r="P466">
        <f ca="1">Table1[[#This Row],[Hire Date]]-Table1[[#This Row],[Job Posting Date]]</f>
        <v>87</v>
      </c>
      <c r="Q466" s="7">
        <f ca="1">Table1[[#This Row],[Join Date]]-Table1[[#This Row],[Hire Date]]</f>
        <v>1</v>
      </c>
      <c r="R466" s="8">
        <f ca="1">(IF(Table1[[#This Row],[Status]]="Exited",Table1[[#This Row],[Exit Date]]-Table1[[#This Row],[Join Date]],TODAY()-Table1[[#This Row],[Join Date]]))/30</f>
        <v>11.633333333333333</v>
      </c>
      <c r="S466">
        <f ca="1">Table1[[#This Row],[Hire Date]]-Table1[[#This Row],[Job Posting Date]]</f>
        <v>87</v>
      </c>
      <c r="T466" s="7">
        <f ca="1">Table1[[#This Row],[Time to onboard]]/Table1[[#This Row],[Time to Fill]]*100</f>
        <v>1.1494252873563218</v>
      </c>
      <c r="U466" s="8">
        <f ca="1">Table1[[#This Row],[Time to onboard]]/Table1[[#This Row],[Time to Fill]]*100</f>
        <v>1.1494252873563218</v>
      </c>
      <c r="V466">
        <f ca="1">Table1[[#This Row],[Join Date]]-Table1[[#This Row],[Job Posting Date]]</f>
        <v>88</v>
      </c>
      <c r="W466">
        <f t="shared" ca="1" si="67"/>
        <v>122</v>
      </c>
      <c r="X466" s="8">
        <f ca="1">Table1[[#This Row],[Absentee Days]]/Table1[[#This Row],[Total Work Days]]*100</f>
        <v>1.5384615384615385</v>
      </c>
      <c r="Y466">
        <f ca="1">YEAR(Table1[[#This Row],[Join Date]])</f>
        <v>2022</v>
      </c>
      <c r="Z466">
        <f ca="1">IF(Table1[[#This Row],[Status]]="Active",1,0)</f>
        <v>0</v>
      </c>
      <c r="AA466">
        <f ca="1">IF(Table1[[#This Row],[Status]]="Exited",Table1[[#This Row],[Recruitment Cost]]+Table1[[#This Row],[Onboarding cost]]+Table1[[#This Row],[Training Cost]],0)</f>
        <v>3980</v>
      </c>
    </row>
    <row r="467" spans="1:27">
      <c r="A467" t="str">
        <f t="shared" si="63"/>
        <v>E466</v>
      </c>
      <c r="B467" t="str" cm="1">
        <f t="array" aca="1" ref="B467" ca="1">INDEX(sheet2!$A$2:$A$6, RANDBETWEEN(1, 5))</f>
        <v>Analytics</v>
      </c>
      <c r="C467" t="str">
        <f ca="1">_xlfn.XLOOKUP(Table1[[#This Row],[Department]],sheet2!$A$2:$A$6,sheet2!$B$2:$B$6,_xleta.NA,0)</f>
        <v>Data Analyst</v>
      </c>
      <c r="D467" s="1">
        <f t="shared" ca="1" si="60"/>
        <v>43389</v>
      </c>
      <c r="E467" s="1">
        <f ca="1">Table1[[#This Row],[Job Posting Date]]+ RANDBETWEEN(15, 90)</f>
        <v>43419</v>
      </c>
      <c r="F467" s="1">
        <f ca="1">Table1[[#This Row],[Hire Date]]+ RANDBETWEEN(1, 15)</f>
        <v>43430</v>
      </c>
      <c r="G467" s="1">
        <f ca="1">IF(RAND() &lt; 0.5,  Table1[[#This Row],[Join Date]]+ RANDBETWEEN(30, TODAY()- Table1[[#This Row],[Join Date]]), "-")</f>
        <v>43556</v>
      </c>
      <c r="H467" t="str">
        <f ca="1">IF(Table1[[#This Row],[Exit Date]]= "-", "Active", "Exited")</f>
        <v>Exited</v>
      </c>
      <c r="I467" s="5">
        <f t="shared" ca="1" si="61"/>
        <v>4802</v>
      </c>
      <c r="J467" t="str" cm="1">
        <f t="array" aca="1" ref="J467" ca="1">INDEX(sheet2!$C$2:$C$6, RANDBETWEEN(1, 5))</f>
        <v>Communication Skills</v>
      </c>
      <c r="K467" t="str">
        <f t="shared" ca="1" si="62"/>
        <v>Completed</v>
      </c>
      <c r="L467">
        <v>260</v>
      </c>
      <c r="M467">
        <f t="shared" ca="1" si="64"/>
        <v>1</v>
      </c>
      <c r="N467" t="str">
        <f t="shared" ca="1" si="65"/>
        <v>Female</v>
      </c>
      <c r="O467" s="6">
        <f t="shared" ca="1" si="66"/>
        <v>2215</v>
      </c>
      <c r="P467">
        <f ca="1">Table1[[#This Row],[Hire Date]]-Table1[[#This Row],[Job Posting Date]]</f>
        <v>30</v>
      </c>
      <c r="Q467" s="7">
        <f ca="1">Table1[[#This Row],[Join Date]]-Table1[[#This Row],[Hire Date]]</f>
        <v>11</v>
      </c>
      <c r="R467" s="8">
        <f ca="1">(IF(Table1[[#This Row],[Status]]="Exited",Table1[[#This Row],[Exit Date]]-Table1[[#This Row],[Join Date]],TODAY()-Table1[[#This Row],[Join Date]]))/30</f>
        <v>4.2</v>
      </c>
      <c r="S467">
        <f ca="1">Table1[[#This Row],[Hire Date]]-Table1[[#This Row],[Job Posting Date]]</f>
        <v>30</v>
      </c>
      <c r="T467" s="7">
        <f ca="1">Table1[[#This Row],[Time to onboard]]/Table1[[#This Row],[Time to Fill]]*100</f>
        <v>36.666666666666664</v>
      </c>
      <c r="U467" s="8">
        <f ca="1">Table1[[#This Row],[Time to onboard]]/Table1[[#This Row],[Time to Fill]]*100</f>
        <v>36.666666666666664</v>
      </c>
      <c r="V467">
        <f ca="1">Table1[[#This Row],[Join Date]]-Table1[[#This Row],[Job Posting Date]]</f>
        <v>41</v>
      </c>
      <c r="W467">
        <f t="shared" ca="1" si="67"/>
        <v>105</v>
      </c>
      <c r="X467" s="8">
        <f ca="1">Table1[[#This Row],[Absentee Days]]/Table1[[#This Row],[Total Work Days]]*100</f>
        <v>0.38461538461538464</v>
      </c>
      <c r="Y467">
        <f ca="1">YEAR(Table1[[#This Row],[Join Date]])</f>
        <v>2018</v>
      </c>
      <c r="Z467">
        <f ca="1">IF(Table1[[#This Row],[Status]]="Active",1,0)</f>
        <v>0</v>
      </c>
      <c r="AA467">
        <f ca="1">IF(Table1[[#This Row],[Status]]="Exited",Table1[[#This Row],[Recruitment Cost]]+Table1[[#This Row],[Onboarding cost]]+Table1[[#This Row],[Training Cost]],0)</f>
        <v>7122</v>
      </c>
    </row>
    <row r="468" spans="1:27">
      <c r="A468" t="str">
        <f t="shared" si="63"/>
        <v>E467</v>
      </c>
      <c r="B468" t="str" cm="1">
        <f t="array" aca="1" ref="B468" ca="1">INDEX(sheet2!$A$2:$A$6, RANDBETWEEN(1, 5))</f>
        <v>Sales</v>
      </c>
      <c r="C468" t="str">
        <f ca="1">_xlfn.XLOOKUP(Table1[[#This Row],[Department]],sheet2!$A$2:$A$6,sheet2!$B$2:$B$6,_xleta.NA,0)</f>
        <v>Marketing Manager</v>
      </c>
      <c r="D468" s="1">
        <f t="shared" ca="1" si="60"/>
        <v>43455</v>
      </c>
      <c r="E468" s="1">
        <f ca="1">Table1[[#This Row],[Job Posting Date]]+ RANDBETWEEN(15, 90)</f>
        <v>43536</v>
      </c>
      <c r="F468" s="1">
        <f ca="1">Table1[[#This Row],[Hire Date]]+ RANDBETWEEN(1, 15)</f>
        <v>43542</v>
      </c>
      <c r="G468" s="1">
        <f ca="1">IF(RAND() &lt; 0.5,  Table1[[#This Row],[Join Date]]+ RANDBETWEEN(30, TODAY()- Table1[[#This Row],[Join Date]]), "-")</f>
        <v>44871</v>
      </c>
      <c r="H468" t="str">
        <f ca="1">IF(Table1[[#This Row],[Exit Date]]= "-", "Active", "Exited")</f>
        <v>Exited</v>
      </c>
      <c r="I468" s="5">
        <f t="shared" ca="1" si="61"/>
        <v>2966</v>
      </c>
      <c r="J468" t="str" cm="1">
        <f t="array" aca="1" ref="J468" ca="1">INDEX(sheet2!$C$2:$C$6, RANDBETWEEN(1, 5))</f>
        <v>Ethics and Responsibilities</v>
      </c>
      <c r="K468" t="str">
        <f t="shared" ca="1" si="62"/>
        <v>Not Completed</v>
      </c>
      <c r="L468">
        <v>260</v>
      </c>
      <c r="M468">
        <f t="shared" ca="1" si="64"/>
        <v>5</v>
      </c>
      <c r="N468" t="str">
        <f t="shared" ca="1" si="65"/>
        <v>Other</v>
      </c>
      <c r="O468" s="6">
        <f t="shared" ca="1" si="66"/>
        <v>1569</v>
      </c>
      <c r="P468">
        <f ca="1">Table1[[#This Row],[Hire Date]]-Table1[[#This Row],[Job Posting Date]]</f>
        <v>81</v>
      </c>
      <c r="Q468" s="7">
        <f ca="1">Table1[[#This Row],[Join Date]]-Table1[[#This Row],[Hire Date]]</f>
        <v>6</v>
      </c>
      <c r="R468" s="8">
        <f ca="1">(IF(Table1[[#This Row],[Status]]="Exited",Table1[[#This Row],[Exit Date]]-Table1[[#This Row],[Join Date]],TODAY()-Table1[[#This Row],[Join Date]]))/30</f>
        <v>44.3</v>
      </c>
      <c r="S468">
        <f ca="1">Table1[[#This Row],[Hire Date]]-Table1[[#This Row],[Job Posting Date]]</f>
        <v>81</v>
      </c>
      <c r="T468" s="7">
        <f ca="1">Table1[[#This Row],[Time to onboard]]/Table1[[#This Row],[Time to Fill]]*100</f>
        <v>7.4074074074074066</v>
      </c>
      <c r="U468" s="8">
        <f ca="1">Table1[[#This Row],[Time to onboard]]/Table1[[#This Row],[Time to Fill]]*100</f>
        <v>7.4074074074074066</v>
      </c>
      <c r="V468">
        <f ca="1">Table1[[#This Row],[Join Date]]-Table1[[#This Row],[Job Posting Date]]</f>
        <v>87</v>
      </c>
      <c r="W468">
        <f t="shared" ca="1" si="67"/>
        <v>177</v>
      </c>
      <c r="X468" s="8">
        <f ca="1">Table1[[#This Row],[Absentee Days]]/Table1[[#This Row],[Total Work Days]]*100</f>
        <v>1.9230769230769231</v>
      </c>
      <c r="Y468">
        <f ca="1">YEAR(Table1[[#This Row],[Join Date]])</f>
        <v>2019</v>
      </c>
      <c r="Z468">
        <f ca="1">IF(Table1[[#This Row],[Status]]="Active",1,0)</f>
        <v>0</v>
      </c>
      <c r="AA468">
        <f ca="1">IF(Table1[[#This Row],[Status]]="Exited",Table1[[#This Row],[Recruitment Cost]]+Table1[[#This Row],[Onboarding cost]]+Table1[[#This Row],[Training Cost]],0)</f>
        <v>4712</v>
      </c>
    </row>
    <row r="469" spans="1:27">
      <c r="A469" t="str">
        <f t="shared" si="63"/>
        <v>E468</v>
      </c>
      <c r="B469" t="str" cm="1">
        <f t="array" aca="1" ref="B469" ca="1">INDEX(sheet2!$A$2:$A$6, RANDBETWEEN(1, 5))</f>
        <v>Analytics</v>
      </c>
      <c r="C469" t="str">
        <f ca="1">_xlfn.XLOOKUP(Table1[[#This Row],[Department]],sheet2!$A$2:$A$6,sheet2!$B$2:$B$6,_xleta.NA,0)</f>
        <v>Data Analyst</v>
      </c>
      <c r="D469" s="1">
        <f t="shared" ca="1" si="60"/>
        <v>44410</v>
      </c>
      <c r="E469" s="1">
        <f ca="1">Table1[[#This Row],[Job Posting Date]]+ RANDBETWEEN(15, 90)</f>
        <v>44499</v>
      </c>
      <c r="F469" s="1">
        <f ca="1">Table1[[#This Row],[Hire Date]]+ RANDBETWEEN(1, 15)</f>
        <v>44508</v>
      </c>
      <c r="G469" s="1" t="str">
        <f ca="1">IF(RAND() &lt; 0.5,  Table1[[#This Row],[Join Date]]+ RANDBETWEEN(30, TODAY()- Table1[[#This Row],[Join Date]]), "-")</f>
        <v>-</v>
      </c>
      <c r="H469" t="str">
        <f ca="1">IF(Table1[[#This Row],[Exit Date]]= "-", "Active", "Exited")</f>
        <v>Active</v>
      </c>
      <c r="I469" s="5">
        <f t="shared" ca="1" si="61"/>
        <v>2606</v>
      </c>
      <c r="J469" t="str" cm="1">
        <f t="array" aca="1" ref="J469" ca="1">INDEX(sheet2!$C$2:$C$6, RANDBETWEEN(1, 5))</f>
        <v>Communication Skills</v>
      </c>
      <c r="K469" t="str">
        <f t="shared" ca="1" si="62"/>
        <v>Not Completed</v>
      </c>
      <c r="L469">
        <v>260</v>
      </c>
      <c r="M469">
        <f t="shared" ca="1" si="64"/>
        <v>1</v>
      </c>
      <c r="N469" t="str">
        <f t="shared" ca="1" si="65"/>
        <v>Other</v>
      </c>
      <c r="O469" s="6">
        <f t="shared" ca="1" si="66"/>
        <v>1947</v>
      </c>
      <c r="P469">
        <f ca="1">Table1[[#This Row],[Hire Date]]-Table1[[#This Row],[Job Posting Date]]</f>
        <v>89</v>
      </c>
      <c r="Q469" s="7">
        <f ca="1">Table1[[#This Row],[Join Date]]-Table1[[#This Row],[Hire Date]]</f>
        <v>9</v>
      </c>
      <c r="R469" s="8">
        <f ca="1">(IF(Table1[[#This Row],[Status]]="Exited",Table1[[#This Row],[Exit Date]]-Table1[[#This Row],[Join Date]],TODAY()-Table1[[#This Row],[Join Date]]))/30</f>
        <v>38.5</v>
      </c>
      <c r="S469">
        <f ca="1">Table1[[#This Row],[Hire Date]]-Table1[[#This Row],[Job Posting Date]]</f>
        <v>89</v>
      </c>
      <c r="T469" s="7">
        <f ca="1">Table1[[#This Row],[Time to onboard]]/Table1[[#This Row],[Time to Fill]]*100</f>
        <v>10.112359550561797</v>
      </c>
      <c r="U469" s="8">
        <f ca="1">Table1[[#This Row],[Time to onboard]]/Table1[[#This Row],[Time to Fill]]*100</f>
        <v>10.112359550561797</v>
      </c>
      <c r="V469">
        <f ca="1">Table1[[#This Row],[Join Date]]-Table1[[#This Row],[Job Posting Date]]</f>
        <v>98</v>
      </c>
      <c r="W469">
        <f t="shared" ca="1" si="67"/>
        <v>134</v>
      </c>
      <c r="X469" s="8">
        <f ca="1">Table1[[#This Row],[Absentee Days]]/Table1[[#This Row],[Total Work Days]]*100</f>
        <v>0.38461538461538464</v>
      </c>
      <c r="Y469">
        <f ca="1">YEAR(Table1[[#This Row],[Join Date]])</f>
        <v>2021</v>
      </c>
      <c r="Z469">
        <f ca="1">IF(Table1[[#This Row],[Status]]="Active",1,0)</f>
        <v>1</v>
      </c>
      <c r="AA469">
        <f ca="1">IF(Table1[[#This Row],[Status]]="Exited",Table1[[#This Row],[Recruitment Cost]]+Table1[[#This Row],[Onboarding cost]]+Table1[[#This Row],[Training Cost]],0)</f>
        <v>0</v>
      </c>
    </row>
    <row r="470" spans="1:27">
      <c r="A470" t="str">
        <f t="shared" si="63"/>
        <v>E469</v>
      </c>
      <c r="B470" t="str" cm="1">
        <f t="array" aca="1" ref="B470" ca="1">INDEX(sheet2!$A$2:$A$6, RANDBETWEEN(1, 5))</f>
        <v>IT</v>
      </c>
      <c r="C470" t="str">
        <f ca="1">_xlfn.XLOOKUP(Table1[[#This Row],[Department]],sheet2!$A$2:$A$6,sheet2!$B$2:$B$6,_xleta.NA,0)</f>
        <v>Software Engineer</v>
      </c>
      <c r="D470" s="1">
        <f t="shared" ca="1" si="60"/>
        <v>44281</v>
      </c>
      <c r="E470" s="1">
        <f ca="1">Table1[[#This Row],[Job Posting Date]]+ RANDBETWEEN(15, 90)</f>
        <v>44319</v>
      </c>
      <c r="F470" s="1">
        <f ca="1">Table1[[#This Row],[Hire Date]]+ RANDBETWEEN(1, 15)</f>
        <v>44334</v>
      </c>
      <c r="G470" s="1" t="str">
        <f ca="1">IF(RAND() &lt; 0.5,  Table1[[#This Row],[Join Date]]+ RANDBETWEEN(30, TODAY()- Table1[[#This Row],[Join Date]]), "-")</f>
        <v>-</v>
      </c>
      <c r="H470" t="str">
        <f ca="1">IF(Table1[[#This Row],[Exit Date]]= "-", "Active", "Exited")</f>
        <v>Active</v>
      </c>
      <c r="I470" s="5">
        <f t="shared" ca="1" si="61"/>
        <v>4139</v>
      </c>
      <c r="J470" t="str" cm="1">
        <f t="array" aca="1" ref="J470" ca="1">INDEX(sheet2!$C$2:$C$6, RANDBETWEEN(1, 5))</f>
        <v>Ethics and Responsibilities</v>
      </c>
      <c r="K470" t="str">
        <f t="shared" ca="1" si="62"/>
        <v>Not Completed</v>
      </c>
      <c r="L470">
        <v>260</v>
      </c>
      <c r="M470">
        <f t="shared" ca="1" si="64"/>
        <v>12</v>
      </c>
      <c r="N470" t="str">
        <f t="shared" ca="1" si="65"/>
        <v>Other</v>
      </c>
      <c r="O470" s="6">
        <f t="shared" ca="1" si="66"/>
        <v>1351</v>
      </c>
      <c r="P470">
        <f ca="1">Table1[[#This Row],[Hire Date]]-Table1[[#This Row],[Job Posting Date]]</f>
        <v>38</v>
      </c>
      <c r="Q470" s="7">
        <f ca="1">Table1[[#This Row],[Join Date]]-Table1[[#This Row],[Hire Date]]</f>
        <v>15</v>
      </c>
      <c r="R470" s="8">
        <f ca="1">(IF(Table1[[#This Row],[Status]]="Exited",Table1[[#This Row],[Exit Date]]-Table1[[#This Row],[Join Date]],TODAY()-Table1[[#This Row],[Join Date]]))/30</f>
        <v>44.3</v>
      </c>
      <c r="S470">
        <f ca="1">Table1[[#This Row],[Hire Date]]-Table1[[#This Row],[Job Posting Date]]</f>
        <v>38</v>
      </c>
      <c r="T470" s="7">
        <f ca="1">Table1[[#This Row],[Time to onboard]]/Table1[[#This Row],[Time to Fill]]*100</f>
        <v>39.473684210526315</v>
      </c>
      <c r="U470" s="8">
        <f ca="1">Table1[[#This Row],[Time to onboard]]/Table1[[#This Row],[Time to Fill]]*100</f>
        <v>39.473684210526315</v>
      </c>
      <c r="V470">
        <f ca="1">Table1[[#This Row],[Join Date]]-Table1[[#This Row],[Job Posting Date]]</f>
        <v>53</v>
      </c>
      <c r="W470">
        <f t="shared" ca="1" si="67"/>
        <v>176</v>
      </c>
      <c r="X470" s="8">
        <f ca="1">Table1[[#This Row],[Absentee Days]]/Table1[[#This Row],[Total Work Days]]*100</f>
        <v>4.6153846153846159</v>
      </c>
      <c r="Y470">
        <f ca="1">YEAR(Table1[[#This Row],[Join Date]])</f>
        <v>2021</v>
      </c>
      <c r="Z470">
        <f ca="1">IF(Table1[[#This Row],[Status]]="Active",1,0)</f>
        <v>1</v>
      </c>
      <c r="AA470">
        <f ca="1">IF(Table1[[#This Row],[Status]]="Exited",Table1[[#This Row],[Recruitment Cost]]+Table1[[#This Row],[Onboarding cost]]+Table1[[#This Row],[Training Cost]],0)</f>
        <v>0</v>
      </c>
    </row>
    <row r="471" spans="1:27">
      <c r="A471" t="str">
        <f t="shared" si="63"/>
        <v>E470</v>
      </c>
      <c r="B471" t="str" cm="1">
        <f t="array" aca="1" ref="B471" ca="1">INDEX(sheet2!$A$2:$A$6, RANDBETWEEN(1, 5))</f>
        <v>IT</v>
      </c>
      <c r="C471" t="str">
        <f ca="1">_xlfn.XLOOKUP(Table1[[#This Row],[Department]],sheet2!$A$2:$A$6,sheet2!$B$2:$B$6,_xleta.NA,0)</f>
        <v>Software Engineer</v>
      </c>
      <c r="D471" s="1">
        <f t="shared" ca="1" si="60"/>
        <v>44686</v>
      </c>
      <c r="E471" s="1">
        <f ca="1">Table1[[#This Row],[Job Posting Date]]+ RANDBETWEEN(15, 90)</f>
        <v>44775</v>
      </c>
      <c r="F471" s="1">
        <f ca="1">Table1[[#This Row],[Hire Date]]+ RANDBETWEEN(1, 15)</f>
        <v>44785</v>
      </c>
      <c r="G471" s="1" t="str">
        <f ca="1">IF(RAND() &lt; 0.5,  Table1[[#This Row],[Join Date]]+ RANDBETWEEN(30, TODAY()- Table1[[#This Row],[Join Date]]), "-")</f>
        <v>-</v>
      </c>
      <c r="H471" t="str">
        <f ca="1">IF(Table1[[#This Row],[Exit Date]]= "-", "Active", "Exited")</f>
        <v>Active</v>
      </c>
      <c r="I471" s="5">
        <f t="shared" ca="1" si="61"/>
        <v>3965</v>
      </c>
      <c r="J471" t="str" cm="1">
        <f t="array" aca="1" ref="J471" ca="1">INDEX(sheet2!$C$2:$C$6, RANDBETWEEN(1, 5))</f>
        <v>Conflict Resolution</v>
      </c>
      <c r="K471" t="str">
        <f t="shared" ca="1" si="62"/>
        <v>Completed</v>
      </c>
      <c r="L471">
        <v>260</v>
      </c>
      <c r="M471">
        <f t="shared" ca="1" si="64"/>
        <v>20</v>
      </c>
      <c r="N471" t="str">
        <f t="shared" ca="1" si="65"/>
        <v>Other</v>
      </c>
      <c r="O471" s="6">
        <f t="shared" ca="1" si="66"/>
        <v>1977</v>
      </c>
      <c r="P471">
        <f ca="1">Table1[[#This Row],[Hire Date]]-Table1[[#This Row],[Job Posting Date]]</f>
        <v>89</v>
      </c>
      <c r="Q471" s="7">
        <f ca="1">Table1[[#This Row],[Join Date]]-Table1[[#This Row],[Hire Date]]</f>
        <v>10</v>
      </c>
      <c r="R471" s="8">
        <f ca="1">(IF(Table1[[#This Row],[Status]]="Exited",Table1[[#This Row],[Exit Date]]-Table1[[#This Row],[Join Date]],TODAY()-Table1[[#This Row],[Join Date]]))/30</f>
        <v>29.266666666666666</v>
      </c>
      <c r="S471">
        <f ca="1">Table1[[#This Row],[Hire Date]]-Table1[[#This Row],[Job Posting Date]]</f>
        <v>89</v>
      </c>
      <c r="T471" s="7">
        <f ca="1">Table1[[#This Row],[Time to onboard]]/Table1[[#This Row],[Time to Fill]]*100</f>
        <v>11.235955056179774</v>
      </c>
      <c r="U471" s="8">
        <f ca="1">Table1[[#This Row],[Time to onboard]]/Table1[[#This Row],[Time to Fill]]*100</f>
        <v>11.235955056179774</v>
      </c>
      <c r="V471">
        <f ca="1">Table1[[#This Row],[Join Date]]-Table1[[#This Row],[Job Posting Date]]</f>
        <v>99</v>
      </c>
      <c r="W471">
        <f t="shared" ca="1" si="67"/>
        <v>161</v>
      </c>
      <c r="X471" s="8">
        <f ca="1">Table1[[#This Row],[Absentee Days]]/Table1[[#This Row],[Total Work Days]]*100</f>
        <v>7.6923076923076925</v>
      </c>
      <c r="Y471">
        <f ca="1">YEAR(Table1[[#This Row],[Join Date]])</f>
        <v>2022</v>
      </c>
      <c r="Z471">
        <f ca="1">IF(Table1[[#This Row],[Status]]="Active",1,0)</f>
        <v>1</v>
      </c>
      <c r="AA471">
        <f ca="1">IF(Table1[[#This Row],[Status]]="Exited",Table1[[#This Row],[Recruitment Cost]]+Table1[[#This Row],[Onboarding cost]]+Table1[[#This Row],[Training Cost]],0)</f>
        <v>0</v>
      </c>
    </row>
    <row r="472" spans="1:27">
      <c r="A472" t="str">
        <f t="shared" si="63"/>
        <v>E471</v>
      </c>
      <c r="B472" t="str" cm="1">
        <f t="array" aca="1" ref="B472" ca="1">INDEX(sheet2!$A$2:$A$6, RANDBETWEEN(1, 5))</f>
        <v>IT</v>
      </c>
      <c r="C472" t="str">
        <f ca="1">_xlfn.XLOOKUP(Table1[[#This Row],[Department]],sheet2!$A$2:$A$6,sheet2!$B$2:$B$6,_xleta.NA,0)</f>
        <v>Software Engineer</v>
      </c>
      <c r="D472" s="1">
        <f t="shared" ca="1" si="60"/>
        <v>44325</v>
      </c>
      <c r="E472" s="1">
        <f ca="1">Table1[[#This Row],[Job Posting Date]]+ RANDBETWEEN(15, 90)</f>
        <v>44379</v>
      </c>
      <c r="F472" s="1">
        <f ca="1">Table1[[#This Row],[Hire Date]]+ RANDBETWEEN(1, 15)</f>
        <v>44390</v>
      </c>
      <c r="G472" s="1" t="str">
        <f ca="1">IF(RAND() &lt; 0.5,  Table1[[#This Row],[Join Date]]+ RANDBETWEEN(30, TODAY()- Table1[[#This Row],[Join Date]]), "-")</f>
        <v>-</v>
      </c>
      <c r="H472" t="str">
        <f ca="1">IF(Table1[[#This Row],[Exit Date]]= "-", "Active", "Exited")</f>
        <v>Active</v>
      </c>
      <c r="I472" s="5">
        <f t="shared" ca="1" si="61"/>
        <v>3040</v>
      </c>
      <c r="J472" t="str" cm="1">
        <f t="array" aca="1" ref="J472" ca="1">INDEX(sheet2!$C$2:$C$6, RANDBETWEEN(1, 5))</f>
        <v>Advanced Excel Skills </v>
      </c>
      <c r="K472" t="str">
        <f t="shared" ca="1" si="62"/>
        <v>Not Completed</v>
      </c>
      <c r="L472">
        <v>260</v>
      </c>
      <c r="M472">
        <f t="shared" ca="1" si="64"/>
        <v>0</v>
      </c>
      <c r="N472" t="str">
        <f t="shared" ca="1" si="65"/>
        <v>Female</v>
      </c>
      <c r="O472" s="6">
        <f t="shared" ca="1" si="66"/>
        <v>1749</v>
      </c>
      <c r="P472">
        <f ca="1">Table1[[#This Row],[Hire Date]]-Table1[[#This Row],[Job Posting Date]]</f>
        <v>54</v>
      </c>
      <c r="Q472" s="7">
        <f ca="1">Table1[[#This Row],[Join Date]]-Table1[[#This Row],[Hire Date]]</f>
        <v>11</v>
      </c>
      <c r="R472" s="8">
        <f ca="1">(IF(Table1[[#This Row],[Status]]="Exited",Table1[[#This Row],[Exit Date]]-Table1[[#This Row],[Join Date]],TODAY()-Table1[[#This Row],[Join Date]]))/30</f>
        <v>42.43333333333333</v>
      </c>
      <c r="S472">
        <f ca="1">Table1[[#This Row],[Hire Date]]-Table1[[#This Row],[Job Posting Date]]</f>
        <v>54</v>
      </c>
      <c r="T472" s="7">
        <f ca="1">Table1[[#This Row],[Time to onboard]]/Table1[[#This Row],[Time to Fill]]*100</f>
        <v>20.37037037037037</v>
      </c>
      <c r="U472" s="8">
        <f ca="1">Table1[[#This Row],[Time to onboard]]/Table1[[#This Row],[Time to Fill]]*100</f>
        <v>20.37037037037037</v>
      </c>
      <c r="V472">
        <f ca="1">Table1[[#This Row],[Join Date]]-Table1[[#This Row],[Job Posting Date]]</f>
        <v>65</v>
      </c>
      <c r="W472">
        <f t="shared" ca="1" si="67"/>
        <v>125</v>
      </c>
      <c r="X472" s="8">
        <f ca="1">Table1[[#This Row],[Absentee Days]]/Table1[[#This Row],[Total Work Days]]*100</f>
        <v>0</v>
      </c>
      <c r="Y472">
        <f ca="1">YEAR(Table1[[#This Row],[Join Date]])</f>
        <v>2021</v>
      </c>
      <c r="Z472">
        <f ca="1">IF(Table1[[#This Row],[Status]]="Active",1,0)</f>
        <v>1</v>
      </c>
      <c r="AA472">
        <f ca="1">IF(Table1[[#This Row],[Status]]="Exited",Table1[[#This Row],[Recruitment Cost]]+Table1[[#This Row],[Onboarding cost]]+Table1[[#This Row],[Training Cost]],0)</f>
        <v>0</v>
      </c>
    </row>
    <row r="473" spans="1:27">
      <c r="A473" t="str">
        <f t="shared" si="63"/>
        <v>E472</v>
      </c>
      <c r="B473" t="str" cm="1">
        <f t="array" aca="1" ref="B473" ca="1">INDEX(sheet2!$A$2:$A$6, RANDBETWEEN(1, 5))</f>
        <v>HR</v>
      </c>
      <c r="C473" t="str">
        <f ca="1">_xlfn.XLOOKUP(Table1[[#This Row],[Department]],sheet2!$A$2:$A$6,sheet2!$B$2:$B$6,_xleta.NA,0)</f>
        <v>HR Manager</v>
      </c>
      <c r="D473" s="1">
        <f t="shared" ca="1" si="60"/>
        <v>44456</v>
      </c>
      <c r="E473" s="1">
        <f ca="1">Table1[[#This Row],[Job Posting Date]]+ RANDBETWEEN(15, 90)</f>
        <v>44507</v>
      </c>
      <c r="F473" s="1">
        <f ca="1">Table1[[#This Row],[Hire Date]]+ RANDBETWEEN(1, 15)</f>
        <v>44511</v>
      </c>
      <c r="G473" s="1" t="str">
        <f ca="1">IF(RAND() &lt; 0.5,  Table1[[#This Row],[Join Date]]+ RANDBETWEEN(30, TODAY()- Table1[[#This Row],[Join Date]]), "-")</f>
        <v>-</v>
      </c>
      <c r="H473" t="str">
        <f ca="1">IF(Table1[[#This Row],[Exit Date]]= "-", "Active", "Exited")</f>
        <v>Active</v>
      </c>
      <c r="I473" s="5">
        <f t="shared" ca="1" si="61"/>
        <v>1666</v>
      </c>
      <c r="J473" t="str" cm="1">
        <f t="array" aca="1" ref="J473" ca="1">INDEX(sheet2!$C$2:$C$6, RANDBETWEEN(1, 5))</f>
        <v>Communication Skills</v>
      </c>
      <c r="K473" t="str">
        <f t="shared" ca="1" si="62"/>
        <v>Completed</v>
      </c>
      <c r="L473">
        <v>260</v>
      </c>
      <c r="M473">
        <f t="shared" ca="1" si="64"/>
        <v>5</v>
      </c>
      <c r="N473" t="str">
        <f t="shared" ca="1" si="65"/>
        <v>Other</v>
      </c>
      <c r="O473" s="6">
        <f t="shared" ca="1" si="66"/>
        <v>1272</v>
      </c>
      <c r="P473">
        <f ca="1">Table1[[#This Row],[Hire Date]]-Table1[[#This Row],[Job Posting Date]]</f>
        <v>51</v>
      </c>
      <c r="Q473" s="7">
        <f ca="1">Table1[[#This Row],[Join Date]]-Table1[[#This Row],[Hire Date]]</f>
        <v>4</v>
      </c>
      <c r="R473" s="8">
        <f ca="1">(IF(Table1[[#This Row],[Status]]="Exited",Table1[[#This Row],[Exit Date]]-Table1[[#This Row],[Join Date]],TODAY()-Table1[[#This Row],[Join Date]]))/30</f>
        <v>38.4</v>
      </c>
      <c r="S473">
        <f ca="1">Table1[[#This Row],[Hire Date]]-Table1[[#This Row],[Job Posting Date]]</f>
        <v>51</v>
      </c>
      <c r="T473" s="7">
        <f ca="1">Table1[[#This Row],[Time to onboard]]/Table1[[#This Row],[Time to Fill]]*100</f>
        <v>7.8431372549019605</v>
      </c>
      <c r="U473" s="8">
        <f ca="1">Table1[[#This Row],[Time to onboard]]/Table1[[#This Row],[Time to Fill]]*100</f>
        <v>7.8431372549019605</v>
      </c>
      <c r="V473">
        <f ca="1">Table1[[#This Row],[Join Date]]-Table1[[#This Row],[Job Posting Date]]</f>
        <v>55</v>
      </c>
      <c r="W473">
        <f t="shared" ca="1" si="67"/>
        <v>188</v>
      </c>
      <c r="X473" s="8">
        <f ca="1">Table1[[#This Row],[Absentee Days]]/Table1[[#This Row],[Total Work Days]]*100</f>
        <v>1.9230769230769231</v>
      </c>
      <c r="Y473">
        <f ca="1">YEAR(Table1[[#This Row],[Join Date]])</f>
        <v>2021</v>
      </c>
      <c r="Z473">
        <f ca="1">IF(Table1[[#This Row],[Status]]="Active",1,0)</f>
        <v>1</v>
      </c>
      <c r="AA473">
        <f ca="1">IF(Table1[[#This Row],[Status]]="Exited",Table1[[#This Row],[Recruitment Cost]]+Table1[[#This Row],[Onboarding cost]]+Table1[[#This Row],[Training Cost]],0)</f>
        <v>0</v>
      </c>
    </row>
    <row r="474" spans="1:27">
      <c r="A474" t="str">
        <f t="shared" si="63"/>
        <v>E473</v>
      </c>
      <c r="B474" t="str" cm="1">
        <f t="array" aca="1" ref="B474" ca="1">INDEX(sheet2!$A$2:$A$6, RANDBETWEEN(1, 5))</f>
        <v>Finance</v>
      </c>
      <c r="C474" t="str">
        <f ca="1">_xlfn.XLOOKUP(Table1[[#This Row],[Department]],sheet2!$A$2:$A$6,sheet2!$B$2:$B$6,_xleta.NA,0)</f>
        <v>Finance Manager</v>
      </c>
      <c r="D474" s="1">
        <f t="shared" ca="1" si="60"/>
        <v>43460</v>
      </c>
      <c r="E474" s="1">
        <f ca="1">Table1[[#This Row],[Job Posting Date]]+ RANDBETWEEN(15, 90)</f>
        <v>43522</v>
      </c>
      <c r="F474" s="1">
        <f ca="1">Table1[[#This Row],[Hire Date]]+ RANDBETWEEN(1, 15)</f>
        <v>43525</v>
      </c>
      <c r="G474" s="1">
        <f ca="1">IF(RAND() &lt; 0.5,  Table1[[#This Row],[Join Date]]+ RANDBETWEEN(30, TODAY()- Table1[[#This Row],[Join Date]]), "-")</f>
        <v>45039</v>
      </c>
      <c r="H474" t="str">
        <f ca="1">IF(Table1[[#This Row],[Exit Date]]= "-", "Active", "Exited")</f>
        <v>Exited</v>
      </c>
      <c r="I474" s="5">
        <f t="shared" ca="1" si="61"/>
        <v>1743</v>
      </c>
      <c r="J474" t="str" cm="1">
        <f t="array" aca="1" ref="J474" ca="1">INDEX(sheet2!$C$2:$C$6, RANDBETWEEN(1, 5))</f>
        <v>Conflict Resolution</v>
      </c>
      <c r="K474" t="str">
        <f t="shared" ca="1" si="62"/>
        <v>Completed</v>
      </c>
      <c r="L474">
        <v>260</v>
      </c>
      <c r="M474">
        <f t="shared" ca="1" si="64"/>
        <v>17</v>
      </c>
      <c r="N474" t="str">
        <f t="shared" ca="1" si="65"/>
        <v>Female</v>
      </c>
      <c r="O474" s="6">
        <f t="shared" ca="1" si="66"/>
        <v>1832</v>
      </c>
      <c r="P474">
        <f ca="1">Table1[[#This Row],[Hire Date]]-Table1[[#This Row],[Job Posting Date]]</f>
        <v>62</v>
      </c>
      <c r="Q474" s="7">
        <f ca="1">Table1[[#This Row],[Join Date]]-Table1[[#This Row],[Hire Date]]</f>
        <v>3</v>
      </c>
      <c r="R474" s="8">
        <f ca="1">(IF(Table1[[#This Row],[Status]]="Exited",Table1[[#This Row],[Exit Date]]-Table1[[#This Row],[Join Date]],TODAY()-Table1[[#This Row],[Join Date]]))/30</f>
        <v>50.466666666666669</v>
      </c>
      <c r="S474">
        <f ca="1">Table1[[#This Row],[Hire Date]]-Table1[[#This Row],[Job Posting Date]]</f>
        <v>62</v>
      </c>
      <c r="T474" s="7">
        <f ca="1">Table1[[#This Row],[Time to onboard]]/Table1[[#This Row],[Time to Fill]]*100</f>
        <v>4.838709677419355</v>
      </c>
      <c r="U474" s="8">
        <f ca="1">Table1[[#This Row],[Time to onboard]]/Table1[[#This Row],[Time to Fill]]*100</f>
        <v>4.838709677419355</v>
      </c>
      <c r="V474">
        <f ca="1">Table1[[#This Row],[Join Date]]-Table1[[#This Row],[Job Posting Date]]</f>
        <v>65</v>
      </c>
      <c r="W474">
        <f t="shared" ca="1" si="67"/>
        <v>166</v>
      </c>
      <c r="X474" s="8">
        <f ca="1">Table1[[#This Row],[Absentee Days]]/Table1[[#This Row],[Total Work Days]]*100</f>
        <v>6.5384615384615392</v>
      </c>
      <c r="Y474">
        <f ca="1">YEAR(Table1[[#This Row],[Join Date]])</f>
        <v>2019</v>
      </c>
      <c r="Z474">
        <f ca="1">IF(Table1[[#This Row],[Status]]="Active",1,0)</f>
        <v>0</v>
      </c>
      <c r="AA474">
        <f ca="1">IF(Table1[[#This Row],[Status]]="Exited",Table1[[#This Row],[Recruitment Cost]]+Table1[[#This Row],[Onboarding cost]]+Table1[[#This Row],[Training Cost]],0)</f>
        <v>3741</v>
      </c>
    </row>
    <row r="475" spans="1:27">
      <c r="A475" t="str">
        <f t="shared" si="63"/>
        <v>E474</v>
      </c>
      <c r="B475" t="str" cm="1">
        <f t="array" aca="1" ref="B475" ca="1">INDEX(sheet2!$A$2:$A$6, RANDBETWEEN(1, 5))</f>
        <v>IT</v>
      </c>
      <c r="C475" t="str">
        <f ca="1">_xlfn.XLOOKUP(Table1[[#This Row],[Department]],sheet2!$A$2:$A$6,sheet2!$B$2:$B$6,_xleta.NA,0)</f>
        <v>Software Engineer</v>
      </c>
      <c r="D475" s="1">
        <f t="shared" ca="1" si="60"/>
        <v>43330</v>
      </c>
      <c r="E475" s="1">
        <f ca="1">Table1[[#This Row],[Job Posting Date]]+ RANDBETWEEN(15, 90)</f>
        <v>43363</v>
      </c>
      <c r="F475" s="1">
        <f ca="1">Table1[[#This Row],[Hire Date]]+ RANDBETWEEN(1, 15)</f>
        <v>43369</v>
      </c>
      <c r="G475" s="1" t="str">
        <f ca="1">IF(RAND() &lt; 0.5,  Table1[[#This Row],[Join Date]]+ RANDBETWEEN(30, TODAY()- Table1[[#This Row],[Join Date]]), "-")</f>
        <v>-</v>
      </c>
      <c r="H475" t="str">
        <f ca="1">IF(Table1[[#This Row],[Exit Date]]= "-", "Active", "Exited")</f>
        <v>Active</v>
      </c>
      <c r="I475" s="5">
        <f t="shared" ca="1" si="61"/>
        <v>4472</v>
      </c>
      <c r="J475" t="str" cm="1">
        <f t="array" aca="1" ref="J475" ca="1">INDEX(sheet2!$C$2:$C$6, RANDBETWEEN(1, 5))</f>
        <v>Communication Skills</v>
      </c>
      <c r="K475" t="str">
        <f t="shared" ca="1" si="62"/>
        <v>Completed</v>
      </c>
      <c r="L475">
        <v>260</v>
      </c>
      <c r="M475">
        <f t="shared" ca="1" si="64"/>
        <v>18</v>
      </c>
      <c r="N475" t="str">
        <f t="shared" ca="1" si="65"/>
        <v>Male</v>
      </c>
      <c r="O475" s="6">
        <f t="shared" ca="1" si="66"/>
        <v>2389</v>
      </c>
      <c r="P475">
        <f ca="1">Table1[[#This Row],[Hire Date]]-Table1[[#This Row],[Job Posting Date]]</f>
        <v>33</v>
      </c>
      <c r="Q475" s="7">
        <f ca="1">Table1[[#This Row],[Join Date]]-Table1[[#This Row],[Hire Date]]</f>
        <v>6</v>
      </c>
      <c r="R475" s="8">
        <f ca="1">(IF(Table1[[#This Row],[Status]]="Exited",Table1[[#This Row],[Exit Date]]-Table1[[#This Row],[Join Date]],TODAY()-Table1[[#This Row],[Join Date]]))/30</f>
        <v>76.466666666666669</v>
      </c>
      <c r="S475">
        <f ca="1">Table1[[#This Row],[Hire Date]]-Table1[[#This Row],[Job Posting Date]]</f>
        <v>33</v>
      </c>
      <c r="T475" s="7">
        <f ca="1">Table1[[#This Row],[Time to onboard]]/Table1[[#This Row],[Time to Fill]]*100</f>
        <v>18.181818181818183</v>
      </c>
      <c r="U475" s="8">
        <f ca="1">Table1[[#This Row],[Time to onboard]]/Table1[[#This Row],[Time to Fill]]*100</f>
        <v>18.181818181818183</v>
      </c>
      <c r="V475">
        <f ca="1">Table1[[#This Row],[Join Date]]-Table1[[#This Row],[Job Posting Date]]</f>
        <v>39</v>
      </c>
      <c r="W475">
        <f t="shared" ca="1" si="67"/>
        <v>137</v>
      </c>
      <c r="X475" s="8">
        <f ca="1">Table1[[#This Row],[Absentee Days]]/Table1[[#This Row],[Total Work Days]]*100</f>
        <v>6.9230769230769234</v>
      </c>
      <c r="Y475">
        <f ca="1">YEAR(Table1[[#This Row],[Join Date]])</f>
        <v>2018</v>
      </c>
      <c r="Z475">
        <f ca="1">IF(Table1[[#This Row],[Status]]="Active",1,0)</f>
        <v>1</v>
      </c>
      <c r="AA475">
        <f ca="1">IF(Table1[[#This Row],[Status]]="Exited",Table1[[#This Row],[Recruitment Cost]]+Table1[[#This Row],[Onboarding cost]]+Table1[[#This Row],[Training Cost]],0)</f>
        <v>0</v>
      </c>
    </row>
    <row r="476" spans="1:27">
      <c r="A476" t="str">
        <f t="shared" si="63"/>
        <v>E475</v>
      </c>
      <c r="B476" t="str" cm="1">
        <f t="array" aca="1" ref="B476" ca="1">INDEX(sheet2!$A$2:$A$6, RANDBETWEEN(1, 5))</f>
        <v>Sales</v>
      </c>
      <c r="C476" t="str">
        <f ca="1">_xlfn.XLOOKUP(Table1[[#This Row],[Department]],sheet2!$A$2:$A$6,sheet2!$B$2:$B$6,_xleta.NA,0)</f>
        <v>Marketing Manager</v>
      </c>
      <c r="D476" s="1">
        <f t="shared" ca="1" si="60"/>
        <v>43518</v>
      </c>
      <c r="E476" s="1">
        <f ca="1">Table1[[#This Row],[Job Posting Date]]+ RANDBETWEEN(15, 90)</f>
        <v>43608</v>
      </c>
      <c r="F476" s="1">
        <f ca="1">Table1[[#This Row],[Hire Date]]+ RANDBETWEEN(1, 15)</f>
        <v>43615</v>
      </c>
      <c r="G476" s="1">
        <f ca="1">IF(RAND() &lt; 0.5,  Table1[[#This Row],[Join Date]]+ RANDBETWEEN(30, TODAY()- Table1[[#This Row],[Join Date]]), "-")</f>
        <v>44584</v>
      </c>
      <c r="H476" t="str">
        <f ca="1">IF(Table1[[#This Row],[Exit Date]]= "-", "Active", "Exited")</f>
        <v>Exited</v>
      </c>
      <c r="I476" s="5">
        <f t="shared" ca="1" si="61"/>
        <v>3492</v>
      </c>
      <c r="J476" t="str" cm="1">
        <f t="array" aca="1" ref="J476" ca="1">INDEX(sheet2!$C$2:$C$6, RANDBETWEEN(1, 5))</f>
        <v>Ethics and Responsibilities</v>
      </c>
      <c r="K476" t="str">
        <f t="shared" ca="1" si="62"/>
        <v>Not Completed</v>
      </c>
      <c r="L476">
        <v>260</v>
      </c>
      <c r="M476">
        <f t="shared" ca="1" si="64"/>
        <v>2</v>
      </c>
      <c r="N476" t="str">
        <f t="shared" ca="1" si="65"/>
        <v>Other</v>
      </c>
      <c r="O476" s="6">
        <f t="shared" ca="1" si="66"/>
        <v>1666</v>
      </c>
      <c r="P476">
        <f ca="1">Table1[[#This Row],[Hire Date]]-Table1[[#This Row],[Job Posting Date]]</f>
        <v>90</v>
      </c>
      <c r="Q476" s="7">
        <f ca="1">Table1[[#This Row],[Join Date]]-Table1[[#This Row],[Hire Date]]</f>
        <v>7</v>
      </c>
      <c r="R476" s="8">
        <f ca="1">(IF(Table1[[#This Row],[Status]]="Exited",Table1[[#This Row],[Exit Date]]-Table1[[#This Row],[Join Date]],TODAY()-Table1[[#This Row],[Join Date]]))/30</f>
        <v>32.299999999999997</v>
      </c>
      <c r="S476">
        <f ca="1">Table1[[#This Row],[Hire Date]]-Table1[[#This Row],[Job Posting Date]]</f>
        <v>90</v>
      </c>
      <c r="T476" s="7">
        <f ca="1">Table1[[#This Row],[Time to onboard]]/Table1[[#This Row],[Time to Fill]]*100</f>
        <v>7.7777777777777777</v>
      </c>
      <c r="U476" s="8">
        <f ca="1">Table1[[#This Row],[Time to onboard]]/Table1[[#This Row],[Time to Fill]]*100</f>
        <v>7.7777777777777777</v>
      </c>
      <c r="V476">
        <f ca="1">Table1[[#This Row],[Join Date]]-Table1[[#This Row],[Job Posting Date]]</f>
        <v>97</v>
      </c>
      <c r="W476">
        <f t="shared" ca="1" si="67"/>
        <v>169</v>
      </c>
      <c r="X476" s="8">
        <f ca="1">Table1[[#This Row],[Absentee Days]]/Table1[[#This Row],[Total Work Days]]*100</f>
        <v>0.76923076923076927</v>
      </c>
      <c r="Y476">
        <f ca="1">YEAR(Table1[[#This Row],[Join Date]])</f>
        <v>2019</v>
      </c>
      <c r="Z476">
        <f ca="1">IF(Table1[[#This Row],[Status]]="Active",1,0)</f>
        <v>0</v>
      </c>
      <c r="AA476">
        <f ca="1">IF(Table1[[#This Row],[Status]]="Exited",Table1[[#This Row],[Recruitment Cost]]+Table1[[#This Row],[Onboarding cost]]+Table1[[#This Row],[Training Cost]],0)</f>
        <v>5327</v>
      </c>
    </row>
    <row r="477" spans="1:27">
      <c r="A477" t="str">
        <f t="shared" si="63"/>
        <v>E476</v>
      </c>
      <c r="B477" t="str" cm="1">
        <f t="array" aca="1" ref="B477" ca="1">INDEX(sheet2!$A$2:$A$6, RANDBETWEEN(1, 5))</f>
        <v>IT</v>
      </c>
      <c r="C477" t="str">
        <f ca="1">_xlfn.XLOOKUP(Table1[[#This Row],[Department]],sheet2!$A$2:$A$6,sheet2!$B$2:$B$6,_xleta.NA,0)</f>
        <v>Software Engineer</v>
      </c>
      <c r="D477" s="1">
        <f t="shared" ca="1" si="60"/>
        <v>43969</v>
      </c>
      <c r="E477" s="1">
        <f ca="1">Table1[[#This Row],[Job Posting Date]]+ RANDBETWEEN(15, 90)</f>
        <v>44001</v>
      </c>
      <c r="F477" s="1">
        <f ca="1">Table1[[#This Row],[Hire Date]]+ RANDBETWEEN(1, 15)</f>
        <v>44015</v>
      </c>
      <c r="G477" s="1">
        <f ca="1">IF(RAND() &lt; 0.5,  Table1[[#This Row],[Join Date]]+ RANDBETWEEN(30, TODAY()- Table1[[#This Row],[Join Date]]), "-")</f>
        <v>45405</v>
      </c>
      <c r="H477" t="str">
        <f ca="1">IF(Table1[[#This Row],[Exit Date]]= "-", "Active", "Exited")</f>
        <v>Exited</v>
      </c>
      <c r="I477" s="5">
        <f t="shared" ca="1" si="61"/>
        <v>2720</v>
      </c>
      <c r="J477" t="str" cm="1">
        <f t="array" aca="1" ref="J477" ca="1">INDEX(sheet2!$C$2:$C$6, RANDBETWEEN(1, 5))</f>
        <v>Communication Skills</v>
      </c>
      <c r="K477" t="str">
        <f t="shared" ca="1" si="62"/>
        <v>Completed</v>
      </c>
      <c r="L477">
        <v>260</v>
      </c>
      <c r="M477">
        <f t="shared" ca="1" si="64"/>
        <v>19</v>
      </c>
      <c r="N477" t="str">
        <f t="shared" ca="1" si="65"/>
        <v>Female</v>
      </c>
      <c r="O477" s="6">
        <f t="shared" ca="1" si="66"/>
        <v>1608</v>
      </c>
      <c r="P477">
        <f ca="1">Table1[[#This Row],[Hire Date]]-Table1[[#This Row],[Job Posting Date]]</f>
        <v>32</v>
      </c>
      <c r="Q477" s="7">
        <f ca="1">Table1[[#This Row],[Join Date]]-Table1[[#This Row],[Hire Date]]</f>
        <v>14</v>
      </c>
      <c r="R477" s="8">
        <f ca="1">(IF(Table1[[#This Row],[Status]]="Exited",Table1[[#This Row],[Exit Date]]-Table1[[#This Row],[Join Date]],TODAY()-Table1[[#This Row],[Join Date]]))/30</f>
        <v>46.333333333333336</v>
      </c>
      <c r="S477">
        <f ca="1">Table1[[#This Row],[Hire Date]]-Table1[[#This Row],[Job Posting Date]]</f>
        <v>32</v>
      </c>
      <c r="T477" s="7">
        <f ca="1">Table1[[#This Row],[Time to onboard]]/Table1[[#This Row],[Time to Fill]]*100</f>
        <v>43.75</v>
      </c>
      <c r="U477" s="8">
        <f ca="1">Table1[[#This Row],[Time to onboard]]/Table1[[#This Row],[Time to Fill]]*100</f>
        <v>43.75</v>
      </c>
      <c r="V477">
        <f ca="1">Table1[[#This Row],[Join Date]]-Table1[[#This Row],[Job Posting Date]]</f>
        <v>46</v>
      </c>
      <c r="W477">
        <f t="shared" ca="1" si="67"/>
        <v>112</v>
      </c>
      <c r="X477" s="8">
        <f ca="1">Table1[[#This Row],[Absentee Days]]/Table1[[#This Row],[Total Work Days]]*100</f>
        <v>7.3076923076923084</v>
      </c>
      <c r="Y477">
        <f ca="1">YEAR(Table1[[#This Row],[Join Date]])</f>
        <v>2020</v>
      </c>
      <c r="Z477">
        <f ca="1">IF(Table1[[#This Row],[Status]]="Active",1,0)</f>
        <v>0</v>
      </c>
      <c r="AA477">
        <f ca="1">IF(Table1[[#This Row],[Status]]="Exited",Table1[[#This Row],[Recruitment Cost]]+Table1[[#This Row],[Onboarding cost]]+Table1[[#This Row],[Training Cost]],0)</f>
        <v>4440</v>
      </c>
    </row>
    <row r="478" spans="1:27">
      <c r="A478" t="str">
        <f t="shared" si="63"/>
        <v>E477</v>
      </c>
      <c r="B478" t="str" cm="1">
        <f t="array" aca="1" ref="B478" ca="1">INDEX(sheet2!$A$2:$A$6, RANDBETWEEN(1, 5))</f>
        <v>Sales</v>
      </c>
      <c r="C478" t="str">
        <f ca="1">_xlfn.XLOOKUP(Table1[[#This Row],[Department]],sheet2!$A$2:$A$6,sheet2!$B$2:$B$6,_xleta.NA,0)</f>
        <v>Marketing Manager</v>
      </c>
      <c r="D478" s="1">
        <f t="shared" ca="1" si="60"/>
        <v>43193</v>
      </c>
      <c r="E478" s="1">
        <f ca="1">Table1[[#This Row],[Job Posting Date]]+ RANDBETWEEN(15, 90)</f>
        <v>43219</v>
      </c>
      <c r="F478" s="1">
        <f ca="1">Table1[[#This Row],[Hire Date]]+ RANDBETWEEN(1, 15)</f>
        <v>43230</v>
      </c>
      <c r="G478" s="1">
        <f ca="1">IF(RAND() &lt; 0.5,  Table1[[#This Row],[Join Date]]+ RANDBETWEEN(30, TODAY()- Table1[[#This Row],[Join Date]]), "-")</f>
        <v>44150</v>
      </c>
      <c r="H478" t="str">
        <f ca="1">IF(Table1[[#This Row],[Exit Date]]= "-", "Active", "Exited")</f>
        <v>Exited</v>
      </c>
      <c r="I478" s="5">
        <f t="shared" ca="1" si="61"/>
        <v>4244</v>
      </c>
      <c r="J478" t="str" cm="1">
        <f t="array" aca="1" ref="J478" ca="1">INDEX(sheet2!$C$2:$C$6, RANDBETWEEN(1, 5))</f>
        <v>Leadership Development</v>
      </c>
      <c r="K478" t="str">
        <f t="shared" ca="1" si="62"/>
        <v>Not Completed</v>
      </c>
      <c r="L478">
        <v>260</v>
      </c>
      <c r="M478">
        <f t="shared" ca="1" si="64"/>
        <v>11</v>
      </c>
      <c r="N478" t="str">
        <f t="shared" ca="1" si="65"/>
        <v>Other</v>
      </c>
      <c r="O478" s="6">
        <f t="shared" ca="1" si="66"/>
        <v>2308</v>
      </c>
      <c r="P478">
        <f ca="1">Table1[[#This Row],[Hire Date]]-Table1[[#This Row],[Job Posting Date]]</f>
        <v>26</v>
      </c>
      <c r="Q478" s="7">
        <f ca="1">Table1[[#This Row],[Join Date]]-Table1[[#This Row],[Hire Date]]</f>
        <v>11</v>
      </c>
      <c r="R478" s="8">
        <f ca="1">(IF(Table1[[#This Row],[Status]]="Exited",Table1[[#This Row],[Exit Date]]-Table1[[#This Row],[Join Date]],TODAY()-Table1[[#This Row],[Join Date]]))/30</f>
        <v>30.666666666666668</v>
      </c>
      <c r="S478">
        <f ca="1">Table1[[#This Row],[Hire Date]]-Table1[[#This Row],[Job Posting Date]]</f>
        <v>26</v>
      </c>
      <c r="T478" s="7">
        <f ca="1">Table1[[#This Row],[Time to onboard]]/Table1[[#This Row],[Time to Fill]]*100</f>
        <v>42.307692307692307</v>
      </c>
      <c r="U478" s="8">
        <f ca="1">Table1[[#This Row],[Time to onboard]]/Table1[[#This Row],[Time to Fill]]*100</f>
        <v>42.307692307692307</v>
      </c>
      <c r="V478">
        <f ca="1">Table1[[#This Row],[Join Date]]-Table1[[#This Row],[Job Posting Date]]</f>
        <v>37</v>
      </c>
      <c r="W478">
        <f t="shared" ca="1" si="67"/>
        <v>107</v>
      </c>
      <c r="X478" s="8">
        <f ca="1">Table1[[#This Row],[Absentee Days]]/Table1[[#This Row],[Total Work Days]]*100</f>
        <v>4.2307692307692308</v>
      </c>
      <c r="Y478">
        <f ca="1">YEAR(Table1[[#This Row],[Join Date]])</f>
        <v>2018</v>
      </c>
      <c r="Z478">
        <f ca="1">IF(Table1[[#This Row],[Status]]="Active",1,0)</f>
        <v>0</v>
      </c>
      <c r="AA478">
        <f ca="1">IF(Table1[[#This Row],[Status]]="Exited",Table1[[#This Row],[Recruitment Cost]]+Table1[[#This Row],[Onboarding cost]]+Table1[[#This Row],[Training Cost]],0)</f>
        <v>6659</v>
      </c>
    </row>
    <row r="479" spans="1:27">
      <c r="A479" t="str">
        <f t="shared" si="63"/>
        <v>E478</v>
      </c>
      <c r="B479" t="str" cm="1">
        <f t="array" aca="1" ref="B479" ca="1">INDEX(sheet2!$A$2:$A$6, RANDBETWEEN(1, 5))</f>
        <v>Sales</v>
      </c>
      <c r="C479" t="str">
        <f ca="1">_xlfn.XLOOKUP(Table1[[#This Row],[Department]],sheet2!$A$2:$A$6,sheet2!$B$2:$B$6,_xleta.NA,0)</f>
        <v>Marketing Manager</v>
      </c>
      <c r="D479" s="1">
        <f t="shared" ca="1" si="60"/>
        <v>44000</v>
      </c>
      <c r="E479" s="1">
        <f ca="1">Table1[[#This Row],[Job Posting Date]]+ RANDBETWEEN(15, 90)</f>
        <v>44080</v>
      </c>
      <c r="F479" s="1">
        <f ca="1">Table1[[#This Row],[Hire Date]]+ RANDBETWEEN(1, 15)</f>
        <v>44081</v>
      </c>
      <c r="G479" s="1" t="str">
        <f ca="1">IF(RAND() &lt; 0.5,  Table1[[#This Row],[Join Date]]+ RANDBETWEEN(30, TODAY()- Table1[[#This Row],[Join Date]]), "-")</f>
        <v>-</v>
      </c>
      <c r="H479" t="str">
        <f ca="1">IF(Table1[[#This Row],[Exit Date]]= "-", "Active", "Exited")</f>
        <v>Active</v>
      </c>
      <c r="I479" s="5">
        <f t="shared" ca="1" si="61"/>
        <v>3984</v>
      </c>
      <c r="J479" t="str" cm="1">
        <f t="array" aca="1" ref="J479" ca="1">INDEX(sheet2!$C$2:$C$6, RANDBETWEEN(1, 5))</f>
        <v>Ethics and Responsibilities</v>
      </c>
      <c r="K479" t="str">
        <f t="shared" ca="1" si="62"/>
        <v>Completed</v>
      </c>
      <c r="L479">
        <v>260</v>
      </c>
      <c r="M479">
        <f t="shared" ca="1" si="64"/>
        <v>16</v>
      </c>
      <c r="N479" t="str">
        <f t="shared" ca="1" si="65"/>
        <v>Other</v>
      </c>
      <c r="O479" s="6">
        <f t="shared" ca="1" si="66"/>
        <v>1442</v>
      </c>
      <c r="P479">
        <f ca="1">Table1[[#This Row],[Hire Date]]-Table1[[#This Row],[Job Posting Date]]</f>
        <v>80</v>
      </c>
      <c r="Q479" s="7">
        <f ca="1">Table1[[#This Row],[Join Date]]-Table1[[#This Row],[Hire Date]]</f>
        <v>1</v>
      </c>
      <c r="R479" s="8">
        <f ca="1">(IF(Table1[[#This Row],[Status]]="Exited",Table1[[#This Row],[Exit Date]]-Table1[[#This Row],[Join Date]],TODAY()-Table1[[#This Row],[Join Date]]))/30</f>
        <v>52.733333333333334</v>
      </c>
      <c r="S479">
        <f ca="1">Table1[[#This Row],[Hire Date]]-Table1[[#This Row],[Job Posting Date]]</f>
        <v>80</v>
      </c>
      <c r="T479" s="7">
        <f ca="1">Table1[[#This Row],[Time to onboard]]/Table1[[#This Row],[Time to Fill]]*100</f>
        <v>1.25</v>
      </c>
      <c r="U479" s="8">
        <f ca="1">Table1[[#This Row],[Time to onboard]]/Table1[[#This Row],[Time to Fill]]*100</f>
        <v>1.25</v>
      </c>
      <c r="V479">
        <f ca="1">Table1[[#This Row],[Join Date]]-Table1[[#This Row],[Job Posting Date]]</f>
        <v>81</v>
      </c>
      <c r="W479">
        <f t="shared" ca="1" si="67"/>
        <v>120</v>
      </c>
      <c r="X479" s="8">
        <f ca="1">Table1[[#This Row],[Absentee Days]]/Table1[[#This Row],[Total Work Days]]*100</f>
        <v>6.1538461538461542</v>
      </c>
      <c r="Y479">
        <f ca="1">YEAR(Table1[[#This Row],[Join Date]])</f>
        <v>2020</v>
      </c>
      <c r="Z479">
        <f ca="1">IF(Table1[[#This Row],[Status]]="Active",1,0)</f>
        <v>1</v>
      </c>
      <c r="AA479">
        <f ca="1">IF(Table1[[#This Row],[Status]]="Exited",Table1[[#This Row],[Recruitment Cost]]+Table1[[#This Row],[Onboarding cost]]+Table1[[#This Row],[Training Cost]],0)</f>
        <v>0</v>
      </c>
    </row>
    <row r="480" spans="1:27">
      <c r="A480" t="str">
        <f t="shared" si="63"/>
        <v>E479</v>
      </c>
      <c r="B480" t="str" cm="1">
        <f t="array" aca="1" ref="B480" ca="1">INDEX(sheet2!$A$2:$A$6, RANDBETWEEN(1, 5))</f>
        <v>HR</v>
      </c>
      <c r="C480" t="str">
        <f ca="1">_xlfn.XLOOKUP(Table1[[#This Row],[Department]],sheet2!$A$2:$A$6,sheet2!$B$2:$B$6,_xleta.NA,0)</f>
        <v>HR Manager</v>
      </c>
      <c r="D480" s="1">
        <f t="shared" ca="1" si="60"/>
        <v>44883</v>
      </c>
      <c r="E480" s="1">
        <f ca="1">Table1[[#This Row],[Job Posting Date]]+ RANDBETWEEN(15, 90)</f>
        <v>44946</v>
      </c>
      <c r="F480" s="1">
        <f ca="1">Table1[[#This Row],[Hire Date]]+ RANDBETWEEN(1, 15)</f>
        <v>44950</v>
      </c>
      <c r="G480" s="1" t="str">
        <f ca="1">IF(RAND() &lt; 0.5,  Table1[[#This Row],[Join Date]]+ RANDBETWEEN(30, TODAY()- Table1[[#This Row],[Join Date]]), "-")</f>
        <v>-</v>
      </c>
      <c r="H480" t="str">
        <f ca="1">IF(Table1[[#This Row],[Exit Date]]= "-", "Active", "Exited")</f>
        <v>Active</v>
      </c>
      <c r="I480" s="5">
        <f t="shared" ca="1" si="61"/>
        <v>2396</v>
      </c>
      <c r="J480" t="str" cm="1">
        <f t="array" aca="1" ref="J480" ca="1">INDEX(sheet2!$C$2:$C$6, RANDBETWEEN(1, 5))</f>
        <v>Conflict Resolution</v>
      </c>
      <c r="K480" t="str">
        <f t="shared" ca="1" si="62"/>
        <v>Not Completed</v>
      </c>
      <c r="L480">
        <v>260</v>
      </c>
      <c r="M480">
        <f t="shared" ca="1" si="64"/>
        <v>2</v>
      </c>
      <c r="N480" t="str">
        <f t="shared" ca="1" si="65"/>
        <v>Female</v>
      </c>
      <c r="O480" s="6">
        <f t="shared" ca="1" si="66"/>
        <v>1438</v>
      </c>
      <c r="P480">
        <f ca="1">Table1[[#This Row],[Hire Date]]-Table1[[#This Row],[Job Posting Date]]</f>
        <v>63</v>
      </c>
      <c r="Q480" s="7">
        <f ca="1">Table1[[#This Row],[Join Date]]-Table1[[#This Row],[Hire Date]]</f>
        <v>4</v>
      </c>
      <c r="R480" s="8">
        <f ca="1">(IF(Table1[[#This Row],[Status]]="Exited",Table1[[#This Row],[Exit Date]]-Table1[[#This Row],[Join Date]],TODAY()-Table1[[#This Row],[Join Date]]))/30</f>
        <v>23.766666666666666</v>
      </c>
      <c r="S480">
        <f ca="1">Table1[[#This Row],[Hire Date]]-Table1[[#This Row],[Job Posting Date]]</f>
        <v>63</v>
      </c>
      <c r="T480" s="7">
        <f ca="1">Table1[[#This Row],[Time to onboard]]/Table1[[#This Row],[Time to Fill]]*100</f>
        <v>6.3492063492063489</v>
      </c>
      <c r="U480" s="8">
        <f ca="1">Table1[[#This Row],[Time to onboard]]/Table1[[#This Row],[Time to Fill]]*100</f>
        <v>6.3492063492063489</v>
      </c>
      <c r="V480">
        <f ca="1">Table1[[#This Row],[Join Date]]-Table1[[#This Row],[Job Posting Date]]</f>
        <v>67</v>
      </c>
      <c r="W480">
        <f t="shared" ca="1" si="67"/>
        <v>144</v>
      </c>
      <c r="X480" s="8">
        <f ca="1">Table1[[#This Row],[Absentee Days]]/Table1[[#This Row],[Total Work Days]]*100</f>
        <v>0.76923076923076927</v>
      </c>
      <c r="Y480">
        <f ca="1">YEAR(Table1[[#This Row],[Join Date]])</f>
        <v>2023</v>
      </c>
      <c r="Z480">
        <f ca="1">IF(Table1[[#This Row],[Status]]="Active",1,0)</f>
        <v>1</v>
      </c>
      <c r="AA480">
        <f ca="1">IF(Table1[[#This Row],[Status]]="Exited",Table1[[#This Row],[Recruitment Cost]]+Table1[[#This Row],[Onboarding cost]]+Table1[[#This Row],[Training Cost]],0)</f>
        <v>0</v>
      </c>
    </row>
    <row r="481" spans="1:27">
      <c r="A481" t="str">
        <f t="shared" si="63"/>
        <v>E480</v>
      </c>
      <c r="B481" t="str" cm="1">
        <f t="array" aca="1" ref="B481" ca="1">INDEX(sheet2!$A$2:$A$6, RANDBETWEEN(1, 5))</f>
        <v>Finance</v>
      </c>
      <c r="C481" t="str">
        <f ca="1">_xlfn.XLOOKUP(Table1[[#This Row],[Department]],sheet2!$A$2:$A$6,sheet2!$B$2:$B$6,_xleta.NA,0)</f>
        <v>Finance Manager</v>
      </c>
      <c r="D481" s="1">
        <f t="shared" ca="1" si="60"/>
        <v>43390</v>
      </c>
      <c r="E481" s="1">
        <f ca="1">Table1[[#This Row],[Job Posting Date]]+ RANDBETWEEN(15, 90)</f>
        <v>43411</v>
      </c>
      <c r="F481" s="1">
        <f ca="1">Table1[[#This Row],[Hire Date]]+ RANDBETWEEN(1, 15)</f>
        <v>43421</v>
      </c>
      <c r="G481" s="1">
        <f ca="1">IF(RAND() &lt; 0.5,  Table1[[#This Row],[Join Date]]+ RANDBETWEEN(30, TODAY()- Table1[[#This Row],[Join Date]]), "-")</f>
        <v>45558</v>
      </c>
      <c r="H481" t="str">
        <f ca="1">IF(Table1[[#This Row],[Exit Date]]= "-", "Active", "Exited")</f>
        <v>Exited</v>
      </c>
      <c r="I481" s="5">
        <f t="shared" ca="1" si="61"/>
        <v>2510</v>
      </c>
      <c r="J481" t="str" cm="1">
        <f t="array" aca="1" ref="J481" ca="1">INDEX(sheet2!$C$2:$C$6, RANDBETWEEN(1, 5))</f>
        <v>Ethics and Responsibilities</v>
      </c>
      <c r="K481" t="str">
        <f t="shared" ca="1" si="62"/>
        <v>Completed</v>
      </c>
      <c r="L481">
        <v>260</v>
      </c>
      <c r="M481">
        <f t="shared" ca="1" si="64"/>
        <v>20</v>
      </c>
      <c r="N481" t="str">
        <f t="shared" ca="1" si="65"/>
        <v>Male</v>
      </c>
      <c r="O481" s="6">
        <f t="shared" ca="1" si="66"/>
        <v>2035</v>
      </c>
      <c r="P481">
        <f ca="1">Table1[[#This Row],[Hire Date]]-Table1[[#This Row],[Job Posting Date]]</f>
        <v>21</v>
      </c>
      <c r="Q481" s="7">
        <f ca="1">Table1[[#This Row],[Join Date]]-Table1[[#This Row],[Hire Date]]</f>
        <v>10</v>
      </c>
      <c r="R481" s="8">
        <f ca="1">(IF(Table1[[#This Row],[Status]]="Exited",Table1[[#This Row],[Exit Date]]-Table1[[#This Row],[Join Date]],TODAY()-Table1[[#This Row],[Join Date]]))/30</f>
        <v>71.233333333333334</v>
      </c>
      <c r="S481">
        <f ca="1">Table1[[#This Row],[Hire Date]]-Table1[[#This Row],[Job Posting Date]]</f>
        <v>21</v>
      </c>
      <c r="T481" s="7">
        <f ca="1">Table1[[#This Row],[Time to onboard]]/Table1[[#This Row],[Time to Fill]]*100</f>
        <v>47.619047619047613</v>
      </c>
      <c r="U481" s="8">
        <f ca="1">Table1[[#This Row],[Time to onboard]]/Table1[[#This Row],[Time to Fill]]*100</f>
        <v>47.619047619047613</v>
      </c>
      <c r="V481">
        <f ca="1">Table1[[#This Row],[Join Date]]-Table1[[#This Row],[Job Posting Date]]</f>
        <v>31</v>
      </c>
      <c r="W481">
        <f t="shared" ca="1" si="67"/>
        <v>154</v>
      </c>
      <c r="X481" s="8">
        <f ca="1">Table1[[#This Row],[Absentee Days]]/Table1[[#This Row],[Total Work Days]]*100</f>
        <v>7.6923076923076925</v>
      </c>
      <c r="Y481">
        <f ca="1">YEAR(Table1[[#This Row],[Join Date]])</f>
        <v>2018</v>
      </c>
      <c r="Z481">
        <f ca="1">IF(Table1[[#This Row],[Status]]="Active",1,0)</f>
        <v>0</v>
      </c>
      <c r="AA481">
        <f ca="1">IF(Table1[[#This Row],[Status]]="Exited",Table1[[#This Row],[Recruitment Cost]]+Table1[[#This Row],[Onboarding cost]]+Table1[[#This Row],[Training Cost]],0)</f>
        <v>4699</v>
      </c>
    </row>
    <row r="482" spans="1:27">
      <c r="A482" t="str">
        <f t="shared" si="63"/>
        <v>E481</v>
      </c>
      <c r="B482" t="str" cm="1">
        <f t="array" aca="1" ref="B482" ca="1">INDEX(sheet2!$A$2:$A$6, RANDBETWEEN(1, 5))</f>
        <v>Sales</v>
      </c>
      <c r="C482" t="str">
        <f ca="1">_xlfn.XLOOKUP(Table1[[#This Row],[Department]],sheet2!$A$2:$A$6,sheet2!$B$2:$B$6,_xleta.NA,0)</f>
        <v>Marketing Manager</v>
      </c>
      <c r="D482" s="1">
        <f t="shared" ca="1" si="60"/>
        <v>44656</v>
      </c>
      <c r="E482" s="1">
        <f ca="1">Table1[[#This Row],[Job Posting Date]]+ RANDBETWEEN(15, 90)</f>
        <v>44732</v>
      </c>
      <c r="F482" s="1">
        <f ca="1">Table1[[#This Row],[Hire Date]]+ RANDBETWEEN(1, 15)</f>
        <v>44735</v>
      </c>
      <c r="G482" s="1" t="str">
        <f ca="1">IF(RAND() &lt; 0.5,  Table1[[#This Row],[Join Date]]+ RANDBETWEEN(30, TODAY()- Table1[[#This Row],[Join Date]]), "-")</f>
        <v>-</v>
      </c>
      <c r="H482" t="str">
        <f ca="1">IF(Table1[[#This Row],[Exit Date]]= "-", "Active", "Exited")</f>
        <v>Active</v>
      </c>
      <c r="I482" s="5">
        <f t="shared" ca="1" si="61"/>
        <v>3010</v>
      </c>
      <c r="J482" t="str" cm="1">
        <f t="array" aca="1" ref="J482" ca="1">INDEX(sheet2!$C$2:$C$6, RANDBETWEEN(1, 5))</f>
        <v>Communication Skills</v>
      </c>
      <c r="K482" t="str">
        <f t="shared" ca="1" si="62"/>
        <v>Completed</v>
      </c>
      <c r="L482">
        <v>260</v>
      </c>
      <c r="M482">
        <f t="shared" ca="1" si="64"/>
        <v>2</v>
      </c>
      <c r="N482" t="str">
        <f t="shared" ca="1" si="65"/>
        <v>Other</v>
      </c>
      <c r="O482" s="6">
        <f t="shared" ca="1" si="66"/>
        <v>2220</v>
      </c>
      <c r="P482">
        <f ca="1">Table1[[#This Row],[Hire Date]]-Table1[[#This Row],[Job Posting Date]]</f>
        <v>76</v>
      </c>
      <c r="Q482" s="7">
        <f ca="1">Table1[[#This Row],[Join Date]]-Table1[[#This Row],[Hire Date]]</f>
        <v>3</v>
      </c>
      <c r="R482" s="8">
        <f ca="1">(IF(Table1[[#This Row],[Status]]="Exited",Table1[[#This Row],[Exit Date]]-Table1[[#This Row],[Join Date]],TODAY()-Table1[[#This Row],[Join Date]]))/30</f>
        <v>30.933333333333334</v>
      </c>
      <c r="S482">
        <f ca="1">Table1[[#This Row],[Hire Date]]-Table1[[#This Row],[Job Posting Date]]</f>
        <v>76</v>
      </c>
      <c r="T482" s="7">
        <f ca="1">Table1[[#This Row],[Time to onboard]]/Table1[[#This Row],[Time to Fill]]*100</f>
        <v>3.9473684210526314</v>
      </c>
      <c r="U482" s="8">
        <f ca="1">Table1[[#This Row],[Time to onboard]]/Table1[[#This Row],[Time to Fill]]*100</f>
        <v>3.9473684210526314</v>
      </c>
      <c r="V482">
        <f ca="1">Table1[[#This Row],[Join Date]]-Table1[[#This Row],[Job Posting Date]]</f>
        <v>79</v>
      </c>
      <c r="W482">
        <f t="shared" ca="1" si="67"/>
        <v>124</v>
      </c>
      <c r="X482" s="8">
        <f ca="1">Table1[[#This Row],[Absentee Days]]/Table1[[#This Row],[Total Work Days]]*100</f>
        <v>0.76923076923076927</v>
      </c>
      <c r="Y482">
        <f ca="1">YEAR(Table1[[#This Row],[Join Date]])</f>
        <v>2022</v>
      </c>
      <c r="Z482">
        <f ca="1">IF(Table1[[#This Row],[Status]]="Active",1,0)</f>
        <v>1</v>
      </c>
      <c r="AA482">
        <f ca="1">IF(Table1[[#This Row],[Status]]="Exited",Table1[[#This Row],[Recruitment Cost]]+Table1[[#This Row],[Onboarding cost]]+Table1[[#This Row],[Training Cost]],0)</f>
        <v>0</v>
      </c>
    </row>
    <row r="483" spans="1:27">
      <c r="A483" t="str">
        <f t="shared" si="63"/>
        <v>E482</v>
      </c>
      <c r="B483" t="str" cm="1">
        <f t="array" aca="1" ref="B483" ca="1">INDEX(sheet2!$A$2:$A$6, RANDBETWEEN(1, 5))</f>
        <v>HR</v>
      </c>
      <c r="C483" t="str">
        <f ca="1">_xlfn.XLOOKUP(Table1[[#This Row],[Department]],sheet2!$A$2:$A$6,sheet2!$B$2:$B$6,_xleta.NA,0)</f>
        <v>HR Manager</v>
      </c>
      <c r="D483" s="1">
        <f t="shared" ca="1" si="60"/>
        <v>43865</v>
      </c>
      <c r="E483" s="1">
        <f ca="1">Table1[[#This Row],[Job Posting Date]]+ RANDBETWEEN(15, 90)</f>
        <v>43928</v>
      </c>
      <c r="F483" s="1">
        <f ca="1">Table1[[#This Row],[Hire Date]]+ RANDBETWEEN(1, 15)</f>
        <v>43939</v>
      </c>
      <c r="G483" s="1" t="str">
        <f ca="1">IF(RAND() &lt; 0.5,  Table1[[#This Row],[Join Date]]+ RANDBETWEEN(30, TODAY()- Table1[[#This Row],[Join Date]]), "-")</f>
        <v>-</v>
      </c>
      <c r="H483" t="str">
        <f ca="1">IF(Table1[[#This Row],[Exit Date]]= "-", "Active", "Exited")</f>
        <v>Active</v>
      </c>
      <c r="I483" s="5">
        <f t="shared" ca="1" si="61"/>
        <v>2521</v>
      </c>
      <c r="J483" t="str" cm="1">
        <f t="array" aca="1" ref="J483" ca="1">INDEX(sheet2!$C$2:$C$6, RANDBETWEEN(1, 5))</f>
        <v>Communication Skills</v>
      </c>
      <c r="K483" t="str">
        <f t="shared" ca="1" si="62"/>
        <v>Completed</v>
      </c>
      <c r="L483">
        <v>260</v>
      </c>
      <c r="M483">
        <f t="shared" ca="1" si="64"/>
        <v>5</v>
      </c>
      <c r="N483" t="str">
        <f t="shared" ca="1" si="65"/>
        <v>Male</v>
      </c>
      <c r="O483" s="6">
        <f t="shared" ca="1" si="66"/>
        <v>2225</v>
      </c>
      <c r="P483">
        <f ca="1">Table1[[#This Row],[Hire Date]]-Table1[[#This Row],[Job Posting Date]]</f>
        <v>63</v>
      </c>
      <c r="Q483" s="7">
        <f ca="1">Table1[[#This Row],[Join Date]]-Table1[[#This Row],[Hire Date]]</f>
        <v>11</v>
      </c>
      <c r="R483" s="8">
        <f ca="1">(IF(Table1[[#This Row],[Status]]="Exited",Table1[[#This Row],[Exit Date]]-Table1[[#This Row],[Join Date]],TODAY()-Table1[[#This Row],[Join Date]]))/30</f>
        <v>57.466666666666669</v>
      </c>
      <c r="S483">
        <f ca="1">Table1[[#This Row],[Hire Date]]-Table1[[#This Row],[Job Posting Date]]</f>
        <v>63</v>
      </c>
      <c r="T483" s="7">
        <f ca="1">Table1[[#This Row],[Time to onboard]]/Table1[[#This Row],[Time to Fill]]*100</f>
        <v>17.460317460317459</v>
      </c>
      <c r="U483" s="8">
        <f ca="1">Table1[[#This Row],[Time to onboard]]/Table1[[#This Row],[Time to Fill]]*100</f>
        <v>17.460317460317459</v>
      </c>
      <c r="V483">
        <f ca="1">Table1[[#This Row],[Join Date]]-Table1[[#This Row],[Job Posting Date]]</f>
        <v>74</v>
      </c>
      <c r="W483">
        <f t="shared" ca="1" si="67"/>
        <v>136</v>
      </c>
      <c r="X483" s="8">
        <f ca="1">Table1[[#This Row],[Absentee Days]]/Table1[[#This Row],[Total Work Days]]*100</f>
        <v>1.9230769230769231</v>
      </c>
      <c r="Y483">
        <f ca="1">YEAR(Table1[[#This Row],[Join Date]])</f>
        <v>2020</v>
      </c>
      <c r="Z483">
        <f ca="1">IF(Table1[[#This Row],[Status]]="Active",1,0)</f>
        <v>1</v>
      </c>
      <c r="AA483">
        <f ca="1">IF(Table1[[#This Row],[Status]]="Exited",Table1[[#This Row],[Recruitment Cost]]+Table1[[#This Row],[Onboarding cost]]+Table1[[#This Row],[Training Cost]],0)</f>
        <v>0</v>
      </c>
    </row>
    <row r="484" spans="1:27">
      <c r="A484" t="str">
        <f t="shared" si="63"/>
        <v>E483</v>
      </c>
      <c r="B484" t="str" cm="1">
        <f t="array" aca="1" ref="B484" ca="1">INDEX(sheet2!$A$2:$A$6, RANDBETWEEN(1, 5))</f>
        <v>Analytics</v>
      </c>
      <c r="C484" t="str">
        <f ca="1">_xlfn.XLOOKUP(Table1[[#This Row],[Department]],sheet2!$A$2:$A$6,sheet2!$B$2:$B$6,_xleta.NA,0)</f>
        <v>Data Analyst</v>
      </c>
      <c r="D484" s="1">
        <f t="shared" ca="1" si="60"/>
        <v>44797</v>
      </c>
      <c r="E484" s="1">
        <f ca="1">Table1[[#This Row],[Job Posting Date]]+ RANDBETWEEN(15, 90)</f>
        <v>44856</v>
      </c>
      <c r="F484" s="1">
        <f ca="1">Table1[[#This Row],[Hire Date]]+ RANDBETWEEN(1, 15)</f>
        <v>44871</v>
      </c>
      <c r="G484" s="1" t="str">
        <f ca="1">IF(RAND() &lt; 0.5,  Table1[[#This Row],[Join Date]]+ RANDBETWEEN(30, TODAY()- Table1[[#This Row],[Join Date]]), "-")</f>
        <v>-</v>
      </c>
      <c r="H484" t="str">
        <f ca="1">IF(Table1[[#This Row],[Exit Date]]= "-", "Active", "Exited")</f>
        <v>Active</v>
      </c>
      <c r="I484" s="5">
        <f t="shared" ca="1" si="61"/>
        <v>2367</v>
      </c>
      <c r="J484" t="str" cm="1">
        <f t="array" aca="1" ref="J484" ca="1">INDEX(sheet2!$C$2:$C$6, RANDBETWEEN(1, 5))</f>
        <v>Ethics and Responsibilities</v>
      </c>
      <c r="K484" t="str">
        <f t="shared" ca="1" si="62"/>
        <v>Completed</v>
      </c>
      <c r="L484">
        <v>260</v>
      </c>
      <c r="M484">
        <f t="shared" ca="1" si="64"/>
        <v>0</v>
      </c>
      <c r="N484" t="str">
        <f t="shared" ca="1" si="65"/>
        <v>Female</v>
      </c>
      <c r="O484" s="6">
        <f t="shared" ca="1" si="66"/>
        <v>2328</v>
      </c>
      <c r="P484">
        <f ca="1">Table1[[#This Row],[Hire Date]]-Table1[[#This Row],[Job Posting Date]]</f>
        <v>59</v>
      </c>
      <c r="Q484" s="7">
        <f ca="1">Table1[[#This Row],[Join Date]]-Table1[[#This Row],[Hire Date]]</f>
        <v>15</v>
      </c>
      <c r="R484" s="8">
        <f ca="1">(IF(Table1[[#This Row],[Status]]="Exited",Table1[[#This Row],[Exit Date]]-Table1[[#This Row],[Join Date]],TODAY()-Table1[[#This Row],[Join Date]]))/30</f>
        <v>26.4</v>
      </c>
      <c r="S484">
        <f ca="1">Table1[[#This Row],[Hire Date]]-Table1[[#This Row],[Job Posting Date]]</f>
        <v>59</v>
      </c>
      <c r="T484" s="7">
        <f ca="1">Table1[[#This Row],[Time to onboard]]/Table1[[#This Row],[Time to Fill]]*100</f>
        <v>25.423728813559322</v>
      </c>
      <c r="U484" s="8">
        <f ca="1">Table1[[#This Row],[Time to onboard]]/Table1[[#This Row],[Time to Fill]]*100</f>
        <v>25.423728813559322</v>
      </c>
      <c r="V484">
        <f ca="1">Table1[[#This Row],[Join Date]]-Table1[[#This Row],[Job Posting Date]]</f>
        <v>74</v>
      </c>
      <c r="W484">
        <f t="shared" ca="1" si="67"/>
        <v>112</v>
      </c>
      <c r="X484" s="8">
        <f ca="1">Table1[[#This Row],[Absentee Days]]/Table1[[#This Row],[Total Work Days]]*100</f>
        <v>0</v>
      </c>
      <c r="Y484">
        <f ca="1">YEAR(Table1[[#This Row],[Join Date]])</f>
        <v>2022</v>
      </c>
      <c r="Z484">
        <f ca="1">IF(Table1[[#This Row],[Status]]="Active",1,0)</f>
        <v>1</v>
      </c>
      <c r="AA484">
        <f ca="1">IF(Table1[[#This Row],[Status]]="Exited",Table1[[#This Row],[Recruitment Cost]]+Table1[[#This Row],[Onboarding cost]]+Table1[[#This Row],[Training Cost]],0)</f>
        <v>0</v>
      </c>
    </row>
    <row r="485" spans="1:27">
      <c r="A485" t="str">
        <f t="shared" si="63"/>
        <v>E484</v>
      </c>
      <c r="B485" t="str" cm="1">
        <f t="array" aca="1" ref="B485" ca="1">INDEX(sheet2!$A$2:$A$6, RANDBETWEEN(1, 5))</f>
        <v>Sales</v>
      </c>
      <c r="C485" t="str">
        <f ca="1">_xlfn.XLOOKUP(Table1[[#This Row],[Department]],sheet2!$A$2:$A$6,sheet2!$B$2:$B$6,_xleta.NA,0)</f>
        <v>Marketing Manager</v>
      </c>
      <c r="D485" s="1">
        <f t="shared" ca="1" si="60"/>
        <v>44706</v>
      </c>
      <c r="E485" s="1">
        <f ca="1">Table1[[#This Row],[Job Posting Date]]+ RANDBETWEEN(15, 90)</f>
        <v>44775</v>
      </c>
      <c r="F485" s="1">
        <f ca="1">Table1[[#This Row],[Hire Date]]+ RANDBETWEEN(1, 15)</f>
        <v>44776</v>
      </c>
      <c r="G485" s="1" t="str">
        <f ca="1">IF(RAND() &lt; 0.5,  Table1[[#This Row],[Join Date]]+ RANDBETWEEN(30, TODAY()- Table1[[#This Row],[Join Date]]), "-")</f>
        <v>-</v>
      </c>
      <c r="H485" t="str">
        <f ca="1">IF(Table1[[#This Row],[Exit Date]]= "-", "Active", "Exited")</f>
        <v>Active</v>
      </c>
      <c r="I485" s="5">
        <f t="shared" ca="1" si="61"/>
        <v>4077</v>
      </c>
      <c r="J485" t="str" cm="1">
        <f t="array" aca="1" ref="J485" ca="1">INDEX(sheet2!$C$2:$C$6, RANDBETWEEN(1, 5))</f>
        <v>Communication Skills</v>
      </c>
      <c r="K485" t="str">
        <f t="shared" ca="1" si="62"/>
        <v>Completed</v>
      </c>
      <c r="L485">
        <v>260</v>
      </c>
      <c r="M485">
        <f t="shared" ca="1" si="64"/>
        <v>5</v>
      </c>
      <c r="N485" t="str">
        <f t="shared" ca="1" si="65"/>
        <v>Male</v>
      </c>
      <c r="O485" s="6">
        <f t="shared" ca="1" si="66"/>
        <v>1224</v>
      </c>
      <c r="P485">
        <f ca="1">Table1[[#This Row],[Hire Date]]-Table1[[#This Row],[Job Posting Date]]</f>
        <v>69</v>
      </c>
      <c r="Q485" s="7">
        <f ca="1">Table1[[#This Row],[Join Date]]-Table1[[#This Row],[Hire Date]]</f>
        <v>1</v>
      </c>
      <c r="R485" s="8">
        <f ca="1">(IF(Table1[[#This Row],[Status]]="Exited",Table1[[#This Row],[Exit Date]]-Table1[[#This Row],[Join Date]],TODAY()-Table1[[#This Row],[Join Date]]))/30</f>
        <v>29.566666666666666</v>
      </c>
      <c r="S485">
        <f ca="1">Table1[[#This Row],[Hire Date]]-Table1[[#This Row],[Job Posting Date]]</f>
        <v>69</v>
      </c>
      <c r="T485" s="7">
        <f ca="1">Table1[[#This Row],[Time to onboard]]/Table1[[#This Row],[Time to Fill]]*100</f>
        <v>1.4492753623188406</v>
      </c>
      <c r="U485" s="8">
        <f ca="1">Table1[[#This Row],[Time to onboard]]/Table1[[#This Row],[Time to Fill]]*100</f>
        <v>1.4492753623188406</v>
      </c>
      <c r="V485">
        <f ca="1">Table1[[#This Row],[Join Date]]-Table1[[#This Row],[Job Posting Date]]</f>
        <v>70</v>
      </c>
      <c r="W485">
        <f t="shared" ca="1" si="67"/>
        <v>178</v>
      </c>
      <c r="X485" s="8">
        <f ca="1">Table1[[#This Row],[Absentee Days]]/Table1[[#This Row],[Total Work Days]]*100</f>
        <v>1.9230769230769231</v>
      </c>
      <c r="Y485">
        <f ca="1">YEAR(Table1[[#This Row],[Join Date]])</f>
        <v>2022</v>
      </c>
      <c r="Z485">
        <f ca="1">IF(Table1[[#This Row],[Status]]="Active",1,0)</f>
        <v>1</v>
      </c>
      <c r="AA485">
        <f ca="1">IF(Table1[[#This Row],[Status]]="Exited",Table1[[#This Row],[Recruitment Cost]]+Table1[[#This Row],[Onboarding cost]]+Table1[[#This Row],[Training Cost]],0)</f>
        <v>0</v>
      </c>
    </row>
    <row r="486" spans="1:27">
      <c r="A486" t="str">
        <f t="shared" si="63"/>
        <v>E485</v>
      </c>
      <c r="B486" t="str" cm="1">
        <f t="array" aca="1" ref="B486" ca="1">INDEX(sheet2!$A$2:$A$6, RANDBETWEEN(1, 5))</f>
        <v>Analytics</v>
      </c>
      <c r="C486" t="str">
        <f ca="1">_xlfn.XLOOKUP(Table1[[#This Row],[Department]],sheet2!$A$2:$A$6,sheet2!$B$2:$B$6,_xleta.NA,0)</f>
        <v>Data Analyst</v>
      </c>
      <c r="D486" s="1">
        <f t="shared" ref="D486:D501" ca="1" si="68">DATE(RANDBETWEEN(2018, 2022), RANDBETWEEN(1, 12), RANDBETWEEN(1, 28))</f>
        <v>43126</v>
      </c>
      <c r="E486" s="1">
        <f ca="1">Table1[[#This Row],[Job Posting Date]]+ RANDBETWEEN(15, 90)</f>
        <v>43175</v>
      </c>
      <c r="F486" s="1">
        <f ca="1">Table1[[#This Row],[Hire Date]]+ RANDBETWEEN(1, 15)</f>
        <v>43182</v>
      </c>
      <c r="G486" s="1" t="str">
        <f ca="1">IF(RAND() &lt; 0.5,  Table1[[#This Row],[Join Date]]+ RANDBETWEEN(30, TODAY()- Table1[[#This Row],[Join Date]]), "-")</f>
        <v>-</v>
      </c>
      <c r="H486" t="str">
        <f ca="1">IF(Table1[[#This Row],[Exit Date]]= "-", "Active", "Exited")</f>
        <v>Active</v>
      </c>
      <c r="I486" s="5">
        <f t="shared" ref="I486:I501" ca="1" si="69">RANDBETWEEN(1500, 5000)</f>
        <v>2124</v>
      </c>
      <c r="J486" t="str" cm="1">
        <f t="array" aca="1" ref="J486" ca="1">INDEX(sheet2!$C$2:$C$6, RANDBETWEEN(1, 5))</f>
        <v>Ethics and Responsibilities</v>
      </c>
      <c r="K486" t="str">
        <f t="shared" ref="K486:K501" ca="1" si="70">IF(RAND() &lt; 0.7, "Completed", "Not Completed")</f>
        <v>Completed</v>
      </c>
      <c r="L486">
        <v>260</v>
      </c>
      <c r="M486">
        <f t="shared" ca="1" si="64"/>
        <v>16</v>
      </c>
      <c r="N486" t="str">
        <f t="shared" ca="1" si="65"/>
        <v>Female</v>
      </c>
      <c r="O486" s="6">
        <f t="shared" ca="1" si="66"/>
        <v>1746</v>
      </c>
      <c r="P486">
        <f ca="1">Table1[[#This Row],[Hire Date]]-Table1[[#This Row],[Job Posting Date]]</f>
        <v>49</v>
      </c>
      <c r="Q486" s="7">
        <f ca="1">Table1[[#This Row],[Join Date]]-Table1[[#This Row],[Hire Date]]</f>
        <v>7</v>
      </c>
      <c r="R486" s="8">
        <f ca="1">(IF(Table1[[#This Row],[Status]]="Exited",Table1[[#This Row],[Exit Date]]-Table1[[#This Row],[Join Date]],TODAY()-Table1[[#This Row],[Join Date]]))/30</f>
        <v>82.7</v>
      </c>
      <c r="S486">
        <f ca="1">Table1[[#This Row],[Hire Date]]-Table1[[#This Row],[Job Posting Date]]</f>
        <v>49</v>
      </c>
      <c r="T486" s="7">
        <f ca="1">Table1[[#This Row],[Time to onboard]]/Table1[[#This Row],[Time to Fill]]*100</f>
        <v>14.285714285714285</v>
      </c>
      <c r="U486" s="8">
        <f ca="1">Table1[[#This Row],[Time to onboard]]/Table1[[#This Row],[Time to Fill]]*100</f>
        <v>14.285714285714285</v>
      </c>
      <c r="V486">
        <f ca="1">Table1[[#This Row],[Join Date]]-Table1[[#This Row],[Job Posting Date]]</f>
        <v>56</v>
      </c>
      <c r="W486">
        <f t="shared" ca="1" si="67"/>
        <v>124</v>
      </c>
      <c r="X486" s="8">
        <f ca="1">Table1[[#This Row],[Absentee Days]]/Table1[[#This Row],[Total Work Days]]*100</f>
        <v>6.1538461538461542</v>
      </c>
      <c r="Y486">
        <f ca="1">YEAR(Table1[[#This Row],[Join Date]])</f>
        <v>2018</v>
      </c>
      <c r="Z486">
        <f ca="1">IF(Table1[[#This Row],[Status]]="Active",1,0)</f>
        <v>1</v>
      </c>
      <c r="AA486">
        <f ca="1">IF(Table1[[#This Row],[Status]]="Exited",Table1[[#This Row],[Recruitment Cost]]+Table1[[#This Row],[Onboarding cost]]+Table1[[#This Row],[Training Cost]],0)</f>
        <v>0</v>
      </c>
    </row>
    <row r="487" spans="1:27">
      <c r="A487" t="str">
        <f t="shared" si="63"/>
        <v>E486</v>
      </c>
      <c r="B487" t="str" cm="1">
        <f t="array" aca="1" ref="B487" ca="1">INDEX(sheet2!$A$2:$A$6, RANDBETWEEN(1, 5))</f>
        <v>Finance</v>
      </c>
      <c r="C487" t="str">
        <f ca="1">_xlfn.XLOOKUP(Table1[[#This Row],[Department]],sheet2!$A$2:$A$6,sheet2!$B$2:$B$6,_xleta.NA,0)</f>
        <v>Finance Manager</v>
      </c>
      <c r="D487" s="1">
        <f t="shared" ca="1" si="68"/>
        <v>44066</v>
      </c>
      <c r="E487" s="1">
        <f ca="1">Table1[[#This Row],[Job Posting Date]]+ RANDBETWEEN(15, 90)</f>
        <v>44139</v>
      </c>
      <c r="F487" s="1">
        <f ca="1">Table1[[#This Row],[Hire Date]]+ RANDBETWEEN(1, 15)</f>
        <v>44141</v>
      </c>
      <c r="G487" s="1">
        <f ca="1">IF(RAND() &lt; 0.5,  Table1[[#This Row],[Join Date]]+ RANDBETWEEN(30, TODAY()- Table1[[#This Row],[Join Date]]), "-")</f>
        <v>45447</v>
      </c>
      <c r="H487" t="str">
        <f ca="1">IF(Table1[[#This Row],[Exit Date]]= "-", "Active", "Exited")</f>
        <v>Exited</v>
      </c>
      <c r="I487" s="5">
        <f t="shared" ca="1" si="69"/>
        <v>4140</v>
      </c>
      <c r="J487" t="str" cm="1">
        <f t="array" aca="1" ref="J487" ca="1">INDEX(sheet2!$C$2:$C$6, RANDBETWEEN(1, 5))</f>
        <v>Advanced Excel Skills </v>
      </c>
      <c r="K487" t="str">
        <f t="shared" ca="1" si="70"/>
        <v>Completed</v>
      </c>
      <c r="L487">
        <v>260</v>
      </c>
      <c r="M487">
        <f t="shared" ca="1" si="64"/>
        <v>20</v>
      </c>
      <c r="N487" t="str">
        <f t="shared" ca="1" si="65"/>
        <v>Female</v>
      </c>
      <c r="O487" s="6">
        <f t="shared" ca="1" si="66"/>
        <v>2434</v>
      </c>
      <c r="P487">
        <f ca="1">Table1[[#This Row],[Hire Date]]-Table1[[#This Row],[Job Posting Date]]</f>
        <v>73</v>
      </c>
      <c r="Q487" s="7">
        <f ca="1">Table1[[#This Row],[Join Date]]-Table1[[#This Row],[Hire Date]]</f>
        <v>2</v>
      </c>
      <c r="R487" s="8">
        <f ca="1">(IF(Table1[[#This Row],[Status]]="Exited",Table1[[#This Row],[Exit Date]]-Table1[[#This Row],[Join Date]],TODAY()-Table1[[#This Row],[Join Date]]))/30</f>
        <v>43.533333333333331</v>
      </c>
      <c r="S487">
        <f ca="1">Table1[[#This Row],[Hire Date]]-Table1[[#This Row],[Job Posting Date]]</f>
        <v>73</v>
      </c>
      <c r="T487" s="7">
        <f ca="1">Table1[[#This Row],[Time to onboard]]/Table1[[#This Row],[Time to Fill]]*100</f>
        <v>2.7397260273972601</v>
      </c>
      <c r="U487" s="8">
        <f ca="1">Table1[[#This Row],[Time to onboard]]/Table1[[#This Row],[Time to Fill]]*100</f>
        <v>2.7397260273972601</v>
      </c>
      <c r="V487">
        <f ca="1">Table1[[#This Row],[Join Date]]-Table1[[#This Row],[Job Posting Date]]</f>
        <v>75</v>
      </c>
      <c r="W487">
        <f t="shared" ca="1" si="67"/>
        <v>181</v>
      </c>
      <c r="X487" s="8">
        <f ca="1">Table1[[#This Row],[Absentee Days]]/Table1[[#This Row],[Total Work Days]]*100</f>
        <v>7.6923076923076925</v>
      </c>
      <c r="Y487">
        <f ca="1">YEAR(Table1[[#This Row],[Join Date]])</f>
        <v>2020</v>
      </c>
      <c r="Z487">
        <f ca="1">IF(Table1[[#This Row],[Status]]="Active",1,0)</f>
        <v>0</v>
      </c>
      <c r="AA487">
        <f ca="1">IF(Table1[[#This Row],[Status]]="Exited",Table1[[#This Row],[Recruitment Cost]]+Table1[[#This Row],[Onboarding cost]]+Table1[[#This Row],[Training Cost]],0)</f>
        <v>6755</v>
      </c>
    </row>
    <row r="488" spans="1:27">
      <c r="A488" t="str">
        <f t="shared" si="63"/>
        <v>E487</v>
      </c>
      <c r="B488" t="str" cm="1">
        <f t="array" aca="1" ref="B488" ca="1">INDEX(sheet2!$A$2:$A$6, RANDBETWEEN(1, 5))</f>
        <v>IT</v>
      </c>
      <c r="C488" t="str">
        <f ca="1">_xlfn.XLOOKUP(Table1[[#This Row],[Department]],sheet2!$A$2:$A$6,sheet2!$B$2:$B$6,_xleta.NA,0)</f>
        <v>Software Engineer</v>
      </c>
      <c r="D488" s="1">
        <f t="shared" ca="1" si="68"/>
        <v>43530</v>
      </c>
      <c r="E488" s="1">
        <f ca="1">Table1[[#This Row],[Job Posting Date]]+ RANDBETWEEN(15, 90)</f>
        <v>43554</v>
      </c>
      <c r="F488" s="1">
        <f ca="1">Table1[[#This Row],[Hire Date]]+ RANDBETWEEN(1, 15)</f>
        <v>43560</v>
      </c>
      <c r="G488" s="1" t="str">
        <f ca="1">IF(RAND() &lt; 0.5,  Table1[[#This Row],[Join Date]]+ RANDBETWEEN(30, TODAY()- Table1[[#This Row],[Join Date]]), "-")</f>
        <v>-</v>
      </c>
      <c r="H488" t="str">
        <f ca="1">IF(Table1[[#This Row],[Exit Date]]= "-", "Active", "Exited")</f>
        <v>Active</v>
      </c>
      <c r="I488" s="5">
        <f t="shared" ca="1" si="69"/>
        <v>3034</v>
      </c>
      <c r="J488" t="str" cm="1">
        <f t="array" aca="1" ref="J488" ca="1">INDEX(sheet2!$C$2:$C$6, RANDBETWEEN(1, 5))</f>
        <v>Conflict Resolution</v>
      </c>
      <c r="K488" t="str">
        <f t="shared" ca="1" si="70"/>
        <v>Completed</v>
      </c>
      <c r="L488">
        <v>260</v>
      </c>
      <c r="M488">
        <f t="shared" ca="1" si="64"/>
        <v>4</v>
      </c>
      <c r="N488" t="str">
        <f t="shared" ca="1" si="65"/>
        <v>Other</v>
      </c>
      <c r="O488" s="6">
        <f t="shared" ca="1" si="66"/>
        <v>2414</v>
      </c>
      <c r="P488">
        <f ca="1">Table1[[#This Row],[Hire Date]]-Table1[[#This Row],[Job Posting Date]]</f>
        <v>24</v>
      </c>
      <c r="Q488" s="7">
        <f ca="1">Table1[[#This Row],[Join Date]]-Table1[[#This Row],[Hire Date]]</f>
        <v>6</v>
      </c>
      <c r="R488" s="8">
        <f ca="1">(IF(Table1[[#This Row],[Status]]="Exited",Table1[[#This Row],[Exit Date]]-Table1[[#This Row],[Join Date]],TODAY()-Table1[[#This Row],[Join Date]]))/30</f>
        <v>70.099999999999994</v>
      </c>
      <c r="S488">
        <f ca="1">Table1[[#This Row],[Hire Date]]-Table1[[#This Row],[Job Posting Date]]</f>
        <v>24</v>
      </c>
      <c r="T488" s="7">
        <f ca="1">Table1[[#This Row],[Time to onboard]]/Table1[[#This Row],[Time to Fill]]*100</f>
        <v>25</v>
      </c>
      <c r="U488" s="8">
        <f ca="1">Table1[[#This Row],[Time to onboard]]/Table1[[#This Row],[Time to Fill]]*100</f>
        <v>25</v>
      </c>
      <c r="V488">
        <f ca="1">Table1[[#This Row],[Join Date]]-Table1[[#This Row],[Job Posting Date]]</f>
        <v>30</v>
      </c>
      <c r="W488">
        <f t="shared" ca="1" si="67"/>
        <v>127</v>
      </c>
      <c r="X488" s="8">
        <f ca="1">Table1[[#This Row],[Absentee Days]]/Table1[[#This Row],[Total Work Days]]*100</f>
        <v>1.5384615384615385</v>
      </c>
      <c r="Y488">
        <f ca="1">YEAR(Table1[[#This Row],[Join Date]])</f>
        <v>2019</v>
      </c>
      <c r="Z488">
        <f ca="1">IF(Table1[[#This Row],[Status]]="Active",1,0)</f>
        <v>1</v>
      </c>
      <c r="AA488">
        <f ca="1">IF(Table1[[#This Row],[Status]]="Exited",Table1[[#This Row],[Recruitment Cost]]+Table1[[#This Row],[Onboarding cost]]+Table1[[#This Row],[Training Cost]],0)</f>
        <v>0</v>
      </c>
    </row>
    <row r="489" spans="1:27">
      <c r="A489" t="str">
        <f t="shared" si="63"/>
        <v>E488</v>
      </c>
      <c r="B489" t="str" cm="1">
        <f t="array" aca="1" ref="B489" ca="1">INDEX(sheet2!$A$2:$A$6, RANDBETWEEN(1, 5))</f>
        <v>IT</v>
      </c>
      <c r="C489" t="str">
        <f ca="1">_xlfn.XLOOKUP(Table1[[#This Row],[Department]],sheet2!$A$2:$A$6,sheet2!$B$2:$B$6,_xleta.NA,0)</f>
        <v>Software Engineer</v>
      </c>
      <c r="D489" s="1">
        <f t="shared" ca="1" si="68"/>
        <v>43288</v>
      </c>
      <c r="E489" s="1">
        <f ca="1">Table1[[#This Row],[Job Posting Date]]+ RANDBETWEEN(15, 90)</f>
        <v>43351</v>
      </c>
      <c r="F489" s="1">
        <f ca="1">Table1[[#This Row],[Hire Date]]+ RANDBETWEEN(1, 15)</f>
        <v>43362</v>
      </c>
      <c r="G489" s="1" t="str">
        <f ca="1">IF(RAND() &lt; 0.5,  Table1[[#This Row],[Join Date]]+ RANDBETWEEN(30, TODAY()- Table1[[#This Row],[Join Date]]), "-")</f>
        <v>-</v>
      </c>
      <c r="H489" t="str">
        <f ca="1">IF(Table1[[#This Row],[Exit Date]]= "-", "Active", "Exited")</f>
        <v>Active</v>
      </c>
      <c r="I489" s="5">
        <f t="shared" ca="1" si="69"/>
        <v>2147</v>
      </c>
      <c r="J489" t="str" cm="1">
        <f t="array" aca="1" ref="J489" ca="1">INDEX(sheet2!$C$2:$C$6, RANDBETWEEN(1, 5))</f>
        <v>Advanced Excel Skills </v>
      </c>
      <c r="K489" t="str">
        <f t="shared" ca="1" si="70"/>
        <v>Completed</v>
      </c>
      <c r="L489">
        <v>260</v>
      </c>
      <c r="M489">
        <f t="shared" ca="1" si="64"/>
        <v>6</v>
      </c>
      <c r="N489" t="str">
        <f t="shared" ca="1" si="65"/>
        <v>Other</v>
      </c>
      <c r="O489" s="6">
        <f t="shared" ca="1" si="66"/>
        <v>1906</v>
      </c>
      <c r="P489">
        <f ca="1">Table1[[#This Row],[Hire Date]]-Table1[[#This Row],[Job Posting Date]]</f>
        <v>63</v>
      </c>
      <c r="Q489" s="7">
        <f ca="1">Table1[[#This Row],[Join Date]]-Table1[[#This Row],[Hire Date]]</f>
        <v>11</v>
      </c>
      <c r="R489" s="8">
        <f ca="1">(IF(Table1[[#This Row],[Status]]="Exited",Table1[[#This Row],[Exit Date]]-Table1[[#This Row],[Join Date]],TODAY()-Table1[[#This Row],[Join Date]]))/30</f>
        <v>76.7</v>
      </c>
      <c r="S489">
        <f ca="1">Table1[[#This Row],[Hire Date]]-Table1[[#This Row],[Job Posting Date]]</f>
        <v>63</v>
      </c>
      <c r="T489" s="7">
        <f ca="1">Table1[[#This Row],[Time to onboard]]/Table1[[#This Row],[Time to Fill]]*100</f>
        <v>17.460317460317459</v>
      </c>
      <c r="U489" s="8">
        <f ca="1">Table1[[#This Row],[Time to onboard]]/Table1[[#This Row],[Time to Fill]]*100</f>
        <v>17.460317460317459</v>
      </c>
      <c r="V489">
        <f ca="1">Table1[[#This Row],[Join Date]]-Table1[[#This Row],[Job Posting Date]]</f>
        <v>74</v>
      </c>
      <c r="W489">
        <f t="shared" ca="1" si="67"/>
        <v>136</v>
      </c>
      <c r="X489" s="8">
        <f ca="1">Table1[[#This Row],[Absentee Days]]/Table1[[#This Row],[Total Work Days]]*100</f>
        <v>2.3076923076923079</v>
      </c>
      <c r="Y489">
        <f ca="1">YEAR(Table1[[#This Row],[Join Date]])</f>
        <v>2018</v>
      </c>
      <c r="Z489">
        <f ca="1">IF(Table1[[#This Row],[Status]]="Active",1,0)</f>
        <v>1</v>
      </c>
      <c r="AA489">
        <f ca="1">IF(Table1[[#This Row],[Status]]="Exited",Table1[[#This Row],[Recruitment Cost]]+Table1[[#This Row],[Onboarding cost]]+Table1[[#This Row],[Training Cost]],0)</f>
        <v>0</v>
      </c>
    </row>
    <row r="490" spans="1:27">
      <c r="A490" t="str">
        <f t="shared" si="63"/>
        <v>E489</v>
      </c>
      <c r="B490" t="str" cm="1">
        <f t="array" aca="1" ref="B490" ca="1">INDEX(sheet2!$A$2:$A$6, RANDBETWEEN(1, 5))</f>
        <v>Finance</v>
      </c>
      <c r="C490" t="str">
        <f ca="1">_xlfn.XLOOKUP(Table1[[#This Row],[Department]],sheet2!$A$2:$A$6,sheet2!$B$2:$B$6,_xleta.NA,0)</f>
        <v>Finance Manager</v>
      </c>
      <c r="D490" s="1">
        <f t="shared" ca="1" si="68"/>
        <v>43927</v>
      </c>
      <c r="E490" s="1">
        <f ca="1">Table1[[#This Row],[Job Posting Date]]+ RANDBETWEEN(15, 90)</f>
        <v>43952</v>
      </c>
      <c r="F490" s="1">
        <f ca="1">Table1[[#This Row],[Hire Date]]+ RANDBETWEEN(1, 15)</f>
        <v>43964</v>
      </c>
      <c r="G490" s="1" t="str">
        <f ca="1">IF(RAND() &lt; 0.5,  Table1[[#This Row],[Join Date]]+ RANDBETWEEN(30, TODAY()- Table1[[#This Row],[Join Date]]), "-")</f>
        <v>-</v>
      </c>
      <c r="H490" t="str">
        <f ca="1">IF(Table1[[#This Row],[Exit Date]]= "-", "Active", "Exited")</f>
        <v>Active</v>
      </c>
      <c r="I490" s="5">
        <f t="shared" ca="1" si="69"/>
        <v>4859</v>
      </c>
      <c r="J490" t="str" cm="1">
        <f t="array" aca="1" ref="J490" ca="1">INDEX(sheet2!$C$2:$C$6, RANDBETWEEN(1, 5))</f>
        <v>Communication Skills</v>
      </c>
      <c r="K490" t="str">
        <f t="shared" ca="1" si="70"/>
        <v>Completed</v>
      </c>
      <c r="L490">
        <v>260</v>
      </c>
      <c r="M490">
        <f t="shared" ca="1" si="64"/>
        <v>11</v>
      </c>
      <c r="N490" t="str">
        <f t="shared" ca="1" si="65"/>
        <v>Male</v>
      </c>
      <c r="O490" s="6">
        <f t="shared" ca="1" si="66"/>
        <v>1514</v>
      </c>
      <c r="P490">
        <f ca="1">Table1[[#This Row],[Hire Date]]-Table1[[#This Row],[Job Posting Date]]</f>
        <v>25</v>
      </c>
      <c r="Q490" s="7">
        <f ca="1">Table1[[#This Row],[Join Date]]-Table1[[#This Row],[Hire Date]]</f>
        <v>12</v>
      </c>
      <c r="R490" s="8">
        <f ca="1">(IF(Table1[[#This Row],[Status]]="Exited",Table1[[#This Row],[Exit Date]]-Table1[[#This Row],[Join Date]],TODAY()-Table1[[#This Row],[Join Date]]))/30</f>
        <v>56.633333333333333</v>
      </c>
      <c r="S490">
        <f ca="1">Table1[[#This Row],[Hire Date]]-Table1[[#This Row],[Job Posting Date]]</f>
        <v>25</v>
      </c>
      <c r="T490" s="7">
        <f ca="1">Table1[[#This Row],[Time to onboard]]/Table1[[#This Row],[Time to Fill]]*100</f>
        <v>48</v>
      </c>
      <c r="U490" s="8">
        <f ca="1">Table1[[#This Row],[Time to onboard]]/Table1[[#This Row],[Time to Fill]]*100</f>
        <v>48</v>
      </c>
      <c r="V490">
        <f ca="1">Table1[[#This Row],[Join Date]]-Table1[[#This Row],[Job Posting Date]]</f>
        <v>37</v>
      </c>
      <c r="W490">
        <f t="shared" ca="1" si="67"/>
        <v>142</v>
      </c>
      <c r="X490" s="8">
        <f ca="1">Table1[[#This Row],[Absentee Days]]/Table1[[#This Row],[Total Work Days]]*100</f>
        <v>4.2307692307692308</v>
      </c>
      <c r="Y490">
        <f ca="1">YEAR(Table1[[#This Row],[Join Date]])</f>
        <v>2020</v>
      </c>
      <c r="Z490">
        <f ca="1">IF(Table1[[#This Row],[Status]]="Active",1,0)</f>
        <v>1</v>
      </c>
      <c r="AA490">
        <f ca="1">IF(Table1[[#This Row],[Status]]="Exited",Table1[[#This Row],[Recruitment Cost]]+Table1[[#This Row],[Onboarding cost]]+Table1[[#This Row],[Training Cost]],0)</f>
        <v>0</v>
      </c>
    </row>
    <row r="491" spans="1:27">
      <c r="A491" t="str">
        <f t="shared" si="63"/>
        <v>E490</v>
      </c>
      <c r="B491" t="str" cm="1">
        <f t="array" aca="1" ref="B491" ca="1">INDEX(sheet2!$A$2:$A$6, RANDBETWEEN(1, 5))</f>
        <v>IT</v>
      </c>
      <c r="C491" t="str">
        <f ca="1">_xlfn.XLOOKUP(Table1[[#This Row],[Department]],sheet2!$A$2:$A$6,sheet2!$B$2:$B$6,_xleta.NA,0)</f>
        <v>Software Engineer</v>
      </c>
      <c r="D491" s="1">
        <f t="shared" ca="1" si="68"/>
        <v>44703</v>
      </c>
      <c r="E491" s="1">
        <f ca="1">Table1[[#This Row],[Job Posting Date]]+ RANDBETWEEN(15, 90)</f>
        <v>44792</v>
      </c>
      <c r="F491" s="1">
        <f ca="1">Table1[[#This Row],[Hire Date]]+ RANDBETWEEN(1, 15)</f>
        <v>44806</v>
      </c>
      <c r="G491" s="1" t="str">
        <f ca="1">IF(RAND() &lt; 0.5,  Table1[[#This Row],[Join Date]]+ RANDBETWEEN(30, TODAY()- Table1[[#This Row],[Join Date]]), "-")</f>
        <v>-</v>
      </c>
      <c r="H491" t="str">
        <f ca="1">IF(Table1[[#This Row],[Exit Date]]= "-", "Active", "Exited")</f>
        <v>Active</v>
      </c>
      <c r="I491" s="5">
        <f t="shared" ca="1" si="69"/>
        <v>2804</v>
      </c>
      <c r="J491" t="str" cm="1">
        <f t="array" aca="1" ref="J491" ca="1">INDEX(sheet2!$C$2:$C$6, RANDBETWEEN(1, 5))</f>
        <v>Ethics and Responsibilities</v>
      </c>
      <c r="K491" t="str">
        <f t="shared" ca="1" si="70"/>
        <v>Not Completed</v>
      </c>
      <c r="L491">
        <v>260</v>
      </c>
      <c r="M491">
        <f t="shared" ca="1" si="64"/>
        <v>7</v>
      </c>
      <c r="N491" t="str">
        <f t="shared" ca="1" si="65"/>
        <v>Male</v>
      </c>
      <c r="O491" s="6">
        <f t="shared" ca="1" si="66"/>
        <v>2279</v>
      </c>
      <c r="P491">
        <f ca="1">Table1[[#This Row],[Hire Date]]-Table1[[#This Row],[Job Posting Date]]</f>
        <v>89</v>
      </c>
      <c r="Q491" s="7">
        <f ca="1">Table1[[#This Row],[Join Date]]-Table1[[#This Row],[Hire Date]]</f>
        <v>14</v>
      </c>
      <c r="R491" s="8">
        <f ca="1">(IF(Table1[[#This Row],[Status]]="Exited",Table1[[#This Row],[Exit Date]]-Table1[[#This Row],[Join Date]],TODAY()-Table1[[#This Row],[Join Date]]))/30</f>
        <v>28.566666666666666</v>
      </c>
      <c r="S491">
        <f ca="1">Table1[[#This Row],[Hire Date]]-Table1[[#This Row],[Job Posting Date]]</f>
        <v>89</v>
      </c>
      <c r="T491" s="7">
        <f ca="1">Table1[[#This Row],[Time to onboard]]/Table1[[#This Row],[Time to Fill]]*100</f>
        <v>15.730337078651685</v>
      </c>
      <c r="U491" s="8">
        <f ca="1">Table1[[#This Row],[Time to onboard]]/Table1[[#This Row],[Time to Fill]]*100</f>
        <v>15.730337078651685</v>
      </c>
      <c r="V491">
        <f ca="1">Table1[[#This Row],[Join Date]]-Table1[[#This Row],[Job Posting Date]]</f>
        <v>103</v>
      </c>
      <c r="W491">
        <f t="shared" ca="1" si="67"/>
        <v>176</v>
      </c>
      <c r="X491" s="8">
        <f ca="1">Table1[[#This Row],[Absentee Days]]/Table1[[#This Row],[Total Work Days]]*100</f>
        <v>2.6923076923076925</v>
      </c>
      <c r="Y491">
        <f ca="1">YEAR(Table1[[#This Row],[Join Date]])</f>
        <v>2022</v>
      </c>
      <c r="Z491">
        <f ca="1">IF(Table1[[#This Row],[Status]]="Active",1,0)</f>
        <v>1</v>
      </c>
      <c r="AA491">
        <f ca="1">IF(Table1[[#This Row],[Status]]="Exited",Table1[[#This Row],[Recruitment Cost]]+Table1[[#This Row],[Onboarding cost]]+Table1[[#This Row],[Training Cost]],0)</f>
        <v>0</v>
      </c>
    </row>
    <row r="492" spans="1:27">
      <c r="A492" t="str">
        <f t="shared" si="63"/>
        <v>E491</v>
      </c>
      <c r="B492" t="str" cm="1">
        <f t="array" aca="1" ref="B492" ca="1">INDEX(sheet2!$A$2:$A$6, RANDBETWEEN(1, 5))</f>
        <v>IT</v>
      </c>
      <c r="C492" t="str">
        <f ca="1">_xlfn.XLOOKUP(Table1[[#This Row],[Department]],sheet2!$A$2:$A$6,sheet2!$B$2:$B$6,_xleta.NA,0)</f>
        <v>Software Engineer</v>
      </c>
      <c r="D492" s="1">
        <f t="shared" ca="1" si="68"/>
        <v>43233</v>
      </c>
      <c r="E492" s="1">
        <f ca="1">Table1[[#This Row],[Job Posting Date]]+ RANDBETWEEN(15, 90)</f>
        <v>43297</v>
      </c>
      <c r="F492" s="1">
        <f ca="1">Table1[[#This Row],[Hire Date]]+ RANDBETWEEN(1, 15)</f>
        <v>43303</v>
      </c>
      <c r="G492" s="1">
        <f ca="1">IF(RAND() &lt; 0.5,  Table1[[#This Row],[Join Date]]+ RANDBETWEEN(30, TODAY()- Table1[[#This Row],[Join Date]]), "-")</f>
        <v>45260</v>
      </c>
      <c r="H492" t="str">
        <f ca="1">IF(Table1[[#This Row],[Exit Date]]= "-", "Active", "Exited")</f>
        <v>Exited</v>
      </c>
      <c r="I492" s="5">
        <f t="shared" ca="1" si="69"/>
        <v>1782</v>
      </c>
      <c r="J492" t="str" cm="1">
        <f t="array" aca="1" ref="J492" ca="1">INDEX(sheet2!$C$2:$C$6, RANDBETWEEN(1, 5))</f>
        <v>Conflict Resolution</v>
      </c>
      <c r="K492" t="str">
        <f t="shared" ca="1" si="70"/>
        <v>Completed</v>
      </c>
      <c r="L492">
        <v>260</v>
      </c>
      <c r="M492">
        <f t="shared" ca="1" si="64"/>
        <v>0</v>
      </c>
      <c r="N492" t="str">
        <f t="shared" ca="1" si="65"/>
        <v>Male</v>
      </c>
      <c r="O492" s="6">
        <f t="shared" ca="1" si="66"/>
        <v>1634</v>
      </c>
      <c r="P492">
        <f ca="1">Table1[[#This Row],[Hire Date]]-Table1[[#This Row],[Job Posting Date]]</f>
        <v>64</v>
      </c>
      <c r="Q492" s="7">
        <f ca="1">Table1[[#This Row],[Join Date]]-Table1[[#This Row],[Hire Date]]</f>
        <v>6</v>
      </c>
      <c r="R492" s="8">
        <f ca="1">(IF(Table1[[#This Row],[Status]]="Exited",Table1[[#This Row],[Exit Date]]-Table1[[#This Row],[Join Date]],TODAY()-Table1[[#This Row],[Join Date]]))/30</f>
        <v>65.233333333333334</v>
      </c>
      <c r="S492">
        <f ca="1">Table1[[#This Row],[Hire Date]]-Table1[[#This Row],[Job Posting Date]]</f>
        <v>64</v>
      </c>
      <c r="T492" s="7">
        <f ca="1">Table1[[#This Row],[Time to onboard]]/Table1[[#This Row],[Time to Fill]]*100</f>
        <v>9.375</v>
      </c>
      <c r="U492" s="8">
        <f ca="1">Table1[[#This Row],[Time to onboard]]/Table1[[#This Row],[Time to Fill]]*100</f>
        <v>9.375</v>
      </c>
      <c r="V492">
        <f ca="1">Table1[[#This Row],[Join Date]]-Table1[[#This Row],[Job Posting Date]]</f>
        <v>70</v>
      </c>
      <c r="W492">
        <f t="shared" ca="1" si="67"/>
        <v>166</v>
      </c>
      <c r="X492" s="8">
        <f ca="1">Table1[[#This Row],[Absentee Days]]/Table1[[#This Row],[Total Work Days]]*100</f>
        <v>0</v>
      </c>
      <c r="Y492">
        <f ca="1">YEAR(Table1[[#This Row],[Join Date]])</f>
        <v>2018</v>
      </c>
      <c r="Z492">
        <f ca="1">IF(Table1[[#This Row],[Status]]="Active",1,0)</f>
        <v>0</v>
      </c>
      <c r="AA492">
        <f ca="1">IF(Table1[[#This Row],[Status]]="Exited",Table1[[#This Row],[Recruitment Cost]]+Table1[[#This Row],[Onboarding cost]]+Table1[[#This Row],[Training Cost]],0)</f>
        <v>3582</v>
      </c>
    </row>
    <row r="493" spans="1:27">
      <c r="A493" t="str">
        <f t="shared" si="63"/>
        <v>E492</v>
      </c>
      <c r="B493" t="str" cm="1">
        <f t="array" aca="1" ref="B493" ca="1">INDEX(sheet2!$A$2:$A$6, RANDBETWEEN(1, 5))</f>
        <v>IT</v>
      </c>
      <c r="C493" t="str">
        <f ca="1">_xlfn.XLOOKUP(Table1[[#This Row],[Department]],sheet2!$A$2:$A$6,sheet2!$B$2:$B$6,_xleta.NA,0)</f>
        <v>Software Engineer</v>
      </c>
      <c r="D493" s="1">
        <f t="shared" ca="1" si="68"/>
        <v>43451</v>
      </c>
      <c r="E493" s="1">
        <f ca="1">Table1[[#This Row],[Job Posting Date]]+ RANDBETWEEN(15, 90)</f>
        <v>43530</v>
      </c>
      <c r="F493" s="1">
        <f ca="1">Table1[[#This Row],[Hire Date]]+ RANDBETWEEN(1, 15)</f>
        <v>43543</v>
      </c>
      <c r="G493" s="1" t="str">
        <f ca="1">IF(RAND() &lt; 0.5,  Table1[[#This Row],[Join Date]]+ RANDBETWEEN(30, TODAY()- Table1[[#This Row],[Join Date]]), "-")</f>
        <v>-</v>
      </c>
      <c r="H493" t="str">
        <f ca="1">IF(Table1[[#This Row],[Exit Date]]= "-", "Active", "Exited")</f>
        <v>Active</v>
      </c>
      <c r="I493" s="5">
        <f t="shared" ca="1" si="69"/>
        <v>3285</v>
      </c>
      <c r="J493" t="str" cm="1">
        <f t="array" aca="1" ref="J493" ca="1">INDEX(sheet2!$C$2:$C$6, RANDBETWEEN(1, 5))</f>
        <v>Communication Skills</v>
      </c>
      <c r="K493" t="str">
        <f t="shared" ca="1" si="70"/>
        <v>Completed</v>
      </c>
      <c r="L493">
        <v>260</v>
      </c>
      <c r="M493">
        <f t="shared" ca="1" si="64"/>
        <v>6</v>
      </c>
      <c r="N493" t="str">
        <f t="shared" ca="1" si="65"/>
        <v>Male</v>
      </c>
      <c r="O493" s="6">
        <f t="shared" ca="1" si="66"/>
        <v>1394</v>
      </c>
      <c r="P493">
        <f ca="1">Table1[[#This Row],[Hire Date]]-Table1[[#This Row],[Job Posting Date]]</f>
        <v>79</v>
      </c>
      <c r="Q493" s="7">
        <f ca="1">Table1[[#This Row],[Join Date]]-Table1[[#This Row],[Hire Date]]</f>
        <v>13</v>
      </c>
      <c r="R493" s="8">
        <f ca="1">(IF(Table1[[#This Row],[Status]]="Exited",Table1[[#This Row],[Exit Date]]-Table1[[#This Row],[Join Date]],TODAY()-Table1[[#This Row],[Join Date]]))/30</f>
        <v>70.666666666666671</v>
      </c>
      <c r="S493">
        <f ca="1">Table1[[#This Row],[Hire Date]]-Table1[[#This Row],[Job Posting Date]]</f>
        <v>79</v>
      </c>
      <c r="T493" s="7">
        <f ca="1">Table1[[#This Row],[Time to onboard]]/Table1[[#This Row],[Time to Fill]]*100</f>
        <v>16.455696202531644</v>
      </c>
      <c r="U493" s="8">
        <f ca="1">Table1[[#This Row],[Time to onboard]]/Table1[[#This Row],[Time to Fill]]*100</f>
        <v>16.455696202531644</v>
      </c>
      <c r="V493">
        <f ca="1">Table1[[#This Row],[Join Date]]-Table1[[#This Row],[Job Posting Date]]</f>
        <v>92</v>
      </c>
      <c r="W493">
        <f t="shared" ca="1" si="67"/>
        <v>117</v>
      </c>
      <c r="X493" s="8">
        <f ca="1">Table1[[#This Row],[Absentee Days]]/Table1[[#This Row],[Total Work Days]]*100</f>
        <v>2.3076923076923079</v>
      </c>
      <c r="Y493">
        <f ca="1">YEAR(Table1[[#This Row],[Join Date]])</f>
        <v>2019</v>
      </c>
      <c r="Z493">
        <f ca="1">IF(Table1[[#This Row],[Status]]="Active",1,0)</f>
        <v>1</v>
      </c>
      <c r="AA493">
        <f ca="1">IF(Table1[[#This Row],[Status]]="Exited",Table1[[#This Row],[Recruitment Cost]]+Table1[[#This Row],[Onboarding cost]]+Table1[[#This Row],[Training Cost]],0)</f>
        <v>0</v>
      </c>
    </row>
    <row r="494" spans="1:27">
      <c r="A494" t="str">
        <f t="shared" si="63"/>
        <v>E493</v>
      </c>
      <c r="B494" t="str" cm="1">
        <f t="array" aca="1" ref="B494" ca="1">INDEX(sheet2!$A$2:$A$6, RANDBETWEEN(1, 5))</f>
        <v>Sales</v>
      </c>
      <c r="C494" t="str">
        <f ca="1">_xlfn.XLOOKUP(Table1[[#This Row],[Department]],sheet2!$A$2:$A$6,sheet2!$B$2:$B$6,_xleta.NA,0)</f>
        <v>Marketing Manager</v>
      </c>
      <c r="D494" s="1">
        <f t="shared" ca="1" si="68"/>
        <v>43815</v>
      </c>
      <c r="E494" s="1">
        <f ca="1">Table1[[#This Row],[Job Posting Date]]+ RANDBETWEEN(15, 90)</f>
        <v>43883</v>
      </c>
      <c r="F494" s="1">
        <f ca="1">Table1[[#This Row],[Hire Date]]+ RANDBETWEEN(1, 15)</f>
        <v>43893</v>
      </c>
      <c r="G494" s="1">
        <f ca="1">IF(RAND() &lt; 0.5,  Table1[[#This Row],[Join Date]]+ RANDBETWEEN(30, TODAY()- Table1[[#This Row],[Join Date]]), "-")</f>
        <v>45514</v>
      </c>
      <c r="H494" t="str">
        <f ca="1">IF(Table1[[#This Row],[Exit Date]]= "-", "Active", "Exited")</f>
        <v>Exited</v>
      </c>
      <c r="I494" s="5">
        <f t="shared" ca="1" si="69"/>
        <v>4402</v>
      </c>
      <c r="J494" t="str" cm="1">
        <f t="array" aca="1" ref="J494" ca="1">INDEX(sheet2!$C$2:$C$6, RANDBETWEEN(1, 5))</f>
        <v>Leadership Development</v>
      </c>
      <c r="K494" t="str">
        <f t="shared" ca="1" si="70"/>
        <v>Not Completed</v>
      </c>
      <c r="L494">
        <v>260</v>
      </c>
      <c r="M494">
        <f t="shared" ca="1" si="64"/>
        <v>12</v>
      </c>
      <c r="N494" t="str">
        <f t="shared" ca="1" si="65"/>
        <v>Male</v>
      </c>
      <c r="O494" s="6">
        <f t="shared" ca="1" si="66"/>
        <v>1626</v>
      </c>
      <c r="P494">
        <f ca="1">Table1[[#This Row],[Hire Date]]-Table1[[#This Row],[Job Posting Date]]</f>
        <v>68</v>
      </c>
      <c r="Q494" s="7">
        <f ca="1">Table1[[#This Row],[Join Date]]-Table1[[#This Row],[Hire Date]]</f>
        <v>10</v>
      </c>
      <c r="R494" s="8">
        <f ca="1">(IF(Table1[[#This Row],[Status]]="Exited",Table1[[#This Row],[Exit Date]]-Table1[[#This Row],[Join Date]],TODAY()-Table1[[#This Row],[Join Date]]))/30</f>
        <v>54.033333333333331</v>
      </c>
      <c r="S494">
        <f ca="1">Table1[[#This Row],[Hire Date]]-Table1[[#This Row],[Job Posting Date]]</f>
        <v>68</v>
      </c>
      <c r="T494" s="7">
        <f ca="1">Table1[[#This Row],[Time to onboard]]/Table1[[#This Row],[Time to Fill]]*100</f>
        <v>14.705882352941178</v>
      </c>
      <c r="U494" s="8">
        <f ca="1">Table1[[#This Row],[Time to onboard]]/Table1[[#This Row],[Time to Fill]]*100</f>
        <v>14.705882352941178</v>
      </c>
      <c r="V494">
        <f ca="1">Table1[[#This Row],[Join Date]]-Table1[[#This Row],[Job Posting Date]]</f>
        <v>78</v>
      </c>
      <c r="W494">
        <f t="shared" ca="1" si="67"/>
        <v>134</v>
      </c>
      <c r="X494" s="8">
        <f ca="1">Table1[[#This Row],[Absentee Days]]/Table1[[#This Row],[Total Work Days]]*100</f>
        <v>4.6153846153846159</v>
      </c>
      <c r="Y494">
        <f ca="1">YEAR(Table1[[#This Row],[Join Date]])</f>
        <v>2020</v>
      </c>
      <c r="Z494">
        <f ca="1">IF(Table1[[#This Row],[Status]]="Active",1,0)</f>
        <v>0</v>
      </c>
      <c r="AA494">
        <f ca="1">IF(Table1[[#This Row],[Status]]="Exited",Table1[[#This Row],[Recruitment Cost]]+Table1[[#This Row],[Onboarding cost]]+Table1[[#This Row],[Training Cost]],0)</f>
        <v>6162</v>
      </c>
    </row>
    <row r="495" spans="1:27">
      <c r="A495" t="str">
        <f t="shared" si="63"/>
        <v>E494</v>
      </c>
      <c r="B495" t="str" cm="1">
        <f t="array" aca="1" ref="B495" ca="1">INDEX(sheet2!$A$2:$A$6, RANDBETWEEN(1, 5))</f>
        <v>Sales</v>
      </c>
      <c r="C495" t="str">
        <f ca="1">_xlfn.XLOOKUP(Table1[[#This Row],[Department]],sheet2!$A$2:$A$6,sheet2!$B$2:$B$6,_xleta.NA,0)</f>
        <v>Marketing Manager</v>
      </c>
      <c r="D495" s="1">
        <f t="shared" ca="1" si="68"/>
        <v>43244</v>
      </c>
      <c r="E495" s="1">
        <f ca="1">Table1[[#This Row],[Job Posting Date]]+ RANDBETWEEN(15, 90)</f>
        <v>43329</v>
      </c>
      <c r="F495" s="1">
        <f ca="1">Table1[[#This Row],[Hire Date]]+ RANDBETWEEN(1, 15)</f>
        <v>43330</v>
      </c>
      <c r="G495" s="1">
        <f ca="1">IF(RAND() &lt; 0.5,  Table1[[#This Row],[Join Date]]+ RANDBETWEEN(30, TODAY()- Table1[[#This Row],[Join Date]]), "-")</f>
        <v>45383</v>
      </c>
      <c r="H495" t="str">
        <f ca="1">IF(Table1[[#This Row],[Exit Date]]= "-", "Active", "Exited")</f>
        <v>Exited</v>
      </c>
      <c r="I495" s="5">
        <f t="shared" ca="1" si="69"/>
        <v>1661</v>
      </c>
      <c r="J495" t="str" cm="1">
        <f t="array" aca="1" ref="J495" ca="1">INDEX(sheet2!$C$2:$C$6, RANDBETWEEN(1, 5))</f>
        <v>Conflict Resolution</v>
      </c>
      <c r="K495" t="str">
        <f t="shared" ca="1" si="70"/>
        <v>Not Completed</v>
      </c>
      <c r="L495">
        <v>260</v>
      </c>
      <c r="M495">
        <f t="shared" ca="1" si="64"/>
        <v>11</v>
      </c>
      <c r="N495" t="str">
        <f t="shared" ca="1" si="65"/>
        <v>Male</v>
      </c>
      <c r="O495" s="6">
        <f t="shared" ca="1" si="66"/>
        <v>1824</v>
      </c>
      <c r="P495">
        <f ca="1">Table1[[#This Row],[Hire Date]]-Table1[[#This Row],[Job Posting Date]]</f>
        <v>85</v>
      </c>
      <c r="Q495" s="7">
        <f ca="1">Table1[[#This Row],[Join Date]]-Table1[[#This Row],[Hire Date]]</f>
        <v>1</v>
      </c>
      <c r="R495" s="8">
        <f ca="1">(IF(Table1[[#This Row],[Status]]="Exited",Table1[[#This Row],[Exit Date]]-Table1[[#This Row],[Join Date]],TODAY()-Table1[[#This Row],[Join Date]]))/30</f>
        <v>68.433333333333337</v>
      </c>
      <c r="S495">
        <f ca="1">Table1[[#This Row],[Hire Date]]-Table1[[#This Row],[Job Posting Date]]</f>
        <v>85</v>
      </c>
      <c r="T495" s="7">
        <f ca="1">Table1[[#This Row],[Time to onboard]]/Table1[[#This Row],[Time to Fill]]*100</f>
        <v>1.1764705882352942</v>
      </c>
      <c r="U495" s="8">
        <f ca="1">Table1[[#This Row],[Time to onboard]]/Table1[[#This Row],[Time to Fill]]*100</f>
        <v>1.1764705882352942</v>
      </c>
      <c r="V495">
        <f ca="1">Table1[[#This Row],[Join Date]]-Table1[[#This Row],[Job Posting Date]]</f>
        <v>86</v>
      </c>
      <c r="W495">
        <f t="shared" ca="1" si="67"/>
        <v>101</v>
      </c>
      <c r="X495" s="8">
        <f ca="1">Table1[[#This Row],[Absentee Days]]/Table1[[#This Row],[Total Work Days]]*100</f>
        <v>4.2307692307692308</v>
      </c>
      <c r="Y495">
        <f ca="1">YEAR(Table1[[#This Row],[Join Date]])</f>
        <v>2018</v>
      </c>
      <c r="Z495">
        <f ca="1">IF(Table1[[#This Row],[Status]]="Active",1,0)</f>
        <v>0</v>
      </c>
      <c r="AA495">
        <f ca="1">IF(Table1[[#This Row],[Status]]="Exited",Table1[[#This Row],[Recruitment Cost]]+Table1[[#This Row],[Onboarding cost]]+Table1[[#This Row],[Training Cost]],0)</f>
        <v>3586</v>
      </c>
    </row>
    <row r="496" spans="1:27">
      <c r="A496" t="str">
        <f t="shared" si="63"/>
        <v>E495</v>
      </c>
      <c r="B496" t="str" cm="1">
        <f t="array" aca="1" ref="B496" ca="1">INDEX(sheet2!$A$2:$A$6, RANDBETWEEN(1, 5))</f>
        <v>Finance</v>
      </c>
      <c r="C496" t="str">
        <f ca="1">_xlfn.XLOOKUP(Table1[[#This Row],[Department]],sheet2!$A$2:$A$6,sheet2!$B$2:$B$6,_xleta.NA,0)</f>
        <v>Finance Manager</v>
      </c>
      <c r="D496" s="1">
        <f t="shared" ca="1" si="68"/>
        <v>44836</v>
      </c>
      <c r="E496" s="1">
        <f ca="1">Table1[[#This Row],[Job Posting Date]]+ RANDBETWEEN(15, 90)</f>
        <v>44901</v>
      </c>
      <c r="F496" s="1">
        <f ca="1">Table1[[#This Row],[Hire Date]]+ RANDBETWEEN(1, 15)</f>
        <v>44909</v>
      </c>
      <c r="G496" s="1" t="str">
        <f ca="1">IF(RAND() &lt; 0.5,  Table1[[#This Row],[Join Date]]+ RANDBETWEEN(30, TODAY()- Table1[[#This Row],[Join Date]]), "-")</f>
        <v>-</v>
      </c>
      <c r="H496" t="str">
        <f ca="1">IF(Table1[[#This Row],[Exit Date]]= "-", "Active", "Exited")</f>
        <v>Active</v>
      </c>
      <c r="I496" s="5">
        <f t="shared" ca="1" si="69"/>
        <v>4328</v>
      </c>
      <c r="J496" t="str" cm="1">
        <f t="array" aca="1" ref="J496" ca="1">INDEX(sheet2!$C$2:$C$6, RANDBETWEEN(1, 5))</f>
        <v>Ethics and Responsibilities</v>
      </c>
      <c r="K496" t="str">
        <f t="shared" ca="1" si="70"/>
        <v>Completed</v>
      </c>
      <c r="L496">
        <v>260</v>
      </c>
      <c r="M496">
        <f t="shared" ca="1" si="64"/>
        <v>8</v>
      </c>
      <c r="N496" t="str">
        <f t="shared" ca="1" si="65"/>
        <v>Female</v>
      </c>
      <c r="O496" s="6">
        <f t="shared" ca="1" si="66"/>
        <v>1665</v>
      </c>
      <c r="P496">
        <f ca="1">Table1[[#This Row],[Hire Date]]-Table1[[#This Row],[Job Posting Date]]</f>
        <v>65</v>
      </c>
      <c r="Q496" s="7">
        <f ca="1">Table1[[#This Row],[Join Date]]-Table1[[#This Row],[Hire Date]]</f>
        <v>8</v>
      </c>
      <c r="R496" s="8">
        <f ca="1">(IF(Table1[[#This Row],[Status]]="Exited",Table1[[#This Row],[Exit Date]]-Table1[[#This Row],[Join Date]],TODAY()-Table1[[#This Row],[Join Date]]))/30</f>
        <v>25.133333333333333</v>
      </c>
      <c r="S496">
        <f ca="1">Table1[[#This Row],[Hire Date]]-Table1[[#This Row],[Job Posting Date]]</f>
        <v>65</v>
      </c>
      <c r="T496" s="7">
        <f ca="1">Table1[[#This Row],[Time to onboard]]/Table1[[#This Row],[Time to Fill]]*100</f>
        <v>12.307692307692308</v>
      </c>
      <c r="U496" s="8">
        <f ca="1">Table1[[#This Row],[Time to onboard]]/Table1[[#This Row],[Time to Fill]]*100</f>
        <v>12.307692307692308</v>
      </c>
      <c r="V496">
        <f ca="1">Table1[[#This Row],[Join Date]]-Table1[[#This Row],[Job Posting Date]]</f>
        <v>73</v>
      </c>
      <c r="W496">
        <f t="shared" ca="1" si="67"/>
        <v>152</v>
      </c>
      <c r="X496" s="8">
        <f ca="1">Table1[[#This Row],[Absentee Days]]/Table1[[#This Row],[Total Work Days]]*100</f>
        <v>3.0769230769230771</v>
      </c>
      <c r="Y496">
        <f ca="1">YEAR(Table1[[#This Row],[Join Date]])</f>
        <v>2022</v>
      </c>
      <c r="Z496">
        <f ca="1">IF(Table1[[#This Row],[Status]]="Active",1,0)</f>
        <v>1</v>
      </c>
      <c r="AA496">
        <f ca="1">IF(Table1[[#This Row],[Status]]="Exited",Table1[[#This Row],[Recruitment Cost]]+Table1[[#This Row],[Onboarding cost]]+Table1[[#This Row],[Training Cost]],0)</f>
        <v>0</v>
      </c>
    </row>
    <row r="497" spans="1:27">
      <c r="A497" t="str">
        <f t="shared" si="63"/>
        <v>E496</v>
      </c>
      <c r="B497" t="str" cm="1">
        <f t="array" aca="1" ref="B497" ca="1">INDEX(sheet2!$A$2:$A$6, RANDBETWEEN(1, 5))</f>
        <v>Analytics</v>
      </c>
      <c r="C497" t="str">
        <f ca="1">_xlfn.XLOOKUP(Table1[[#This Row],[Department]],sheet2!$A$2:$A$6,sheet2!$B$2:$B$6,_xleta.NA,0)</f>
        <v>Data Analyst</v>
      </c>
      <c r="D497" s="1">
        <f t="shared" ca="1" si="68"/>
        <v>43390</v>
      </c>
      <c r="E497" s="1">
        <f ca="1">Table1[[#This Row],[Job Posting Date]]+ RANDBETWEEN(15, 90)</f>
        <v>43438</v>
      </c>
      <c r="F497" s="1">
        <f ca="1">Table1[[#This Row],[Hire Date]]+ RANDBETWEEN(1, 15)</f>
        <v>43446</v>
      </c>
      <c r="G497" s="1" t="str">
        <f ca="1">IF(RAND() &lt; 0.5,  Table1[[#This Row],[Join Date]]+ RANDBETWEEN(30, TODAY()- Table1[[#This Row],[Join Date]]), "-")</f>
        <v>-</v>
      </c>
      <c r="H497" t="str">
        <f ca="1">IF(Table1[[#This Row],[Exit Date]]= "-", "Active", "Exited")</f>
        <v>Active</v>
      </c>
      <c r="I497" s="5">
        <f t="shared" ca="1" si="69"/>
        <v>4345</v>
      </c>
      <c r="J497" t="str" cm="1">
        <f t="array" aca="1" ref="J497" ca="1">INDEX(sheet2!$C$2:$C$6, RANDBETWEEN(1, 5))</f>
        <v>Conflict Resolution</v>
      </c>
      <c r="K497" t="str">
        <f t="shared" ca="1" si="70"/>
        <v>Completed</v>
      </c>
      <c r="L497">
        <v>260</v>
      </c>
      <c r="M497">
        <f t="shared" ca="1" si="64"/>
        <v>13</v>
      </c>
      <c r="N497" t="str">
        <f t="shared" ca="1" si="65"/>
        <v>Other</v>
      </c>
      <c r="O497" s="6">
        <f t="shared" ca="1" si="66"/>
        <v>1620</v>
      </c>
      <c r="P497">
        <f ca="1">Table1[[#This Row],[Hire Date]]-Table1[[#This Row],[Job Posting Date]]</f>
        <v>48</v>
      </c>
      <c r="Q497" s="7">
        <f ca="1">Table1[[#This Row],[Join Date]]-Table1[[#This Row],[Hire Date]]</f>
        <v>8</v>
      </c>
      <c r="R497" s="8">
        <f ca="1">(IF(Table1[[#This Row],[Status]]="Exited",Table1[[#This Row],[Exit Date]]-Table1[[#This Row],[Join Date]],TODAY()-Table1[[#This Row],[Join Date]]))/30</f>
        <v>73.900000000000006</v>
      </c>
      <c r="S497">
        <f ca="1">Table1[[#This Row],[Hire Date]]-Table1[[#This Row],[Job Posting Date]]</f>
        <v>48</v>
      </c>
      <c r="T497" s="7">
        <f ca="1">Table1[[#This Row],[Time to onboard]]/Table1[[#This Row],[Time to Fill]]*100</f>
        <v>16.666666666666664</v>
      </c>
      <c r="U497" s="8">
        <f ca="1">Table1[[#This Row],[Time to onboard]]/Table1[[#This Row],[Time to Fill]]*100</f>
        <v>16.666666666666664</v>
      </c>
      <c r="V497">
        <f ca="1">Table1[[#This Row],[Join Date]]-Table1[[#This Row],[Job Posting Date]]</f>
        <v>56</v>
      </c>
      <c r="W497">
        <f t="shared" ca="1" si="67"/>
        <v>142</v>
      </c>
      <c r="X497" s="8">
        <f ca="1">Table1[[#This Row],[Absentee Days]]/Table1[[#This Row],[Total Work Days]]*100</f>
        <v>5</v>
      </c>
      <c r="Y497">
        <f ca="1">YEAR(Table1[[#This Row],[Join Date]])</f>
        <v>2018</v>
      </c>
      <c r="Z497">
        <f ca="1">IF(Table1[[#This Row],[Status]]="Active",1,0)</f>
        <v>1</v>
      </c>
      <c r="AA497">
        <f ca="1">IF(Table1[[#This Row],[Status]]="Exited",Table1[[#This Row],[Recruitment Cost]]+Table1[[#This Row],[Onboarding cost]]+Table1[[#This Row],[Training Cost]],0)</f>
        <v>0</v>
      </c>
    </row>
    <row r="498" spans="1:27">
      <c r="A498" t="str">
        <f t="shared" si="63"/>
        <v>E497</v>
      </c>
      <c r="B498" t="str" cm="1">
        <f t="array" aca="1" ref="B498" ca="1">INDEX(sheet2!$A$2:$A$6, RANDBETWEEN(1, 5))</f>
        <v>Sales</v>
      </c>
      <c r="C498" t="str">
        <f ca="1">_xlfn.XLOOKUP(Table1[[#This Row],[Department]],sheet2!$A$2:$A$6,sheet2!$B$2:$B$6,_xleta.NA,0)</f>
        <v>Marketing Manager</v>
      </c>
      <c r="D498" s="1">
        <f t="shared" ca="1" si="68"/>
        <v>43359</v>
      </c>
      <c r="E498" s="1">
        <f ca="1">Table1[[#This Row],[Job Posting Date]]+ RANDBETWEEN(15, 90)</f>
        <v>43410</v>
      </c>
      <c r="F498" s="1">
        <f ca="1">Table1[[#This Row],[Hire Date]]+ RANDBETWEEN(1, 15)</f>
        <v>43418</v>
      </c>
      <c r="G498" s="1">
        <f ca="1">IF(RAND() &lt; 0.5,  Table1[[#This Row],[Join Date]]+ RANDBETWEEN(30, TODAY()- Table1[[#This Row],[Join Date]]), "-")</f>
        <v>43893</v>
      </c>
      <c r="H498" t="str">
        <f ca="1">IF(Table1[[#This Row],[Exit Date]]= "-", "Active", "Exited")</f>
        <v>Exited</v>
      </c>
      <c r="I498" s="5">
        <f t="shared" ca="1" si="69"/>
        <v>2408</v>
      </c>
      <c r="J498" t="str" cm="1">
        <f t="array" aca="1" ref="J498" ca="1">INDEX(sheet2!$C$2:$C$6, RANDBETWEEN(1, 5))</f>
        <v>Leadership Development</v>
      </c>
      <c r="K498" t="str">
        <f t="shared" ca="1" si="70"/>
        <v>Not Completed</v>
      </c>
      <c r="L498">
        <v>260</v>
      </c>
      <c r="M498">
        <f t="shared" ca="1" si="64"/>
        <v>13</v>
      </c>
      <c r="N498" t="str">
        <f t="shared" ca="1" si="65"/>
        <v>Male</v>
      </c>
      <c r="O498" s="6">
        <f t="shared" ca="1" si="66"/>
        <v>2254</v>
      </c>
      <c r="P498">
        <f ca="1">Table1[[#This Row],[Hire Date]]-Table1[[#This Row],[Job Posting Date]]</f>
        <v>51</v>
      </c>
      <c r="Q498" s="7">
        <f ca="1">Table1[[#This Row],[Join Date]]-Table1[[#This Row],[Hire Date]]</f>
        <v>8</v>
      </c>
      <c r="R498" s="8">
        <f ca="1">(IF(Table1[[#This Row],[Status]]="Exited",Table1[[#This Row],[Exit Date]]-Table1[[#This Row],[Join Date]],TODAY()-Table1[[#This Row],[Join Date]]))/30</f>
        <v>15.833333333333334</v>
      </c>
      <c r="S498">
        <f ca="1">Table1[[#This Row],[Hire Date]]-Table1[[#This Row],[Job Posting Date]]</f>
        <v>51</v>
      </c>
      <c r="T498" s="7">
        <f ca="1">Table1[[#This Row],[Time to onboard]]/Table1[[#This Row],[Time to Fill]]*100</f>
        <v>15.686274509803921</v>
      </c>
      <c r="U498" s="8">
        <f ca="1">Table1[[#This Row],[Time to onboard]]/Table1[[#This Row],[Time to Fill]]*100</f>
        <v>15.686274509803921</v>
      </c>
      <c r="V498">
        <f ca="1">Table1[[#This Row],[Join Date]]-Table1[[#This Row],[Job Posting Date]]</f>
        <v>59</v>
      </c>
      <c r="W498">
        <f t="shared" ca="1" si="67"/>
        <v>191</v>
      </c>
      <c r="X498" s="8">
        <f ca="1">Table1[[#This Row],[Absentee Days]]/Table1[[#This Row],[Total Work Days]]*100</f>
        <v>5</v>
      </c>
      <c r="Y498">
        <f ca="1">YEAR(Table1[[#This Row],[Join Date]])</f>
        <v>2018</v>
      </c>
      <c r="Z498">
        <f ca="1">IF(Table1[[#This Row],[Status]]="Active",1,0)</f>
        <v>0</v>
      </c>
      <c r="AA498">
        <f ca="1">IF(Table1[[#This Row],[Status]]="Exited",Table1[[#This Row],[Recruitment Cost]]+Table1[[#This Row],[Onboarding cost]]+Table1[[#This Row],[Training Cost]],0)</f>
        <v>4853</v>
      </c>
    </row>
    <row r="499" spans="1:27">
      <c r="A499" t="str">
        <f t="shared" si="63"/>
        <v>E498</v>
      </c>
      <c r="B499" t="str" cm="1">
        <f t="array" aca="1" ref="B499" ca="1">INDEX(sheet2!$A$2:$A$6, RANDBETWEEN(1, 5))</f>
        <v>IT</v>
      </c>
      <c r="C499" t="str">
        <f ca="1">_xlfn.XLOOKUP(Table1[[#This Row],[Department]],sheet2!$A$2:$A$6,sheet2!$B$2:$B$6,_xleta.NA,0)</f>
        <v>Software Engineer</v>
      </c>
      <c r="D499" s="1">
        <f t="shared" ca="1" si="68"/>
        <v>43780</v>
      </c>
      <c r="E499" s="1">
        <f ca="1">Table1[[#This Row],[Job Posting Date]]+ RANDBETWEEN(15, 90)</f>
        <v>43841</v>
      </c>
      <c r="F499" s="1">
        <f ca="1">Table1[[#This Row],[Hire Date]]+ RANDBETWEEN(1, 15)</f>
        <v>43853</v>
      </c>
      <c r="G499" s="1" t="str">
        <f ca="1">IF(RAND() &lt; 0.5,  Table1[[#This Row],[Join Date]]+ RANDBETWEEN(30, TODAY()- Table1[[#This Row],[Join Date]]), "-")</f>
        <v>-</v>
      </c>
      <c r="H499" t="str">
        <f ca="1">IF(Table1[[#This Row],[Exit Date]]= "-", "Active", "Exited")</f>
        <v>Active</v>
      </c>
      <c r="I499" s="5">
        <f t="shared" ca="1" si="69"/>
        <v>2955</v>
      </c>
      <c r="J499" t="str" cm="1">
        <f t="array" aca="1" ref="J499" ca="1">INDEX(sheet2!$C$2:$C$6, RANDBETWEEN(1, 5))</f>
        <v>Leadership Development</v>
      </c>
      <c r="K499" t="str">
        <f t="shared" ca="1" si="70"/>
        <v>Completed</v>
      </c>
      <c r="L499">
        <v>260</v>
      </c>
      <c r="M499">
        <f t="shared" ca="1" si="64"/>
        <v>9</v>
      </c>
      <c r="N499" t="str">
        <f t="shared" ca="1" si="65"/>
        <v>Female</v>
      </c>
      <c r="O499" s="6">
        <f t="shared" ca="1" si="66"/>
        <v>1756</v>
      </c>
      <c r="P499">
        <f ca="1">Table1[[#This Row],[Hire Date]]-Table1[[#This Row],[Job Posting Date]]</f>
        <v>61</v>
      </c>
      <c r="Q499" s="7">
        <f ca="1">Table1[[#This Row],[Join Date]]-Table1[[#This Row],[Hire Date]]</f>
        <v>12</v>
      </c>
      <c r="R499" s="8">
        <f ca="1">(IF(Table1[[#This Row],[Status]]="Exited",Table1[[#This Row],[Exit Date]]-Table1[[#This Row],[Join Date]],TODAY()-Table1[[#This Row],[Join Date]]))/30</f>
        <v>60.333333333333336</v>
      </c>
      <c r="S499">
        <f ca="1">Table1[[#This Row],[Hire Date]]-Table1[[#This Row],[Job Posting Date]]</f>
        <v>61</v>
      </c>
      <c r="T499" s="7">
        <f ca="1">Table1[[#This Row],[Time to onboard]]/Table1[[#This Row],[Time to Fill]]*100</f>
        <v>19.672131147540984</v>
      </c>
      <c r="U499" s="8">
        <f ca="1">Table1[[#This Row],[Time to onboard]]/Table1[[#This Row],[Time to Fill]]*100</f>
        <v>19.672131147540984</v>
      </c>
      <c r="V499">
        <f ca="1">Table1[[#This Row],[Join Date]]-Table1[[#This Row],[Job Posting Date]]</f>
        <v>73</v>
      </c>
      <c r="W499">
        <f t="shared" ca="1" si="67"/>
        <v>125</v>
      </c>
      <c r="X499" s="8">
        <f ca="1">Table1[[#This Row],[Absentee Days]]/Table1[[#This Row],[Total Work Days]]*100</f>
        <v>3.4615384615384617</v>
      </c>
      <c r="Y499">
        <f ca="1">YEAR(Table1[[#This Row],[Join Date]])</f>
        <v>2020</v>
      </c>
      <c r="Z499">
        <f ca="1">IF(Table1[[#This Row],[Status]]="Active",1,0)</f>
        <v>1</v>
      </c>
      <c r="AA499">
        <f ca="1">IF(Table1[[#This Row],[Status]]="Exited",Table1[[#This Row],[Recruitment Cost]]+Table1[[#This Row],[Onboarding cost]]+Table1[[#This Row],[Training Cost]],0)</f>
        <v>0</v>
      </c>
    </row>
    <row r="500" spans="1:27">
      <c r="A500" t="str">
        <f t="shared" si="63"/>
        <v>E499</v>
      </c>
      <c r="B500" t="str" cm="1">
        <f t="array" aca="1" ref="B500" ca="1">INDEX(sheet2!$A$2:$A$6, RANDBETWEEN(1, 5))</f>
        <v>Analytics</v>
      </c>
      <c r="C500" t="str">
        <f ca="1">_xlfn.XLOOKUP(Table1[[#This Row],[Department]],sheet2!$A$2:$A$6,sheet2!$B$2:$B$6,_xleta.NA,0)</f>
        <v>Data Analyst</v>
      </c>
      <c r="D500" s="1">
        <f t="shared" ca="1" si="68"/>
        <v>43833</v>
      </c>
      <c r="E500" s="1">
        <f ca="1">Table1[[#This Row],[Job Posting Date]]+ RANDBETWEEN(15, 90)</f>
        <v>43896</v>
      </c>
      <c r="F500" s="1">
        <f ca="1">Table1[[#This Row],[Hire Date]]+ RANDBETWEEN(1, 15)</f>
        <v>43909</v>
      </c>
      <c r="G500" s="1" t="str">
        <f ca="1">IF(RAND() &lt; 0.5,  Table1[[#This Row],[Join Date]]+ RANDBETWEEN(30, TODAY()- Table1[[#This Row],[Join Date]]), "-")</f>
        <v>-</v>
      </c>
      <c r="H500" t="str">
        <f ca="1">IF(Table1[[#This Row],[Exit Date]]= "-", "Active", "Exited")</f>
        <v>Active</v>
      </c>
      <c r="I500" s="5">
        <f t="shared" ca="1" si="69"/>
        <v>2569</v>
      </c>
      <c r="J500" t="str" cm="1">
        <f t="array" aca="1" ref="J500" ca="1">INDEX(sheet2!$C$2:$C$6, RANDBETWEEN(1, 5))</f>
        <v>Advanced Excel Skills </v>
      </c>
      <c r="K500" t="str">
        <f t="shared" ca="1" si="70"/>
        <v>Completed</v>
      </c>
      <c r="L500">
        <v>260</v>
      </c>
      <c r="M500">
        <f t="shared" ca="1" si="64"/>
        <v>6</v>
      </c>
      <c r="N500" t="str">
        <f t="shared" ca="1" si="65"/>
        <v>Male</v>
      </c>
      <c r="O500" s="6">
        <f t="shared" ca="1" si="66"/>
        <v>2260</v>
      </c>
      <c r="P500">
        <f ca="1">Table1[[#This Row],[Hire Date]]-Table1[[#This Row],[Job Posting Date]]</f>
        <v>63</v>
      </c>
      <c r="Q500" s="7">
        <f ca="1">Table1[[#This Row],[Join Date]]-Table1[[#This Row],[Hire Date]]</f>
        <v>13</v>
      </c>
      <c r="R500" s="8">
        <f ca="1">(IF(Table1[[#This Row],[Status]]="Exited",Table1[[#This Row],[Exit Date]]-Table1[[#This Row],[Join Date]],TODAY()-Table1[[#This Row],[Join Date]]))/30</f>
        <v>58.466666666666669</v>
      </c>
      <c r="S500">
        <f ca="1">Table1[[#This Row],[Hire Date]]-Table1[[#This Row],[Job Posting Date]]</f>
        <v>63</v>
      </c>
      <c r="T500" s="7">
        <f ca="1">Table1[[#This Row],[Time to onboard]]/Table1[[#This Row],[Time to Fill]]*100</f>
        <v>20.634920634920633</v>
      </c>
      <c r="U500" s="8">
        <f ca="1">Table1[[#This Row],[Time to onboard]]/Table1[[#This Row],[Time to Fill]]*100</f>
        <v>20.634920634920633</v>
      </c>
      <c r="V500">
        <f ca="1">Table1[[#This Row],[Join Date]]-Table1[[#This Row],[Job Posting Date]]</f>
        <v>76</v>
      </c>
      <c r="W500">
        <f t="shared" ca="1" si="67"/>
        <v>139</v>
      </c>
      <c r="X500" s="8">
        <f ca="1">Table1[[#This Row],[Absentee Days]]/Table1[[#This Row],[Total Work Days]]*100</f>
        <v>2.3076923076923079</v>
      </c>
      <c r="Y500">
        <f ca="1">YEAR(Table1[[#This Row],[Join Date]])</f>
        <v>2020</v>
      </c>
      <c r="Z500">
        <f ca="1">IF(Table1[[#This Row],[Status]]="Active",1,0)</f>
        <v>1</v>
      </c>
      <c r="AA500">
        <f ca="1">IF(Table1[[#This Row],[Status]]="Exited",Table1[[#This Row],[Recruitment Cost]]+Table1[[#This Row],[Onboarding cost]]+Table1[[#This Row],[Training Cost]],0)</f>
        <v>0</v>
      </c>
    </row>
    <row r="501" spans="1:27">
      <c r="A501" t="str">
        <f t="shared" si="63"/>
        <v>E500</v>
      </c>
      <c r="B501" t="str" cm="1">
        <f t="array" aca="1" ref="B501" ca="1">INDEX(sheet2!$A$2:$A$6, RANDBETWEEN(1, 5))</f>
        <v>Sales</v>
      </c>
      <c r="C501" t="str">
        <f ca="1">_xlfn.XLOOKUP(Table1[[#This Row],[Department]],sheet2!$A$2:$A$6,sheet2!$B$2:$B$6,_xleta.NA,0)</f>
        <v>Marketing Manager</v>
      </c>
      <c r="D501" s="1">
        <f t="shared" ca="1" si="68"/>
        <v>43142</v>
      </c>
      <c r="E501" s="1">
        <f ca="1">Table1[[#This Row],[Job Posting Date]]+ RANDBETWEEN(15, 90)</f>
        <v>43170</v>
      </c>
      <c r="F501" s="1">
        <f ca="1">Table1[[#This Row],[Hire Date]]+ RANDBETWEEN(1, 15)</f>
        <v>43175</v>
      </c>
      <c r="G501" s="1" t="str">
        <f ca="1">IF(RAND() &lt; 0.5,  Table1[[#This Row],[Join Date]]+ RANDBETWEEN(30, TODAY()- Table1[[#This Row],[Join Date]]), "-")</f>
        <v>-</v>
      </c>
      <c r="H501" t="str">
        <f ca="1">IF(Table1[[#This Row],[Exit Date]]= "-", "Active", "Exited")</f>
        <v>Active</v>
      </c>
      <c r="I501" s="5">
        <f t="shared" ca="1" si="69"/>
        <v>3239</v>
      </c>
      <c r="J501" t="str" cm="1">
        <f t="array" aca="1" ref="J501" ca="1">INDEX(sheet2!$C$2:$C$6, RANDBETWEEN(1, 5))</f>
        <v>Leadership Development</v>
      </c>
      <c r="K501" t="str">
        <f t="shared" ca="1" si="70"/>
        <v>Completed</v>
      </c>
      <c r="L501">
        <v>260</v>
      </c>
      <c r="M501">
        <f t="shared" ca="1" si="64"/>
        <v>7</v>
      </c>
      <c r="N501" t="str">
        <f t="shared" ca="1" si="65"/>
        <v>Female</v>
      </c>
      <c r="O501" s="6">
        <f t="shared" ca="1" si="66"/>
        <v>1460</v>
      </c>
      <c r="P501">
        <f ca="1">Table1[[#This Row],[Hire Date]]-Table1[[#This Row],[Job Posting Date]]</f>
        <v>28</v>
      </c>
      <c r="Q501" s="7">
        <f ca="1">Table1[[#This Row],[Join Date]]-Table1[[#This Row],[Hire Date]]</f>
        <v>5</v>
      </c>
      <c r="R501" s="8">
        <f ca="1">(IF(Table1[[#This Row],[Status]]="Exited",Table1[[#This Row],[Exit Date]]-Table1[[#This Row],[Join Date]],TODAY()-Table1[[#This Row],[Join Date]]))/30</f>
        <v>82.933333333333337</v>
      </c>
      <c r="S501">
        <f ca="1">Table1[[#This Row],[Hire Date]]-Table1[[#This Row],[Job Posting Date]]</f>
        <v>28</v>
      </c>
      <c r="T501" s="7">
        <f ca="1">Table1[[#This Row],[Time to onboard]]/Table1[[#This Row],[Time to Fill]]*100</f>
        <v>17.857142857142858</v>
      </c>
      <c r="U501" s="8">
        <f ca="1">Table1[[#This Row],[Time to onboard]]/Table1[[#This Row],[Time to Fill]]*100</f>
        <v>17.857142857142858</v>
      </c>
      <c r="V501">
        <f ca="1">Table1[[#This Row],[Join Date]]-Table1[[#This Row],[Job Posting Date]]</f>
        <v>33</v>
      </c>
      <c r="W501">
        <f t="shared" ca="1" si="67"/>
        <v>145</v>
      </c>
      <c r="X501" s="8">
        <f ca="1">Table1[[#This Row],[Absentee Days]]/Table1[[#This Row],[Total Work Days]]*100</f>
        <v>2.6923076923076925</v>
      </c>
      <c r="Y501">
        <f ca="1">YEAR(Table1[[#This Row],[Join Date]])</f>
        <v>2018</v>
      </c>
      <c r="Z501">
        <f ca="1">IF(Table1[[#This Row],[Status]]="Active",1,0)</f>
        <v>1</v>
      </c>
      <c r="AA501">
        <f ca="1">IF(Table1[[#This Row],[Status]]="Exited",Table1[[#This Row],[Recruitment Cost]]+Table1[[#This Row],[Onboarding cost]]+Table1[[#This Row],[Training Cost]],0)</f>
        <v>0</v>
      </c>
    </row>
  </sheetData>
  <phoneticPr fontId="4" type="noConversion"/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42D30-8959-E549-A99C-C4C87E7EBD1C}">
  <dimension ref="A1:C6"/>
  <sheetViews>
    <sheetView tabSelected="1" workbookViewId="0">
      <selection activeCell="C10" sqref="C10"/>
    </sheetView>
  </sheetViews>
  <sheetFormatPr defaultColWidth="10.875" defaultRowHeight="15.75" customHeight="1"/>
  <cols>
    <col min="1" max="1" width="11" customWidth="1"/>
    <col min="2" max="2" width="16.625" customWidth="1"/>
    <col min="3" max="3" width="25.5" customWidth="1"/>
  </cols>
  <sheetData>
    <row r="1" spans="1:3" s="3" customFormat="1">
      <c r="A1" s="3" t="s">
        <v>1</v>
      </c>
      <c r="B1" s="3" t="s">
        <v>2</v>
      </c>
      <c r="C1" s="3" t="s">
        <v>39</v>
      </c>
    </row>
    <row r="2" spans="1:3">
      <c r="A2" t="s">
        <v>40</v>
      </c>
      <c r="B2" t="s">
        <v>41</v>
      </c>
      <c r="C2" s="2" t="s">
        <v>42</v>
      </c>
    </row>
    <row r="3" spans="1:3">
      <c r="A3" t="s">
        <v>43</v>
      </c>
      <c r="B3" t="s">
        <v>44</v>
      </c>
      <c r="C3" s="2" t="s">
        <v>45</v>
      </c>
    </row>
    <row r="4" spans="1:3">
      <c r="A4" t="s">
        <v>46</v>
      </c>
      <c r="B4" t="s">
        <v>47</v>
      </c>
      <c r="C4" s="2" t="s">
        <v>48</v>
      </c>
    </row>
    <row r="5" spans="1:3">
      <c r="A5" t="s">
        <v>49</v>
      </c>
      <c r="B5" t="s">
        <v>50</v>
      </c>
      <c r="C5" s="2" t="s">
        <v>51</v>
      </c>
    </row>
    <row r="6" spans="1:3">
      <c r="A6" t="s">
        <v>52</v>
      </c>
      <c r="B6" t="s">
        <v>53</v>
      </c>
      <c r="C6" s="2" t="s">
        <v>54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VIJAYAKUMAR P</dc:creator>
  <cp:keywords/>
  <dc:description/>
  <cp:lastModifiedBy>VIJAYAKUMAR P</cp:lastModifiedBy>
  <cp:revision/>
  <dcterms:created xsi:type="dcterms:W3CDTF">2024-12-04T05:40:29Z</dcterms:created>
  <dcterms:modified xsi:type="dcterms:W3CDTF">2025-01-06T10:32:52Z</dcterms:modified>
  <cp:category/>
  <cp:contentStatus/>
</cp:coreProperties>
</file>