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3 My Books/HRMD/Data Files/"/>
    </mc:Choice>
  </mc:AlternateContent>
  <xr:revisionPtr revIDLastSave="47" documentId="8_{D18D4F07-75C5-964F-80A8-48FFBB78117E}" xr6:coauthVersionLast="47" xr6:coauthVersionMax="47" xr10:uidLastSave="{54306E2E-EAAE-6040-AA80-2A6FB26E4FB6}"/>
  <bookViews>
    <workbookView xWindow="-38400" yWindow="7020" windowWidth="38400" windowHeight="21100" xr2:uid="{58FDD918-C894-C646-AAEB-B821FDBAFA6C}"/>
  </bookViews>
  <sheets>
    <sheet name="RandomData" sheetId="1" r:id="rId1"/>
    <sheet name="sheet2" sheetId="2" r:id="rId2"/>
  </sheets>
  <definedNames>
    <definedName name="AbsenteeDays">RandomData!#REF!</definedName>
    <definedName name="EmployeeID">RandomData!$A:$A</definedName>
    <definedName name="ExitDate">RandomData!$H:$H</definedName>
    <definedName name="Gender">RandomData!#REF!</definedName>
    <definedName name="HireDate">RandomData!$F:$F</definedName>
    <definedName name="ID">RandomData!$A:$A</definedName>
    <definedName name="JobPostingDate">RandomData!$E:$E</definedName>
    <definedName name="JobTitle">RandomData!$D:$D</definedName>
    <definedName name="JoinDate">RandomData!$G:$G</definedName>
    <definedName name="Pasted">#REF!</definedName>
    <definedName name="RecruitmentCost">RandomData!$J:$J</definedName>
    <definedName name="Status">RandomData!$I:$I</definedName>
    <definedName name="Table2">#REF!</definedName>
    <definedName name="Timetofill">RandomData!$U:$U</definedName>
    <definedName name="Timetoonboard">RandomData!#REF!</definedName>
    <definedName name="TotalTenure">RandomData!#REF!</definedName>
    <definedName name="TotalWorkDays">RandomData!#REF!</definedName>
    <definedName name="TrainingCompletionStatus">RandomData!$T:$T</definedName>
    <definedName name="TrainingCost">RandomData!#REF!</definedName>
    <definedName name="TrainingProgram">RandomData!$S:$S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B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C2" i="1" a="1"/>
  <c r="C2" i="1" s="1"/>
  <c r="D2" i="1" s="1"/>
  <c r="E2" i="1"/>
  <c r="F2" i="1" s="1"/>
  <c r="J2" i="1"/>
  <c r="Q2" i="1" a="1"/>
  <c r="Q2" i="1" s="1"/>
  <c r="R2" i="1"/>
  <c r="L2" i="1"/>
  <c r="M2" i="1" s="1"/>
  <c r="B3" i="1"/>
  <c r="C3" i="1" a="1"/>
  <c r="C3" i="1" s="1"/>
  <c r="D3" i="1" s="1"/>
  <c r="E3" i="1"/>
  <c r="F3" i="1" s="1"/>
  <c r="J3" i="1"/>
  <c r="Q3" i="1" a="1"/>
  <c r="Q3" i="1" s="1"/>
  <c r="R3" i="1"/>
  <c r="L3" i="1"/>
  <c r="M3" i="1" s="1"/>
  <c r="B4" i="1"/>
  <c r="C4" i="1" a="1"/>
  <c r="C4" i="1" s="1"/>
  <c r="D4" i="1" s="1"/>
  <c r="E4" i="1"/>
  <c r="F4" i="1" s="1"/>
  <c r="J4" i="1"/>
  <c r="Q4" i="1" a="1"/>
  <c r="Q4" i="1" s="1"/>
  <c r="R4" i="1"/>
  <c r="L4" i="1"/>
  <c r="M4" i="1" s="1"/>
  <c r="B5" i="1"/>
  <c r="C5" i="1" a="1"/>
  <c r="C5" i="1" s="1"/>
  <c r="D5" i="1" s="1"/>
  <c r="E5" i="1"/>
  <c r="F5" i="1" s="1"/>
  <c r="J5" i="1"/>
  <c r="Q5" i="1" a="1"/>
  <c r="Q5" i="1" s="1"/>
  <c r="R5" i="1"/>
  <c r="L5" i="1"/>
  <c r="M5" i="1" s="1"/>
  <c r="B6" i="1"/>
  <c r="C6" i="1" a="1"/>
  <c r="C6" i="1" s="1"/>
  <c r="D6" i="1" s="1"/>
  <c r="E6" i="1"/>
  <c r="F6" i="1" s="1"/>
  <c r="J6" i="1"/>
  <c r="Q6" i="1" a="1"/>
  <c r="Q6" i="1" s="1"/>
  <c r="R6" i="1"/>
  <c r="L6" i="1"/>
  <c r="M6" i="1" s="1"/>
  <c r="B7" i="1"/>
  <c r="C7" i="1" a="1"/>
  <c r="C7" i="1" s="1"/>
  <c r="D7" i="1" s="1"/>
  <c r="E7" i="1"/>
  <c r="F7" i="1" s="1"/>
  <c r="J7" i="1"/>
  <c r="Q7" i="1" a="1"/>
  <c r="Q7" i="1" s="1"/>
  <c r="R7" i="1"/>
  <c r="L7" i="1"/>
  <c r="M7" i="1" s="1"/>
  <c r="B8" i="1"/>
  <c r="C8" i="1" a="1"/>
  <c r="C8" i="1" s="1"/>
  <c r="D8" i="1" s="1"/>
  <c r="E8" i="1"/>
  <c r="F8" i="1" s="1"/>
  <c r="J8" i="1"/>
  <c r="Q8" i="1" a="1"/>
  <c r="Q8" i="1" s="1"/>
  <c r="R8" i="1"/>
  <c r="L8" i="1"/>
  <c r="M8" i="1" s="1"/>
  <c r="B9" i="1"/>
  <c r="C9" i="1" a="1"/>
  <c r="C9" i="1" s="1"/>
  <c r="D9" i="1" s="1"/>
  <c r="E9" i="1"/>
  <c r="F9" i="1" s="1"/>
  <c r="J9" i="1"/>
  <c r="Q9" i="1" a="1"/>
  <c r="Q9" i="1" s="1"/>
  <c r="R9" i="1"/>
  <c r="L9" i="1"/>
  <c r="M9" i="1" s="1"/>
  <c r="B10" i="1"/>
  <c r="C10" i="1" a="1"/>
  <c r="C10" i="1" s="1"/>
  <c r="D10" i="1" s="1"/>
  <c r="E10" i="1"/>
  <c r="F10" i="1" s="1"/>
  <c r="J10" i="1"/>
  <c r="Q10" i="1" a="1"/>
  <c r="Q10" i="1" s="1"/>
  <c r="R10" i="1"/>
  <c r="L10" i="1"/>
  <c r="M10" i="1" s="1"/>
  <c r="B11" i="1"/>
  <c r="C11" i="1" a="1"/>
  <c r="C11" i="1" s="1"/>
  <c r="D11" i="1" s="1"/>
  <c r="E11" i="1"/>
  <c r="F11" i="1" s="1"/>
  <c r="J11" i="1"/>
  <c r="Q11" i="1" a="1"/>
  <c r="Q11" i="1" s="1"/>
  <c r="R11" i="1"/>
  <c r="L11" i="1"/>
  <c r="M11" i="1" s="1"/>
  <c r="B12" i="1"/>
  <c r="C12" i="1" a="1"/>
  <c r="C12" i="1" s="1"/>
  <c r="D12" i="1" s="1"/>
  <c r="E12" i="1"/>
  <c r="F12" i="1" s="1"/>
  <c r="J12" i="1"/>
  <c r="Q12" i="1" a="1"/>
  <c r="Q12" i="1" s="1"/>
  <c r="R12" i="1"/>
  <c r="L12" i="1"/>
  <c r="M12" i="1" s="1"/>
  <c r="B13" i="1"/>
  <c r="C13" i="1" a="1"/>
  <c r="C13" i="1" s="1"/>
  <c r="D13" i="1" s="1"/>
  <c r="E13" i="1"/>
  <c r="F13" i="1" s="1"/>
  <c r="J13" i="1"/>
  <c r="Q13" i="1" a="1"/>
  <c r="Q13" i="1" s="1"/>
  <c r="R13" i="1"/>
  <c r="L13" i="1"/>
  <c r="M13" i="1" s="1"/>
  <c r="B14" i="1"/>
  <c r="C14" i="1" a="1"/>
  <c r="C14" i="1" s="1"/>
  <c r="D14" i="1" s="1"/>
  <c r="E14" i="1"/>
  <c r="F14" i="1" s="1"/>
  <c r="J14" i="1"/>
  <c r="Q14" i="1" a="1"/>
  <c r="Q14" i="1" s="1"/>
  <c r="R14" i="1"/>
  <c r="L14" i="1"/>
  <c r="M14" i="1" s="1"/>
  <c r="B15" i="1"/>
  <c r="C15" i="1" a="1"/>
  <c r="C15" i="1" s="1"/>
  <c r="D15" i="1" s="1"/>
  <c r="E15" i="1"/>
  <c r="F15" i="1" s="1"/>
  <c r="J15" i="1"/>
  <c r="Q15" i="1" a="1"/>
  <c r="Q15" i="1" s="1"/>
  <c r="R15" i="1"/>
  <c r="L15" i="1"/>
  <c r="M15" i="1" s="1"/>
  <c r="B16" i="1"/>
  <c r="C16" i="1" a="1"/>
  <c r="C16" i="1" s="1"/>
  <c r="D16" i="1" s="1"/>
  <c r="E16" i="1"/>
  <c r="F16" i="1" s="1"/>
  <c r="J16" i="1"/>
  <c r="Q16" i="1" a="1"/>
  <c r="Q16" i="1" s="1"/>
  <c r="R16" i="1"/>
  <c r="L16" i="1"/>
  <c r="M16" i="1" s="1"/>
  <c r="B17" i="1"/>
  <c r="C17" i="1" a="1"/>
  <c r="C17" i="1" s="1"/>
  <c r="D17" i="1" s="1"/>
  <c r="E17" i="1"/>
  <c r="F17" i="1" s="1"/>
  <c r="J17" i="1"/>
  <c r="Q17" i="1" a="1"/>
  <c r="Q17" i="1" s="1"/>
  <c r="R17" i="1"/>
  <c r="L17" i="1"/>
  <c r="M17" i="1" s="1"/>
  <c r="B18" i="1"/>
  <c r="C18" i="1" a="1"/>
  <c r="C18" i="1" s="1"/>
  <c r="D18" i="1" s="1"/>
  <c r="E18" i="1"/>
  <c r="F18" i="1" s="1"/>
  <c r="J18" i="1"/>
  <c r="Q18" i="1" a="1"/>
  <c r="Q18" i="1" s="1"/>
  <c r="R18" i="1"/>
  <c r="L18" i="1"/>
  <c r="M18" i="1" s="1"/>
  <c r="B19" i="1"/>
  <c r="C19" i="1" a="1"/>
  <c r="C19" i="1" s="1"/>
  <c r="D19" i="1" s="1"/>
  <c r="E19" i="1"/>
  <c r="F19" i="1" s="1"/>
  <c r="J19" i="1"/>
  <c r="Q19" i="1" a="1"/>
  <c r="Q19" i="1" s="1"/>
  <c r="R19" i="1"/>
  <c r="L19" i="1"/>
  <c r="M19" i="1" s="1"/>
  <c r="B20" i="1"/>
  <c r="C20" i="1" a="1"/>
  <c r="C20" i="1" s="1"/>
  <c r="D20" i="1" s="1"/>
  <c r="E20" i="1"/>
  <c r="F20" i="1" s="1"/>
  <c r="J20" i="1"/>
  <c r="Q20" i="1" a="1"/>
  <c r="Q20" i="1" s="1"/>
  <c r="R20" i="1"/>
  <c r="L20" i="1"/>
  <c r="M20" i="1" s="1"/>
  <c r="B21" i="1"/>
  <c r="C21" i="1" a="1"/>
  <c r="C21" i="1" s="1"/>
  <c r="D21" i="1" s="1"/>
  <c r="E21" i="1"/>
  <c r="F21" i="1" s="1"/>
  <c r="J21" i="1"/>
  <c r="Q21" i="1" a="1"/>
  <c r="Q21" i="1" s="1"/>
  <c r="R21" i="1"/>
  <c r="L21" i="1"/>
  <c r="M21" i="1" s="1"/>
  <c r="B22" i="1"/>
  <c r="C22" i="1" a="1"/>
  <c r="C22" i="1" s="1"/>
  <c r="D22" i="1" s="1"/>
  <c r="E22" i="1"/>
  <c r="F22" i="1" s="1"/>
  <c r="J22" i="1"/>
  <c r="Q22" i="1" a="1"/>
  <c r="Q22" i="1" s="1"/>
  <c r="R22" i="1"/>
  <c r="L22" i="1"/>
  <c r="M22" i="1" s="1"/>
  <c r="B23" i="1"/>
  <c r="C23" i="1" a="1"/>
  <c r="C23" i="1" s="1"/>
  <c r="D23" i="1" s="1"/>
  <c r="E23" i="1"/>
  <c r="F23" i="1" s="1"/>
  <c r="J23" i="1"/>
  <c r="Q23" i="1" a="1"/>
  <c r="Q23" i="1" s="1"/>
  <c r="R23" i="1"/>
  <c r="L23" i="1"/>
  <c r="M23" i="1" s="1"/>
  <c r="B24" i="1"/>
  <c r="C24" i="1" a="1"/>
  <c r="C24" i="1" s="1"/>
  <c r="D24" i="1" s="1"/>
  <c r="E24" i="1"/>
  <c r="F24" i="1" s="1"/>
  <c r="J24" i="1"/>
  <c r="Q24" i="1" a="1"/>
  <c r="Q24" i="1" s="1"/>
  <c r="R24" i="1"/>
  <c r="L24" i="1"/>
  <c r="M24" i="1" s="1"/>
  <c r="B25" i="1"/>
  <c r="C25" i="1" a="1"/>
  <c r="C25" i="1" s="1"/>
  <c r="D25" i="1" s="1"/>
  <c r="E25" i="1"/>
  <c r="F25" i="1" s="1"/>
  <c r="J25" i="1"/>
  <c r="Q25" i="1" a="1"/>
  <c r="Q25" i="1" s="1"/>
  <c r="R25" i="1"/>
  <c r="L25" i="1"/>
  <c r="M25" i="1" s="1"/>
  <c r="B26" i="1"/>
  <c r="C26" i="1" a="1"/>
  <c r="C26" i="1" s="1"/>
  <c r="D26" i="1" s="1"/>
  <c r="E26" i="1"/>
  <c r="F26" i="1" s="1"/>
  <c r="J26" i="1"/>
  <c r="Q26" i="1" a="1"/>
  <c r="Q26" i="1" s="1"/>
  <c r="R26" i="1"/>
  <c r="L26" i="1"/>
  <c r="M26" i="1" s="1"/>
  <c r="B27" i="1"/>
  <c r="C27" i="1" a="1"/>
  <c r="C27" i="1" s="1"/>
  <c r="D27" i="1" s="1"/>
  <c r="E27" i="1"/>
  <c r="F27" i="1" s="1"/>
  <c r="J27" i="1"/>
  <c r="Q27" i="1" a="1"/>
  <c r="Q27" i="1" s="1"/>
  <c r="R27" i="1"/>
  <c r="L27" i="1"/>
  <c r="M27" i="1" s="1"/>
  <c r="B28" i="1"/>
  <c r="C28" i="1" a="1"/>
  <c r="C28" i="1" s="1"/>
  <c r="D28" i="1" s="1"/>
  <c r="E28" i="1"/>
  <c r="F28" i="1" s="1"/>
  <c r="J28" i="1"/>
  <c r="Q28" i="1" a="1"/>
  <c r="Q28" i="1" s="1"/>
  <c r="R28" i="1"/>
  <c r="L28" i="1"/>
  <c r="M28" i="1" s="1"/>
  <c r="B29" i="1"/>
  <c r="C29" i="1" a="1"/>
  <c r="C29" i="1" s="1"/>
  <c r="D29" i="1" s="1"/>
  <c r="E29" i="1"/>
  <c r="F29" i="1" s="1"/>
  <c r="J29" i="1"/>
  <c r="Q29" i="1" a="1"/>
  <c r="Q29" i="1" s="1"/>
  <c r="R29" i="1"/>
  <c r="L29" i="1"/>
  <c r="M29" i="1" s="1"/>
  <c r="B30" i="1"/>
  <c r="C30" i="1" a="1"/>
  <c r="C30" i="1" s="1"/>
  <c r="D30" i="1" s="1"/>
  <c r="E30" i="1"/>
  <c r="F30" i="1" s="1"/>
  <c r="J30" i="1"/>
  <c r="Q30" i="1" a="1"/>
  <c r="Q30" i="1" s="1"/>
  <c r="R30" i="1"/>
  <c r="L30" i="1"/>
  <c r="M30" i="1" s="1"/>
  <c r="B31" i="1"/>
  <c r="C31" i="1" a="1"/>
  <c r="C31" i="1" s="1"/>
  <c r="D31" i="1" s="1"/>
  <c r="E31" i="1"/>
  <c r="F31" i="1" s="1"/>
  <c r="J31" i="1"/>
  <c r="Q31" i="1" a="1"/>
  <c r="Q31" i="1" s="1"/>
  <c r="R31" i="1"/>
  <c r="L31" i="1"/>
  <c r="M31" i="1" s="1"/>
  <c r="B32" i="1"/>
  <c r="C32" i="1" a="1"/>
  <c r="C32" i="1" s="1"/>
  <c r="D32" i="1" s="1"/>
  <c r="E32" i="1"/>
  <c r="F32" i="1" s="1"/>
  <c r="J32" i="1"/>
  <c r="Q32" i="1" a="1"/>
  <c r="Q32" i="1" s="1"/>
  <c r="R32" i="1"/>
  <c r="L32" i="1"/>
  <c r="M32" i="1" s="1"/>
  <c r="B33" i="1"/>
  <c r="C33" i="1" a="1"/>
  <c r="C33" i="1" s="1"/>
  <c r="D33" i="1" s="1"/>
  <c r="E33" i="1"/>
  <c r="F33" i="1" s="1"/>
  <c r="J33" i="1"/>
  <c r="Q33" i="1" a="1"/>
  <c r="Q33" i="1" s="1"/>
  <c r="R33" i="1"/>
  <c r="L33" i="1"/>
  <c r="M33" i="1" s="1"/>
  <c r="B34" i="1"/>
  <c r="C34" i="1" a="1"/>
  <c r="C34" i="1" s="1"/>
  <c r="D34" i="1" s="1"/>
  <c r="E34" i="1"/>
  <c r="F34" i="1" s="1"/>
  <c r="J34" i="1"/>
  <c r="Q34" i="1" a="1"/>
  <c r="Q34" i="1" s="1"/>
  <c r="R34" i="1"/>
  <c r="L34" i="1"/>
  <c r="M34" i="1" s="1"/>
  <c r="B35" i="1"/>
  <c r="C35" i="1" a="1"/>
  <c r="C35" i="1" s="1"/>
  <c r="D35" i="1" s="1"/>
  <c r="E35" i="1"/>
  <c r="F35" i="1" s="1"/>
  <c r="J35" i="1"/>
  <c r="Q35" i="1" a="1"/>
  <c r="Q35" i="1" s="1"/>
  <c r="R35" i="1"/>
  <c r="L35" i="1"/>
  <c r="M35" i="1" s="1"/>
  <c r="B36" i="1"/>
  <c r="C36" i="1" a="1"/>
  <c r="C36" i="1" s="1"/>
  <c r="D36" i="1" s="1"/>
  <c r="E36" i="1"/>
  <c r="F36" i="1" s="1"/>
  <c r="J36" i="1"/>
  <c r="Q36" i="1" a="1"/>
  <c r="Q36" i="1" s="1"/>
  <c r="R36" i="1"/>
  <c r="L36" i="1"/>
  <c r="M36" i="1" s="1"/>
  <c r="B37" i="1"/>
  <c r="C37" i="1" a="1"/>
  <c r="C37" i="1" s="1"/>
  <c r="D37" i="1" s="1"/>
  <c r="E37" i="1"/>
  <c r="F37" i="1" s="1"/>
  <c r="J37" i="1"/>
  <c r="Q37" i="1" a="1"/>
  <c r="Q37" i="1" s="1"/>
  <c r="R37" i="1"/>
  <c r="L37" i="1"/>
  <c r="M37" i="1" s="1"/>
  <c r="B38" i="1"/>
  <c r="C38" i="1" a="1"/>
  <c r="C38" i="1" s="1"/>
  <c r="D38" i="1" s="1"/>
  <c r="E38" i="1"/>
  <c r="F38" i="1" s="1"/>
  <c r="J38" i="1"/>
  <c r="Q38" i="1" a="1"/>
  <c r="Q38" i="1" s="1"/>
  <c r="R38" i="1"/>
  <c r="L38" i="1"/>
  <c r="M38" i="1" s="1"/>
  <c r="B39" i="1"/>
  <c r="C39" i="1" a="1"/>
  <c r="C39" i="1" s="1"/>
  <c r="D39" i="1" s="1"/>
  <c r="E39" i="1"/>
  <c r="F39" i="1" s="1"/>
  <c r="J39" i="1"/>
  <c r="Q39" i="1" a="1"/>
  <c r="Q39" i="1" s="1"/>
  <c r="R39" i="1"/>
  <c r="L39" i="1"/>
  <c r="M39" i="1" s="1"/>
  <c r="B40" i="1"/>
  <c r="C40" i="1" a="1"/>
  <c r="C40" i="1" s="1"/>
  <c r="D40" i="1" s="1"/>
  <c r="E40" i="1"/>
  <c r="F40" i="1" s="1"/>
  <c r="J40" i="1"/>
  <c r="Q40" i="1" a="1"/>
  <c r="Q40" i="1" s="1"/>
  <c r="R40" i="1"/>
  <c r="L40" i="1"/>
  <c r="M40" i="1" s="1"/>
  <c r="B41" i="1"/>
  <c r="C41" i="1" a="1"/>
  <c r="C41" i="1" s="1"/>
  <c r="D41" i="1" s="1"/>
  <c r="E41" i="1"/>
  <c r="F41" i="1" s="1"/>
  <c r="J41" i="1"/>
  <c r="Q41" i="1" a="1"/>
  <c r="Q41" i="1" s="1"/>
  <c r="R41" i="1"/>
  <c r="L41" i="1"/>
  <c r="M41" i="1" s="1"/>
  <c r="B42" i="1"/>
  <c r="C42" i="1" a="1"/>
  <c r="C42" i="1" s="1"/>
  <c r="D42" i="1" s="1"/>
  <c r="E42" i="1"/>
  <c r="F42" i="1" s="1"/>
  <c r="J42" i="1"/>
  <c r="Q42" i="1" a="1"/>
  <c r="Q42" i="1" s="1"/>
  <c r="R42" i="1"/>
  <c r="L42" i="1"/>
  <c r="M42" i="1" s="1"/>
  <c r="B43" i="1"/>
  <c r="C43" i="1" a="1"/>
  <c r="C43" i="1" s="1"/>
  <c r="D43" i="1" s="1"/>
  <c r="E43" i="1"/>
  <c r="F43" i="1" s="1"/>
  <c r="J43" i="1"/>
  <c r="Q43" i="1" a="1"/>
  <c r="Q43" i="1" s="1"/>
  <c r="R43" i="1"/>
  <c r="L43" i="1"/>
  <c r="M43" i="1" s="1"/>
  <c r="B44" i="1"/>
  <c r="C44" i="1" a="1"/>
  <c r="C44" i="1" s="1"/>
  <c r="D44" i="1" s="1"/>
  <c r="E44" i="1"/>
  <c r="F44" i="1" s="1"/>
  <c r="J44" i="1"/>
  <c r="Q44" i="1" a="1"/>
  <c r="Q44" i="1" s="1"/>
  <c r="R44" i="1"/>
  <c r="L44" i="1"/>
  <c r="M44" i="1" s="1"/>
  <c r="B45" i="1"/>
  <c r="C45" i="1" a="1"/>
  <c r="C45" i="1" s="1"/>
  <c r="D45" i="1" s="1"/>
  <c r="E45" i="1"/>
  <c r="F45" i="1" s="1"/>
  <c r="J45" i="1"/>
  <c r="Q45" i="1" a="1"/>
  <c r="Q45" i="1" s="1"/>
  <c r="R45" i="1"/>
  <c r="L45" i="1"/>
  <c r="M45" i="1" s="1"/>
  <c r="B46" i="1"/>
  <c r="C46" i="1" a="1"/>
  <c r="C46" i="1" s="1"/>
  <c r="D46" i="1" s="1"/>
  <c r="E46" i="1"/>
  <c r="F46" i="1" s="1"/>
  <c r="J46" i="1"/>
  <c r="Q46" i="1" a="1"/>
  <c r="Q46" i="1" s="1"/>
  <c r="R46" i="1"/>
  <c r="L46" i="1"/>
  <c r="M46" i="1" s="1"/>
  <c r="B47" i="1"/>
  <c r="C47" i="1" a="1"/>
  <c r="C47" i="1" s="1"/>
  <c r="D47" i="1" s="1"/>
  <c r="E47" i="1"/>
  <c r="F47" i="1" s="1"/>
  <c r="J47" i="1"/>
  <c r="Q47" i="1" a="1"/>
  <c r="Q47" i="1" s="1"/>
  <c r="R47" i="1"/>
  <c r="L47" i="1"/>
  <c r="M47" i="1" s="1"/>
  <c r="B48" i="1"/>
  <c r="C48" i="1" a="1"/>
  <c r="C48" i="1" s="1"/>
  <c r="D48" i="1" s="1"/>
  <c r="E48" i="1"/>
  <c r="F48" i="1" s="1"/>
  <c r="J48" i="1"/>
  <c r="Q48" i="1" a="1"/>
  <c r="Q48" i="1" s="1"/>
  <c r="R48" i="1"/>
  <c r="L48" i="1"/>
  <c r="M48" i="1" s="1"/>
  <c r="B49" i="1"/>
  <c r="C49" i="1" a="1"/>
  <c r="C49" i="1" s="1"/>
  <c r="D49" i="1" s="1"/>
  <c r="E49" i="1"/>
  <c r="F49" i="1" s="1"/>
  <c r="J49" i="1"/>
  <c r="Q49" i="1" a="1"/>
  <c r="Q49" i="1" s="1"/>
  <c r="R49" i="1"/>
  <c r="L49" i="1"/>
  <c r="M49" i="1" s="1"/>
  <c r="B50" i="1"/>
  <c r="C50" i="1" a="1"/>
  <c r="C50" i="1" s="1"/>
  <c r="D50" i="1" s="1"/>
  <c r="E50" i="1"/>
  <c r="F50" i="1" s="1"/>
  <c r="J50" i="1"/>
  <c r="Q50" i="1" a="1"/>
  <c r="Q50" i="1" s="1"/>
  <c r="R50" i="1"/>
  <c r="L50" i="1"/>
  <c r="M50" i="1" s="1"/>
  <c r="B51" i="1"/>
  <c r="C51" i="1" a="1"/>
  <c r="C51" i="1" s="1"/>
  <c r="D51" i="1" s="1"/>
  <c r="E51" i="1"/>
  <c r="F51" i="1" s="1"/>
  <c r="J51" i="1"/>
  <c r="Q51" i="1" a="1"/>
  <c r="Q51" i="1" s="1"/>
  <c r="R51" i="1"/>
  <c r="L51" i="1"/>
  <c r="M51" i="1" s="1"/>
  <c r="B52" i="1"/>
  <c r="C52" i="1" a="1"/>
  <c r="C52" i="1" s="1"/>
  <c r="D52" i="1" s="1"/>
  <c r="E52" i="1"/>
  <c r="F52" i="1" s="1"/>
  <c r="J52" i="1"/>
  <c r="Q52" i="1" a="1"/>
  <c r="Q52" i="1" s="1"/>
  <c r="R52" i="1"/>
  <c r="L52" i="1"/>
  <c r="M52" i="1" s="1"/>
  <c r="B53" i="1"/>
  <c r="C53" i="1" a="1"/>
  <c r="C53" i="1" s="1"/>
  <c r="D53" i="1" s="1"/>
  <c r="E53" i="1"/>
  <c r="F53" i="1" s="1"/>
  <c r="J53" i="1"/>
  <c r="Q53" i="1" a="1"/>
  <c r="Q53" i="1" s="1"/>
  <c r="R53" i="1"/>
  <c r="L53" i="1"/>
  <c r="M53" i="1" s="1"/>
  <c r="B54" i="1"/>
  <c r="C54" i="1" a="1"/>
  <c r="C54" i="1" s="1"/>
  <c r="D54" i="1" s="1"/>
  <c r="E54" i="1"/>
  <c r="F54" i="1" s="1"/>
  <c r="J54" i="1"/>
  <c r="Q54" i="1" a="1"/>
  <c r="Q54" i="1" s="1"/>
  <c r="R54" i="1"/>
  <c r="L54" i="1"/>
  <c r="M54" i="1" s="1"/>
  <c r="B55" i="1"/>
  <c r="C55" i="1" a="1"/>
  <c r="C55" i="1" s="1"/>
  <c r="D55" i="1" s="1"/>
  <c r="E55" i="1"/>
  <c r="F55" i="1" s="1"/>
  <c r="J55" i="1"/>
  <c r="Q55" i="1" a="1"/>
  <c r="Q55" i="1" s="1"/>
  <c r="R55" i="1"/>
  <c r="L55" i="1"/>
  <c r="M55" i="1" s="1"/>
  <c r="B56" i="1"/>
  <c r="C56" i="1" a="1"/>
  <c r="C56" i="1" s="1"/>
  <c r="D56" i="1" s="1"/>
  <c r="E56" i="1"/>
  <c r="F56" i="1" s="1"/>
  <c r="J56" i="1"/>
  <c r="Q56" i="1" a="1"/>
  <c r="Q56" i="1" s="1"/>
  <c r="R56" i="1"/>
  <c r="L56" i="1"/>
  <c r="M56" i="1" s="1"/>
  <c r="B57" i="1"/>
  <c r="C57" i="1" a="1"/>
  <c r="C57" i="1" s="1"/>
  <c r="D57" i="1" s="1"/>
  <c r="E57" i="1"/>
  <c r="F57" i="1" s="1"/>
  <c r="J57" i="1"/>
  <c r="Q57" i="1" a="1"/>
  <c r="Q57" i="1" s="1"/>
  <c r="R57" i="1"/>
  <c r="L57" i="1"/>
  <c r="M57" i="1" s="1"/>
  <c r="B58" i="1"/>
  <c r="C58" i="1" a="1"/>
  <c r="C58" i="1" s="1"/>
  <c r="D58" i="1" s="1"/>
  <c r="E58" i="1"/>
  <c r="F58" i="1" s="1"/>
  <c r="J58" i="1"/>
  <c r="Q58" i="1" a="1"/>
  <c r="Q58" i="1" s="1"/>
  <c r="R58" i="1"/>
  <c r="L58" i="1"/>
  <c r="M58" i="1" s="1"/>
  <c r="B59" i="1"/>
  <c r="C59" i="1" a="1"/>
  <c r="C59" i="1" s="1"/>
  <c r="D59" i="1" s="1"/>
  <c r="E59" i="1"/>
  <c r="F59" i="1" s="1"/>
  <c r="J59" i="1"/>
  <c r="Q59" i="1" a="1"/>
  <c r="Q59" i="1" s="1"/>
  <c r="R59" i="1"/>
  <c r="L59" i="1"/>
  <c r="M59" i="1" s="1"/>
  <c r="B60" i="1"/>
  <c r="C60" i="1" a="1"/>
  <c r="C60" i="1" s="1"/>
  <c r="D60" i="1" s="1"/>
  <c r="E60" i="1"/>
  <c r="F60" i="1" s="1"/>
  <c r="J60" i="1"/>
  <c r="Q60" i="1" a="1"/>
  <c r="Q60" i="1" s="1"/>
  <c r="R60" i="1"/>
  <c r="L60" i="1"/>
  <c r="M60" i="1" s="1"/>
  <c r="B61" i="1"/>
  <c r="C61" i="1" a="1"/>
  <c r="C61" i="1" s="1"/>
  <c r="D61" i="1" s="1"/>
  <c r="E61" i="1"/>
  <c r="F61" i="1" s="1"/>
  <c r="J61" i="1"/>
  <c r="Q61" i="1" a="1"/>
  <c r="Q61" i="1" s="1"/>
  <c r="R61" i="1"/>
  <c r="L61" i="1"/>
  <c r="M61" i="1" s="1"/>
  <c r="B62" i="1"/>
  <c r="C62" i="1" a="1"/>
  <c r="C62" i="1" s="1"/>
  <c r="D62" i="1" s="1"/>
  <c r="E62" i="1"/>
  <c r="F62" i="1" s="1"/>
  <c r="J62" i="1"/>
  <c r="Q62" i="1" a="1"/>
  <c r="Q62" i="1" s="1"/>
  <c r="R62" i="1"/>
  <c r="L62" i="1"/>
  <c r="M62" i="1" s="1"/>
  <c r="B63" i="1"/>
  <c r="C63" i="1" a="1"/>
  <c r="C63" i="1" s="1"/>
  <c r="D63" i="1" s="1"/>
  <c r="E63" i="1"/>
  <c r="F63" i="1" s="1"/>
  <c r="J63" i="1"/>
  <c r="Q63" i="1" a="1"/>
  <c r="Q63" i="1" s="1"/>
  <c r="R63" i="1"/>
  <c r="L63" i="1"/>
  <c r="M63" i="1" s="1"/>
  <c r="B64" i="1"/>
  <c r="C64" i="1" a="1"/>
  <c r="C64" i="1" s="1"/>
  <c r="D64" i="1" s="1"/>
  <c r="E64" i="1"/>
  <c r="F64" i="1" s="1"/>
  <c r="J64" i="1"/>
  <c r="Q64" i="1" a="1"/>
  <c r="Q64" i="1" s="1"/>
  <c r="R64" i="1"/>
  <c r="L64" i="1"/>
  <c r="M64" i="1" s="1"/>
  <c r="B65" i="1"/>
  <c r="C65" i="1" a="1"/>
  <c r="C65" i="1" s="1"/>
  <c r="D65" i="1" s="1"/>
  <c r="E65" i="1"/>
  <c r="F65" i="1" s="1"/>
  <c r="J65" i="1"/>
  <c r="Q65" i="1" a="1"/>
  <c r="Q65" i="1" s="1"/>
  <c r="R65" i="1"/>
  <c r="L65" i="1"/>
  <c r="M65" i="1" s="1"/>
  <c r="B66" i="1"/>
  <c r="C66" i="1" a="1"/>
  <c r="C66" i="1" s="1"/>
  <c r="D66" i="1" s="1"/>
  <c r="E66" i="1"/>
  <c r="F66" i="1" s="1"/>
  <c r="J66" i="1"/>
  <c r="Q66" i="1" a="1"/>
  <c r="Q66" i="1" s="1"/>
  <c r="R66" i="1"/>
  <c r="L66" i="1"/>
  <c r="M66" i="1" s="1"/>
  <c r="B67" i="1"/>
  <c r="C67" i="1" a="1"/>
  <c r="C67" i="1" s="1"/>
  <c r="D67" i="1" s="1"/>
  <c r="E67" i="1"/>
  <c r="F67" i="1" s="1"/>
  <c r="J67" i="1"/>
  <c r="Q67" i="1" a="1"/>
  <c r="Q67" i="1" s="1"/>
  <c r="R67" i="1"/>
  <c r="L67" i="1"/>
  <c r="M67" i="1" s="1"/>
  <c r="B68" i="1"/>
  <c r="C68" i="1" a="1"/>
  <c r="C68" i="1" s="1"/>
  <c r="D68" i="1" s="1"/>
  <c r="E68" i="1"/>
  <c r="F68" i="1" s="1"/>
  <c r="J68" i="1"/>
  <c r="Q68" i="1" a="1"/>
  <c r="Q68" i="1" s="1"/>
  <c r="R68" i="1"/>
  <c r="L68" i="1"/>
  <c r="M68" i="1" s="1"/>
  <c r="B69" i="1"/>
  <c r="C69" i="1" a="1"/>
  <c r="C69" i="1" s="1"/>
  <c r="D69" i="1" s="1"/>
  <c r="E69" i="1"/>
  <c r="F69" i="1" s="1"/>
  <c r="J69" i="1"/>
  <c r="Q69" i="1" a="1"/>
  <c r="Q69" i="1" s="1"/>
  <c r="R69" i="1"/>
  <c r="L69" i="1"/>
  <c r="M69" i="1" s="1"/>
  <c r="B70" i="1"/>
  <c r="C70" i="1" a="1"/>
  <c r="C70" i="1" s="1"/>
  <c r="D70" i="1" s="1"/>
  <c r="E70" i="1"/>
  <c r="F70" i="1" s="1"/>
  <c r="J70" i="1"/>
  <c r="Q70" i="1" a="1"/>
  <c r="Q70" i="1" s="1"/>
  <c r="R70" i="1"/>
  <c r="L70" i="1"/>
  <c r="M70" i="1" s="1"/>
  <c r="B71" i="1"/>
  <c r="C71" i="1" a="1"/>
  <c r="C71" i="1" s="1"/>
  <c r="D71" i="1" s="1"/>
  <c r="E71" i="1"/>
  <c r="F71" i="1" s="1"/>
  <c r="J71" i="1"/>
  <c r="Q71" i="1" a="1"/>
  <c r="Q71" i="1" s="1"/>
  <c r="R71" i="1"/>
  <c r="L71" i="1"/>
  <c r="M71" i="1" s="1"/>
  <c r="B72" i="1"/>
  <c r="C72" i="1" a="1"/>
  <c r="C72" i="1" s="1"/>
  <c r="D72" i="1" s="1"/>
  <c r="E72" i="1"/>
  <c r="F72" i="1" s="1"/>
  <c r="J72" i="1"/>
  <c r="Q72" i="1" a="1"/>
  <c r="Q72" i="1" s="1"/>
  <c r="R72" i="1"/>
  <c r="L72" i="1"/>
  <c r="M72" i="1" s="1"/>
  <c r="B73" i="1"/>
  <c r="C73" i="1" a="1"/>
  <c r="C73" i="1" s="1"/>
  <c r="D73" i="1" s="1"/>
  <c r="E73" i="1"/>
  <c r="F73" i="1" s="1"/>
  <c r="J73" i="1"/>
  <c r="Q73" i="1" a="1"/>
  <c r="Q73" i="1" s="1"/>
  <c r="R73" i="1"/>
  <c r="L73" i="1"/>
  <c r="M73" i="1" s="1"/>
  <c r="B74" i="1"/>
  <c r="C74" i="1" a="1"/>
  <c r="C74" i="1" s="1"/>
  <c r="D74" i="1" s="1"/>
  <c r="E74" i="1"/>
  <c r="F74" i="1" s="1"/>
  <c r="G74" i="1" s="1"/>
  <c r="H74" i="1" s="1"/>
  <c r="I74" i="1" s="1"/>
  <c r="J74" i="1"/>
  <c r="Q74" i="1" a="1"/>
  <c r="Q74" i="1" s="1"/>
  <c r="R74" i="1"/>
  <c r="L74" i="1"/>
  <c r="M74" i="1" s="1"/>
  <c r="B75" i="1"/>
  <c r="C75" i="1" a="1"/>
  <c r="C75" i="1" s="1"/>
  <c r="D75" i="1" s="1"/>
  <c r="E75" i="1"/>
  <c r="F75" i="1" s="1"/>
  <c r="S75" i="1" s="1"/>
  <c r="J75" i="1"/>
  <c r="Q75" i="1" a="1"/>
  <c r="Q75" i="1" s="1"/>
  <c r="R75" i="1"/>
  <c r="L75" i="1"/>
  <c r="M75" i="1" s="1"/>
  <c r="B76" i="1"/>
  <c r="C76" i="1" a="1"/>
  <c r="C76" i="1" s="1"/>
  <c r="D76" i="1" s="1"/>
  <c r="E76" i="1"/>
  <c r="F76" i="1" s="1"/>
  <c r="J76" i="1"/>
  <c r="Q76" i="1" a="1"/>
  <c r="Q76" i="1" s="1"/>
  <c r="R76" i="1"/>
  <c r="L76" i="1"/>
  <c r="M76" i="1" s="1"/>
  <c r="B77" i="1"/>
  <c r="C77" i="1" a="1"/>
  <c r="C77" i="1" s="1"/>
  <c r="D77" i="1" s="1"/>
  <c r="E77" i="1"/>
  <c r="F77" i="1" s="1"/>
  <c r="S77" i="1" s="1"/>
  <c r="J77" i="1"/>
  <c r="Q77" i="1" a="1"/>
  <c r="Q77" i="1" s="1"/>
  <c r="R77" i="1"/>
  <c r="L77" i="1"/>
  <c r="M77" i="1" s="1"/>
  <c r="B78" i="1"/>
  <c r="C78" i="1" a="1"/>
  <c r="C78" i="1" s="1"/>
  <c r="D78" i="1" s="1"/>
  <c r="E78" i="1"/>
  <c r="F78" i="1" s="1"/>
  <c r="J78" i="1"/>
  <c r="Q78" i="1" a="1"/>
  <c r="Q78" i="1" s="1"/>
  <c r="R78" i="1"/>
  <c r="L78" i="1"/>
  <c r="M78" i="1" s="1"/>
  <c r="B79" i="1"/>
  <c r="C79" i="1" a="1"/>
  <c r="C79" i="1" s="1"/>
  <c r="D79" i="1" s="1"/>
  <c r="E79" i="1"/>
  <c r="F79" i="1" s="1"/>
  <c r="G79" i="1" s="1"/>
  <c r="H79" i="1" s="1"/>
  <c r="I79" i="1" s="1"/>
  <c r="J79" i="1"/>
  <c r="Q79" i="1" a="1"/>
  <c r="Q79" i="1" s="1"/>
  <c r="R79" i="1"/>
  <c r="L79" i="1"/>
  <c r="M79" i="1" s="1"/>
  <c r="B80" i="1"/>
  <c r="C80" i="1" a="1"/>
  <c r="C80" i="1" s="1"/>
  <c r="D80" i="1" s="1"/>
  <c r="E80" i="1"/>
  <c r="F80" i="1" s="1"/>
  <c r="J80" i="1"/>
  <c r="Q80" i="1" a="1"/>
  <c r="Q80" i="1" s="1"/>
  <c r="R80" i="1"/>
  <c r="L80" i="1"/>
  <c r="M80" i="1" s="1"/>
  <c r="B81" i="1"/>
  <c r="C81" i="1" a="1"/>
  <c r="C81" i="1" s="1"/>
  <c r="D81" i="1" s="1"/>
  <c r="E81" i="1"/>
  <c r="F81" i="1" s="1"/>
  <c r="S81" i="1" s="1"/>
  <c r="J81" i="1"/>
  <c r="Q81" i="1" a="1"/>
  <c r="Q81" i="1" s="1"/>
  <c r="R81" i="1"/>
  <c r="L81" i="1"/>
  <c r="M81" i="1" s="1"/>
  <c r="B82" i="1"/>
  <c r="C82" i="1" a="1"/>
  <c r="C82" i="1" s="1"/>
  <c r="D82" i="1" s="1"/>
  <c r="E82" i="1"/>
  <c r="F82" i="1" s="1"/>
  <c r="G82" i="1" s="1"/>
  <c r="H82" i="1" s="1"/>
  <c r="I82" i="1" s="1"/>
  <c r="J82" i="1"/>
  <c r="Q82" i="1" a="1"/>
  <c r="Q82" i="1" s="1"/>
  <c r="R82" i="1"/>
  <c r="L82" i="1"/>
  <c r="M82" i="1" s="1"/>
  <c r="B83" i="1"/>
  <c r="C83" i="1" a="1"/>
  <c r="C83" i="1" s="1"/>
  <c r="D83" i="1" s="1"/>
  <c r="E83" i="1"/>
  <c r="F83" i="1" s="1"/>
  <c r="G83" i="1" s="1"/>
  <c r="H83" i="1" s="1"/>
  <c r="I83" i="1" s="1"/>
  <c r="J83" i="1"/>
  <c r="Q83" i="1" a="1"/>
  <c r="Q83" i="1" s="1"/>
  <c r="R83" i="1"/>
  <c r="L83" i="1"/>
  <c r="M83" i="1" s="1"/>
  <c r="B84" i="1"/>
  <c r="C84" i="1" a="1"/>
  <c r="C84" i="1" s="1"/>
  <c r="D84" i="1" s="1"/>
  <c r="E84" i="1"/>
  <c r="F84" i="1" s="1"/>
  <c r="G84" i="1" s="1"/>
  <c r="H84" i="1" s="1"/>
  <c r="I84" i="1" s="1"/>
  <c r="J84" i="1"/>
  <c r="Q84" i="1" a="1"/>
  <c r="Q84" i="1" s="1"/>
  <c r="R84" i="1"/>
  <c r="L84" i="1"/>
  <c r="M84" i="1" s="1"/>
  <c r="B85" i="1"/>
  <c r="C85" i="1" a="1"/>
  <c r="C85" i="1" s="1"/>
  <c r="D85" i="1" s="1"/>
  <c r="E85" i="1"/>
  <c r="F85" i="1" s="1"/>
  <c r="G85" i="1" s="1"/>
  <c r="H85" i="1" s="1"/>
  <c r="I85" i="1" s="1"/>
  <c r="J85" i="1"/>
  <c r="Q85" i="1" a="1"/>
  <c r="Q85" i="1" s="1"/>
  <c r="R85" i="1"/>
  <c r="L85" i="1"/>
  <c r="M85" i="1" s="1"/>
  <c r="B86" i="1"/>
  <c r="C86" i="1" a="1"/>
  <c r="C86" i="1" s="1"/>
  <c r="D86" i="1" s="1"/>
  <c r="E86" i="1"/>
  <c r="F86" i="1" s="1"/>
  <c r="J86" i="1"/>
  <c r="Q86" i="1" a="1"/>
  <c r="Q86" i="1" s="1"/>
  <c r="R86" i="1"/>
  <c r="L86" i="1"/>
  <c r="M86" i="1" s="1"/>
  <c r="B87" i="1"/>
  <c r="C87" i="1" a="1"/>
  <c r="C87" i="1" s="1"/>
  <c r="D87" i="1" s="1"/>
  <c r="E87" i="1"/>
  <c r="F87" i="1" s="1"/>
  <c r="G87" i="1" s="1"/>
  <c r="H87" i="1" s="1"/>
  <c r="I87" i="1" s="1"/>
  <c r="J87" i="1"/>
  <c r="Q87" i="1" a="1"/>
  <c r="Q87" i="1" s="1"/>
  <c r="R87" i="1"/>
  <c r="L87" i="1"/>
  <c r="M87" i="1" s="1"/>
  <c r="B88" i="1"/>
  <c r="C88" i="1" a="1"/>
  <c r="C88" i="1" s="1"/>
  <c r="D88" i="1" s="1"/>
  <c r="E88" i="1"/>
  <c r="F88" i="1" s="1"/>
  <c r="J88" i="1"/>
  <c r="Q88" i="1" a="1"/>
  <c r="Q88" i="1" s="1"/>
  <c r="R88" i="1"/>
  <c r="L88" i="1"/>
  <c r="M88" i="1" s="1"/>
  <c r="B89" i="1"/>
  <c r="C89" i="1" a="1"/>
  <c r="C89" i="1" s="1"/>
  <c r="D89" i="1" s="1"/>
  <c r="E89" i="1"/>
  <c r="F89" i="1" s="1"/>
  <c r="J89" i="1"/>
  <c r="Q89" i="1" a="1"/>
  <c r="Q89" i="1" s="1"/>
  <c r="R89" i="1"/>
  <c r="L89" i="1"/>
  <c r="M89" i="1" s="1"/>
  <c r="B90" i="1"/>
  <c r="C90" i="1" a="1"/>
  <c r="C90" i="1" s="1"/>
  <c r="D90" i="1" s="1"/>
  <c r="E90" i="1"/>
  <c r="F90" i="1" s="1"/>
  <c r="S90" i="1" s="1"/>
  <c r="J90" i="1"/>
  <c r="Q90" i="1" a="1"/>
  <c r="Q90" i="1" s="1"/>
  <c r="R90" i="1"/>
  <c r="L90" i="1"/>
  <c r="M90" i="1" s="1"/>
  <c r="B91" i="1"/>
  <c r="C91" i="1" a="1"/>
  <c r="C91" i="1" s="1"/>
  <c r="D91" i="1" s="1"/>
  <c r="E91" i="1"/>
  <c r="F91" i="1" s="1"/>
  <c r="G91" i="1" s="1"/>
  <c r="H91" i="1" s="1"/>
  <c r="I91" i="1" s="1"/>
  <c r="J91" i="1"/>
  <c r="Q91" i="1" a="1"/>
  <c r="Q91" i="1" s="1"/>
  <c r="R91" i="1"/>
  <c r="L91" i="1"/>
  <c r="M91" i="1" s="1"/>
  <c r="B92" i="1"/>
  <c r="C92" i="1" a="1"/>
  <c r="C92" i="1" s="1"/>
  <c r="D92" i="1" s="1"/>
  <c r="E92" i="1"/>
  <c r="F92" i="1" s="1"/>
  <c r="G92" i="1" s="1"/>
  <c r="H92" i="1" s="1"/>
  <c r="I92" i="1" s="1"/>
  <c r="J92" i="1"/>
  <c r="Q92" i="1" a="1"/>
  <c r="Q92" i="1" s="1"/>
  <c r="R92" i="1"/>
  <c r="L92" i="1"/>
  <c r="M92" i="1" s="1"/>
  <c r="B93" i="1"/>
  <c r="C93" i="1" a="1"/>
  <c r="C93" i="1" s="1"/>
  <c r="D93" i="1" s="1"/>
  <c r="E93" i="1"/>
  <c r="F93" i="1" s="1"/>
  <c r="S93" i="1" s="1"/>
  <c r="J93" i="1"/>
  <c r="Q93" i="1" a="1"/>
  <c r="Q93" i="1" s="1"/>
  <c r="R93" i="1"/>
  <c r="L93" i="1"/>
  <c r="M93" i="1" s="1"/>
  <c r="B94" i="1"/>
  <c r="C94" i="1" a="1"/>
  <c r="C94" i="1" s="1"/>
  <c r="D94" i="1" s="1"/>
  <c r="E94" i="1"/>
  <c r="F94" i="1" s="1"/>
  <c r="J94" i="1"/>
  <c r="Q94" i="1" a="1"/>
  <c r="Q94" i="1" s="1"/>
  <c r="R94" i="1"/>
  <c r="L94" i="1"/>
  <c r="M94" i="1" s="1"/>
  <c r="B95" i="1"/>
  <c r="C95" i="1" a="1"/>
  <c r="C95" i="1" s="1"/>
  <c r="D95" i="1" s="1"/>
  <c r="E95" i="1"/>
  <c r="F95" i="1" s="1"/>
  <c r="S95" i="1" s="1"/>
  <c r="J95" i="1"/>
  <c r="Q95" i="1" a="1"/>
  <c r="Q95" i="1" s="1"/>
  <c r="R95" i="1"/>
  <c r="L95" i="1"/>
  <c r="M95" i="1" s="1"/>
  <c r="B96" i="1"/>
  <c r="C96" i="1" a="1"/>
  <c r="C96" i="1" s="1"/>
  <c r="D96" i="1" s="1"/>
  <c r="E96" i="1"/>
  <c r="F96" i="1" s="1"/>
  <c r="J96" i="1"/>
  <c r="Q96" i="1" a="1"/>
  <c r="Q96" i="1" s="1"/>
  <c r="R96" i="1"/>
  <c r="L96" i="1"/>
  <c r="M96" i="1" s="1"/>
  <c r="B97" i="1"/>
  <c r="C97" i="1" a="1"/>
  <c r="C97" i="1" s="1"/>
  <c r="D97" i="1" s="1"/>
  <c r="E97" i="1"/>
  <c r="F97" i="1" s="1"/>
  <c r="J97" i="1"/>
  <c r="Q97" i="1" a="1"/>
  <c r="Q97" i="1" s="1"/>
  <c r="R97" i="1"/>
  <c r="L97" i="1"/>
  <c r="M97" i="1" s="1"/>
  <c r="B98" i="1"/>
  <c r="C98" i="1" a="1"/>
  <c r="C98" i="1" s="1"/>
  <c r="D98" i="1" s="1"/>
  <c r="E98" i="1"/>
  <c r="F98" i="1" s="1"/>
  <c r="G98" i="1" s="1"/>
  <c r="H98" i="1" s="1"/>
  <c r="I98" i="1" s="1"/>
  <c r="J98" i="1"/>
  <c r="Q98" i="1" a="1"/>
  <c r="Q98" i="1" s="1"/>
  <c r="R98" i="1"/>
  <c r="L98" i="1"/>
  <c r="M98" i="1" s="1"/>
  <c r="B99" i="1"/>
  <c r="C99" i="1" a="1"/>
  <c r="C99" i="1" s="1"/>
  <c r="D99" i="1" s="1"/>
  <c r="E99" i="1"/>
  <c r="F99" i="1" s="1"/>
  <c r="S99" i="1" s="1"/>
  <c r="J99" i="1"/>
  <c r="Q99" i="1" a="1"/>
  <c r="Q99" i="1" s="1"/>
  <c r="R99" i="1"/>
  <c r="L99" i="1"/>
  <c r="M99" i="1" s="1"/>
  <c r="B100" i="1"/>
  <c r="C100" i="1" a="1"/>
  <c r="C100" i="1" s="1"/>
  <c r="D100" i="1" s="1"/>
  <c r="E100" i="1"/>
  <c r="F100" i="1" s="1"/>
  <c r="J100" i="1"/>
  <c r="Q100" i="1" a="1"/>
  <c r="Q100" i="1" s="1"/>
  <c r="R100" i="1"/>
  <c r="L100" i="1"/>
  <c r="M100" i="1" s="1"/>
  <c r="B101" i="1"/>
  <c r="C101" i="1" a="1"/>
  <c r="C101" i="1" s="1"/>
  <c r="D101" i="1" s="1"/>
  <c r="E101" i="1"/>
  <c r="F101" i="1" s="1"/>
  <c r="G101" i="1" s="1"/>
  <c r="H101" i="1" s="1"/>
  <c r="I101" i="1" s="1"/>
  <c r="J101" i="1"/>
  <c r="Q101" i="1" a="1"/>
  <c r="Q101" i="1" s="1"/>
  <c r="R101" i="1"/>
  <c r="L101" i="1"/>
  <c r="M101" i="1" s="1"/>
  <c r="B102" i="1"/>
  <c r="C102" i="1" a="1"/>
  <c r="C102" i="1" s="1"/>
  <c r="D102" i="1" s="1"/>
  <c r="E102" i="1"/>
  <c r="F102" i="1" s="1"/>
  <c r="J102" i="1"/>
  <c r="Q102" i="1" a="1"/>
  <c r="Q102" i="1" s="1"/>
  <c r="R102" i="1"/>
  <c r="L102" i="1"/>
  <c r="M102" i="1" s="1"/>
  <c r="B103" i="1"/>
  <c r="C103" i="1" a="1"/>
  <c r="C103" i="1" s="1"/>
  <c r="D103" i="1" s="1"/>
  <c r="E103" i="1"/>
  <c r="F103" i="1" s="1"/>
  <c r="S103" i="1" s="1"/>
  <c r="J103" i="1"/>
  <c r="Q103" i="1" a="1"/>
  <c r="Q103" i="1" s="1"/>
  <c r="R103" i="1"/>
  <c r="L103" i="1"/>
  <c r="M103" i="1" s="1"/>
  <c r="B104" i="1"/>
  <c r="C104" i="1" a="1"/>
  <c r="C104" i="1" s="1"/>
  <c r="D104" i="1" s="1"/>
  <c r="E104" i="1"/>
  <c r="F104" i="1" s="1"/>
  <c r="J104" i="1"/>
  <c r="Q104" i="1" a="1"/>
  <c r="Q104" i="1" s="1"/>
  <c r="R104" i="1"/>
  <c r="L104" i="1"/>
  <c r="M104" i="1" s="1"/>
  <c r="B105" i="1"/>
  <c r="C105" i="1" a="1"/>
  <c r="C105" i="1" s="1"/>
  <c r="D105" i="1" s="1"/>
  <c r="E105" i="1"/>
  <c r="F105" i="1" s="1"/>
  <c r="G105" i="1" s="1"/>
  <c r="H105" i="1" s="1"/>
  <c r="I105" i="1" s="1"/>
  <c r="J105" i="1"/>
  <c r="Q105" i="1" a="1"/>
  <c r="Q105" i="1" s="1"/>
  <c r="R105" i="1"/>
  <c r="L105" i="1"/>
  <c r="M105" i="1" s="1"/>
  <c r="B106" i="1"/>
  <c r="C106" i="1" a="1"/>
  <c r="C106" i="1" s="1"/>
  <c r="D106" i="1" s="1"/>
  <c r="E106" i="1"/>
  <c r="F106" i="1" s="1"/>
  <c r="G106" i="1" s="1"/>
  <c r="H106" i="1" s="1"/>
  <c r="I106" i="1" s="1"/>
  <c r="J106" i="1"/>
  <c r="Q106" i="1" a="1"/>
  <c r="Q106" i="1" s="1"/>
  <c r="R106" i="1"/>
  <c r="L106" i="1"/>
  <c r="M106" i="1" s="1"/>
  <c r="B107" i="1"/>
  <c r="C107" i="1" a="1"/>
  <c r="C107" i="1" s="1"/>
  <c r="D107" i="1" s="1"/>
  <c r="E107" i="1"/>
  <c r="F107" i="1" s="1"/>
  <c r="G107" i="1" s="1"/>
  <c r="H107" i="1" s="1"/>
  <c r="I107" i="1" s="1"/>
  <c r="J107" i="1"/>
  <c r="Q107" i="1" a="1"/>
  <c r="Q107" i="1" s="1"/>
  <c r="R107" i="1"/>
  <c r="L107" i="1"/>
  <c r="M107" i="1" s="1"/>
  <c r="B108" i="1"/>
  <c r="C108" i="1" a="1"/>
  <c r="C108" i="1" s="1"/>
  <c r="D108" i="1" s="1"/>
  <c r="E108" i="1"/>
  <c r="F108" i="1" s="1"/>
  <c r="J108" i="1"/>
  <c r="Q108" i="1" a="1"/>
  <c r="Q108" i="1" s="1"/>
  <c r="R108" i="1"/>
  <c r="L108" i="1"/>
  <c r="M108" i="1" s="1"/>
  <c r="B109" i="1"/>
  <c r="C109" i="1" a="1"/>
  <c r="C109" i="1" s="1"/>
  <c r="D109" i="1" s="1"/>
  <c r="E109" i="1"/>
  <c r="F109" i="1" s="1"/>
  <c r="J109" i="1"/>
  <c r="Q109" i="1" a="1"/>
  <c r="Q109" i="1" s="1"/>
  <c r="R109" i="1"/>
  <c r="L109" i="1"/>
  <c r="M109" i="1" s="1"/>
  <c r="B110" i="1"/>
  <c r="C110" i="1" a="1"/>
  <c r="C110" i="1" s="1"/>
  <c r="D110" i="1" s="1"/>
  <c r="E110" i="1"/>
  <c r="F110" i="1" s="1"/>
  <c r="J110" i="1"/>
  <c r="Q110" i="1" a="1"/>
  <c r="Q110" i="1" s="1"/>
  <c r="R110" i="1"/>
  <c r="L110" i="1"/>
  <c r="M110" i="1" s="1"/>
  <c r="B111" i="1"/>
  <c r="C111" i="1" a="1"/>
  <c r="C111" i="1" s="1"/>
  <c r="D111" i="1" s="1"/>
  <c r="E111" i="1"/>
  <c r="F111" i="1" s="1"/>
  <c r="J111" i="1"/>
  <c r="Q111" i="1" a="1"/>
  <c r="Q111" i="1" s="1"/>
  <c r="R111" i="1"/>
  <c r="L111" i="1"/>
  <c r="M111" i="1" s="1"/>
  <c r="B112" i="1"/>
  <c r="C112" i="1" a="1"/>
  <c r="C112" i="1" s="1"/>
  <c r="D112" i="1" s="1"/>
  <c r="E112" i="1"/>
  <c r="F112" i="1" s="1"/>
  <c r="J112" i="1"/>
  <c r="Q112" i="1" a="1"/>
  <c r="Q112" i="1" s="1"/>
  <c r="R112" i="1"/>
  <c r="L112" i="1"/>
  <c r="M112" i="1" s="1"/>
  <c r="B113" i="1"/>
  <c r="C113" i="1" a="1"/>
  <c r="C113" i="1" s="1"/>
  <c r="D113" i="1" s="1"/>
  <c r="E113" i="1"/>
  <c r="F113" i="1" s="1"/>
  <c r="J113" i="1"/>
  <c r="Q113" i="1" a="1"/>
  <c r="Q113" i="1" s="1"/>
  <c r="R113" i="1"/>
  <c r="L113" i="1"/>
  <c r="M113" i="1" s="1"/>
  <c r="B114" i="1"/>
  <c r="C114" i="1" a="1"/>
  <c r="C114" i="1" s="1"/>
  <c r="D114" i="1" s="1"/>
  <c r="E114" i="1"/>
  <c r="F114" i="1" s="1"/>
  <c r="J114" i="1"/>
  <c r="Q114" i="1" a="1"/>
  <c r="Q114" i="1" s="1"/>
  <c r="R114" i="1"/>
  <c r="L114" i="1"/>
  <c r="M114" i="1" s="1"/>
  <c r="B115" i="1"/>
  <c r="C115" i="1" a="1"/>
  <c r="C115" i="1" s="1"/>
  <c r="D115" i="1" s="1"/>
  <c r="E115" i="1"/>
  <c r="F115" i="1" s="1"/>
  <c r="J115" i="1"/>
  <c r="Q115" i="1" a="1"/>
  <c r="Q115" i="1" s="1"/>
  <c r="R115" i="1"/>
  <c r="L115" i="1"/>
  <c r="M115" i="1" s="1"/>
  <c r="B116" i="1"/>
  <c r="C116" i="1" a="1"/>
  <c r="C116" i="1" s="1"/>
  <c r="D116" i="1" s="1"/>
  <c r="E116" i="1"/>
  <c r="F116" i="1" s="1"/>
  <c r="J116" i="1"/>
  <c r="Q116" i="1" a="1"/>
  <c r="Q116" i="1" s="1"/>
  <c r="R116" i="1"/>
  <c r="L116" i="1"/>
  <c r="M116" i="1" s="1"/>
  <c r="B117" i="1"/>
  <c r="C117" i="1" a="1"/>
  <c r="C117" i="1" s="1"/>
  <c r="D117" i="1" s="1"/>
  <c r="E117" i="1"/>
  <c r="F117" i="1" s="1"/>
  <c r="J117" i="1"/>
  <c r="Q117" i="1" a="1"/>
  <c r="Q117" i="1" s="1"/>
  <c r="R117" i="1"/>
  <c r="L117" i="1"/>
  <c r="M117" i="1" s="1"/>
  <c r="B118" i="1"/>
  <c r="C118" i="1" a="1"/>
  <c r="C118" i="1" s="1"/>
  <c r="D118" i="1" s="1"/>
  <c r="E118" i="1"/>
  <c r="F118" i="1" s="1"/>
  <c r="J118" i="1"/>
  <c r="Q118" i="1" a="1"/>
  <c r="Q118" i="1" s="1"/>
  <c r="R118" i="1"/>
  <c r="L118" i="1"/>
  <c r="M118" i="1" s="1"/>
  <c r="B119" i="1"/>
  <c r="C119" i="1" a="1"/>
  <c r="C119" i="1" s="1"/>
  <c r="D119" i="1" s="1"/>
  <c r="E119" i="1"/>
  <c r="F119" i="1" s="1"/>
  <c r="J119" i="1"/>
  <c r="Q119" i="1" a="1"/>
  <c r="Q119" i="1" s="1"/>
  <c r="R119" i="1"/>
  <c r="L119" i="1"/>
  <c r="M119" i="1" s="1"/>
  <c r="B120" i="1"/>
  <c r="C120" i="1" a="1"/>
  <c r="C120" i="1" s="1"/>
  <c r="D120" i="1" s="1"/>
  <c r="E120" i="1"/>
  <c r="F120" i="1" s="1"/>
  <c r="J120" i="1"/>
  <c r="Q120" i="1" a="1"/>
  <c r="Q120" i="1" s="1"/>
  <c r="R120" i="1"/>
  <c r="L120" i="1"/>
  <c r="M120" i="1" s="1"/>
  <c r="B121" i="1"/>
  <c r="C121" i="1" a="1"/>
  <c r="C121" i="1" s="1"/>
  <c r="D121" i="1" s="1"/>
  <c r="E121" i="1"/>
  <c r="F121" i="1" s="1"/>
  <c r="J121" i="1"/>
  <c r="Q121" i="1" a="1"/>
  <c r="Q121" i="1" s="1"/>
  <c r="R121" i="1"/>
  <c r="L121" i="1"/>
  <c r="M121" i="1" s="1"/>
  <c r="B122" i="1"/>
  <c r="C122" i="1" a="1"/>
  <c r="C122" i="1" s="1"/>
  <c r="D122" i="1" s="1"/>
  <c r="E122" i="1"/>
  <c r="F122" i="1" s="1"/>
  <c r="J122" i="1"/>
  <c r="Q122" i="1" a="1"/>
  <c r="Q122" i="1" s="1"/>
  <c r="R122" i="1"/>
  <c r="L122" i="1"/>
  <c r="M122" i="1" s="1"/>
  <c r="B123" i="1"/>
  <c r="C123" i="1" a="1"/>
  <c r="C123" i="1" s="1"/>
  <c r="D123" i="1" s="1"/>
  <c r="E123" i="1"/>
  <c r="F123" i="1" s="1"/>
  <c r="J123" i="1"/>
  <c r="Q123" i="1" a="1"/>
  <c r="Q123" i="1" s="1"/>
  <c r="R123" i="1"/>
  <c r="L123" i="1"/>
  <c r="M123" i="1" s="1"/>
  <c r="B124" i="1"/>
  <c r="C124" i="1" a="1"/>
  <c r="C124" i="1" s="1"/>
  <c r="D124" i="1" s="1"/>
  <c r="E124" i="1"/>
  <c r="F124" i="1" s="1"/>
  <c r="J124" i="1"/>
  <c r="Q124" i="1" a="1"/>
  <c r="Q124" i="1" s="1"/>
  <c r="R124" i="1"/>
  <c r="L124" i="1"/>
  <c r="M124" i="1" s="1"/>
  <c r="B125" i="1"/>
  <c r="C125" i="1" a="1"/>
  <c r="C125" i="1" s="1"/>
  <c r="D125" i="1" s="1"/>
  <c r="E125" i="1"/>
  <c r="F125" i="1" s="1"/>
  <c r="J125" i="1"/>
  <c r="Q125" i="1" a="1"/>
  <c r="Q125" i="1" s="1"/>
  <c r="R125" i="1"/>
  <c r="L125" i="1"/>
  <c r="M125" i="1" s="1"/>
  <c r="B126" i="1"/>
  <c r="C126" i="1" a="1"/>
  <c r="C126" i="1" s="1"/>
  <c r="D126" i="1" s="1"/>
  <c r="E126" i="1"/>
  <c r="F126" i="1" s="1"/>
  <c r="J126" i="1"/>
  <c r="Q126" i="1" a="1"/>
  <c r="Q126" i="1" s="1"/>
  <c r="R126" i="1"/>
  <c r="L126" i="1"/>
  <c r="M126" i="1" s="1"/>
  <c r="B127" i="1"/>
  <c r="C127" i="1" a="1"/>
  <c r="C127" i="1" s="1"/>
  <c r="D127" i="1" s="1"/>
  <c r="E127" i="1"/>
  <c r="F127" i="1" s="1"/>
  <c r="J127" i="1"/>
  <c r="Q127" i="1" a="1"/>
  <c r="Q127" i="1" s="1"/>
  <c r="R127" i="1"/>
  <c r="L127" i="1"/>
  <c r="M127" i="1" s="1"/>
  <c r="B128" i="1"/>
  <c r="C128" i="1" a="1"/>
  <c r="C128" i="1" s="1"/>
  <c r="D128" i="1" s="1"/>
  <c r="E128" i="1"/>
  <c r="F128" i="1" s="1"/>
  <c r="J128" i="1"/>
  <c r="Q128" i="1" a="1"/>
  <c r="Q128" i="1" s="1"/>
  <c r="R128" i="1"/>
  <c r="L128" i="1"/>
  <c r="M128" i="1" s="1"/>
  <c r="B129" i="1"/>
  <c r="C129" i="1" a="1"/>
  <c r="C129" i="1" s="1"/>
  <c r="D129" i="1" s="1"/>
  <c r="E129" i="1"/>
  <c r="F129" i="1" s="1"/>
  <c r="J129" i="1"/>
  <c r="Q129" i="1" a="1"/>
  <c r="Q129" i="1" s="1"/>
  <c r="R129" i="1"/>
  <c r="L129" i="1"/>
  <c r="M129" i="1" s="1"/>
  <c r="B130" i="1"/>
  <c r="C130" i="1" a="1"/>
  <c r="C130" i="1" s="1"/>
  <c r="D130" i="1" s="1"/>
  <c r="E130" i="1"/>
  <c r="F130" i="1" s="1"/>
  <c r="S130" i="1" s="1"/>
  <c r="J130" i="1"/>
  <c r="Q130" i="1" a="1"/>
  <c r="Q130" i="1" s="1"/>
  <c r="R130" i="1"/>
  <c r="L130" i="1"/>
  <c r="M130" i="1" s="1"/>
  <c r="B131" i="1"/>
  <c r="C131" i="1" a="1"/>
  <c r="C131" i="1" s="1"/>
  <c r="D131" i="1" s="1"/>
  <c r="E131" i="1"/>
  <c r="F131" i="1" s="1"/>
  <c r="J131" i="1"/>
  <c r="Q131" i="1" a="1"/>
  <c r="Q131" i="1" s="1"/>
  <c r="R131" i="1"/>
  <c r="L131" i="1"/>
  <c r="M131" i="1" s="1"/>
  <c r="B132" i="1"/>
  <c r="C132" i="1" a="1"/>
  <c r="C132" i="1" s="1"/>
  <c r="D132" i="1" s="1"/>
  <c r="E132" i="1"/>
  <c r="F132" i="1" s="1"/>
  <c r="J132" i="1"/>
  <c r="Q132" i="1" a="1"/>
  <c r="Q132" i="1" s="1"/>
  <c r="R132" i="1"/>
  <c r="L132" i="1"/>
  <c r="M132" i="1" s="1"/>
  <c r="B133" i="1"/>
  <c r="C133" i="1" a="1"/>
  <c r="C133" i="1" s="1"/>
  <c r="D133" i="1" s="1"/>
  <c r="E133" i="1"/>
  <c r="F133" i="1" s="1"/>
  <c r="S133" i="1" s="1"/>
  <c r="J133" i="1"/>
  <c r="Q133" i="1" a="1"/>
  <c r="Q133" i="1" s="1"/>
  <c r="R133" i="1"/>
  <c r="L133" i="1"/>
  <c r="M133" i="1" s="1"/>
  <c r="B134" i="1"/>
  <c r="C134" i="1" a="1"/>
  <c r="C134" i="1" s="1"/>
  <c r="D134" i="1" s="1"/>
  <c r="E134" i="1"/>
  <c r="F134" i="1" s="1"/>
  <c r="S134" i="1" s="1"/>
  <c r="J134" i="1"/>
  <c r="Q134" i="1" a="1"/>
  <c r="Q134" i="1" s="1"/>
  <c r="R134" i="1"/>
  <c r="L134" i="1"/>
  <c r="M134" i="1" s="1"/>
  <c r="B135" i="1"/>
  <c r="C135" i="1" a="1"/>
  <c r="C135" i="1" s="1"/>
  <c r="D135" i="1" s="1"/>
  <c r="E135" i="1"/>
  <c r="F135" i="1" s="1"/>
  <c r="J135" i="1"/>
  <c r="Q135" i="1" a="1"/>
  <c r="Q135" i="1" s="1"/>
  <c r="R135" i="1"/>
  <c r="L135" i="1"/>
  <c r="M135" i="1" s="1"/>
  <c r="B136" i="1"/>
  <c r="C136" i="1" a="1"/>
  <c r="C136" i="1" s="1"/>
  <c r="D136" i="1" s="1"/>
  <c r="E136" i="1"/>
  <c r="F136" i="1" s="1"/>
  <c r="J136" i="1"/>
  <c r="Q136" i="1" a="1"/>
  <c r="Q136" i="1" s="1"/>
  <c r="R136" i="1"/>
  <c r="L136" i="1"/>
  <c r="M136" i="1" s="1"/>
  <c r="B137" i="1"/>
  <c r="C137" i="1" a="1"/>
  <c r="C137" i="1" s="1"/>
  <c r="D137" i="1" s="1"/>
  <c r="E137" i="1"/>
  <c r="F137" i="1" s="1"/>
  <c r="J137" i="1"/>
  <c r="Q137" i="1" a="1"/>
  <c r="Q137" i="1" s="1"/>
  <c r="R137" i="1"/>
  <c r="L137" i="1"/>
  <c r="M137" i="1" s="1"/>
  <c r="B138" i="1"/>
  <c r="C138" i="1" a="1"/>
  <c r="C138" i="1" s="1"/>
  <c r="D138" i="1" s="1"/>
  <c r="E138" i="1"/>
  <c r="F138" i="1" s="1"/>
  <c r="J138" i="1"/>
  <c r="Q138" i="1" a="1"/>
  <c r="Q138" i="1" s="1"/>
  <c r="R138" i="1"/>
  <c r="L138" i="1"/>
  <c r="M138" i="1" s="1"/>
  <c r="B139" i="1"/>
  <c r="C139" i="1" a="1"/>
  <c r="C139" i="1" s="1"/>
  <c r="D139" i="1" s="1"/>
  <c r="E139" i="1"/>
  <c r="F139" i="1" s="1"/>
  <c r="J139" i="1"/>
  <c r="Q139" i="1" a="1"/>
  <c r="Q139" i="1" s="1"/>
  <c r="R139" i="1"/>
  <c r="L139" i="1"/>
  <c r="M139" i="1" s="1"/>
  <c r="B140" i="1"/>
  <c r="C140" i="1" a="1"/>
  <c r="C140" i="1" s="1"/>
  <c r="D140" i="1" s="1"/>
  <c r="E140" i="1"/>
  <c r="F140" i="1" s="1"/>
  <c r="S140" i="1" s="1"/>
  <c r="J140" i="1"/>
  <c r="Q140" i="1" a="1"/>
  <c r="Q140" i="1" s="1"/>
  <c r="R140" i="1"/>
  <c r="L140" i="1"/>
  <c r="M140" i="1" s="1"/>
  <c r="B141" i="1"/>
  <c r="C141" i="1" a="1"/>
  <c r="C141" i="1" s="1"/>
  <c r="D141" i="1" s="1"/>
  <c r="E141" i="1"/>
  <c r="F141" i="1" s="1"/>
  <c r="S141" i="1" s="1"/>
  <c r="J141" i="1"/>
  <c r="Q141" i="1" a="1"/>
  <c r="Q141" i="1" s="1"/>
  <c r="R141" i="1"/>
  <c r="L141" i="1"/>
  <c r="M141" i="1" s="1"/>
  <c r="B142" i="1"/>
  <c r="C142" i="1" a="1"/>
  <c r="C142" i="1" s="1"/>
  <c r="D142" i="1" s="1"/>
  <c r="E142" i="1"/>
  <c r="F142" i="1" s="1"/>
  <c r="J142" i="1"/>
  <c r="Q142" i="1" a="1"/>
  <c r="Q142" i="1" s="1"/>
  <c r="R142" i="1"/>
  <c r="L142" i="1"/>
  <c r="M142" i="1" s="1"/>
  <c r="B143" i="1"/>
  <c r="C143" i="1" a="1"/>
  <c r="C143" i="1" s="1"/>
  <c r="D143" i="1" s="1"/>
  <c r="E143" i="1"/>
  <c r="F143" i="1" s="1"/>
  <c r="J143" i="1"/>
  <c r="Q143" i="1" a="1"/>
  <c r="Q143" i="1" s="1"/>
  <c r="R143" i="1"/>
  <c r="L143" i="1"/>
  <c r="M143" i="1" s="1"/>
  <c r="B144" i="1"/>
  <c r="C144" i="1" a="1"/>
  <c r="C144" i="1" s="1"/>
  <c r="D144" i="1" s="1"/>
  <c r="E144" i="1"/>
  <c r="F144" i="1" s="1"/>
  <c r="S144" i="1" s="1"/>
  <c r="J144" i="1"/>
  <c r="Q144" i="1" a="1"/>
  <c r="Q144" i="1" s="1"/>
  <c r="R144" i="1"/>
  <c r="L144" i="1"/>
  <c r="M144" i="1" s="1"/>
  <c r="B145" i="1"/>
  <c r="C145" i="1" a="1"/>
  <c r="C145" i="1" s="1"/>
  <c r="D145" i="1" s="1"/>
  <c r="E145" i="1"/>
  <c r="F145" i="1" s="1"/>
  <c r="J145" i="1"/>
  <c r="Q145" i="1" a="1"/>
  <c r="Q145" i="1" s="1"/>
  <c r="R145" i="1"/>
  <c r="L145" i="1"/>
  <c r="M145" i="1" s="1"/>
  <c r="B146" i="1"/>
  <c r="C146" i="1" a="1"/>
  <c r="C146" i="1" s="1"/>
  <c r="D146" i="1" s="1"/>
  <c r="E146" i="1"/>
  <c r="F146" i="1" s="1"/>
  <c r="J146" i="1"/>
  <c r="Q146" i="1" a="1"/>
  <c r="Q146" i="1" s="1"/>
  <c r="R146" i="1"/>
  <c r="L146" i="1"/>
  <c r="M146" i="1" s="1"/>
  <c r="B147" i="1"/>
  <c r="C147" i="1" a="1"/>
  <c r="C147" i="1" s="1"/>
  <c r="D147" i="1" s="1"/>
  <c r="E147" i="1"/>
  <c r="F147" i="1" s="1"/>
  <c r="G147" i="1" s="1"/>
  <c r="H147" i="1" s="1"/>
  <c r="I147" i="1" s="1"/>
  <c r="J147" i="1"/>
  <c r="Q147" i="1" a="1"/>
  <c r="Q147" i="1" s="1"/>
  <c r="R147" i="1"/>
  <c r="L147" i="1"/>
  <c r="M147" i="1" s="1"/>
  <c r="B148" i="1"/>
  <c r="C148" i="1" a="1"/>
  <c r="C148" i="1" s="1"/>
  <c r="D148" i="1" s="1"/>
  <c r="E148" i="1"/>
  <c r="F148" i="1" s="1"/>
  <c r="G148" i="1" s="1"/>
  <c r="H148" i="1" s="1"/>
  <c r="I148" i="1" s="1"/>
  <c r="J148" i="1"/>
  <c r="Q148" i="1" a="1"/>
  <c r="Q148" i="1" s="1"/>
  <c r="R148" i="1"/>
  <c r="L148" i="1"/>
  <c r="M148" i="1" s="1"/>
  <c r="B149" i="1"/>
  <c r="C149" i="1" a="1"/>
  <c r="C149" i="1" s="1"/>
  <c r="D149" i="1" s="1"/>
  <c r="E149" i="1"/>
  <c r="F149" i="1" s="1"/>
  <c r="G149" i="1" s="1"/>
  <c r="H149" i="1" s="1"/>
  <c r="I149" i="1" s="1"/>
  <c r="J149" i="1"/>
  <c r="Q149" i="1" a="1"/>
  <c r="Q149" i="1" s="1"/>
  <c r="R149" i="1"/>
  <c r="L149" i="1"/>
  <c r="M149" i="1" s="1"/>
  <c r="B150" i="1"/>
  <c r="C150" i="1" a="1"/>
  <c r="C150" i="1" s="1"/>
  <c r="D150" i="1" s="1"/>
  <c r="E150" i="1"/>
  <c r="F150" i="1" s="1"/>
  <c r="J150" i="1"/>
  <c r="Q150" i="1" a="1"/>
  <c r="Q150" i="1" s="1"/>
  <c r="R150" i="1"/>
  <c r="L150" i="1"/>
  <c r="M150" i="1" s="1"/>
  <c r="B151" i="1"/>
  <c r="C151" i="1" a="1"/>
  <c r="C151" i="1" s="1"/>
  <c r="D151" i="1" s="1"/>
  <c r="E151" i="1"/>
  <c r="F151" i="1" s="1"/>
  <c r="G151" i="1" s="1"/>
  <c r="H151" i="1" s="1"/>
  <c r="I151" i="1" s="1"/>
  <c r="J151" i="1"/>
  <c r="Q151" i="1" a="1"/>
  <c r="Q151" i="1" s="1"/>
  <c r="R151" i="1"/>
  <c r="L151" i="1"/>
  <c r="M151" i="1" s="1"/>
  <c r="B152" i="1"/>
  <c r="C152" i="1" a="1"/>
  <c r="C152" i="1" s="1"/>
  <c r="D152" i="1" s="1"/>
  <c r="E152" i="1"/>
  <c r="F152" i="1" s="1"/>
  <c r="J152" i="1"/>
  <c r="Q152" i="1" a="1"/>
  <c r="Q152" i="1" s="1"/>
  <c r="R152" i="1"/>
  <c r="L152" i="1"/>
  <c r="M152" i="1" s="1"/>
  <c r="B153" i="1"/>
  <c r="C153" i="1" a="1"/>
  <c r="C153" i="1" s="1"/>
  <c r="D153" i="1" s="1"/>
  <c r="E153" i="1"/>
  <c r="F153" i="1" s="1"/>
  <c r="G153" i="1" s="1"/>
  <c r="H153" i="1" s="1"/>
  <c r="I153" i="1" s="1"/>
  <c r="J153" i="1"/>
  <c r="Q153" i="1" a="1"/>
  <c r="Q153" i="1" s="1"/>
  <c r="R153" i="1"/>
  <c r="L153" i="1"/>
  <c r="M153" i="1" s="1"/>
  <c r="B154" i="1"/>
  <c r="C154" i="1" a="1"/>
  <c r="C154" i="1" s="1"/>
  <c r="D154" i="1" s="1"/>
  <c r="E154" i="1"/>
  <c r="F154" i="1" s="1"/>
  <c r="G154" i="1" s="1"/>
  <c r="H154" i="1" s="1"/>
  <c r="I154" i="1" s="1"/>
  <c r="J154" i="1"/>
  <c r="Q154" i="1" a="1"/>
  <c r="Q154" i="1" s="1"/>
  <c r="R154" i="1"/>
  <c r="L154" i="1"/>
  <c r="M154" i="1" s="1"/>
  <c r="B155" i="1"/>
  <c r="C155" i="1" a="1"/>
  <c r="C155" i="1" s="1"/>
  <c r="D155" i="1" s="1"/>
  <c r="E155" i="1"/>
  <c r="F155" i="1" s="1"/>
  <c r="G155" i="1" s="1"/>
  <c r="H155" i="1" s="1"/>
  <c r="I155" i="1" s="1"/>
  <c r="J155" i="1"/>
  <c r="Q155" i="1" a="1"/>
  <c r="Q155" i="1" s="1"/>
  <c r="R155" i="1"/>
  <c r="L155" i="1"/>
  <c r="M155" i="1" s="1"/>
  <c r="B156" i="1"/>
  <c r="C156" i="1" a="1"/>
  <c r="C156" i="1" s="1"/>
  <c r="D156" i="1" s="1"/>
  <c r="E156" i="1"/>
  <c r="F156" i="1" s="1"/>
  <c r="G156" i="1" s="1"/>
  <c r="H156" i="1" s="1"/>
  <c r="I156" i="1" s="1"/>
  <c r="J156" i="1"/>
  <c r="Q156" i="1" a="1"/>
  <c r="Q156" i="1" s="1"/>
  <c r="R156" i="1"/>
  <c r="L156" i="1"/>
  <c r="M156" i="1" s="1"/>
  <c r="B157" i="1"/>
  <c r="C157" i="1" a="1"/>
  <c r="C157" i="1" s="1"/>
  <c r="D157" i="1" s="1"/>
  <c r="E157" i="1"/>
  <c r="F157" i="1" s="1"/>
  <c r="G157" i="1" s="1"/>
  <c r="H157" i="1" s="1"/>
  <c r="I157" i="1" s="1"/>
  <c r="J157" i="1"/>
  <c r="Q157" i="1" a="1"/>
  <c r="Q157" i="1" s="1"/>
  <c r="R157" i="1"/>
  <c r="L157" i="1"/>
  <c r="M157" i="1" s="1"/>
  <c r="B158" i="1"/>
  <c r="C158" i="1" a="1"/>
  <c r="C158" i="1" s="1"/>
  <c r="D158" i="1" s="1"/>
  <c r="E158" i="1"/>
  <c r="F158" i="1" s="1"/>
  <c r="S158" i="1" s="1"/>
  <c r="J158" i="1"/>
  <c r="Q158" i="1" a="1"/>
  <c r="Q158" i="1" s="1"/>
  <c r="R158" i="1"/>
  <c r="L158" i="1"/>
  <c r="M158" i="1" s="1"/>
  <c r="B159" i="1"/>
  <c r="C159" i="1" a="1"/>
  <c r="C159" i="1" s="1"/>
  <c r="D159" i="1" s="1"/>
  <c r="E159" i="1"/>
  <c r="F159" i="1" s="1"/>
  <c r="J159" i="1"/>
  <c r="Q159" i="1" a="1"/>
  <c r="Q159" i="1" s="1"/>
  <c r="R159" i="1"/>
  <c r="L159" i="1"/>
  <c r="M159" i="1" s="1"/>
  <c r="B160" i="1"/>
  <c r="C160" i="1" a="1"/>
  <c r="C160" i="1" s="1"/>
  <c r="D160" i="1" s="1"/>
  <c r="E160" i="1"/>
  <c r="F160" i="1" s="1"/>
  <c r="G160" i="1" s="1"/>
  <c r="H160" i="1" s="1"/>
  <c r="I160" i="1" s="1"/>
  <c r="J160" i="1"/>
  <c r="Q160" i="1" a="1"/>
  <c r="Q160" i="1" s="1"/>
  <c r="R160" i="1"/>
  <c r="L160" i="1"/>
  <c r="M160" i="1" s="1"/>
  <c r="B161" i="1"/>
  <c r="C161" i="1" a="1"/>
  <c r="C161" i="1" s="1"/>
  <c r="D161" i="1" s="1"/>
  <c r="E161" i="1"/>
  <c r="F161" i="1" s="1"/>
  <c r="G161" i="1" s="1"/>
  <c r="H161" i="1" s="1"/>
  <c r="I161" i="1" s="1"/>
  <c r="J161" i="1"/>
  <c r="Q161" i="1" a="1"/>
  <c r="Q161" i="1" s="1"/>
  <c r="R161" i="1"/>
  <c r="L161" i="1"/>
  <c r="M161" i="1" s="1"/>
  <c r="B162" i="1"/>
  <c r="C162" i="1" a="1"/>
  <c r="C162" i="1" s="1"/>
  <c r="D162" i="1" s="1"/>
  <c r="E162" i="1"/>
  <c r="F162" i="1" s="1"/>
  <c r="S162" i="1" s="1"/>
  <c r="J162" i="1"/>
  <c r="Q162" i="1" a="1"/>
  <c r="Q162" i="1" s="1"/>
  <c r="R162" i="1"/>
  <c r="L162" i="1"/>
  <c r="M162" i="1" s="1"/>
  <c r="B163" i="1"/>
  <c r="C163" i="1" a="1"/>
  <c r="C163" i="1" s="1"/>
  <c r="D163" i="1" s="1"/>
  <c r="E163" i="1"/>
  <c r="F163" i="1" s="1"/>
  <c r="G163" i="1" s="1"/>
  <c r="H163" i="1" s="1"/>
  <c r="I163" i="1" s="1"/>
  <c r="J163" i="1"/>
  <c r="Q163" i="1" a="1"/>
  <c r="Q163" i="1" s="1"/>
  <c r="R163" i="1"/>
  <c r="L163" i="1"/>
  <c r="M163" i="1" s="1"/>
  <c r="B164" i="1"/>
  <c r="C164" i="1" a="1"/>
  <c r="C164" i="1" s="1"/>
  <c r="D164" i="1" s="1"/>
  <c r="E164" i="1"/>
  <c r="F164" i="1" s="1"/>
  <c r="J164" i="1"/>
  <c r="Q164" i="1" a="1"/>
  <c r="Q164" i="1" s="1"/>
  <c r="R164" i="1"/>
  <c r="L164" i="1"/>
  <c r="M164" i="1" s="1"/>
  <c r="B165" i="1"/>
  <c r="C165" i="1" a="1"/>
  <c r="C165" i="1" s="1"/>
  <c r="D165" i="1" s="1"/>
  <c r="E165" i="1"/>
  <c r="F165" i="1" s="1"/>
  <c r="G165" i="1" s="1"/>
  <c r="H165" i="1" s="1"/>
  <c r="I165" i="1" s="1"/>
  <c r="J165" i="1"/>
  <c r="Q165" i="1" a="1"/>
  <c r="Q165" i="1" s="1"/>
  <c r="R165" i="1"/>
  <c r="L165" i="1"/>
  <c r="M165" i="1" s="1"/>
  <c r="B166" i="1"/>
  <c r="C166" i="1" a="1"/>
  <c r="C166" i="1" s="1"/>
  <c r="D166" i="1" s="1"/>
  <c r="E166" i="1"/>
  <c r="F166" i="1" s="1"/>
  <c r="G166" i="1" s="1"/>
  <c r="H166" i="1" s="1"/>
  <c r="I166" i="1" s="1"/>
  <c r="J166" i="1"/>
  <c r="Q166" i="1" a="1"/>
  <c r="Q166" i="1" s="1"/>
  <c r="R166" i="1"/>
  <c r="L166" i="1"/>
  <c r="M166" i="1" s="1"/>
  <c r="B167" i="1"/>
  <c r="C167" i="1" a="1"/>
  <c r="C167" i="1" s="1"/>
  <c r="D167" i="1" s="1"/>
  <c r="E167" i="1"/>
  <c r="F167" i="1" s="1"/>
  <c r="J167" i="1"/>
  <c r="Q167" i="1" a="1"/>
  <c r="Q167" i="1" s="1"/>
  <c r="R167" i="1"/>
  <c r="L167" i="1"/>
  <c r="M167" i="1" s="1"/>
  <c r="B168" i="1"/>
  <c r="C168" i="1" a="1"/>
  <c r="C168" i="1" s="1"/>
  <c r="D168" i="1" s="1"/>
  <c r="E168" i="1"/>
  <c r="F168" i="1" s="1"/>
  <c r="G168" i="1" s="1"/>
  <c r="H168" i="1" s="1"/>
  <c r="I168" i="1" s="1"/>
  <c r="J168" i="1"/>
  <c r="Q168" i="1" a="1"/>
  <c r="Q168" i="1" s="1"/>
  <c r="R168" i="1"/>
  <c r="L168" i="1"/>
  <c r="M168" i="1" s="1"/>
  <c r="B169" i="1"/>
  <c r="C169" i="1" a="1"/>
  <c r="C169" i="1" s="1"/>
  <c r="D169" i="1" s="1"/>
  <c r="E169" i="1"/>
  <c r="F169" i="1" s="1"/>
  <c r="G169" i="1" s="1"/>
  <c r="H169" i="1" s="1"/>
  <c r="I169" i="1" s="1"/>
  <c r="J169" i="1"/>
  <c r="Q169" i="1" a="1"/>
  <c r="Q169" i="1" s="1"/>
  <c r="R169" i="1"/>
  <c r="L169" i="1"/>
  <c r="M169" i="1" s="1"/>
  <c r="B170" i="1"/>
  <c r="C170" i="1" a="1"/>
  <c r="C170" i="1" s="1"/>
  <c r="D170" i="1" s="1"/>
  <c r="E170" i="1"/>
  <c r="F170" i="1" s="1"/>
  <c r="G170" i="1" s="1"/>
  <c r="H170" i="1" s="1"/>
  <c r="I170" i="1" s="1"/>
  <c r="J170" i="1"/>
  <c r="Q170" i="1" a="1"/>
  <c r="Q170" i="1" s="1"/>
  <c r="R170" i="1"/>
  <c r="L170" i="1"/>
  <c r="M170" i="1" s="1"/>
  <c r="B171" i="1"/>
  <c r="C171" i="1" a="1"/>
  <c r="C171" i="1" s="1"/>
  <c r="D171" i="1" s="1"/>
  <c r="E171" i="1"/>
  <c r="F171" i="1" s="1"/>
  <c r="S171" i="1" s="1"/>
  <c r="J171" i="1"/>
  <c r="Q171" i="1" a="1"/>
  <c r="Q171" i="1" s="1"/>
  <c r="R171" i="1"/>
  <c r="L171" i="1"/>
  <c r="M171" i="1" s="1"/>
  <c r="B172" i="1"/>
  <c r="C172" i="1" a="1"/>
  <c r="C172" i="1" s="1"/>
  <c r="D172" i="1" s="1"/>
  <c r="E172" i="1"/>
  <c r="F172" i="1" s="1"/>
  <c r="S172" i="1" s="1"/>
  <c r="J172" i="1"/>
  <c r="Q172" i="1" a="1"/>
  <c r="Q172" i="1" s="1"/>
  <c r="R172" i="1"/>
  <c r="L172" i="1"/>
  <c r="M172" i="1" s="1"/>
  <c r="B173" i="1"/>
  <c r="C173" i="1" a="1"/>
  <c r="C173" i="1" s="1"/>
  <c r="D173" i="1" s="1"/>
  <c r="E173" i="1"/>
  <c r="F173" i="1" s="1"/>
  <c r="G173" i="1" s="1"/>
  <c r="H173" i="1" s="1"/>
  <c r="I173" i="1" s="1"/>
  <c r="J173" i="1"/>
  <c r="Q173" i="1" a="1"/>
  <c r="Q173" i="1" s="1"/>
  <c r="R173" i="1"/>
  <c r="L173" i="1"/>
  <c r="M173" i="1" s="1"/>
  <c r="B174" i="1"/>
  <c r="C174" i="1" a="1"/>
  <c r="C174" i="1" s="1"/>
  <c r="D174" i="1" s="1"/>
  <c r="E174" i="1"/>
  <c r="F174" i="1" s="1"/>
  <c r="S174" i="1" s="1"/>
  <c r="J174" i="1"/>
  <c r="Q174" i="1" a="1"/>
  <c r="Q174" i="1" s="1"/>
  <c r="R174" i="1"/>
  <c r="L174" i="1"/>
  <c r="M174" i="1" s="1"/>
  <c r="B175" i="1"/>
  <c r="C175" i="1" a="1"/>
  <c r="C175" i="1" s="1"/>
  <c r="D175" i="1" s="1"/>
  <c r="E175" i="1"/>
  <c r="F175" i="1" s="1"/>
  <c r="J175" i="1"/>
  <c r="Q175" i="1" a="1"/>
  <c r="Q175" i="1" s="1"/>
  <c r="R175" i="1"/>
  <c r="L175" i="1"/>
  <c r="M175" i="1" s="1"/>
  <c r="B176" i="1"/>
  <c r="C176" i="1" a="1"/>
  <c r="C176" i="1" s="1"/>
  <c r="D176" i="1" s="1"/>
  <c r="E176" i="1"/>
  <c r="F176" i="1" s="1"/>
  <c r="G176" i="1" s="1"/>
  <c r="H176" i="1" s="1"/>
  <c r="I176" i="1" s="1"/>
  <c r="J176" i="1"/>
  <c r="Q176" i="1" a="1"/>
  <c r="Q176" i="1" s="1"/>
  <c r="R176" i="1"/>
  <c r="L176" i="1"/>
  <c r="M176" i="1" s="1"/>
  <c r="B177" i="1"/>
  <c r="C177" i="1" a="1"/>
  <c r="C177" i="1" s="1"/>
  <c r="D177" i="1" s="1"/>
  <c r="E177" i="1"/>
  <c r="F177" i="1" s="1"/>
  <c r="G177" i="1" s="1"/>
  <c r="H177" i="1" s="1"/>
  <c r="I177" i="1" s="1"/>
  <c r="J177" i="1"/>
  <c r="Q177" i="1" a="1"/>
  <c r="Q177" i="1" s="1"/>
  <c r="R177" i="1"/>
  <c r="L177" i="1"/>
  <c r="M177" i="1" s="1"/>
  <c r="B178" i="1"/>
  <c r="C178" i="1" a="1"/>
  <c r="C178" i="1" s="1"/>
  <c r="D178" i="1" s="1"/>
  <c r="E178" i="1"/>
  <c r="F178" i="1" s="1"/>
  <c r="S178" i="1" s="1"/>
  <c r="J178" i="1"/>
  <c r="Q178" i="1" a="1"/>
  <c r="Q178" i="1" s="1"/>
  <c r="R178" i="1"/>
  <c r="L178" i="1"/>
  <c r="M178" i="1" s="1"/>
  <c r="B179" i="1"/>
  <c r="C179" i="1" a="1"/>
  <c r="C179" i="1" s="1"/>
  <c r="D179" i="1" s="1"/>
  <c r="E179" i="1"/>
  <c r="F179" i="1" s="1"/>
  <c r="G179" i="1" s="1"/>
  <c r="H179" i="1" s="1"/>
  <c r="I179" i="1" s="1"/>
  <c r="J179" i="1"/>
  <c r="Q179" i="1" a="1"/>
  <c r="Q179" i="1" s="1"/>
  <c r="R179" i="1"/>
  <c r="L179" i="1"/>
  <c r="M179" i="1" s="1"/>
  <c r="B180" i="1"/>
  <c r="C180" i="1" a="1"/>
  <c r="C180" i="1" s="1"/>
  <c r="D180" i="1" s="1"/>
  <c r="E180" i="1"/>
  <c r="F180" i="1" s="1"/>
  <c r="J180" i="1"/>
  <c r="Q180" i="1" a="1"/>
  <c r="Q180" i="1" s="1"/>
  <c r="R180" i="1"/>
  <c r="L180" i="1"/>
  <c r="M180" i="1" s="1"/>
  <c r="B181" i="1"/>
  <c r="C181" i="1" a="1"/>
  <c r="C181" i="1" s="1"/>
  <c r="D181" i="1" s="1"/>
  <c r="E181" i="1"/>
  <c r="F181" i="1" s="1"/>
  <c r="J181" i="1"/>
  <c r="Q181" i="1" a="1"/>
  <c r="Q181" i="1" s="1"/>
  <c r="R181" i="1"/>
  <c r="L181" i="1"/>
  <c r="M181" i="1" s="1"/>
  <c r="B182" i="1"/>
  <c r="C182" i="1" a="1"/>
  <c r="C182" i="1" s="1"/>
  <c r="D182" i="1" s="1"/>
  <c r="E182" i="1"/>
  <c r="F182" i="1" s="1"/>
  <c r="S182" i="1" s="1"/>
  <c r="J182" i="1"/>
  <c r="Q182" i="1" a="1"/>
  <c r="Q182" i="1" s="1"/>
  <c r="R182" i="1"/>
  <c r="L182" i="1"/>
  <c r="M182" i="1" s="1"/>
  <c r="B183" i="1"/>
  <c r="C183" i="1" a="1"/>
  <c r="C183" i="1" s="1"/>
  <c r="D183" i="1" s="1"/>
  <c r="E183" i="1"/>
  <c r="F183" i="1" s="1"/>
  <c r="J183" i="1"/>
  <c r="Q183" i="1" a="1"/>
  <c r="Q183" i="1" s="1"/>
  <c r="R183" i="1"/>
  <c r="L183" i="1"/>
  <c r="M183" i="1" s="1"/>
  <c r="B184" i="1"/>
  <c r="C184" i="1" a="1"/>
  <c r="C184" i="1" s="1"/>
  <c r="D184" i="1" s="1"/>
  <c r="E184" i="1"/>
  <c r="F184" i="1" s="1"/>
  <c r="G184" i="1" s="1"/>
  <c r="H184" i="1" s="1"/>
  <c r="I184" i="1" s="1"/>
  <c r="J184" i="1"/>
  <c r="Q184" i="1" a="1"/>
  <c r="Q184" i="1" s="1"/>
  <c r="R184" i="1"/>
  <c r="L184" i="1"/>
  <c r="M184" i="1" s="1"/>
  <c r="B185" i="1"/>
  <c r="C185" i="1" a="1"/>
  <c r="C185" i="1" s="1"/>
  <c r="D185" i="1" s="1"/>
  <c r="E185" i="1"/>
  <c r="F185" i="1" s="1"/>
  <c r="G185" i="1" s="1"/>
  <c r="H185" i="1" s="1"/>
  <c r="I185" i="1" s="1"/>
  <c r="J185" i="1"/>
  <c r="Q185" i="1" a="1"/>
  <c r="Q185" i="1" s="1"/>
  <c r="R185" i="1"/>
  <c r="L185" i="1"/>
  <c r="M185" i="1" s="1"/>
  <c r="B186" i="1"/>
  <c r="C186" i="1" a="1"/>
  <c r="C186" i="1" s="1"/>
  <c r="D186" i="1" s="1"/>
  <c r="E186" i="1"/>
  <c r="F186" i="1" s="1"/>
  <c r="S186" i="1" s="1"/>
  <c r="J186" i="1"/>
  <c r="Q186" i="1" a="1"/>
  <c r="Q186" i="1" s="1"/>
  <c r="R186" i="1"/>
  <c r="L186" i="1"/>
  <c r="M186" i="1" s="1"/>
  <c r="B187" i="1"/>
  <c r="C187" i="1" a="1"/>
  <c r="C187" i="1" s="1"/>
  <c r="D187" i="1" s="1"/>
  <c r="E187" i="1"/>
  <c r="F187" i="1" s="1"/>
  <c r="G187" i="1" s="1"/>
  <c r="H187" i="1" s="1"/>
  <c r="I187" i="1" s="1"/>
  <c r="J187" i="1"/>
  <c r="Q187" i="1" a="1"/>
  <c r="Q187" i="1" s="1"/>
  <c r="R187" i="1"/>
  <c r="L187" i="1"/>
  <c r="M187" i="1" s="1"/>
  <c r="B188" i="1"/>
  <c r="C188" i="1" a="1"/>
  <c r="C188" i="1" s="1"/>
  <c r="D188" i="1" s="1"/>
  <c r="E188" i="1"/>
  <c r="F188" i="1" s="1"/>
  <c r="J188" i="1"/>
  <c r="Q188" i="1" a="1"/>
  <c r="Q188" i="1" s="1"/>
  <c r="R188" i="1"/>
  <c r="L188" i="1"/>
  <c r="M188" i="1" s="1"/>
  <c r="B189" i="1"/>
  <c r="C189" i="1" a="1"/>
  <c r="C189" i="1" s="1"/>
  <c r="D189" i="1" s="1"/>
  <c r="E189" i="1"/>
  <c r="F189" i="1" s="1"/>
  <c r="J189" i="1"/>
  <c r="Q189" i="1" a="1"/>
  <c r="Q189" i="1" s="1"/>
  <c r="R189" i="1"/>
  <c r="L189" i="1"/>
  <c r="M189" i="1" s="1"/>
  <c r="B190" i="1"/>
  <c r="C190" i="1" a="1"/>
  <c r="C190" i="1" s="1"/>
  <c r="D190" i="1" s="1"/>
  <c r="E190" i="1"/>
  <c r="F190" i="1" s="1"/>
  <c r="J190" i="1"/>
  <c r="Q190" i="1" a="1"/>
  <c r="Q190" i="1" s="1"/>
  <c r="R190" i="1"/>
  <c r="L190" i="1"/>
  <c r="M190" i="1" s="1"/>
  <c r="B191" i="1"/>
  <c r="C191" i="1" a="1"/>
  <c r="C191" i="1" s="1"/>
  <c r="D191" i="1" s="1"/>
  <c r="E191" i="1"/>
  <c r="F191" i="1" s="1"/>
  <c r="S191" i="1" s="1"/>
  <c r="J191" i="1"/>
  <c r="Q191" i="1" a="1"/>
  <c r="Q191" i="1" s="1"/>
  <c r="R191" i="1"/>
  <c r="L191" i="1"/>
  <c r="M191" i="1" s="1"/>
  <c r="B192" i="1"/>
  <c r="C192" i="1" a="1"/>
  <c r="C192" i="1" s="1"/>
  <c r="D192" i="1" s="1"/>
  <c r="E192" i="1"/>
  <c r="F192" i="1" s="1"/>
  <c r="G192" i="1" s="1"/>
  <c r="H192" i="1" s="1"/>
  <c r="I192" i="1" s="1"/>
  <c r="J192" i="1"/>
  <c r="Q192" i="1" a="1"/>
  <c r="Q192" i="1" s="1"/>
  <c r="R192" i="1"/>
  <c r="L192" i="1"/>
  <c r="M192" i="1" s="1"/>
  <c r="B193" i="1"/>
  <c r="C193" i="1" a="1"/>
  <c r="C193" i="1" s="1"/>
  <c r="D193" i="1" s="1"/>
  <c r="E193" i="1"/>
  <c r="F193" i="1" s="1"/>
  <c r="J193" i="1"/>
  <c r="Q193" i="1" a="1"/>
  <c r="Q193" i="1" s="1"/>
  <c r="R193" i="1"/>
  <c r="L193" i="1"/>
  <c r="M193" i="1" s="1"/>
  <c r="B194" i="1"/>
  <c r="C194" i="1" a="1"/>
  <c r="C194" i="1" s="1"/>
  <c r="D194" i="1" s="1"/>
  <c r="E194" i="1"/>
  <c r="F194" i="1" s="1"/>
  <c r="J194" i="1"/>
  <c r="Q194" i="1" a="1"/>
  <c r="Q194" i="1" s="1"/>
  <c r="R194" i="1"/>
  <c r="L194" i="1"/>
  <c r="M194" i="1" s="1"/>
  <c r="B195" i="1"/>
  <c r="C195" i="1" a="1"/>
  <c r="C195" i="1" s="1"/>
  <c r="D195" i="1" s="1"/>
  <c r="E195" i="1"/>
  <c r="F195" i="1" s="1"/>
  <c r="J195" i="1"/>
  <c r="Q195" i="1" a="1"/>
  <c r="Q195" i="1" s="1"/>
  <c r="R195" i="1"/>
  <c r="L195" i="1"/>
  <c r="M195" i="1" s="1"/>
  <c r="B196" i="1"/>
  <c r="C196" i="1" a="1"/>
  <c r="C196" i="1" s="1"/>
  <c r="D196" i="1" s="1"/>
  <c r="E196" i="1"/>
  <c r="F196" i="1" s="1"/>
  <c r="J196" i="1"/>
  <c r="Q196" i="1" a="1"/>
  <c r="Q196" i="1" s="1"/>
  <c r="R196" i="1"/>
  <c r="L196" i="1"/>
  <c r="M196" i="1" s="1"/>
  <c r="B197" i="1"/>
  <c r="C197" i="1" a="1"/>
  <c r="C197" i="1" s="1"/>
  <c r="D197" i="1" s="1"/>
  <c r="E197" i="1"/>
  <c r="F197" i="1" s="1"/>
  <c r="S197" i="1" s="1"/>
  <c r="J197" i="1"/>
  <c r="Q197" i="1" a="1"/>
  <c r="Q197" i="1" s="1"/>
  <c r="R197" i="1"/>
  <c r="L197" i="1"/>
  <c r="M197" i="1" s="1"/>
  <c r="B198" i="1"/>
  <c r="C198" i="1" a="1"/>
  <c r="C198" i="1" s="1"/>
  <c r="D198" i="1" s="1"/>
  <c r="E198" i="1"/>
  <c r="F198" i="1" s="1"/>
  <c r="G198" i="1" s="1"/>
  <c r="H198" i="1" s="1"/>
  <c r="I198" i="1" s="1"/>
  <c r="J198" i="1"/>
  <c r="Q198" i="1" a="1"/>
  <c r="Q198" i="1" s="1"/>
  <c r="R198" i="1"/>
  <c r="L198" i="1"/>
  <c r="M198" i="1" s="1"/>
  <c r="B199" i="1"/>
  <c r="C199" i="1" a="1"/>
  <c r="C199" i="1" s="1"/>
  <c r="D199" i="1" s="1"/>
  <c r="E199" i="1"/>
  <c r="F199" i="1" s="1"/>
  <c r="S199" i="1" s="1"/>
  <c r="J199" i="1"/>
  <c r="Q199" i="1" a="1"/>
  <c r="Q199" i="1" s="1"/>
  <c r="R199" i="1"/>
  <c r="L199" i="1"/>
  <c r="M199" i="1" s="1"/>
  <c r="B200" i="1"/>
  <c r="C200" i="1" a="1"/>
  <c r="C200" i="1" s="1"/>
  <c r="D200" i="1" s="1"/>
  <c r="E200" i="1"/>
  <c r="F200" i="1" s="1"/>
  <c r="J200" i="1"/>
  <c r="Q200" i="1" a="1"/>
  <c r="Q200" i="1" s="1"/>
  <c r="R200" i="1"/>
  <c r="L200" i="1"/>
  <c r="M200" i="1" s="1"/>
  <c r="B201" i="1"/>
  <c r="C201" i="1" a="1"/>
  <c r="C201" i="1" s="1"/>
  <c r="D201" i="1" s="1"/>
  <c r="E201" i="1"/>
  <c r="F201" i="1" s="1"/>
  <c r="S201" i="1" s="1"/>
  <c r="J201" i="1"/>
  <c r="Q201" i="1" a="1"/>
  <c r="Q201" i="1" s="1"/>
  <c r="R201" i="1"/>
  <c r="L201" i="1"/>
  <c r="M201" i="1" s="1"/>
  <c r="B202" i="1"/>
  <c r="C202" i="1" a="1"/>
  <c r="C202" i="1" s="1"/>
  <c r="D202" i="1" s="1"/>
  <c r="E202" i="1"/>
  <c r="F202" i="1" s="1"/>
  <c r="G202" i="1" s="1"/>
  <c r="H202" i="1" s="1"/>
  <c r="I202" i="1" s="1"/>
  <c r="J202" i="1"/>
  <c r="Q202" i="1" a="1"/>
  <c r="Q202" i="1" s="1"/>
  <c r="R202" i="1"/>
  <c r="L202" i="1"/>
  <c r="M202" i="1" s="1"/>
  <c r="B203" i="1"/>
  <c r="C203" i="1" a="1"/>
  <c r="C203" i="1" s="1"/>
  <c r="D203" i="1" s="1"/>
  <c r="E203" i="1"/>
  <c r="F203" i="1" s="1"/>
  <c r="G203" i="1" s="1"/>
  <c r="H203" i="1" s="1"/>
  <c r="I203" i="1" s="1"/>
  <c r="J203" i="1"/>
  <c r="Q203" i="1" a="1"/>
  <c r="Q203" i="1" s="1"/>
  <c r="R203" i="1"/>
  <c r="L203" i="1"/>
  <c r="M203" i="1" s="1"/>
  <c r="B204" i="1"/>
  <c r="C204" i="1" a="1"/>
  <c r="C204" i="1" s="1"/>
  <c r="D204" i="1" s="1"/>
  <c r="E204" i="1"/>
  <c r="F204" i="1" s="1"/>
  <c r="J204" i="1"/>
  <c r="Q204" i="1" a="1"/>
  <c r="Q204" i="1" s="1"/>
  <c r="R204" i="1"/>
  <c r="L204" i="1"/>
  <c r="M204" i="1" s="1"/>
  <c r="B205" i="1"/>
  <c r="C205" i="1" a="1"/>
  <c r="C205" i="1" s="1"/>
  <c r="D205" i="1" s="1"/>
  <c r="E205" i="1"/>
  <c r="F205" i="1" s="1"/>
  <c r="J205" i="1"/>
  <c r="Q205" i="1" a="1"/>
  <c r="Q205" i="1" s="1"/>
  <c r="R205" i="1"/>
  <c r="L205" i="1"/>
  <c r="M205" i="1" s="1"/>
  <c r="B206" i="1"/>
  <c r="C206" i="1" a="1"/>
  <c r="C206" i="1" s="1"/>
  <c r="D206" i="1" s="1"/>
  <c r="E206" i="1"/>
  <c r="F206" i="1" s="1"/>
  <c r="J206" i="1"/>
  <c r="Q206" i="1" a="1"/>
  <c r="Q206" i="1" s="1"/>
  <c r="R206" i="1"/>
  <c r="L206" i="1"/>
  <c r="M206" i="1" s="1"/>
  <c r="B207" i="1"/>
  <c r="C207" i="1" a="1"/>
  <c r="C207" i="1" s="1"/>
  <c r="D207" i="1" s="1"/>
  <c r="E207" i="1"/>
  <c r="F207" i="1" s="1"/>
  <c r="J207" i="1"/>
  <c r="Q207" i="1" a="1"/>
  <c r="Q207" i="1" s="1"/>
  <c r="R207" i="1"/>
  <c r="L207" i="1"/>
  <c r="M207" i="1" s="1"/>
  <c r="B208" i="1"/>
  <c r="C208" i="1" a="1"/>
  <c r="C208" i="1" s="1"/>
  <c r="D208" i="1" s="1"/>
  <c r="E208" i="1"/>
  <c r="F208" i="1" s="1"/>
  <c r="J208" i="1"/>
  <c r="Q208" i="1" a="1"/>
  <c r="Q208" i="1" s="1"/>
  <c r="R208" i="1"/>
  <c r="L208" i="1"/>
  <c r="M208" i="1" s="1"/>
  <c r="B209" i="1"/>
  <c r="C209" i="1" a="1"/>
  <c r="C209" i="1" s="1"/>
  <c r="D209" i="1" s="1"/>
  <c r="E209" i="1"/>
  <c r="F209" i="1" s="1"/>
  <c r="J209" i="1"/>
  <c r="Q209" i="1" a="1"/>
  <c r="Q209" i="1" s="1"/>
  <c r="R209" i="1"/>
  <c r="L209" i="1"/>
  <c r="M209" i="1" s="1"/>
  <c r="B210" i="1"/>
  <c r="C210" i="1" a="1"/>
  <c r="C210" i="1" s="1"/>
  <c r="D210" i="1" s="1"/>
  <c r="E210" i="1"/>
  <c r="F210" i="1" s="1"/>
  <c r="J210" i="1"/>
  <c r="Q210" i="1" a="1"/>
  <c r="Q210" i="1" s="1"/>
  <c r="R210" i="1"/>
  <c r="L210" i="1"/>
  <c r="M210" i="1" s="1"/>
  <c r="B211" i="1"/>
  <c r="C211" i="1" a="1"/>
  <c r="C211" i="1" s="1"/>
  <c r="D211" i="1" s="1"/>
  <c r="E211" i="1"/>
  <c r="F211" i="1" s="1"/>
  <c r="J211" i="1"/>
  <c r="Q211" i="1" a="1"/>
  <c r="Q211" i="1" s="1"/>
  <c r="R211" i="1"/>
  <c r="L211" i="1"/>
  <c r="M211" i="1" s="1"/>
  <c r="B212" i="1"/>
  <c r="C212" i="1" a="1"/>
  <c r="C212" i="1" s="1"/>
  <c r="D212" i="1" s="1"/>
  <c r="E212" i="1"/>
  <c r="F212" i="1" s="1"/>
  <c r="J212" i="1"/>
  <c r="Q212" i="1" a="1"/>
  <c r="Q212" i="1" s="1"/>
  <c r="R212" i="1"/>
  <c r="L212" i="1"/>
  <c r="M212" i="1" s="1"/>
  <c r="B213" i="1"/>
  <c r="C213" i="1" a="1"/>
  <c r="C213" i="1" s="1"/>
  <c r="D213" i="1" s="1"/>
  <c r="E213" i="1"/>
  <c r="F213" i="1" s="1"/>
  <c r="J213" i="1"/>
  <c r="Q213" i="1" a="1"/>
  <c r="Q213" i="1" s="1"/>
  <c r="R213" i="1"/>
  <c r="L213" i="1"/>
  <c r="M213" i="1" s="1"/>
  <c r="B214" i="1"/>
  <c r="C214" i="1" a="1"/>
  <c r="C214" i="1" s="1"/>
  <c r="D214" i="1" s="1"/>
  <c r="E214" i="1"/>
  <c r="F214" i="1" s="1"/>
  <c r="J214" i="1"/>
  <c r="Q214" i="1" a="1"/>
  <c r="Q214" i="1" s="1"/>
  <c r="R214" i="1"/>
  <c r="L214" i="1"/>
  <c r="M214" i="1" s="1"/>
  <c r="B215" i="1"/>
  <c r="C215" i="1" a="1"/>
  <c r="C215" i="1" s="1"/>
  <c r="D215" i="1" s="1"/>
  <c r="E215" i="1"/>
  <c r="F215" i="1" s="1"/>
  <c r="J215" i="1"/>
  <c r="Q215" i="1" a="1"/>
  <c r="Q215" i="1" s="1"/>
  <c r="R215" i="1"/>
  <c r="L215" i="1"/>
  <c r="M215" i="1" s="1"/>
  <c r="B216" i="1"/>
  <c r="C216" i="1" a="1"/>
  <c r="C216" i="1" s="1"/>
  <c r="D216" i="1" s="1"/>
  <c r="E216" i="1"/>
  <c r="F216" i="1" s="1"/>
  <c r="J216" i="1"/>
  <c r="Q216" i="1" a="1"/>
  <c r="Q216" i="1" s="1"/>
  <c r="R216" i="1"/>
  <c r="L216" i="1"/>
  <c r="M216" i="1" s="1"/>
  <c r="B217" i="1"/>
  <c r="C217" i="1" a="1"/>
  <c r="C217" i="1" s="1"/>
  <c r="D217" i="1" s="1"/>
  <c r="E217" i="1"/>
  <c r="F217" i="1" s="1"/>
  <c r="J217" i="1"/>
  <c r="Q217" i="1" a="1"/>
  <c r="Q217" i="1" s="1"/>
  <c r="R217" i="1"/>
  <c r="L217" i="1"/>
  <c r="M217" i="1" s="1"/>
  <c r="B218" i="1"/>
  <c r="C218" i="1" a="1"/>
  <c r="C218" i="1" s="1"/>
  <c r="D218" i="1" s="1"/>
  <c r="E218" i="1"/>
  <c r="F218" i="1" s="1"/>
  <c r="J218" i="1"/>
  <c r="Q218" i="1" a="1"/>
  <c r="Q218" i="1" s="1"/>
  <c r="R218" i="1"/>
  <c r="L218" i="1"/>
  <c r="M218" i="1" s="1"/>
  <c r="B219" i="1"/>
  <c r="C219" i="1" a="1"/>
  <c r="C219" i="1" s="1"/>
  <c r="D219" i="1" s="1"/>
  <c r="E219" i="1"/>
  <c r="F219" i="1" s="1"/>
  <c r="J219" i="1"/>
  <c r="Q219" i="1" a="1"/>
  <c r="Q219" i="1" s="1"/>
  <c r="R219" i="1"/>
  <c r="L219" i="1"/>
  <c r="M219" i="1" s="1"/>
  <c r="B220" i="1"/>
  <c r="C220" i="1" a="1"/>
  <c r="C220" i="1" s="1"/>
  <c r="D220" i="1" s="1"/>
  <c r="E220" i="1"/>
  <c r="F220" i="1" s="1"/>
  <c r="J220" i="1"/>
  <c r="Q220" i="1" a="1"/>
  <c r="Q220" i="1" s="1"/>
  <c r="R220" i="1"/>
  <c r="L220" i="1"/>
  <c r="M220" i="1" s="1"/>
  <c r="B221" i="1"/>
  <c r="C221" i="1" a="1"/>
  <c r="C221" i="1" s="1"/>
  <c r="D221" i="1" s="1"/>
  <c r="E221" i="1"/>
  <c r="F221" i="1" s="1"/>
  <c r="J221" i="1"/>
  <c r="Q221" i="1" a="1"/>
  <c r="Q221" i="1" s="1"/>
  <c r="R221" i="1"/>
  <c r="L221" i="1"/>
  <c r="M221" i="1" s="1"/>
  <c r="B222" i="1"/>
  <c r="C222" i="1" a="1"/>
  <c r="C222" i="1" s="1"/>
  <c r="D222" i="1" s="1"/>
  <c r="E222" i="1"/>
  <c r="F222" i="1" s="1"/>
  <c r="J222" i="1"/>
  <c r="Q222" i="1" a="1"/>
  <c r="Q222" i="1" s="1"/>
  <c r="R222" i="1"/>
  <c r="L222" i="1"/>
  <c r="M222" i="1" s="1"/>
  <c r="B223" i="1"/>
  <c r="C223" i="1" a="1"/>
  <c r="C223" i="1" s="1"/>
  <c r="D223" i="1" s="1"/>
  <c r="E223" i="1"/>
  <c r="F223" i="1" s="1"/>
  <c r="J223" i="1"/>
  <c r="Q223" i="1" a="1"/>
  <c r="Q223" i="1" s="1"/>
  <c r="R223" i="1"/>
  <c r="L223" i="1"/>
  <c r="M223" i="1" s="1"/>
  <c r="B224" i="1"/>
  <c r="C224" i="1" a="1"/>
  <c r="C224" i="1" s="1"/>
  <c r="D224" i="1" s="1"/>
  <c r="E224" i="1"/>
  <c r="F224" i="1" s="1"/>
  <c r="J224" i="1"/>
  <c r="Q224" i="1" a="1"/>
  <c r="Q224" i="1" s="1"/>
  <c r="R224" i="1"/>
  <c r="L224" i="1"/>
  <c r="M224" i="1" s="1"/>
  <c r="B225" i="1"/>
  <c r="C225" i="1" a="1"/>
  <c r="C225" i="1" s="1"/>
  <c r="D225" i="1" s="1"/>
  <c r="E225" i="1"/>
  <c r="F225" i="1" s="1"/>
  <c r="J225" i="1"/>
  <c r="Q225" i="1" a="1"/>
  <c r="Q225" i="1" s="1"/>
  <c r="R225" i="1"/>
  <c r="L225" i="1"/>
  <c r="M225" i="1" s="1"/>
  <c r="B226" i="1"/>
  <c r="C226" i="1" a="1"/>
  <c r="C226" i="1" s="1"/>
  <c r="D226" i="1" s="1"/>
  <c r="E226" i="1"/>
  <c r="F226" i="1" s="1"/>
  <c r="J226" i="1"/>
  <c r="Q226" i="1" a="1"/>
  <c r="Q226" i="1" s="1"/>
  <c r="R226" i="1"/>
  <c r="L226" i="1"/>
  <c r="M226" i="1" s="1"/>
  <c r="B227" i="1"/>
  <c r="C227" i="1" a="1"/>
  <c r="C227" i="1" s="1"/>
  <c r="D227" i="1" s="1"/>
  <c r="E227" i="1"/>
  <c r="F227" i="1" s="1"/>
  <c r="J227" i="1"/>
  <c r="Q227" i="1" a="1"/>
  <c r="Q227" i="1" s="1"/>
  <c r="R227" i="1"/>
  <c r="L227" i="1"/>
  <c r="M227" i="1" s="1"/>
  <c r="B228" i="1"/>
  <c r="C228" i="1" a="1"/>
  <c r="C228" i="1" s="1"/>
  <c r="D228" i="1" s="1"/>
  <c r="E228" i="1"/>
  <c r="F228" i="1" s="1"/>
  <c r="J228" i="1"/>
  <c r="Q228" i="1" a="1"/>
  <c r="Q228" i="1" s="1"/>
  <c r="R228" i="1"/>
  <c r="L228" i="1"/>
  <c r="M228" i="1" s="1"/>
  <c r="B229" i="1"/>
  <c r="C229" i="1" a="1"/>
  <c r="C229" i="1" s="1"/>
  <c r="D229" i="1" s="1"/>
  <c r="E229" i="1"/>
  <c r="F229" i="1" s="1"/>
  <c r="J229" i="1"/>
  <c r="Q229" i="1" a="1"/>
  <c r="Q229" i="1" s="1"/>
  <c r="R229" i="1"/>
  <c r="L229" i="1"/>
  <c r="M229" i="1" s="1"/>
  <c r="B230" i="1"/>
  <c r="C230" i="1" a="1"/>
  <c r="C230" i="1" s="1"/>
  <c r="D230" i="1" s="1"/>
  <c r="E230" i="1"/>
  <c r="F230" i="1" s="1"/>
  <c r="J230" i="1"/>
  <c r="Q230" i="1" a="1"/>
  <c r="Q230" i="1" s="1"/>
  <c r="R230" i="1"/>
  <c r="L230" i="1"/>
  <c r="M230" i="1" s="1"/>
  <c r="B231" i="1"/>
  <c r="C231" i="1" a="1"/>
  <c r="C231" i="1" s="1"/>
  <c r="D231" i="1" s="1"/>
  <c r="E231" i="1"/>
  <c r="F231" i="1" s="1"/>
  <c r="J231" i="1"/>
  <c r="Q231" i="1" a="1"/>
  <c r="Q231" i="1" s="1"/>
  <c r="R231" i="1"/>
  <c r="L231" i="1"/>
  <c r="M231" i="1" s="1"/>
  <c r="B232" i="1"/>
  <c r="C232" i="1" a="1"/>
  <c r="C232" i="1" s="1"/>
  <c r="D232" i="1" s="1"/>
  <c r="E232" i="1"/>
  <c r="F232" i="1" s="1"/>
  <c r="G232" i="1" s="1"/>
  <c r="H232" i="1" s="1"/>
  <c r="I232" i="1" s="1"/>
  <c r="J232" i="1"/>
  <c r="Q232" i="1" a="1"/>
  <c r="Q232" i="1" s="1"/>
  <c r="R232" i="1"/>
  <c r="L232" i="1"/>
  <c r="M232" i="1" s="1"/>
  <c r="B233" i="1"/>
  <c r="C233" i="1" a="1"/>
  <c r="C233" i="1" s="1"/>
  <c r="D233" i="1" s="1"/>
  <c r="E233" i="1"/>
  <c r="F233" i="1" s="1"/>
  <c r="S233" i="1" s="1"/>
  <c r="J233" i="1"/>
  <c r="Q233" i="1" a="1"/>
  <c r="Q233" i="1" s="1"/>
  <c r="R233" i="1"/>
  <c r="L233" i="1"/>
  <c r="M233" i="1" s="1"/>
  <c r="B234" i="1"/>
  <c r="C234" i="1" a="1"/>
  <c r="C234" i="1" s="1"/>
  <c r="D234" i="1" s="1"/>
  <c r="E234" i="1"/>
  <c r="F234" i="1" s="1"/>
  <c r="J234" i="1"/>
  <c r="Q234" i="1" a="1"/>
  <c r="Q234" i="1" s="1"/>
  <c r="R234" i="1"/>
  <c r="L234" i="1"/>
  <c r="M234" i="1" s="1"/>
  <c r="B235" i="1"/>
  <c r="C235" i="1" a="1"/>
  <c r="C235" i="1" s="1"/>
  <c r="D235" i="1" s="1"/>
  <c r="E235" i="1"/>
  <c r="F235" i="1" s="1"/>
  <c r="G235" i="1" s="1"/>
  <c r="H235" i="1" s="1"/>
  <c r="I235" i="1" s="1"/>
  <c r="J235" i="1"/>
  <c r="Q235" i="1" a="1"/>
  <c r="Q235" i="1" s="1"/>
  <c r="R235" i="1"/>
  <c r="L235" i="1"/>
  <c r="M235" i="1" s="1"/>
  <c r="B236" i="1"/>
  <c r="C236" i="1" a="1"/>
  <c r="C236" i="1" s="1"/>
  <c r="D236" i="1" s="1"/>
  <c r="E236" i="1"/>
  <c r="F236" i="1" s="1"/>
  <c r="G236" i="1" s="1"/>
  <c r="H236" i="1" s="1"/>
  <c r="I236" i="1" s="1"/>
  <c r="J236" i="1"/>
  <c r="Q236" i="1" a="1"/>
  <c r="Q236" i="1" s="1"/>
  <c r="R236" i="1"/>
  <c r="L236" i="1"/>
  <c r="M236" i="1" s="1"/>
  <c r="B237" i="1"/>
  <c r="C237" i="1" a="1"/>
  <c r="C237" i="1" s="1"/>
  <c r="D237" i="1" s="1"/>
  <c r="E237" i="1"/>
  <c r="F237" i="1" s="1"/>
  <c r="J237" i="1"/>
  <c r="Q237" i="1" a="1"/>
  <c r="Q237" i="1" s="1"/>
  <c r="R237" i="1"/>
  <c r="L237" i="1"/>
  <c r="M237" i="1" s="1"/>
  <c r="B238" i="1"/>
  <c r="C238" i="1" a="1"/>
  <c r="C238" i="1" s="1"/>
  <c r="D238" i="1" s="1"/>
  <c r="E238" i="1"/>
  <c r="F238" i="1" s="1"/>
  <c r="G238" i="1" s="1"/>
  <c r="H238" i="1" s="1"/>
  <c r="I238" i="1" s="1"/>
  <c r="J238" i="1"/>
  <c r="Q238" i="1" a="1"/>
  <c r="Q238" i="1" s="1"/>
  <c r="R238" i="1"/>
  <c r="L238" i="1"/>
  <c r="M238" i="1" s="1"/>
  <c r="B239" i="1"/>
  <c r="C239" i="1" a="1"/>
  <c r="C239" i="1" s="1"/>
  <c r="D239" i="1" s="1"/>
  <c r="E239" i="1"/>
  <c r="F239" i="1" s="1"/>
  <c r="J239" i="1"/>
  <c r="Q239" i="1" a="1"/>
  <c r="Q239" i="1" s="1"/>
  <c r="R239" i="1"/>
  <c r="L239" i="1"/>
  <c r="M239" i="1" s="1"/>
  <c r="B240" i="1"/>
  <c r="C240" i="1" a="1"/>
  <c r="C240" i="1" s="1"/>
  <c r="D240" i="1" s="1"/>
  <c r="E240" i="1"/>
  <c r="F240" i="1" s="1"/>
  <c r="J240" i="1"/>
  <c r="Q240" i="1" a="1"/>
  <c r="Q240" i="1" s="1"/>
  <c r="R240" i="1"/>
  <c r="L240" i="1"/>
  <c r="M240" i="1" s="1"/>
  <c r="B241" i="1"/>
  <c r="C241" i="1" a="1"/>
  <c r="C241" i="1" s="1"/>
  <c r="D241" i="1" s="1"/>
  <c r="E241" i="1"/>
  <c r="F241" i="1" s="1"/>
  <c r="G241" i="1" s="1"/>
  <c r="H241" i="1" s="1"/>
  <c r="I241" i="1" s="1"/>
  <c r="J241" i="1"/>
  <c r="Q241" i="1" a="1"/>
  <c r="Q241" i="1" s="1"/>
  <c r="R241" i="1"/>
  <c r="L241" i="1"/>
  <c r="M241" i="1" s="1"/>
  <c r="B242" i="1"/>
  <c r="C242" i="1" a="1"/>
  <c r="C242" i="1" s="1"/>
  <c r="D242" i="1" s="1"/>
  <c r="E242" i="1"/>
  <c r="F242" i="1" s="1"/>
  <c r="G242" i="1" s="1"/>
  <c r="H242" i="1" s="1"/>
  <c r="I242" i="1" s="1"/>
  <c r="J242" i="1"/>
  <c r="Q242" i="1" a="1"/>
  <c r="Q242" i="1" s="1"/>
  <c r="R242" i="1"/>
  <c r="L242" i="1"/>
  <c r="M242" i="1" s="1"/>
  <c r="B243" i="1"/>
  <c r="C243" i="1" a="1"/>
  <c r="C243" i="1" s="1"/>
  <c r="D243" i="1" s="1"/>
  <c r="E243" i="1"/>
  <c r="F243" i="1" s="1"/>
  <c r="G243" i="1" s="1"/>
  <c r="H243" i="1" s="1"/>
  <c r="I243" i="1" s="1"/>
  <c r="J243" i="1"/>
  <c r="Q243" i="1" a="1"/>
  <c r="Q243" i="1" s="1"/>
  <c r="R243" i="1"/>
  <c r="L243" i="1"/>
  <c r="M243" i="1" s="1"/>
  <c r="B244" i="1"/>
  <c r="C244" i="1" a="1"/>
  <c r="C244" i="1" s="1"/>
  <c r="D244" i="1" s="1"/>
  <c r="E244" i="1"/>
  <c r="F244" i="1" s="1"/>
  <c r="G244" i="1" s="1"/>
  <c r="H244" i="1" s="1"/>
  <c r="I244" i="1" s="1"/>
  <c r="J244" i="1"/>
  <c r="Q244" i="1" a="1"/>
  <c r="Q244" i="1" s="1"/>
  <c r="R244" i="1"/>
  <c r="L244" i="1"/>
  <c r="M244" i="1" s="1"/>
  <c r="B245" i="1"/>
  <c r="C245" i="1" a="1"/>
  <c r="C245" i="1" s="1"/>
  <c r="D245" i="1" s="1"/>
  <c r="E245" i="1"/>
  <c r="F245" i="1" s="1"/>
  <c r="J245" i="1"/>
  <c r="Q245" i="1" a="1"/>
  <c r="Q245" i="1" s="1"/>
  <c r="R245" i="1"/>
  <c r="L245" i="1"/>
  <c r="M245" i="1" s="1"/>
  <c r="B246" i="1"/>
  <c r="C246" i="1" a="1"/>
  <c r="C246" i="1" s="1"/>
  <c r="D246" i="1" s="1"/>
  <c r="E246" i="1"/>
  <c r="F246" i="1" s="1"/>
  <c r="G246" i="1" s="1"/>
  <c r="H246" i="1" s="1"/>
  <c r="I246" i="1" s="1"/>
  <c r="J246" i="1"/>
  <c r="Q246" i="1" a="1"/>
  <c r="Q246" i="1" s="1"/>
  <c r="R246" i="1"/>
  <c r="L246" i="1"/>
  <c r="M246" i="1" s="1"/>
  <c r="B247" i="1"/>
  <c r="C247" i="1" a="1"/>
  <c r="C247" i="1" s="1"/>
  <c r="D247" i="1" s="1"/>
  <c r="E247" i="1"/>
  <c r="F247" i="1" s="1"/>
  <c r="G247" i="1" s="1"/>
  <c r="H247" i="1" s="1"/>
  <c r="I247" i="1" s="1"/>
  <c r="J247" i="1"/>
  <c r="Q247" i="1" a="1"/>
  <c r="Q247" i="1" s="1"/>
  <c r="R247" i="1"/>
  <c r="L247" i="1"/>
  <c r="M247" i="1" s="1"/>
  <c r="B248" i="1"/>
  <c r="C248" i="1" a="1"/>
  <c r="C248" i="1" s="1"/>
  <c r="D248" i="1" s="1"/>
  <c r="E248" i="1"/>
  <c r="F248" i="1" s="1"/>
  <c r="G248" i="1" s="1"/>
  <c r="H248" i="1" s="1"/>
  <c r="I248" i="1" s="1"/>
  <c r="J248" i="1"/>
  <c r="Q248" i="1" a="1"/>
  <c r="Q248" i="1" s="1"/>
  <c r="R248" i="1"/>
  <c r="L248" i="1"/>
  <c r="M248" i="1" s="1"/>
  <c r="B249" i="1"/>
  <c r="C249" i="1" a="1"/>
  <c r="C249" i="1" s="1"/>
  <c r="D249" i="1" s="1"/>
  <c r="E249" i="1"/>
  <c r="F249" i="1" s="1"/>
  <c r="S249" i="1" s="1"/>
  <c r="J249" i="1"/>
  <c r="Q249" i="1" a="1"/>
  <c r="Q249" i="1" s="1"/>
  <c r="R249" i="1"/>
  <c r="L249" i="1"/>
  <c r="M249" i="1" s="1"/>
  <c r="B250" i="1"/>
  <c r="C250" i="1" a="1"/>
  <c r="C250" i="1" s="1"/>
  <c r="D250" i="1" s="1"/>
  <c r="E250" i="1"/>
  <c r="F250" i="1" s="1"/>
  <c r="J250" i="1"/>
  <c r="Q250" i="1" a="1"/>
  <c r="Q250" i="1" s="1"/>
  <c r="R250" i="1"/>
  <c r="L250" i="1"/>
  <c r="M250" i="1" s="1"/>
  <c r="B251" i="1"/>
  <c r="C251" i="1" a="1"/>
  <c r="C251" i="1" s="1"/>
  <c r="D251" i="1" s="1"/>
  <c r="E251" i="1"/>
  <c r="F251" i="1" s="1"/>
  <c r="G251" i="1" s="1"/>
  <c r="H251" i="1" s="1"/>
  <c r="I251" i="1" s="1"/>
  <c r="J251" i="1"/>
  <c r="Q251" i="1" a="1"/>
  <c r="Q251" i="1" s="1"/>
  <c r="R251" i="1"/>
  <c r="L251" i="1"/>
  <c r="M251" i="1" s="1"/>
  <c r="B252" i="1"/>
  <c r="C252" i="1" a="1"/>
  <c r="C252" i="1" s="1"/>
  <c r="D252" i="1" s="1"/>
  <c r="E252" i="1"/>
  <c r="F252" i="1" s="1"/>
  <c r="S252" i="1" s="1"/>
  <c r="J252" i="1"/>
  <c r="Q252" i="1" a="1"/>
  <c r="Q252" i="1" s="1"/>
  <c r="R252" i="1"/>
  <c r="L252" i="1"/>
  <c r="M252" i="1" s="1"/>
  <c r="B253" i="1"/>
  <c r="C253" i="1" a="1"/>
  <c r="C253" i="1" s="1"/>
  <c r="D253" i="1" s="1"/>
  <c r="E253" i="1"/>
  <c r="F253" i="1" s="1"/>
  <c r="G253" i="1" s="1"/>
  <c r="H253" i="1" s="1"/>
  <c r="I253" i="1" s="1"/>
  <c r="J253" i="1"/>
  <c r="Q253" i="1" a="1"/>
  <c r="Q253" i="1" s="1"/>
  <c r="R253" i="1"/>
  <c r="L253" i="1"/>
  <c r="M253" i="1" s="1"/>
  <c r="B254" i="1"/>
  <c r="C254" i="1" a="1"/>
  <c r="C254" i="1" s="1"/>
  <c r="D254" i="1" s="1"/>
  <c r="E254" i="1"/>
  <c r="F254" i="1" s="1"/>
  <c r="G254" i="1" s="1"/>
  <c r="H254" i="1" s="1"/>
  <c r="I254" i="1" s="1"/>
  <c r="J254" i="1"/>
  <c r="Q254" i="1" a="1"/>
  <c r="Q254" i="1" s="1"/>
  <c r="R254" i="1"/>
  <c r="L254" i="1"/>
  <c r="M254" i="1" s="1"/>
  <c r="B255" i="1"/>
  <c r="C255" i="1" a="1"/>
  <c r="C255" i="1" s="1"/>
  <c r="D255" i="1" s="1"/>
  <c r="E255" i="1"/>
  <c r="F255" i="1" s="1"/>
  <c r="J255" i="1"/>
  <c r="Q255" i="1" a="1"/>
  <c r="Q255" i="1" s="1"/>
  <c r="R255" i="1"/>
  <c r="L255" i="1"/>
  <c r="M255" i="1" s="1"/>
  <c r="B256" i="1"/>
  <c r="C256" i="1" a="1"/>
  <c r="C256" i="1" s="1"/>
  <c r="D256" i="1" s="1"/>
  <c r="E256" i="1"/>
  <c r="F256" i="1" s="1"/>
  <c r="J256" i="1"/>
  <c r="Q256" i="1" a="1"/>
  <c r="Q256" i="1" s="1"/>
  <c r="R256" i="1"/>
  <c r="L256" i="1"/>
  <c r="M256" i="1" s="1"/>
  <c r="B257" i="1"/>
  <c r="C257" i="1" a="1"/>
  <c r="C257" i="1" s="1"/>
  <c r="D257" i="1" s="1"/>
  <c r="E257" i="1"/>
  <c r="F257" i="1" s="1"/>
  <c r="S257" i="1" s="1"/>
  <c r="J257" i="1"/>
  <c r="Q257" i="1" a="1"/>
  <c r="Q257" i="1" s="1"/>
  <c r="R257" i="1"/>
  <c r="L257" i="1"/>
  <c r="M257" i="1" s="1"/>
  <c r="B258" i="1"/>
  <c r="C258" i="1" a="1"/>
  <c r="C258" i="1" s="1"/>
  <c r="D258" i="1" s="1"/>
  <c r="E258" i="1"/>
  <c r="F258" i="1" s="1"/>
  <c r="G258" i="1" s="1"/>
  <c r="H258" i="1" s="1"/>
  <c r="I258" i="1" s="1"/>
  <c r="J258" i="1"/>
  <c r="Q258" i="1" a="1"/>
  <c r="Q258" i="1" s="1"/>
  <c r="R258" i="1"/>
  <c r="L258" i="1"/>
  <c r="M258" i="1" s="1"/>
  <c r="B259" i="1"/>
  <c r="C259" i="1" a="1"/>
  <c r="C259" i="1" s="1"/>
  <c r="D259" i="1" s="1"/>
  <c r="E259" i="1"/>
  <c r="F259" i="1" s="1"/>
  <c r="G259" i="1" s="1"/>
  <c r="H259" i="1" s="1"/>
  <c r="I259" i="1" s="1"/>
  <c r="J259" i="1"/>
  <c r="Q259" i="1" a="1"/>
  <c r="Q259" i="1" s="1"/>
  <c r="R259" i="1"/>
  <c r="L259" i="1"/>
  <c r="M259" i="1" s="1"/>
  <c r="B260" i="1"/>
  <c r="C260" i="1" a="1"/>
  <c r="C260" i="1" s="1"/>
  <c r="D260" i="1" s="1"/>
  <c r="E260" i="1"/>
  <c r="F260" i="1" s="1"/>
  <c r="S260" i="1" s="1"/>
  <c r="J260" i="1"/>
  <c r="Q260" i="1" a="1"/>
  <c r="Q260" i="1" s="1"/>
  <c r="R260" i="1"/>
  <c r="L260" i="1"/>
  <c r="M260" i="1" s="1"/>
  <c r="B261" i="1"/>
  <c r="C261" i="1" a="1"/>
  <c r="C261" i="1" s="1"/>
  <c r="D261" i="1" s="1"/>
  <c r="E261" i="1"/>
  <c r="F261" i="1" s="1"/>
  <c r="G261" i="1" s="1"/>
  <c r="H261" i="1" s="1"/>
  <c r="I261" i="1" s="1"/>
  <c r="J261" i="1"/>
  <c r="Q261" i="1" a="1"/>
  <c r="Q261" i="1" s="1"/>
  <c r="R261" i="1"/>
  <c r="L261" i="1"/>
  <c r="M261" i="1" s="1"/>
  <c r="B262" i="1"/>
  <c r="C262" i="1" a="1"/>
  <c r="C262" i="1" s="1"/>
  <c r="D262" i="1" s="1"/>
  <c r="E262" i="1"/>
  <c r="F262" i="1" s="1"/>
  <c r="J262" i="1"/>
  <c r="Q262" i="1" a="1"/>
  <c r="Q262" i="1" s="1"/>
  <c r="R262" i="1"/>
  <c r="L262" i="1"/>
  <c r="M262" i="1" s="1"/>
  <c r="B263" i="1"/>
  <c r="C263" i="1" a="1"/>
  <c r="C263" i="1" s="1"/>
  <c r="D263" i="1" s="1"/>
  <c r="E263" i="1"/>
  <c r="F263" i="1" s="1"/>
  <c r="J263" i="1"/>
  <c r="Q263" i="1" a="1"/>
  <c r="Q263" i="1" s="1"/>
  <c r="R263" i="1"/>
  <c r="L263" i="1"/>
  <c r="M263" i="1" s="1"/>
  <c r="B264" i="1"/>
  <c r="C264" i="1" a="1"/>
  <c r="C264" i="1" s="1"/>
  <c r="D264" i="1" s="1"/>
  <c r="E264" i="1"/>
  <c r="F264" i="1" s="1"/>
  <c r="G264" i="1" s="1"/>
  <c r="H264" i="1" s="1"/>
  <c r="I264" i="1" s="1"/>
  <c r="J264" i="1"/>
  <c r="Q264" i="1" a="1"/>
  <c r="Q264" i="1" s="1"/>
  <c r="R264" i="1"/>
  <c r="L264" i="1"/>
  <c r="M264" i="1" s="1"/>
  <c r="B265" i="1"/>
  <c r="C265" i="1" a="1"/>
  <c r="C265" i="1" s="1"/>
  <c r="D265" i="1" s="1"/>
  <c r="E265" i="1"/>
  <c r="F265" i="1" s="1"/>
  <c r="S265" i="1" s="1"/>
  <c r="J265" i="1"/>
  <c r="Q265" i="1" a="1"/>
  <c r="Q265" i="1" s="1"/>
  <c r="R265" i="1"/>
  <c r="L265" i="1"/>
  <c r="M265" i="1" s="1"/>
  <c r="B266" i="1"/>
  <c r="C266" i="1" a="1"/>
  <c r="C266" i="1" s="1"/>
  <c r="D266" i="1" s="1"/>
  <c r="E266" i="1"/>
  <c r="F266" i="1" s="1"/>
  <c r="S266" i="1" s="1"/>
  <c r="J266" i="1"/>
  <c r="Q266" i="1" a="1"/>
  <c r="Q266" i="1" s="1"/>
  <c r="R266" i="1"/>
  <c r="L266" i="1"/>
  <c r="M266" i="1" s="1"/>
  <c r="B267" i="1"/>
  <c r="C267" i="1" a="1"/>
  <c r="C267" i="1" s="1"/>
  <c r="D267" i="1" s="1"/>
  <c r="E267" i="1"/>
  <c r="F267" i="1" s="1"/>
  <c r="G267" i="1" s="1"/>
  <c r="H267" i="1" s="1"/>
  <c r="I267" i="1" s="1"/>
  <c r="J267" i="1"/>
  <c r="Q267" i="1" a="1"/>
  <c r="Q267" i="1" s="1"/>
  <c r="R267" i="1"/>
  <c r="L267" i="1"/>
  <c r="M267" i="1" s="1"/>
  <c r="B268" i="1"/>
  <c r="C268" i="1" a="1"/>
  <c r="C268" i="1" s="1"/>
  <c r="D268" i="1" s="1"/>
  <c r="E268" i="1"/>
  <c r="F268" i="1" s="1"/>
  <c r="G268" i="1" s="1"/>
  <c r="H268" i="1" s="1"/>
  <c r="I268" i="1" s="1"/>
  <c r="J268" i="1"/>
  <c r="Q268" i="1" a="1"/>
  <c r="Q268" i="1" s="1"/>
  <c r="R268" i="1"/>
  <c r="L268" i="1"/>
  <c r="M268" i="1" s="1"/>
  <c r="B269" i="1"/>
  <c r="C269" i="1" a="1"/>
  <c r="C269" i="1" s="1"/>
  <c r="D269" i="1" s="1"/>
  <c r="E269" i="1"/>
  <c r="F269" i="1" s="1"/>
  <c r="J269" i="1"/>
  <c r="Q269" i="1" a="1"/>
  <c r="Q269" i="1" s="1"/>
  <c r="R269" i="1"/>
  <c r="L269" i="1"/>
  <c r="M269" i="1" s="1"/>
  <c r="B270" i="1"/>
  <c r="C270" i="1" a="1"/>
  <c r="C270" i="1" s="1"/>
  <c r="D270" i="1" s="1"/>
  <c r="E270" i="1"/>
  <c r="F270" i="1" s="1"/>
  <c r="J270" i="1"/>
  <c r="Q270" i="1" a="1"/>
  <c r="Q270" i="1" s="1"/>
  <c r="R270" i="1"/>
  <c r="L270" i="1"/>
  <c r="M270" i="1" s="1"/>
  <c r="B271" i="1"/>
  <c r="C271" i="1" a="1"/>
  <c r="C271" i="1" s="1"/>
  <c r="D271" i="1" s="1"/>
  <c r="E271" i="1"/>
  <c r="F271" i="1" s="1"/>
  <c r="J271" i="1"/>
  <c r="Q271" i="1" a="1"/>
  <c r="Q271" i="1" s="1"/>
  <c r="R271" i="1"/>
  <c r="L271" i="1"/>
  <c r="M271" i="1" s="1"/>
  <c r="B272" i="1"/>
  <c r="C272" i="1" a="1"/>
  <c r="C272" i="1" s="1"/>
  <c r="D272" i="1" s="1"/>
  <c r="E272" i="1"/>
  <c r="F272" i="1" s="1"/>
  <c r="J272" i="1"/>
  <c r="Q272" i="1" a="1"/>
  <c r="Q272" i="1" s="1"/>
  <c r="R272" i="1"/>
  <c r="L272" i="1"/>
  <c r="M272" i="1" s="1"/>
  <c r="B273" i="1"/>
  <c r="C273" i="1" a="1"/>
  <c r="C273" i="1" s="1"/>
  <c r="D273" i="1" s="1"/>
  <c r="E273" i="1"/>
  <c r="F273" i="1" s="1"/>
  <c r="J273" i="1"/>
  <c r="Q273" i="1" a="1"/>
  <c r="Q273" i="1" s="1"/>
  <c r="R273" i="1"/>
  <c r="L273" i="1"/>
  <c r="M273" i="1" s="1"/>
  <c r="B274" i="1"/>
  <c r="C274" i="1" a="1"/>
  <c r="C274" i="1" s="1"/>
  <c r="D274" i="1" s="1"/>
  <c r="E274" i="1"/>
  <c r="F274" i="1" s="1"/>
  <c r="J274" i="1"/>
  <c r="Q274" i="1" a="1"/>
  <c r="Q274" i="1" s="1"/>
  <c r="R274" i="1"/>
  <c r="L274" i="1"/>
  <c r="M274" i="1" s="1"/>
  <c r="B275" i="1"/>
  <c r="C275" i="1" a="1"/>
  <c r="C275" i="1" s="1"/>
  <c r="D275" i="1" s="1"/>
  <c r="E275" i="1"/>
  <c r="F275" i="1" s="1"/>
  <c r="J275" i="1"/>
  <c r="Q275" i="1" a="1"/>
  <c r="Q275" i="1" s="1"/>
  <c r="R275" i="1"/>
  <c r="L275" i="1"/>
  <c r="M275" i="1" s="1"/>
  <c r="B276" i="1"/>
  <c r="C276" i="1" a="1"/>
  <c r="C276" i="1" s="1"/>
  <c r="D276" i="1" s="1"/>
  <c r="E276" i="1"/>
  <c r="F276" i="1" s="1"/>
  <c r="S276" i="1" s="1"/>
  <c r="J276" i="1"/>
  <c r="Q276" i="1" a="1"/>
  <c r="Q276" i="1" s="1"/>
  <c r="R276" i="1"/>
  <c r="L276" i="1"/>
  <c r="M276" i="1" s="1"/>
  <c r="B277" i="1"/>
  <c r="C277" i="1" a="1"/>
  <c r="C277" i="1" s="1"/>
  <c r="D277" i="1" s="1"/>
  <c r="E277" i="1"/>
  <c r="F277" i="1" s="1"/>
  <c r="J277" i="1"/>
  <c r="Q277" i="1" a="1"/>
  <c r="Q277" i="1" s="1"/>
  <c r="R277" i="1"/>
  <c r="L277" i="1"/>
  <c r="M277" i="1" s="1"/>
  <c r="B278" i="1"/>
  <c r="C278" i="1" a="1"/>
  <c r="C278" i="1" s="1"/>
  <c r="D278" i="1" s="1"/>
  <c r="E278" i="1"/>
  <c r="F278" i="1" s="1"/>
  <c r="S278" i="1" s="1"/>
  <c r="J278" i="1"/>
  <c r="Q278" i="1" a="1"/>
  <c r="Q278" i="1" s="1"/>
  <c r="R278" i="1"/>
  <c r="L278" i="1"/>
  <c r="M278" i="1" s="1"/>
  <c r="B279" i="1"/>
  <c r="C279" i="1" a="1"/>
  <c r="C279" i="1" s="1"/>
  <c r="D279" i="1" s="1"/>
  <c r="E279" i="1"/>
  <c r="F279" i="1" s="1"/>
  <c r="S279" i="1" s="1"/>
  <c r="J279" i="1"/>
  <c r="Q279" i="1" a="1"/>
  <c r="Q279" i="1" s="1"/>
  <c r="R279" i="1"/>
  <c r="L279" i="1"/>
  <c r="M279" i="1" s="1"/>
  <c r="B280" i="1"/>
  <c r="C280" i="1" a="1"/>
  <c r="C280" i="1" s="1"/>
  <c r="D280" i="1" s="1"/>
  <c r="E280" i="1"/>
  <c r="F280" i="1" s="1"/>
  <c r="J280" i="1"/>
  <c r="Q280" i="1" a="1"/>
  <c r="Q280" i="1" s="1"/>
  <c r="R280" i="1"/>
  <c r="L280" i="1"/>
  <c r="M280" i="1" s="1"/>
  <c r="B281" i="1"/>
  <c r="C281" i="1" a="1"/>
  <c r="C281" i="1" s="1"/>
  <c r="D281" i="1" s="1"/>
  <c r="E281" i="1"/>
  <c r="F281" i="1" s="1"/>
  <c r="S281" i="1" s="1"/>
  <c r="J281" i="1"/>
  <c r="Q281" i="1" a="1"/>
  <c r="Q281" i="1" s="1"/>
  <c r="R281" i="1"/>
  <c r="L281" i="1"/>
  <c r="M281" i="1" s="1"/>
  <c r="B282" i="1"/>
  <c r="C282" i="1" a="1"/>
  <c r="C282" i="1" s="1"/>
  <c r="D282" i="1" s="1"/>
  <c r="E282" i="1"/>
  <c r="F282" i="1" s="1"/>
  <c r="S282" i="1" s="1"/>
  <c r="J282" i="1"/>
  <c r="Q282" i="1" a="1"/>
  <c r="Q282" i="1" s="1"/>
  <c r="R282" i="1"/>
  <c r="L282" i="1"/>
  <c r="M282" i="1" s="1"/>
  <c r="B283" i="1"/>
  <c r="C283" i="1" a="1"/>
  <c r="C283" i="1" s="1"/>
  <c r="D283" i="1" s="1"/>
  <c r="E283" i="1"/>
  <c r="F283" i="1" s="1"/>
  <c r="S283" i="1" s="1"/>
  <c r="J283" i="1"/>
  <c r="Q283" i="1" a="1"/>
  <c r="Q283" i="1" s="1"/>
  <c r="R283" i="1"/>
  <c r="L283" i="1"/>
  <c r="M283" i="1" s="1"/>
  <c r="B284" i="1"/>
  <c r="C284" i="1" a="1"/>
  <c r="C284" i="1" s="1"/>
  <c r="D284" i="1" s="1"/>
  <c r="E284" i="1"/>
  <c r="F284" i="1" s="1"/>
  <c r="J284" i="1"/>
  <c r="Q284" i="1" a="1"/>
  <c r="Q284" i="1" s="1"/>
  <c r="R284" i="1"/>
  <c r="L284" i="1"/>
  <c r="M284" i="1" s="1"/>
  <c r="B285" i="1"/>
  <c r="C285" i="1" a="1"/>
  <c r="C285" i="1" s="1"/>
  <c r="D285" i="1" s="1"/>
  <c r="E285" i="1"/>
  <c r="F285" i="1" s="1"/>
  <c r="S285" i="1" s="1"/>
  <c r="J285" i="1"/>
  <c r="Q285" i="1" a="1"/>
  <c r="Q285" i="1" s="1"/>
  <c r="R285" i="1"/>
  <c r="L285" i="1"/>
  <c r="M285" i="1" s="1"/>
  <c r="B286" i="1"/>
  <c r="C286" i="1" a="1"/>
  <c r="C286" i="1" s="1"/>
  <c r="D286" i="1" s="1"/>
  <c r="E286" i="1"/>
  <c r="F286" i="1" s="1"/>
  <c r="J286" i="1"/>
  <c r="Q286" i="1" a="1"/>
  <c r="Q286" i="1" s="1"/>
  <c r="R286" i="1"/>
  <c r="L286" i="1"/>
  <c r="M286" i="1" s="1"/>
  <c r="B287" i="1"/>
  <c r="C287" i="1" a="1"/>
  <c r="C287" i="1" s="1"/>
  <c r="D287" i="1" s="1"/>
  <c r="E287" i="1"/>
  <c r="F287" i="1" s="1"/>
  <c r="S287" i="1" s="1"/>
  <c r="J287" i="1"/>
  <c r="Q287" i="1" a="1"/>
  <c r="Q287" i="1" s="1"/>
  <c r="R287" i="1"/>
  <c r="L287" i="1"/>
  <c r="M287" i="1" s="1"/>
  <c r="B288" i="1"/>
  <c r="C288" i="1" a="1"/>
  <c r="C288" i="1" s="1"/>
  <c r="D288" i="1" s="1"/>
  <c r="E288" i="1"/>
  <c r="F288" i="1" s="1"/>
  <c r="G288" i="1" s="1"/>
  <c r="H288" i="1" s="1"/>
  <c r="I288" i="1" s="1"/>
  <c r="J288" i="1"/>
  <c r="Q288" i="1" a="1"/>
  <c r="Q288" i="1" s="1"/>
  <c r="R288" i="1"/>
  <c r="L288" i="1"/>
  <c r="M288" i="1" s="1"/>
  <c r="B289" i="1"/>
  <c r="C289" i="1" a="1"/>
  <c r="C289" i="1" s="1"/>
  <c r="D289" i="1" s="1"/>
  <c r="E289" i="1"/>
  <c r="F289" i="1" s="1"/>
  <c r="S289" i="1" s="1"/>
  <c r="J289" i="1"/>
  <c r="Q289" i="1" a="1"/>
  <c r="Q289" i="1" s="1"/>
  <c r="R289" i="1"/>
  <c r="L289" i="1"/>
  <c r="M289" i="1" s="1"/>
  <c r="B290" i="1"/>
  <c r="C290" i="1" a="1"/>
  <c r="C290" i="1" s="1"/>
  <c r="D290" i="1" s="1"/>
  <c r="E290" i="1"/>
  <c r="F290" i="1" s="1"/>
  <c r="S290" i="1" s="1"/>
  <c r="J290" i="1"/>
  <c r="Q290" i="1" a="1"/>
  <c r="Q290" i="1" s="1"/>
  <c r="R290" i="1"/>
  <c r="L290" i="1"/>
  <c r="M290" i="1" s="1"/>
  <c r="B291" i="1"/>
  <c r="C291" i="1" a="1"/>
  <c r="C291" i="1" s="1"/>
  <c r="D291" i="1" s="1"/>
  <c r="E291" i="1"/>
  <c r="F291" i="1" s="1"/>
  <c r="S291" i="1" s="1"/>
  <c r="J291" i="1"/>
  <c r="Q291" i="1" a="1"/>
  <c r="Q291" i="1" s="1"/>
  <c r="R291" i="1"/>
  <c r="L291" i="1"/>
  <c r="M291" i="1" s="1"/>
  <c r="B292" i="1"/>
  <c r="C292" i="1" a="1"/>
  <c r="C292" i="1" s="1"/>
  <c r="D292" i="1" s="1"/>
  <c r="E292" i="1"/>
  <c r="F292" i="1" s="1"/>
  <c r="J292" i="1"/>
  <c r="Q292" i="1" a="1"/>
  <c r="Q292" i="1" s="1"/>
  <c r="R292" i="1"/>
  <c r="L292" i="1"/>
  <c r="M292" i="1" s="1"/>
  <c r="B293" i="1"/>
  <c r="C293" i="1" a="1"/>
  <c r="C293" i="1" s="1"/>
  <c r="D293" i="1" s="1"/>
  <c r="E293" i="1"/>
  <c r="F293" i="1" s="1"/>
  <c r="J293" i="1"/>
  <c r="Q293" i="1" a="1"/>
  <c r="Q293" i="1" s="1"/>
  <c r="R293" i="1"/>
  <c r="L293" i="1"/>
  <c r="M293" i="1" s="1"/>
  <c r="B294" i="1"/>
  <c r="C294" i="1" a="1"/>
  <c r="C294" i="1" s="1"/>
  <c r="D294" i="1" s="1"/>
  <c r="E294" i="1"/>
  <c r="F294" i="1" s="1"/>
  <c r="G294" i="1" s="1"/>
  <c r="H294" i="1" s="1"/>
  <c r="I294" i="1" s="1"/>
  <c r="J294" i="1"/>
  <c r="Q294" i="1" a="1"/>
  <c r="Q294" i="1" s="1"/>
  <c r="R294" i="1"/>
  <c r="L294" i="1"/>
  <c r="M294" i="1" s="1"/>
  <c r="B295" i="1"/>
  <c r="C295" i="1" a="1"/>
  <c r="C295" i="1" s="1"/>
  <c r="D295" i="1" s="1"/>
  <c r="E295" i="1"/>
  <c r="F295" i="1" s="1"/>
  <c r="G295" i="1" s="1"/>
  <c r="H295" i="1" s="1"/>
  <c r="I295" i="1" s="1"/>
  <c r="J295" i="1"/>
  <c r="Q295" i="1" a="1"/>
  <c r="Q295" i="1" s="1"/>
  <c r="R295" i="1"/>
  <c r="L295" i="1"/>
  <c r="M295" i="1" s="1"/>
  <c r="B296" i="1"/>
  <c r="C296" i="1" a="1"/>
  <c r="C296" i="1" s="1"/>
  <c r="D296" i="1" s="1"/>
  <c r="E296" i="1"/>
  <c r="F296" i="1" s="1"/>
  <c r="G296" i="1" s="1"/>
  <c r="H296" i="1" s="1"/>
  <c r="I296" i="1" s="1"/>
  <c r="J296" i="1"/>
  <c r="Q296" i="1" a="1"/>
  <c r="Q296" i="1" s="1"/>
  <c r="R296" i="1"/>
  <c r="L296" i="1"/>
  <c r="M296" i="1" s="1"/>
  <c r="B297" i="1"/>
  <c r="C297" i="1" a="1"/>
  <c r="C297" i="1" s="1"/>
  <c r="D297" i="1" s="1"/>
  <c r="E297" i="1"/>
  <c r="F297" i="1" s="1"/>
  <c r="J297" i="1"/>
  <c r="Q297" i="1" a="1"/>
  <c r="Q297" i="1" s="1"/>
  <c r="R297" i="1"/>
  <c r="L297" i="1"/>
  <c r="M297" i="1" s="1"/>
  <c r="B298" i="1"/>
  <c r="C298" i="1" a="1"/>
  <c r="C298" i="1" s="1"/>
  <c r="D298" i="1" s="1"/>
  <c r="E298" i="1"/>
  <c r="F298" i="1" s="1"/>
  <c r="J298" i="1"/>
  <c r="Q298" i="1" a="1"/>
  <c r="Q298" i="1" s="1"/>
  <c r="R298" i="1"/>
  <c r="L298" i="1"/>
  <c r="M298" i="1" s="1"/>
  <c r="B299" i="1"/>
  <c r="C299" i="1" a="1"/>
  <c r="C299" i="1" s="1"/>
  <c r="D299" i="1" s="1"/>
  <c r="E299" i="1"/>
  <c r="F299" i="1" s="1"/>
  <c r="G299" i="1" s="1"/>
  <c r="H299" i="1" s="1"/>
  <c r="I299" i="1" s="1"/>
  <c r="J299" i="1"/>
  <c r="Q299" i="1" a="1"/>
  <c r="Q299" i="1" s="1"/>
  <c r="R299" i="1"/>
  <c r="L299" i="1"/>
  <c r="M299" i="1" s="1"/>
  <c r="B300" i="1"/>
  <c r="C300" i="1" a="1"/>
  <c r="C300" i="1" s="1"/>
  <c r="D300" i="1" s="1"/>
  <c r="E300" i="1"/>
  <c r="F300" i="1" s="1"/>
  <c r="J300" i="1"/>
  <c r="Q300" i="1" a="1"/>
  <c r="Q300" i="1" s="1"/>
  <c r="R300" i="1"/>
  <c r="L300" i="1"/>
  <c r="M300" i="1" s="1"/>
  <c r="B301" i="1"/>
  <c r="C301" i="1" a="1"/>
  <c r="C301" i="1" s="1"/>
  <c r="D301" i="1" s="1"/>
  <c r="E301" i="1"/>
  <c r="F301" i="1" s="1"/>
  <c r="G301" i="1" s="1"/>
  <c r="H301" i="1" s="1"/>
  <c r="I301" i="1" s="1"/>
  <c r="J301" i="1"/>
  <c r="Q301" i="1" a="1"/>
  <c r="Q301" i="1" s="1"/>
  <c r="R301" i="1"/>
  <c r="L301" i="1"/>
  <c r="M301" i="1" s="1"/>
  <c r="B302" i="1"/>
  <c r="C302" i="1" a="1"/>
  <c r="C302" i="1" s="1"/>
  <c r="D302" i="1" s="1"/>
  <c r="E302" i="1"/>
  <c r="F302" i="1" s="1"/>
  <c r="G302" i="1" s="1"/>
  <c r="H302" i="1" s="1"/>
  <c r="I302" i="1" s="1"/>
  <c r="J302" i="1"/>
  <c r="Q302" i="1" a="1"/>
  <c r="Q302" i="1" s="1"/>
  <c r="R302" i="1"/>
  <c r="L302" i="1"/>
  <c r="M302" i="1" s="1"/>
  <c r="B303" i="1"/>
  <c r="C303" i="1" a="1"/>
  <c r="C303" i="1" s="1"/>
  <c r="D303" i="1" s="1"/>
  <c r="E303" i="1"/>
  <c r="F303" i="1" s="1"/>
  <c r="G303" i="1" s="1"/>
  <c r="H303" i="1" s="1"/>
  <c r="I303" i="1" s="1"/>
  <c r="J303" i="1"/>
  <c r="Q303" i="1" a="1"/>
  <c r="Q303" i="1" s="1"/>
  <c r="R303" i="1"/>
  <c r="L303" i="1"/>
  <c r="M303" i="1" s="1"/>
  <c r="B304" i="1"/>
  <c r="C304" i="1" a="1"/>
  <c r="C304" i="1" s="1"/>
  <c r="D304" i="1" s="1"/>
  <c r="E304" i="1"/>
  <c r="F304" i="1" s="1"/>
  <c r="S304" i="1" s="1"/>
  <c r="J304" i="1"/>
  <c r="Q304" i="1" a="1"/>
  <c r="Q304" i="1" s="1"/>
  <c r="R304" i="1"/>
  <c r="L304" i="1"/>
  <c r="M304" i="1" s="1"/>
  <c r="B305" i="1"/>
  <c r="C305" i="1" a="1"/>
  <c r="C305" i="1" s="1"/>
  <c r="D305" i="1" s="1"/>
  <c r="E305" i="1"/>
  <c r="F305" i="1" s="1"/>
  <c r="G305" i="1" s="1"/>
  <c r="H305" i="1" s="1"/>
  <c r="I305" i="1" s="1"/>
  <c r="J305" i="1"/>
  <c r="Q305" i="1" a="1"/>
  <c r="Q305" i="1" s="1"/>
  <c r="R305" i="1"/>
  <c r="L305" i="1"/>
  <c r="M305" i="1" s="1"/>
  <c r="B306" i="1"/>
  <c r="C306" i="1" a="1"/>
  <c r="C306" i="1" s="1"/>
  <c r="D306" i="1" s="1"/>
  <c r="E306" i="1"/>
  <c r="F306" i="1" s="1"/>
  <c r="J306" i="1"/>
  <c r="Q306" i="1" a="1"/>
  <c r="Q306" i="1" s="1"/>
  <c r="R306" i="1"/>
  <c r="L306" i="1"/>
  <c r="M306" i="1" s="1"/>
  <c r="B307" i="1"/>
  <c r="C307" i="1" a="1"/>
  <c r="C307" i="1" s="1"/>
  <c r="D307" i="1" s="1"/>
  <c r="E307" i="1"/>
  <c r="F307" i="1" s="1"/>
  <c r="J307" i="1"/>
  <c r="Q307" i="1" a="1"/>
  <c r="Q307" i="1" s="1"/>
  <c r="R307" i="1"/>
  <c r="L307" i="1"/>
  <c r="M307" i="1" s="1"/>
  <c r="B308" i="1"/>
  <c r="C308" i="1" a="1"/>
  <c r="C308" i="1" s="1"/>
  <c r="D308" i="1" s="1"/>
  <c r="E308" i="1"/>
  <c r="F308" i="1" s="1"/>
  <c r="G308" i="1" s="1"/>
  <c r="H308" i="1" s="1"/>
  <c r="I308" i="1" s="1"/>
  <c r="J308" i="1"/>
  <c r="Q308" i="1" a="1"/>
  <c r="Q308" i="1" s="1"/>
  <c r="R308" i="1"/>
  <c r="L308" i="1"/>
  <c r="M308" i="1" s="1"/>
  <c r="B309" i="1"/>
  <c r="C309" i="1" a="1"/>
  <c r="C309" i="1" s="1"/>
  <c r="D309" i="1" s="1"/>
  <c r="E309" i="1"/>
  <c r="F309" i="1" s="1"/>
  <c r="G309" i="1" s="1"/>
  <c r="H309" i="1" s="1"/>
  <c r="I309" i="1" s="1"/>
  <c r="J309" i="1"/>
  <c r="Q309" i="1" a="1"/>
  <c r="Q309" i="1" s="1"/>
  <c r="R309" i="1"/>
  <c r="L309" i="1"/>
  <c r="M309" i="1" s="1"/>
  <c r="B310" i="1"/>
  <c r="C310" i="1" a="1"/>
  <c r="C310" i="1" s="1"/>
  <c r="D310" i="1" s="1"/>
  <c r="E310" i="1"/>
  <c r="F310" i="1" s="1"/>
  <c r="J310" i="1"/>
  <c r="Q310" i="1" a="1"/>
  <c r="Q310" i="1" s="1"/>
  <c r="R310" i="1"/>
  <c r="L310" i="1"/>
  <c r="M310" i="1" s="1"/>
  <c r="B311" i="1"/>
  <c r="C311" i="1" a="1"/>
  <c r="C311" i="1" s="1"/>
  <c r="D311" i="1" s="1"/>
  <c r="E311" i="1"/>
  <c r="F311" i="1" s="1"/>
  <c r="G311" i="1" s="1"/>
  <c r="H311" i="1" s="1"/>
  <c r="I311" i="1" s="1"/>
  <c r="J311" i="1"/>
  <c r="Q311" i="1" a="1"/>
  <c r="Q311" i="1" s="1"/>
  <c r="R311" i="1"/>
  <c r="L311" i="1"/>
  <c r="M311" i="1" s="1"/>
  <c r="B312" i="1"/>
  <c r="C312" i="1" a="1"/>
  <c r="C312" i="1" s="1"/>
  <c r="D312" i="1" s="1"/>
  <c r="E312" i="1"/>
  <c r="F312" i="1" s="1"/>
  <c r="G312" i="1" s="1"/>
  <c r="H312" i="1" s="1"/>
  <c r="I312" i="1" s="1"/>
  <c r="J312" i="1"/>
  <c r="Q312" i="1" a="1"/>
  <c r="Q312" i="1" s="1"/>
  <c r="R312" i="1"/>
  <c r="L312" i="1"/>
  <c r="M312" i="1" s="1"/>
  <c r="B313" i="1"/>
  <c r="C313" i="1" a="1"/>
  <c r="C313" i="1" s="1"/>
  <c r="D313" i="1" s="1"/>
  <c r="E313" i="1"/>
  <c r="F313" i="1" s="1"/>
  <c r="S313" i="1" s="1"/>
  <c r="J313" i="1"/>
  <c r="Q313" i="1" a="1"/>
  <c r="Q313" i="1" s="1"/>
  <c r="R313" i="1"/>
  <c r="L313" i="1"/>
  <c r="M313" i="1" s="1"/>
  <c r="B314" i="1"/>
  <c r="C314" i="1" a="1"/>
  <c r="C314" i="1" s="1"/>
  <c r="D314" i="1" s="1"/>
  <c r="E314" i="1"/>
  <c r="F314" i="1" s="1"/>
  <c r="S314" i="1" s="1"/>
  <c r="J314" i="1"/>
  <c r="Q314" i="1" a="1"/>
  <c r="Q314" i="1" s="1"/>
  <c r="R314" i="1"/>
  <c r="L314" i="1"/>
  <c r="M314" i="1" s="1"/>
  <c r="B315" i="1"/>
  <c r="C315" i="1" a="1"/>
  <c r="C315" i="1" s="1"/>
  <c r="D315" i="1" s="1"/>
  <c r="E315" i="1"/>
  <c r="F315" i="1" s="1"/>
  <c r="G315" i="1" s="1"/>
  <c r="H315" i="1" s="1"/>
  <c r="I315" i="1" s="1"/>
  <c r="J315" i="1"/>
  <c r="Q315" i="1" a="1"/>
  <c r="Q315" i="1" s="1"/>
  <c r="R315" i="1"/>
  <c r="L315" i="1"/>
  <c r="M315" i="1" s="1"/>
  <c r="B316" i="1"/>
  <c r="C316" i="1" a="1"/>
  <c r="C316" i="1" s="1"/>
  <c r="D316" i="1" s="1"/>
  <c r="E316" i="1"/>
  <c r="F316" i="1" s="1"/>
  <c r="S316" i="1" s="1"/>
  <c r="J316" i="1"/>
  <c r="Q316" i="1" a="1"/>
  <c r="Q316" i="1" s="1"/>
  <c r="R316" i="1"/>
  <c r="L316" i="1"/>
  <c r="M316" i="1" s="1"/>
  <c r="B317" i="1"/>
  <c r="C317" i="1" a="1"/>
  <c r="C317" i="1" s="1"/>
  <c r="D317" i="1" s="1"/>
  <c r="E317" i="1"/>
  <c r="F317" i="1" s="1"/>
  <c r="J317" i="1"/>
  <c r="Q317" i="1" a="1"/>
  <c r="Q317" i="1" s="1"/>
  <c r="R317" i="1"/>
  <c r="L317" i="1"/>
  <c r="M317" i="1" s="1"/>
  <c r="B318" i="1"/>
  <c r="C318" i="1" a="1"/>
  <c r="C318" i="1" s="1"/>
  <c r="D318" i="1" s="1"/>
  <c r="E318" i="1"/>
  <c r="F318" i="1" s="1"/>
  <c r="G318" i="1" s="1"/>
  <c r="H318" i="1" s="1"/>
  <c r="I318" i="1" s="1"/>
  <c r="J318" i="1"/>
  <c r="Q318" i="1" a="1"/>
  <c r="Q318" i="1" s="1"/>
  <c r="R318" i="1"/>
  <c r="L318" i="1"/>
  <c r="M318" i="1" s="1"/>
  <c r="B319" i="1"/>
  <c r="C319" i="1" a="1"/>
  <c r="C319" i="1" s="1"/>
  <c r="D319" i="1" s="1"/>
  <c r="E319" i="1"/>
  <c r="F319" i="1" s="1"/>
  <c r="G319" i="1" s="1"/>
  <c r="H319" i="1" s="1"/>
  <c r="I319" i="1" s="1"/>
  <c r="J319" i="1"/>
  <c r="Q319" i="1" a="1"/>
  <c r="Q319" i="1" s="1"/>
  <c r="R319" i="1"/>
  <c r="L319" i="1"/>
  <c r="M319" i="1" s="1"/>
  <c r="B320" i="1"/>
  <c r="C320" i="1" a="1"/>
  <c r="C320" i="1" s="1"/>
  <c r="D320" i="1" s="1"/>
  <c r="E320" i="1"/>
  <c r="F320" i="1" s="1"/>
  <c r="J320" i="1"/>
  <c r="Q320" i="1" a="1"/>
  <c r="Q320" i="1" s="1"/>
  <c r="R320" i="1"/>
  <c r="L320" i="1"/>
  <c r="M320" i="1" s="1"/>
  <c r="B321" i="1"/>
  <c r="C321" i="1" a="1"/>
  <c r="C321" i="1" s="1"/>
  <c r="D321" i="1" s="1"/>
  <c r="E321" i="1"/>
  <c r="F321" i="1" s="1"/>
  <c r="G321" i="1" s="1"/>
  <c r="H321" i="1" s="1"/>
  <c r="I321" i="1" s="1"/>
  <c r="J321" i="1"/>
  <c r="Q321" i="1" a="1"/>
  <c r="Q321" i="1" s="1"/>
  <c r="R321" i="1"/>
  <c r="L321" i="1"/>
  <c r="M321" i="1" s="1"/>
  <c r="B322" i="1"/>
  <c r="C322" i="1" a="1"/>
  <c r="C322" i="1" s="1"/>
  <c r="D322" i="1" s="1"/>
  <c r="E322" i="1"/>
  <c r="F322" i="1" s="1"/>
  <c r="G322" i="1" s="1"/>
  <c r="H322" i="1" s="1"/>
  <c r="I322" i="1" s="1"/>
  <c r="J322" i="1"/>
  <c r="Q322" i="1" a="1"/>
  <c r="Q322" i="1" s="1"/>
  <c r="R322" i="1"/>
  <c r="L322" i="1"/>
  <c r="M322" i="1" s="1"/>
  <c r="B323" i="1"/>
  <c r="C323" i="1" a="1"/>
  <c r="C323" i="1" s="1"/>
  <c r="D323" i="1" s="1"/>
  <c r="E323" i="1"/>
  <c r="F323" i="1" s="1"/>
  <c r="J323" i="1"/>
  <c r="Q323" i="1" a="1"/>
  <c r="Q323" i="1" s="1"/>
  <c r="R323" i="1"/>
  <c r="L323" i="1"/>
  <c r="M323" i="1" s="1"/>
  <c r="B324" i="1"/>
  <c r="C324" i="1" a="1"/>
  <c r="C324" i="1" s="1"/>
  <c r="D324" i="1" s="1"/>
  <c r="E324" i="1"/>
  <c r="F324" i="1" s="1"/>
  <c r="J324" i="1"/>
  <c r="Q324" i="1" a="1"/>
  <c r="Q324" i="1" s="1"/>
  <c r="R324" i="1"/>
  <c r="L324" i="1"/>
  <c r="M324" i="1" s="1"/>
  <c r="B325" i="1"/>
  <c r="C325" i="1" a="1"/>
  <c r="C325" i="1" s="1"/>
  <c r="D325" i="1" s="1"/>
  <c r="E325" i="1"/>
  <c r="F325" i="1" s="1"/>
  <c r="G325" i="1" s="1"/>
  <c r="H325" i="1" s="1"/>
  <c r="I325" i="1" s="1"/>
  <c r="J325" i="1"/>
  <c r="Q325" i="1" a="1"/>
  <c r="Q325" i="1" s="1"/>
  <c r="R325" i="1"/>
  <c r="L325" i="1"/>
  <c r="M325" i="1" s="1"/>
  <c r="B326" i="1"/>
  <c r="C326" i="1" a="1"/>
  <c r="C326" i="1" s="1"/>
  <c r="D326" i="1" s="1"/>
  <c r="E326" i="1"/>
  <c r="F326" i="1" s="1"/>
  <c r="G326" i="1" s="1"/>
  <c r="H326" i="1" s="1"/>
  <c r="I326" i="1" s="1"/>
  <c r="J326" i="1"/>
  <c r="Q326" i="1" a="1"/>
  <c r="Q326" i="1" s="1"/>
  <c r="R326" i="1"/>
  <c r="L326" i="1"/>
  <c r="M326" i="1" s="1"/>
  <c r="B327" i="1"/>
  <c r="C327" i="1" a="1"/>
  <c r="C327" i="1" s="1"/>
  <c r="D327" i="1" s="1"/>
  <c r="E327" i="1"/>
  <c r="F327" i="1" s="1"/>
  <c r="G327" i="1" s="1"/>
  <c r="H327" i="1" s="1"/>
  <c r="I327" i="1" s="1"/>
  <c r="J327" i="1"/>
  <c r="Q327" i="1" a="1"/>
  <c r="Q327" i="1" s="1"/>
  <c r="R327" i="1"/>
  <c r="L327" i="1"/>
  <c r="M327" i="1" s="1"/>
  <c r="B328" i="1"/>
  <c r="C328" i="1" a="1"/>
  <c r="C328" i="1" s="1"/>
  <c r="D328" i="1" s="1"/>
  <c r="E328" i="1"/>
  <c r="F328" i="1" s="1"/>
  <c r="G328" i="1" s="1"/>
  <c r="H328" i="1" s="1"/>
  <c r="I328" i="1" s="1"/>
  <c r="J328" i="1"/>
  <c r="Q328" i="1" a="1"/>
  <c r="Q328" i="1" s="1"/>
  <c r="R328" i="1"/>
  <c r="L328" i="1"/>
  <c r="M328" i="1" s="1"/>
  <c r="B329" i="1"/>
  <c r="C329" i="1" a="1"/>
  <c r="C329" i="1" s="1"/>
  <c r="D329" i="1" s="1"/>
  <c r="E329" i="1"/>
  <c r="F329" i="1" s="1"/>
  <c r="G329" i="1" s="1"/>
  <c r="H329" i="1" s="1"/>
  <c r="I329" i="1" s="1"/>
  <c r="J329" i="1"/>
  <c r="Q329" i="1" a="1"/>
  <c r="Q329" i="1" s="1"/>
  <c r="R329" i="1"/>
  <c r="L329" i="1"/>
  <c r="M329" i="1" s="1"/>
  <c r="B330" i="1"/>
  <c r="C330" i="1" a="1"/>
  <c r="C330" i="1" s="1"/>
  <c r="D330" i="1" s="1"/>
  <c r="E330" i="1"/>
  <c r="F330" i="1" s="1"/>
  <c r="G330" i="1" s="1"/>
  <c r="H330" i="1" s="1"/>
  <c r="I330" i="1" s="1"/>
  <c r="J330" i="1"/>
  <c r="Q330" i="1" a="1"/>
  <c r="Q330" i="1" s="1"/>
  <c r="R330" i="1"/>
  <c r="L330" i="1"/>
  <c r="M330" i="1" s="1"/>
  <c r="B331" i="1"/>
  <c r="C331" i="1" a="1"/>
  <c r="C331" i="1" s="1"/>
  <c r="D331" i="1" s="1"/>
  <c r="E331" i="1"/>
  <c r="F331" i="1" s="1"/>
  <c r="G331" i="1" s="1"/>
  <c r="H331" i="1" s="1"/>
  <c r="I331" i="1" s="1"/>
  <c r="J331" i="1"/>
  <c r="Q331" i="1" a="1"/>
  <c r="Q331" i="1" s="1"/>
  <c r="R331" i="1"/>
  <c r="L331" i="1"/>
  <c r="M331" i="1" s="1"/>
  <c r="B332" i="1"/>
  <c r="C332" i="1" a="1"/>
  <c r="C332" i="1" s="1"/>
  <c r="D332" i="1" s="1"/>
  <c r="E332" i="1"/>
  <c r="F332" i="1" s="1"/>
  <c r="S332" i="1" s="1"/>
  <c r="J332" i="1"/>
  <c r="Q332" i="1" a="1"/>
  <c r="Q332" i="1" s="1"/>
  <c r="R332" i="1"/>
  <c r="L332" i="1"/>
  <c r="M332" i="1" s="1"/>
  <c r="B333" i="1"/>
  <c r="C333" i="1" a="1"/>
  <c r="C333" i="1" s="1"/>
  <c r="D333" i="1" s="1"/>
  <c r="E333" i="1"/>
  <c r="F333" i="1" s="1"/>
  <c r="J333" i="1"/>
  <c r="Q333" i="1" a="1"/>
  <c r="Q333" i="1" s="1"/>
  <c r="R333" i="1"/>
  <c r="L333" i="1"/>
  <c r="M333" i="1" s="1"/>
  <c r="B334" i="1"/>
  <c r="C334" i="1" a="1"/>
  <c r="C334" i="1" s="1"/>
  <c r="D334" i="1" s="1"/>
  <c r="E334" i="1"/>
  <c r="F334" i="1" s="1"/>
  <c r="G334" i="1" s="1"/>
  <c r="H334" i="1" s="1"/>
  <c r="I334" i="1" s="1"/>
  <c r="J334" i="1"/>
  <c r="Q334" i="1" a="1"/>
  <c r="Q334" i="1" s="1"/>
  <c r="R334" i="1"/>
  <c r="L334" i="1"/>
  <c r="M334" i="1" s="1"/>
  <c r="B335" i="1"/>
  <c r="C335" i="1" a="1"/>
  <c r="C335" i="1" s="1"/>
  <c r="D335" i="1" s="1"/>
  <c r="E335" i="1"/>
  <c r="F335" i="1" s="1"/>
  <c r="S335" i="1" s="1"/>
  <c r="J335" i="1"/>
  <c r="Q335" i="1" a="1"/>
  <c r="Q335" i="1" s="1"/>
  <c r="R335" i="1"/>
  <c r="L335" i="1"/>
  <c r="M335" i="1" s="1"/>
  <c r="B336" i="1"/>
  <c r="C336" i="1" a="1"/>
  <c r="C336" i="1" s="1"/>
  <c r="D336" i="1" s="1"/>
  <c r="E336" i="1"/>
  <c r="F336" i="1" s="1"/>
  <c r="G336" i="1" s="1"/>
  <c r="H336" i="1" s="1"/>
  <c r="I336" i="1" s="1"/>
  <c r="J336" i="1"/>
  <c r="Q336" i="1" a="1"/>
  <c r="Q336" i="1" s="1"/>
  <c r="R336" i="1"/>
  <c r="L336" i="1"/>
  <c r="M336" i="1" s="1"/>
  <c r="B337" i="1"/>
  <c r="C337" i="1" a="1"/>
  <c r="C337" i="1" s="1"/>
  <c r="D337" i="1" s="1"/>
  <c r="E337" i="1"/>
  <c r="F337" i="1" s="1"/>
  <c r="G337" i="1" s="1"/>
  <c r="H337" i="1" s="1"/>
  <c r="I337" i="1" s="1"/>
  <c r="J337" i="1"/>
  <c r="Q337" i="1" a="1"/>
  <c r="Q337" i="1" s="1"/>
  <c r="R337" i="1"/>
  <c r="L337" i="1"/>
  <c r="M337" i="1" s="1"/>
  <c r="B338" i="1"/>
  <c r="C338" i="1" a="1"/>
  <c r="C338" i="1" s="1"/>
  <c r="D338" i="1" s="1"/>
  <c r="E338" i="1"/>
  <c r="F338" i="1" s="1"/>
  <c r="S338" i="1" s="1"/>
  <c r="J338" i="1"/>
  <c r="Q338" i="1" a="1"/>
  <c r="Q338" i="1" s="1"/>
  <c r="R338" i="1"/>
  <c r="L338" i="1"/>
  <c r="M338" i="1" s="1"/>
  <c r="B339" i="1"/>
  <c r="C339" i="1" a="1"/>
  <c r="C339" i="1" s="1"/>
  <c r="D339" i="1" s="1"/>
  <c r="E339" i="1"/>
  <c r="F339" i="1" s="1"/>
  <c r="S339" i="1" s="1"/>
  <c r="J339" i="1"/>
  <c r="Q339" i="1" a="1"/>
  <c r="Q339" i="1" s="1"/>
  <c r="R339" i="1"/>
  <c r="L339" i="1"/>
  <c r="M339" i="1" s="1"/>
  <c r="B340" i="1"/>
  <c r="C340" i="1" a="1"/>
  <c r="C340" i="1" s="1"/>
  <c r="D340" i="1" s="1"/>
  <c r="E340" i="1"/>
  <c r="F340" i="1" s="1"/>
  <c r="S340" i="1" s="1"/>
  <c r="J340" i="1"/>
  <c r="Q340" i="1" a="1"/>
  <c r="Q340" i="1" s="1"/>
  <c r="R340" i="1"/>
  <c r="L340" i="1"/>
  <c r="M340" i="1" s="1"/>
  <c r="B341" i="1"/>
  <c r="C341" i="1" a="1"/>
  <c r="C341" i="1" s="1"/>
  <c r="D341" i="1" s="1"/>
  <c r="E341" i="1"/>
  <c r="F341" i="1" s="1"/>
  <c r="G341" i="1" s="1"/>
  <c r="H341" i="1" s="1"/>
  <c r="I341" i="1" s="1"/>
  <c r="J341" i="1"/>
  <c r="Q341" i="1" a="1"/>
  <c r="Q341" i="1" s="1"/>
  <c r="R341" i="1"/>
  <c r="L341" i="1"/>
  <c r="M341" i="1" s="1"/>
  <c r="B342" i="1"/>
  <c r="C342" i="1" a="1"/>
  <c r="C342" i="1" s="1"/>
  <c r="D342" i="1" s="1"/>
  <c r="E342" i="1"/>
  <c r="F342" i="1" s="1"/>
  <c r="G342" i="1" s="1"/>
  <c r="H342" i="1" s="1"/>
  <c r="I342" i="1" s="1"/>
  <c r="J342" i="1"/>
  <c r="Q342" i="1" a="1"/>
  <c r="Q342" i="1" s="1"/>
  <c r="R342" i="1"/>
  <c r="L342" i="1"/>
  <c r="M342" i="1" s="1"/>
  <c r="B343" i="1"/>
  <c r="C343" i="1" a="1"/>
  <c r="C343" i="1" s="1"/>
  <c r="D343" i="1" s="1"/>
  <c r="E343" i="1"/>
  <c r="F343" i="1" s="1"/>
  <c r="G343" i="1" s="1"/>
  <c r="H343" i="1" s="1"/>
  <c r="I343" i="1" s="1"/>
  <c r="J343" i="1"/>
  <c r="Q343" i="1" a="1"/>
  <c r="Q343" i="1" s="1"/>
  <c r="R343" i="1"/>
  <c r="L343" i="1"/>
  <c r="M343" i="1" s="1"/>
  <c r="B344" i="1"/>
  <c r="C344" i="1" a="1"/>
  <c r="C344" i="1" s="1"/>
  <c r="D344" i="1" s="1"/>
  <c r="E344" i="1"/>
  <c r="F344" i="1" s="1"/>
  <c r="S344" i="1" s="1"/>
  <c r="J344" i="1"/>
  <c r="Q344" i="1" a="1"/>
  <c r="Q344" i="1" s="1"/>
  <c r="R344" i="1"/>
  <c r="L344" i="1"/>
  <c r="M344" i="1" s="1"/>
  <c r="B345" i="1"/>
  <c r="C345" i="1" a="1"/>
  <c r="C345" i="1" s="1"/>
  <c r="D345" i="1" s="1"/>
  <c r="E345" i="1"/>
  <c r="F345" i="1" s="1"/>
  <c r="J345" i="1"/>
  <c r="Q345" i="1" a="1"/>
  <c r="Q345" i="1" s="1"/>
  <c r="R345" i="1"/>
  <c r="L345" i="1"/>
  <c r="M345" i="1" s="1"/>
  <c r="B346" i="1"/>
  <c r="C346" i="1" a="1"/>
  <c r="C346" i="1" s="1"/>
  <c r="D346" i="1" s="1"/>
  <c r="E346" i="1"/>
  <c r="F346" i="1" s="1"/>
  <c r="J346" i="1"/>
  <c r="Q346" i="1" a="1"/>
  <c r="Q346" i="1" s="1"/>
  <c r="R346" i="1"/>
  <c r="L346" i="1"/>
  <c r="M346" i="1" s="1"/>
  <c r="B347" i="1"/>
  <c r="C347" i="1" a="1"/>
  <c r="C347" i="1" s="1"/>
  <c r="D347" i="1" s="1"/>
  <c r="E347" i="1"/>
  <c r="F347" i="1" s="1"/>
  <c r="J347" i="1"/>
  <c r="Q347" i="1" a="1"/>
  <c r="Q347" i="1" s="1"/>
  <c r="R347" i="1"/>
  <c r="L347" i="1"/>
  <c r="M347" i="1" s="1"/>
  <c r="B348" i="1"/>
  <c r="C348" i="1" a="1"/>
  <c r="C348" i="1" s="1"/>
  <c r="D348" i="1" s="1"/>
  <c r="E348" i="1"/>
  <c r="F348" i="1" s="1"/>
  <c r="S348" i="1" s="1"/>
  <c r="J348" i="1"/>
  <c r="Q348" i="1" a="1"/>
  <c r="Q348" i="1" s="1"/>
  <c r="R348" i="1"/>
  <c r="L348" i="1"/>
  <c r="M348" i="1" s="1"/>
  <c r="B349" i="1"/>
  <c r="C349" i="1" a="1"/>
  <c r="C349" i="1" s="1"/>
  <c r="D349" i="1" s="1"/>
  <c r="E349" i="1"/>
  <c r="F349" i="1" s="1"/>
  <c r="G349" i="1" s="1"/>
  <c r="H349" i="1" s="1"/>
  <c r="I349" i="1" s="1"/>
  <c r="J349" i="1"/>
  <c r="Q349" i="1" a="1"/>
  <c r="Q349" i="1" s="1"/>
  <c r="R349" i="1"/>
  <c r="L349" i="1"/>
  <c r="M349" i="1" s="1"/>
  <c r="B350" i="1"/>
  <c r="C350" i="1" a="1"/>
  <c r="C350" i="1" s="1"/>
  <c r="D350" i="1" s="1"/>
  <c r="E350" i="1"/>
  <c r="F350" i="1" s="1"/>
  <c r="G350" i="1" s="1"/>
  <c r="H350" i="1" s="1"/>
  <c r="I350" i="1" s="1"/>
  <c r="J350" i="1"/>
  <c r="Q350" i="1" a="1"/>
  <c r="Q350" i="1" s="1"/>
  <c r="R350" i="1"/>
  <c r="L350" i="1"/>
  <c r="M350" i="1" s="1"/>
  <c r="B351" i="1"/>
  <c r="C351" i="1" a="1"/>
  <c r="C351" i="1" s="1"/>
  <c r="D351" i="1" s="1"/>
  <c r="E351" i="1"/>
  <c r="F351" i="1" s="1"/>
  <c r="G351" i="1" s="1"/>
  <c r="H351" i="1" s="1"/>
  <c r="I351" i="1" s="1"/>
  <c r="J351" i="1"/>
  <c r="Q351" i="1" a="1"/>
  <c r="Q351" i="1" s="1"/>
  <c r="R351" i="1"/>
  <c r="L351" i="1"/>
  <c r="M351" i="1" s="1"/>
  <c r="B352" i="1"/>
  <c r="C352" i="1" a="1"/>
  <c r="C352" i="1" s="1"/>
  <c r="D352" i="1" s="1"/>
  <c r="E352" i="1"/>
  <c r="F352" i="1" s="1"/>
  <c r="G352" i="1" s="1"/>
  <c r="H352" i="1" s="1"/>
  <c r="I352" i="1" s="1"/>
  <c r="J352" i="1"/>
  <c r="Q352" i="1" a="1"/>
  <c r="Q352" i="1" s="1"/>
  <c r="R352" i="1"/>
  <c r="L352" i="1"/>
  <c r="M352" i="1" s="1"/>
  <c r="B353" i="1"/>
  <c r="C353" i="1" a="1"/>
  <c r="C353" i="1" s="1"/>
  <c r="D353" i="1" s="1"/>
  <c r="E353" i="1"/>
  <c r="F353" i="1" s="1"/>
  <c r="J353" i="1"/>
  <c r="Q353" i="1" a="1"/>
  <c r="Q353" i="1" s="1"/>
  <c r="R353" i="1"/>
  <c r="L353" i="1"/>
  <c r="M353" i="1" s="1"/>
  <c r="B354" i="1"/>
  <c r="C354" i="1" a="1"/>
  <c r="C354" i="1" s="1"/>
  <c r="D354" i="1" s="1"/>
  <c r="E354" i="1"/>
  <c r="F354" i="1" s="1"/>
  <c r="G354" i="1" s="1"/>
  <c r="H354" i="1" s="1"/>
  <c r="I354" i="1" s="1"/>
  <c r="J354" i="1"/>
  <c r="Q354" i="1" a="1"/>
  <c r="Q354" i="1" s="1"/>
  <c r="R354" i="1"/>
  <c r="L354" i="1"/>
  <c r="M354" i="1" s="1"/>
  <c r="B355" i="1"/>
  <c r="C355" i="1" a="1"/>
  <c r="C355" i="1" s="1"/>
  <c r="D355" i="1" s="1"/>
  <c r="E355" i="1"/>
  <c r="F355" i="1" s="1"/>
  <c r="J355" i="1"/>
  <c r="Q355" i="1" a="1"/>
  <c r="Q355" i="1" s="1"/>
  <c r="R355" i="1"/>
  <c r="L355" i="1"/>
  <c r="M355" i="1" s="1"/>
  <c r="B356" i="1"/>
  <c r="C356" i="1" a="1"/>
  <c r="C356" i="1" s="1"/>
  <c r="D356" i="1" s="1"/>
  <c r="E356" i="1"/>
  <c r="F356" i="1" s="1"/>
  <c r="J356" i="1"/>
  <c r="Q356" i="1" a="1"/>
  <c r="Q356" i="1" s="1"/>
  <c r="R356" i="1"/>
  <c r="L356" i="1"/>
  <c r="M356" i="1" s="1"/>
  <c r="B357" i="1"/>
  <c r="C357" i="1" a="1"/>
  <c r="C357" i="1" s="1"/>
  <c r="D357" i="1" s="1"/>
  <c r="E357" i="1"/>
  <c r="F357" i="1" s="1"/>
  <c r="G357" i="1" s="1"/>
  <c r="H357" i="1" s="1"/>
  <c r="I357" i="1" s="1"/>
  <c r="J357" i="1"/>
  <c r="Q357" i="1" a="1"/>
  <c r="Q357" i="1" s="1"/>
  <c r="R357" i="1"/>
  <c r="L357" i="1"/>
  <c r="M357" i="1" s="1"/>
  <c r="B358" i="1"/>
  <c r="C358" i="1" a="1"/>
  <c r="C358" i="1" s="1"/>
  <c r="D358" i="1" s="1"/>
  <c r="E358" i="1"/>
  <c r="F358" i="1" s="1"/>
  <c r="S358" i="1" s="1"/>
  <c r="J358" i="1"/>
  <c r="Q358" i="1" a="1"/>
  <c r="Q358" i="1" s="1"/>
  <c r="R358" i="1"/>
  <c r="L358" i="1"/>
  <c r="M358" i="1" s="1"/>
  <c r="B359" i="1"/>
  <c r="C359" i="1" a="1"/>
  <c r="C359" i="1" s="1"/>
  <c r="D359" i="1" s="1"/>
  <c r="E359" i="1"/>
  <c r="F359" i="1" s="1"/>
  <c r="G359" i="1" s="1"/>
  <c r="H359" i="1" s="1"/>
  <c r="I359" i="1" s="1"/>
  <c r="J359" i="1"/>
  <c r="Q359" i="1" a="1"/>
  <c r="Q359" i="1" s="1"/>
  <c r="R359" i="1"/>
  <c r="L359" i="1"/>
  <c r="M359" i="1" s="1"/>
  <c r="B360" i="1"/>
  <c r="C360" i="1" a="1"/>
  <c r="C360" i="1" s="1"/>
  <c r="D360" i="1" s="1"/>
  <c r="E360" i="1"/>
  <c r="F360" i="1" s="1"/>
  <c r="G360" i="1" s="1"/>
  <c r="H360" i="1" s="1"/>
  <c r="I360" i="1" s="1"/>
  <c r="J360" i="1"/>
  <c r="Q360" i="1" a="1"/>
  <c r="Q360" i="1" s="1"/>
  <c r="R360" i="1"/>
  <c r="L360" i="1"/>
  <c r="M360" i="1" s="1"/>
  <c r="B361" i="1"/>
  <c r="C361" i="1" a="1"/>
  <c r="C361" i="1" s="1"/>
  <c r="D361" i="1" s="1"/>
  <c r="E361" i="1"/>
  <c r="F361" i="1" s="1"/>
  <c r="J361" i="1"/>
  <c r="Q361" i="1" a="1"/>
  <c r="Q361" i="1" s="1"/>
  <c r="R361" i="1"/>
  <c r="L361" i="1"/>
  <c r="M361" i="1" s="1"/>
  <c r="B362" i="1"/>
  <c r="C362" i="1" a="1"/>
  <c r="C362" i="1" s="1"/>
  <c r="D362" i="1" s="1"/>
  <c r="E362" i="1"/>
  <c r="F362" i="1" s="1"/>
  <c r="J362" i="1"/>
  <c r="Q362" i="1" a="1"/>
  <c r="Q362" i="1" s="1"/>
  <c r="R362" i="1"/>
  <c r="L362" i="1"/>
  <c r="M362" i="1" s="1"/>
  <c r="B363" i="1"/>
  <c r="C363" i="1" a="1"/>
  <c r="C363" i="1" s="1"/>
  <c r="D363" i="1" s="1"/>
  <c r="E363" i="1"/>
  <c r="F363" i="1" s="1"/>
  <c r="J363" i="1"/>
  <c r="Q363" i="1" a="1"/>
  <c r="Q363" i="1" s="1"/>
  <c r="R363" i="1"/>
  <c r="L363" i="1"/>
  <c r="M363" i="1" s="1"/>
  <c r="B364" i="1"/>
  <c r="C364" i="1" a="1"/>
  <c r="C364" i="1" s="1"/>
  <c r="D364" i="1" s="1"/>
  <c r="E364" i="1"/>
  <c r="F364" i="1" s="1"/>
  <c r="J364" i="1"/>
  <c r="Q364" i="1" a="1"/>
  <c r="Q364" i="1" s="1"/>
  <c r="R364" i="1"/>
  <c r="L364" i="1"/>
  <c r="M364" i="1" s="1"/>
  <c r="B365" i="1"/>
  <c r="C365" i="1" a="1"/>
  <c r="C365" i="1" s="1"/>
  <c r="D365" i="1" s="1"/>
  <c r="E365" i="1"/>
  <c r="F365" i="1" s="1"/>
  <c r="J365" i="1"/>
  <c r="Q365" i="1" a="1"/>
  <c r="Q365" i="1" s="1"/>
  <c r="R365" i="1"/>
  <c r="L365" i="1"/>
  <c r="M365" i="1" s="1"/>
  <c r="B366" i="1"/>
  <c r="C366" i="1" a="1"/>
  <c r="C366" i="1" s="1"/>
  <c r="D366" i="1" s="1"/>
  <c r="E366" i="1"/>
  <c r="F366" i="1" s="1"/>
  <c r="J366" i="1"/>
  <c r="Q366" i="1" a="1"/>
  <c r="Q366" i="1" s="1"/>
  <c r="R366" i="1"/>
  <c r="L366" i="1"/>
  <c r="M366" i="1" s="1"/>
  <c r="B367" i="1"/>
  <c r="C367" i="1" a="1"/>
  <c r="C367" i="1" s="1"/>
  <c r="D367" i="1" s="1"/>
  <c r="E367" i="1"/>
  <c r="F367" i="1" s="1"/>
  <c r="J367" i="1"/>
  <c r="Q367" i="1" a="1"/>
  <c r="Q367" i="1" s="1"/>
  <c r="R367" i="1"/>
  <c r="L367" i="1"/>
  <c r="M367" i="1" s="1"/>
  <c r="B368" i="1"/>
  <c r="C368" i="1" a="1"/>
  <c r="C368" i="1" s="1"/>
  <c r="D368" i="1" s="1"/>
  <c r="E368" i="1"/>
  <c r="F368" i="1" s="1"/>
  <c r="J368" i="1"/>
  <c r="Q368" i="1" a="1"/>
  <c r="Q368" i="1" s="1"/>
  <c r="R368" i="1"/>
  <c r="L368" i="1"/>
  <c r="M368" i="1" s="1"/>
  <c r="B369" i="1"/>
  <c r="C369" i="1" a="1"/>
  <c r="C369" i="1" s="1"/>
  <c r="D369" i="1" s="1"/>
  <c r="E369" i="1"/>
  <c r="F369" i="1" s="1"/>
  <c r="J369" i="1"/>
  <c r="Q369" i="1" a="1"/>
  <c r="Q369" i="1" s="1"/>
  <c r="R369" i="1"/>
  <c r="L369" i="1"/>
  <c r="M369" i="1" s="1"/>
  <c r="B370" i="1"/>
  <c r="C370" i="1" a="1"/>
  <c r="C370" i="1" s="1"/>
  <c r="D370" i="1" s="1"/>
  <c r="E370" i="1"/>
  <c r="F370" i="1" s="1"/>
  <c r="J370" i="1"/>
  <c r="Q370" i="1" a="1"/>
  <c r="Q370" i="1" s="1"/>
  <c r="R370" i="1"/>
  <c r="L370" i="1"/>
  <c r="M370" i="1" s="1"/>
  <c r="B371" i="1"/>
  <c r="C371" i="1" a="1"/>
  <c r="C371" i="1" s="1"/>
  <c r="D371" i="1" s="1"/>
  <c r="E371" i="1"/>
  <c r="F371" i="1" s="1"/>
  <c r="J371" i="1"/>
  <c r="Q371" i="1" a="1"/>
  <c r="Q371" i="1" s="1"/>
  <c r="R371" i="1"/>
  <c r="L371" i="1"/>
  <c r="M371" i="1" s="1"/>
  <c r="B372" i="1"/>
  <c r="C372" i="1" a="1"/>
  <c r="C372" i="1" s="1"/>
  <c r="D372" i="1" s="1"/>
  <c r="E372" i="1"/>
  <c r="F372" i="1" s="1"/>
  <c r="J372" i="1"/>
  <c r="Q372" i="1" a="1"/>
  <c r="Q372" i="1" s="1"/>
  <c r="R372" i="1"/>
  <c r="L372" i="1"/>
  <c r="M372" i="1" s="1"/>
  <c r="B373" i="1"/>
  <c r="C373" i="1" a="1"/>
  <c r="C373" i="1" s="1"/>
  <c r="D373" i="1" s="1"/>
  <c r="E373" i="1"/>
  <c r="F373" i="1" s="1"/>
  <c r="J373" i="1"/>
  <c r="Q373" i="1" a="1"/>
  <c r="Q373" i="1" s="1"/>
  <c r="R373" i="1"/>
  <c r="L373" i="1"/>
  <c r="M373" i="1" s="1"/>
  <c r="B374" i="1"/>
  <c r="C374" i="1" a="1"/>
  <c r="C374" i="1" s="1"/>
  <c r="D374" i="1" s="1"/>
  <c r="E374" i="1"/>
  <c r="F374" i="1" s="1"/>
  <c r="J374" i="1"/>
  <c r="Q374" i="1" a="1"/>
  <c r="Q374" i="1" s="1"/>
  <c r="R374" i="1"/>
  <c r="L374" i="1"/>
  <c r="M374" i="1" s="1"/>
  <c r="B375" i="1"/>
  <c r="C375" i="1" a="1"/>
  <c r="C375" i="1" s="1"/>
  <c r="D375" i="1" s="1"/>
  <c r="E375" i="1"/>
  <c r="F375" i="1" s="1"/>
  <c r="J375" i="1"/>
  <c r="Q375" i="1" a="1"/>
  <c r="Q375" i="1" s="1"/>
  <c r="R375" i="1"/>
  <c r="L375" i="1"/>
  <c r="M375" i="1" s="1"/>
  <c r="B376" i="1"/>
  <c r="C376" i="1" a="1"/>
  <c r="C376" i="1" s="1"/>
  <c r="D376" i="1" s="1"/>
  <c r="E376" i="1"/>
  <c r="F376" i="1" s="1"/>
  <c r="J376" i="1"/>
  <c r="Q376" i="1" a="1"/>
  <c r="Q376" i="1" s="1"/>
  <c r="R376" i="1"/>
  <c r="L376" i="1"/>
  <c r="M376" i="1" s="1"/>
  <c r="B377" i="1"/>
  <c r="C377" i="1" a="1"/>
  <c r="C377" i="1" s="1"/>
  <c r="D377" i="1" s="1"/>
  <c r="E377" i="1"/>
  <c r="F377" i="1" s="1"/>
  <c r="J377" i="1"/>
  <c r="Q377" i="1" a="1"/>
  <c r="Q377" i="1" s="1"/>
  <c r="R377" i="1"/>
  <c r="L377" i="1"/>
  <c r="M377" i="1" s="1"/>
  <c r="B378" i="1"/>
  <c r="C378" i="1" a="1"/>
  <c r="C378" i="1" s="1"/>
  <c r="D378" i="1" s="1"/>
  <c r="E378" i="1"/>
  <c r="F378" i="1" s="1"/>
  <c r="J378" i="1"/>
  <c r="Q378" i="1" a="1"/>
  <c r="Q378" i="1" s="1"/>
  <c r="R378" i="1"/>
  <c r="L378" i="1"/>
  <c r="M378" i="1" s="1"/>
  <c r="B379" i="1"/>
  <c r="C379" i="1" a="1"/>
  <c r="C379" i="1" s="1"/>
  <c r="D379" i="1" s="1"/>
  <c r="E379" i="1"/>
  <c r="F379" i="1" s="1"/>
  <c r="J379" i="1"/>
  <c r="Q379" i="1" a="1"/>
  <c r="Q379" i="1" s="1"/>
  <c r="R379" i="1"/>
  <c r="L379" i="1"/>
  <c r="M379" i="1" s="1"/>
  <c r="B380" i="1"/>
  <c r="C380" i="1" a="1"/>
  <c r="C380" i="1" s="1"/>
  <c r="D380" i="1" s="1"/>
  <c r="E380" i="1"/>
  <c r="F380" i="1" s="1"/>
  <c r="J380" i="1"/>
  <c r="Q380" i="1" a="1"/>
  <c r="Q380" i="1" s="1"/>
  <c r="R380" i="1"/>
  <c r="L380" i="1"/>
  <c r="M380" i="1" s="1"/>
  <c r="B381" i="1"/>
  <c r="C381" i="1" a="1"/>
  <c r="C381" i="1" s="1"/>
  <c r="D381" i="1" s="1"/>
  <c r="E381" i="1"/>
  <c r="F381" i="1" s="1"/>
  <c r="J381" i="1"/>
  <c r="Q381" i="1" a="1"/>
  <c r="Q381" i="1" s="1"/>
  <c r="R381" i="1"/>
  <c r="L381" i="1"/>
  <c r="M381" i="1" s="1"/>
  <c r="B382" i="1"/>
  <c r="C382" i="1" a="1"/>
  <c r="C382" i="1" s="1"/>
  <c r="D382" i="1" s="1"/>
  <c r="E382" i="1"/>
  <c r="F382" i="1" s="1"/>
  <c r="J382" i="1"/>
  <c r="Q382" i="1" a="1"/>
  <c r="Q382" i="1" s="1"/>
  <c r="R382" i="1"/>
  <c r="L382" i="1"/>
  <c r="M382" i="1" s="1"/>
  <c r="B383" i="1"/>
  <c r="C383" i="1" a="1"/>
  <c r="C383" i="1" s="1"/>
  <c r="D383" i="1" s="1"/>
  <c r="E383" i="1"/>
  <c r="F383" i="1" s="1"/>
  <c r="J383" i="1"/>
  <c r="Q383" i="1" a="1"/>
  <c r="Q383" i="1" s="1"/>
  <c r="R383" i="1"/>
  <c r="L383" i="1"/>
  <c r="M383" i="1" s="1"/>
  <c r="B384" i="1"/>
  <c r="C384" i="1" a="1"/>
  <c r="C384" i="1" s="1"/>
  <c r="D384" i="1" s="1"/>
  <c r="E384" i="1"/>
  <c r="F384" i="1" s="1"/>
  <c r="J384" i="1"/>
  <c r="Q384" i="1" a="1"/>
  <c r="Q384" i="1" s="1"/>
  <c r="R384" i="1"/>
  <c r="L384" i="1"/>
  <c r="M384" i="1" s="1"/>
  <c r="B385" i="1"/>
  <c r="C385" i="1" a="1"/>
  <c r="C385" i="1" s="1"/>
  <c r="D385" i="1" s="1"/>
  <c r="E385" i="1"/>
  <c r="F385" i="1" s="1"/>
  <c r="J385" i="1"/>
  <c r="Q385" i="1" a="1"/>
  <c r="Q385" i="1" s="1"/>
  <c r="R385" i="1"/>
  <c r="L385" i="1"/>
  <c r="M385" i="1" s="1"/>
  <c r="B386" i="1"/>
  <c r="C386" i="1" a="1"/>
  <c r="C386" i="1" s="1"/>
  <c r="D386" i="1" s="1"/>
  <c r="E386" i="1"/>
  <c r="F386" i="1" s="1"/>
  <c r="J386" i="1"/>
  <c r="Q386" i="1" a="1"/>
  <c r="Q386" i="1" s="1"/>
  <c r="R386" i="1"/>
  <c r="L386" i="1"/>
  <c r="M386" i="1" s="1"/>
  <c r="B387" i="1"/>
  <c r="C387" i="1" a="1"/>
  <c r="C387" i="1" s="1"/>
  <c r="D387" i="1" s="1"/>
  <c r="E387" i="1"/>
  <c r="F387" i="1" s="1"/>
  <c r="J387" i="1"/>
  <c r="Q387" i="1" a="1"/>
  <c r="Q387" i="1" s="1"/>
  <c r="R387" i="1"/>
  <c r="L387" i="1"/>
  <c r="M387" i="1" s="1"/>
  <c r="B388" i="1"/>
  <c r="C388" i="1" a="1"/>
  <c r="C388" i="1" s="1"/>
  <c r="D388" i="1" s="1"/>
  <c r="E388" i="1"/>
  <c r="F388" i="1" s="1"/>
  <c r="J388" i="1"/>
  <c r="Q388" i="1" a="1"/>
  <c r="Q388" i="1" s="1"/>
  <c r="R388" i="1"/>
  <c r="L388" i="1"/>
  <c r="M388" i="1" s="1"/>
  <c r="B389" i="1"/>
  <c r="C389" i="1" a="1"/>
  <c r="C389" i="1" s="1"/>
  <c r="D389" i="1" s="1"/>
  <c r="E389" i="1"/>
  <c r="F389" i="1" s="1"/>
  <c r="J389" i="1"/>
  <c r="Q389" i="1" a="1"/>
  <c r="Q389" i="1" s="1"/>
  <c r="R389" i="1"/>
  <c r="L389" i="1"/>
  <c r="M389" i="1" s="1"/>
  <c r="B390" i="1"/>
  <c r="C390" i="1" a="1"/>
  <c r="C390" i="1" s="1"/>
  <c r="D390" i="1" s="1"/>
  <c r="E390" i="1"/>
  <c r="F390" i="1" s="1"/>
  <c r="J390" i="1"/>
  <c r="Q390" i="1" a="1"/>
  <c r="Q390" i="1" s="1"/>
  <c r="R390" i="1"/>
  <c r="L390" i="1"/>
  <c r="M390" i="1" s="1"/>
  <c r="B391" i="1"/>
  <c r="C391" i="1" a="1"/>
  <c r="C391" i="1" s="1"/>
  <c r="D391" i="1" s="1"/>
  <c r="E391" i="1"/>
  <c r="F391" i="1" s="1"/>
  <c r="J391" i="1"/>
  <c r="Q391" i="1" a="1"/>
  <c r="Q391" i="1" s="1"/>
  <c r="R391" i="1"/>
  <c r="L391" i="1"/>
  <c r="M391" i="1" s="1"/>
  <c r="B392" i="1"/>
  <c r="C392" i="1" a="1"/>
  <c r="C392" i="1" s="1"/>
  <c r="D392" i="1" s="1"/>
  <c r="E392" i="1"/>
  <c r="F392" i="1" s="1"/>
  <c r="J392" i="1"/>
  <c r="Q392" i="1" a="1"/>
  <c r="Q392" i="1" s="1"/>
  <c r="R392" i="1"/>
  <c r="L392" i="1"/>
  <c r="M392" i="1" s="1"/>
  <c r="B393" i="1"/>
  <c r="C393" i="1" a="1"/>
  <c r="C393" i="1" s="1"/>
  <c r="D393" i="1" s="1"/>
  <c r="E393" i="1"/>
  <c r="F393" i="1" s="1"/>
  <c r="J393" i="1"/>
  <c r="Q393" i="1" a="1"/>
  <c r="Q393" i="1" s="1"/>
  <c r="R393" i="1"/>
  <c r="L393" i="1"/>
  <c r="M393" i="1" s="1"/>
  <c r="B394" i="1"/>
  <c r="C394" i="1" a="1"/>
  <c r="C394" i="1" s="1"/>
  <c r="D394" i="1" s="1"/>
  <c r="E394" i="1"/>
  <c r="F394" i="1" s="1"/>
  <c r="J394" i="1"/>
  <c r="Q394" i="1" a="1"/>
  <c r="Q394" i="1" s="1"/>
  <c r="R394" i="1"/>
  <c r="L394" i="1"/>
  <c r="M394" i="1" s="1"/>
  <c r="B395" i="1"/>
  <c r="C395" i="1" a="1"/>
  <c r="C395" i="1" s="1"/>
  <c r="D395" i="1" s="1"/>
  <c r="E395" i="1"/>
  <c r="F395" i="1" s="1"/>
  <c r="J395" i="1"/>
  <c r="Q395" i="1" a="1"/>
  <c r="Q395" i="1" s="1"/>
  <c r="R395" i="1"/>
  <c r="L395" i="1"/>
  <c r="M395" i="1" s="1"/>
  <c r="B396" i="1"/>
  <c r="C396" i="1" a="1"/>
  <c r="C396" i="1" s="1"/>
  <c r="D396" i="1" s="1"/>
  <c r="E396" i="1"/>
  <c r="F396" i="1" s="1"/>
  <c r="J396" i="1"/>
  <c r="Q396" i="1" a="1"/>
  <c r="Q396" i="1" s="1"/>
  <c r="R396" i="1"/>
  <c r="L396" i="1"/>
  <c r="M396" i="1" s="1"/>
  <c r="B397" i="1"/>
  <c r="C397" i="1" a="1"/>
  <c r="C397" i="1" s="1"/>
  <c r="D397" i="1" s="1"/>
  <c r="E397" i="1"/>
  <c r="F397" i="1" s="1"/>
  <c r="J397" i="1"/>
  <c r="Q397" i="1" a="1"/>
  <c r="Q397" i="1" s="1"/>
  <c r="R397" i="1"/>
  <c r="L397" i="1"/>
  <c r="M397" i="1" s="1"/>
  <c r="B398" i="1"/>
  <c r="C398" i="1" a="1"/>
  <c r="C398" i="1" s="1"/>
  <c r="D398" i="1" s="1"/>
  <c r="E398" i="1"/>
  <c r="F398" i="1" s="1"/>
  <c r="J398" i="1"/>
  <c r="Q398" i="1" a="1"/>
  <c r="Q398" i="1" s="1"/>
  <c r="R398" i="1"/>
  <c r="L398" i="1"/>
  <c r="M398" i="1" s="1"/>
  <c r="B399" i="1"/>
  <c r="C399" i="1" a="1"/>
  <c r="C399" i="1" s="1"/>
  <c r="D399" i="1" s="1"/>
  <c r="E399" i="1"/>
  <c r="F399" i="1" s="1"/>
  <c r="J399" i="1"/>
  <c r="Q399" i="1" a="1"/>
  <c r="Q399" i="1" s="1"/>
  <c r="R399" i="1"/>
  <c r="L399" i="1"/>
  <c r="M399" i="1" s="1"/>
  <c r="B400" i="1"/>
  <c r="C400" i="1" a="1"/>
  <c r="C400" i="1" s="1"/>
  <c r="D400" i="1" s="1"/>
  <c r="E400" i="1"/>
  <c r="F400" i="1" s="1"/>
  <c r="J400" i="1"/>
  <c r="Q400" i="1" a="1"/>
  <c r="Q400" i="1" s="1"/>
  <c r="R400" i="1"/>
  <c r="L400" i="1"/>
  <c r="M400" i="1" s="1"/>
  <c r="B401" i="1"/>
  <c r="C401" i="1" a="1"/>
  <c r="C401" i="1" s="1"/>
  <c r="D401" i="1" s="1"/>
  <c r="E401" i="1"/>
  <c r="F401" i="1" s="1"/>
  <c r="J401" i="1"/>
  <c r="Q401" i="1" a="1"/>
  <c r="Q401" i="1" s="1"/>
  <c r="R401" i="1"/>
  <c r="L401" i="1"/>
  <c r="M401" i="1" s="1"/>
  <c r="B402" i="1"/>
  <c r="C402" i="1" a="1"/>
  <c r="C402" i="1" s="1"/>
  <c r="D402" i="1" s="1"/>
  <c r="E402" i="1"/>
  <c r="F402" i="1" s="1"/>
  <c r="J402" i="1"/>
  <c r="Q402" i="1" a="1"/>
  <c r="Q402" i="1" s="1"/>
  <c r="R402" i="1"/>
  <c r="L402" i="1"/>
  <c r="M402" i="1" s="1"/>
  <c r="B403" i="1"/>
  <c r="C403" i="1" a="1"/>
  <c r="C403" i="1" s="1"/>
  <c r="D403" i="1" s="1"/>
  <c r="E403" i="1"/>
  <c r="F403" i="1" s="1"/>
  <c r="J403" i="1"/>
  <c r="Q403" i="1" a="1"/>
  <c r="Q403" i="1" s="1"/>
  <c r="R403" i="1"/>
  <c r="L403" i="1"/>
  <c r="M403" i="1" s="1"/>
  <c r="B404" i="1"/>
  <c r="C404" i="1" a="1"/>
  <c r="C404" i="1" s="1"/>
  <c r="D404" i="1" s="1"/>
  <c r="E404" i="1"/>
  <c r="F404" i="1" s="1"/>
  <c r="J404" i="1"/>
  <c r="Q404" i="1" a="1"/>
  <c r="Q404" i="1" s="1"/>
  <c r="R404" i="1"/>
  <c r="L404" i="1"/>
  <c r="M404" i="1" s="1"/>
  <c r="B405" i="1"/>
  <c r="C405" i="1" a="1"/>
  <c r="C405" i="1" s="1"/>
  <c r="D405" i="1" s="1"/>
  <c r="E405" i="1"/>
  <c r="F405" i="1" s="1"/>
  <c r="J405" i="1"/>
  <c r="Q405" i="1" a="1"/>
  <c r="Q405" i="1" s="1"/>
  <c r="R405" i="1"/>
  <c r="L405" i="1"/>
  <c r="M405" i="1" s="1"/>
  <c r="B406" i="1"/>
  <c r="C406" i="1" a="1"/>
  <c r="C406" i="1" s="1"/>
  <c r="D406" i="1" s="1"/>
  <c r="E406" i="1"/>
  <c r="F406" i="1" s="1"/>
  <c r="J406" i="1"/>
  <c r="Q406" i="1" a="1"/>
  <c r="Q406" i="1" s="1"/>
  <c r="R406" i="1"/>
  <c r="L406" i="1"/>
  <c r="M406" i="1" s="1"/>
  <c r="B407" i="1"/>
  <c r="C407" i="1" a="1"/>
  <c r="C407" i="1" s="1"/>
  <c r="D407" i="1" s="1"/>
  <c r="E407" i="1"/>
  <c r="F407" i="1" s="1"/>
  <c r="J407" i="1"/>
  <c r="Q407" i="1" a="1"/>
  <c r="Q407" i="1" s="1"/>
  <c r="R407" i="1"/>
  <c r="L407" i="1"/>
  <c r="M407" i="1" s="1"/>
  <c r="B408" i="1"/>
  <c r="C408" i="1" a="1"/>
  <c r="C408" i="1" s="1"/>
  <c r="D408" i="1" s="1"/>
  <c r="E408" i="1"/>
  <c r="F408" i="1" s="1"/>
  <c r="J408" i="1"/>
  <c r="Q408" i="1" a="1"/>
  <c r="Q408" i="1" s="1"/>
  <c r="R408" i="1"/>
  <c r="L408" i="1"/>
  <c r="M408" i="1" s="1"/>
  <c r="B409" i="1"/>
  <c r="C409" i="1" a="1"/>
  <c r="C409" i="1" s="1"/>
  <c r="D409" i="1" s="1"/>
  <c r="E409" i="1"/>
  <c r="F409" i="1" s="1"/>
  <c r="J409" i="1"/>
  <c r="Q409" i="1" a="1"/>
  <c r="Q409" i="1" s="1"/>
  <c r="R409" i="1"/>
  <c r="L409" i="1"/>
  <c r="M409" i="1" s="1"/>
  <c r="B410" i="1"/>
  <c r="C410" i="1" a="1"/>
  <c r="C410" i="1" s="1"/>
  <c r="D410" i="1" s="1"/>
  <c r="E410" i="1"/>
  <c r="F410" i="1" s="1"/>
  <c r="J410" i="1"/>
  <c r="Q410" i="1" a="1"/>
  <c r="Q410" i="1" s="1"/>
  <c r="R410" i="1"/>
  <c r="L410" i="1"/>
  <c r="M410" i="1" s="1"/>
  <c r="B411" i="1"/>
  <c r="C411" i="1" a="1"/>
  <c r="C411" i="1" s="1"/>
  <c r="D411" i="1" s="1"/>
  <c r="E411" i="1"/>
  <c r="F411" i="1" s="1"/>
  <c r="J411" i="1"/>
  <c r="Q411" i="1" a="1"/>
  <c r="Q411" i="1" s="1"/>
  <c r="R411" i="1"/>
  <c r="L411" i="1"/>
  <c r="M411" i="1" s="1"/>
  <c r="B412" i="1"/>
  <c r="C412" i="1" a="1"/>
  <c r="C412" i="1" s="1"/>
  <c r="D412" i="1" s="1"/>
  <c r="E412" i="1"/>
  <c r="F412" i="1" s="1"/>
  <c r="J412" i="1"/>
  <c r="Q412" i="1" a="1"/>
  <c r="Q412" i="1" s="1"/>
  <c r="R412" i="1"/>
  <c r="L412" i="1"/>
  <c r="M412" i="1" s="1"/>
  <c r="B413" i="1"/>
  <c r="C413" i="1" a="1"/>
  <c r="C413" i="1" s="1"/>
  <c r="D413" i="1" s="1"/>
  <c r="E413" i="1"/>
  <c r="F413" i="1" s="1"/>
  <c r="J413" i="1"/>
  <c r="Q413" i="1" a="1"/>
  <c r="Q413" i="1" s="1"/>
  <c r="R413" i="1"/>
  <c r="L413" i="1"/>
  <c r="M413" i="1" s="1"/>
  <c r="B414" i="1"/>
  <c r="C414" i="1" a="1"/>
  <c r="C414" i="1" s="1"/>
  <c r="D414" i="1" s="1"/>
  <c r="E414" i="1"/>
  <c r="F414" i="1" s="1"/>
  <c r="J414" i="1"/>
  <c r="Q414" i="1" a="1"/>
  <c r="Q414" i="1" s="1"/>
  <c r="R414" i="1"/>
  <c r="L414" i="1"/>
  <c r="M414" i="1" s="1"/>
  <c r="B415" i="1"/>
  <c r="C415" i="1" a="1"/>
  <c r="C415" i="1" s="1"/>
  <c r="D415" i="1" s="1"/>
  <c r="E415" i="1"/>
  <c r="F415" i="1" s="1"/>
  <c r="J415" i="1"/>
  <c r="Q415" i="1" a="1"/>
  <c r="Q415" i="1" s="1"/>
  <c r="R415" i="1"/>
  <c r="L415" i="1"/>
  <c r="M415" i="1" s="1"/>
  <c r="B416" i="1"/>
  <c r="C416" i="1" a="1"/>
  <c r="C416" i="1" s="1"/>
  <c r="D416" i="1" s="1"/>
  <c r="E416" i="1"/>
  <c r="F416" i="1" s="1"/>
  <c r="J416" i="1"/>
  <c r="Q416" i="1" a="1"/>
  <c r="Q416" i="1" s="1"/>
  <c r="R416" i="1"/>
  <c r="L416" i="1"/>
  <c r="M416" i="1" s="1"/>
  <c r="B417" i="1"/>
  <c r="C417" i="1" a="1"/>
  <c r="C417" i="1" s="1"/>
  <c r="D417" i="1" s="1"/>
  <c r="E417" i="1"/>
  <c r="F417" i="1" s="1"/>
  <c r="J417" i="1"/>
  <c r="Q417" i="1" a="1"/>
  <c r="Q417" i="1" s="1"/>
  <c r="R417" i="1"/>
  <c r="L417" i="1"/>
  <c r="M417" i="1" s="1"/>
  <c r="B418" i="1"/>
  <c r="C418" i="1" a="1"/>
  <c r="C418" i="1" s="1"/>
  <c r="D418" i="1" s="1"/>
  <c r="E418" i="1"/>
  <c r="F418" i="1" s="1"/>
  <c r="G418" i="1" s="1"/>
  <c r="H418" i="1" s="1"/>
  <c r="I418" i="1" s="1"/>
  <c r="J418" i="1"/>
  <c r="Q418" i="1" a="1"/>
  <c r="Q418" i="1" s="1"/>
  <c r="R418" i="1"/>
  <c r="L418" i="1"/>
  <c r="M418" i="1" s="1"/>
  <c r="B419" i="1"/>
  <c r="C419" i="1" a="1"/>
  <c r="C419" i="1" s="1"/>
  <c r="D419" i="1" s="1"/>
  <c r="E419" i="1"/>
  <c r="F419" i="1" s="1"/>
  <c r="S419" i="1" s="1"/>
  <c r="J419" i="1"/>
  <c r="Q419" i="1" a="1"/>
  <c r="Q419" i="1" s="1"/>
  <c r="R419" i="1"/>
  <c r="L419" i="1"/>
  <c r="M419" i="1" s="1"/>
  <c r="B420" i="1"/>
  <c r="C420" i="1" a="1"/>
  <c r="C420" i="1" s="1"/>
  <c r="D420" i="1" s="1"/>
  <c r="E420" i="1"/>
  <c r="F420" i="1" s="1"/>
  <c r="S420" i="1" s="1"/>
  <c r="J420" i="1"/>
  <c r="Q420" i="1" a="1"/>
  <c r="Q420" i="1" s="1"/>
  <c r="R420" i="1"/>
  <c r="L420" i="1"/>
  <c r="M420" i="1" s="1"/>
  <c r="B421" i="1"/>
  <c r="C421" i="1" a="1"/>
  <c r="C421" i="1" s="1"/>
  <c r="D421" i="1" s="1"/>
  <c r="E421" i="1"/>
  <c r="F421" i="1" s="1"/>
  <c r="J421" i="1"/>
  <c r="Q421" i="1" a="1"/>
  <c r="Q421" i="1" s="1"/>
  <c r="R421" i="1"/>
  <c r="L421" i="1"/>
  <c r="M421" i="1" s="1"/>
  <c r="B422" i="1"/>
  <c r="C422" i="1" a="1"/>
  <c r="C422" i="1" s="1"/>
  <c r="D422" i="1" s="1"/>
  <c r="E422" i="1"/>
  <c r="F422" i="1" s="1"/>
  <c r="G422" i="1" s="1"/>
  <c r="H422" i="1" s="1"/>
  <c r="I422" i="1" s="1"/>
  <c r="J422" i="1"/>
  <c r="Q422" i="1" a="1"/>
  <c r="Q422" i="1" s="1"/>
  <c r="R422" i="1"/>
  <c r="L422" i="1"/>
  <c r="M422" i="1" s="1"/>
  <c r="B423" i="1"/>
  <c r="C423" i="1" a="1"/>
  <c r="C423" i="1" s="1"/>
  <c r="D423" i="1" s="1"/>
  <c r="E423" i="1"/>
  <c r="F423" i="1" s="1"/>
  <c r="S423" i="1" s="1"/>
  <c r="J423" i="1"/>
  <c r="Q423" i="1" a="1"/>
  <c r="Q423" i="1" s="1"/>
  <c r="R423" i="1"/>
  <c r="L423" i="1"/>
  <c r="M423" i="1" s="1"/>
  <c r="B424" i="1"/>
  <c r="C424" i="1" a="1"/>
  <c r="C424" i="1" s="1"/>
  <c r="D424" i="1" s="1"/>
  <c r="E424" i="1"/>
  <c r="F424" i="1" s="1"/>
  <c r="S424" i="1" s="1"/>
  <c r="J424" i="1"/>
  <c r="Q424" i="1" a="1"/>
  <c r="Q424" i="1" s="1"/>
  <c r="R424" i="1"/>
  <c r="L424" i="1"/>
  <c r="M424" i="1" s="1"/>
  <c r="B425" i="1"/>
  <c r="C425" i="1" a="1"/>
  <c r="C425" i="1" s="1"/>
  <c r="D425" i="1" s="1"/>
  <c r="E425" i="1"/>
  <c r="F425" i="1" s="1"/>
  <c r="J425" i="1"/>
  <c r="Q425" i="1" a="1"/>
  <c r="Q425" i="1" s="1"/>
  <c r="R425" i="1"/>
  <c r="L425" i="1"/>
  <c r="M425" i="1" s="1"/>
  <c r="B426" i="1"/>
  <c r="C426" i="1" a="1"/>
  <c r="C426" i="1" s="1"/>
  <c r="D426" i="1" s="1"/>
  <c r="E426" i="1"/>
  <c r="F426" i="1" s="1"/>
  <c r="J426" i="1"/>
  <c r="Q426" i="1" a="1"/>
  <c r="Q426" i="1" s="1"/>
  <c r="R426" i="1"/>
  <c r="L426" i="1"/>
  <c r="M426" i="1" s="1"/>
  <c r="B427" i="1"/>
  <c r="C427" i="1" a="1"/>
  <c r="C427" i="1" s="1"/>
  <c r="D427" i="1" s="1"/>
  <c r="E427" i="1"/>
  <c r="F427" i="1" s="1"/>
  <c r="G427" i="1" s="1"/>
  <c r="H427" i="1" s="1"/>
  <c r="I427" i="1" s="1"/>
  <c r="J427" i="1"/>
  <c r="Q427" i="1" a="1"/>
  <c r="Q427" i="1" s="1"/>
  <c r="R427" i="1"/>
  <c r="L427" i="1"/>
  <c r="M427" i="1" s="1"/>
  <c r="B428" i="1"/>
  <c r="C428" i="1" a="1"/>
  <c r="C428" i="1" s="1"/>
  <c r="D428" i="1" s="1"/>
  <c r="E428" i="1"/>
  <c r="F428" i="1" s="1"/>
  <c r="J428" i="1"/>
  <c r="Q428" i="1" a="1"/>
  <c r="Q428" i="1" s="1"/>
  <c r="R428" i="1"/>
  <c r="L428" i="1"/>
  <c r="M428" i="1" s="1"/>
  <c r="B429" i="1"/>
  <c r="C429" i="1" a="1"/>
  <c r="C429" i="1" s="1"/>
  <c r="D429" i="1" s="1"/>
  <c r="E429" i="1"/>
  <c r="F429" i="1" s="1"/>
  <c r="J429" i="1"/>
  <c r="Q429" i="1" a="1"/>
  <c r="Q429" i="1" s="1"/>
  <c r="R429" i="1"/>
  <c r="L429" i="1"/>
  <c r="M429" i="1" s="1"/>
  <c r="B430" i="1"/>
  <c r="C430" i="1" a="1"/>
  <c r="C430" i="1" s="1"/>
  <c r="D430" i="1" s="1"/>
  <c r="E430" i="1"/>
  <c r="F430" i="1" s="1"/>
  <c r="J430" i="1"/>
  <c r="Q430" i="1" a="1"/>
  <c r="Q430" i="1" s="1"/>
  <c r="R430" i="1"/>
  <c r="L430" i="1"/>
  <c r="M430" i="1" s="1"/>
  <c r="B431" i="1"/>
  <c r="C431" i="1" a="1"/>
  <c r="C431" i="1" s="1"/>
  <c r="D431" i="1" s="1"/>
  <c r="E431" i="1"/>
  <c r="F431" i="1" s="1"/>
  <c r="G431" i="1" s="1"/>
  <c r="H431" i="1" s="1"/>
  <c r="I431" i="1" s="1"/>
  <c r="J431" i="1"/>
  <c r="Q431" i="1" a="1"/>
  <c r="Q431" i="1" s="1"/>
  <c r="R431" i="1"/>
  <c r="L431" i="1"/>
  <c r="M431" i="1" s="1"/>
  <c r="B432" i="1"/>
  <c r="C432" i="1" a="1"/>
  <c r="C432" i="1" s="1"/>
  <c r="D432" i="1" s="1"/>
  <c r="E432" i="1"/>
  <c r="F432" i="1" s="1"/>
  <c r="G432" i="1" s="1"/>
  <c r="H432" i="1" s="1"/>
  <c r="I432" i="1" s="1"/>
  <c r="J432" i="1"/>
  <c r="Q432" i="1" a="1"/>
  <c r="Q432" i="1" s="1"/>
  <c r="R432" i="1"/>
  <c r="L432" i="1"/>
  <c r="M432" i="1" s="1"/>
  <c r="B433" i="1"/>
  <c r="C433" i="1" a="1"/>
  <c r="C433" i="1" s="1"/>
  <c r="D433" i="1" s="1"/>
  <c r="E433" i="1"/>
  <c r="F433" i="1" s="1"/>
  <c r="J433" i="1"/>
  <c r="Q433" i="1" a="1"/>
  <c r="Q433" i="1" s="1"/>
  <c r="R433" i="1"/>
  <c r="L433" i="1"/>
  <c r="M433" i="1" s="1"/>
  <c r="B434" i="1"/>
  <c r="C434" i="1" a="1"/>
  <c r="C434" i="1" s="1"/>
  <c r="D434" i="1" s="1"/>
  <c r="E434" i="1"/>
  <c r="F434" i="1" s="1"/>
  <c r="J434" i="1"/>
  <c r="Q434" i="1" a="1"/>
  <c r="Q434" i="1" s="1"/>
  <c r="R434" i="1"/>
  <c r="L434" i="1"/>
  <c r="M434" i="1" s="1"/>
  <c r="B435" i="1"/>
  <c r="C435" i="1" a="1"/>
  <c r="C435" i="1" s="1"/>
  <c r="D435" i="1" s="1"/>
  <c r="E435" i="1"/>
  <c r="F435" i="1" s="1"/>
  <c r="J435" i="1"/>
  <c r="Q435" i="1" a="1"/>
  <c r="Q435" i="1" s="1"/>
  <c r="R435" i="1"/>
  <c r="L435" i="1"/>
  <c r="M435" i="1" s="1"/>
  <c r="B436" i="1"/>
  <c r="C436" i="1" a="1"/>
  <c r="C436" i="1" s="1"/>
  <c r="D436" i="1" s="1"/>
  <c r="E436" i="1"/>
  <c r="F436" i="1" s="1"/>
  <c r="J436" i="1"/>
  <c r="Q436" i="1" a="1"/>
  <c r="Q436" i="1" s="1"/>
  <c r="R436" i="1"/>
  <c r="L436" i="1"/>
  <c r="M436" i="1" s="1"/>
  <c r="B437" i="1"/>
  <c r="C437" i="1" a="1"/>
  <c r="C437" i="1" s="1"/>
  <c r="D437" i="1" s="1"/>
  <c r="E437" i="1"/>
  <c r="F437" i="1" s="1"/>
  <c r="J437" i="1"/>
  <c r="Q437" i="1" a="1"/>
  <c r="Q437" i="1" s="1"/>
  <c r="R437" i="1"/>
  <c r="L437" i="1"/>
  <c r="M437" i="1" s="1"/>
  <c r="B438" i="1"/>
  <c r="C438" i="1" a="1"/>
  <c r="C438" i="1" s="1"/>
  <c r="D438" i="1" s="1"/>
  <c r="E438" i="1"/>
  <c r="F438" i="1" s="1"/>
  <c r="G438" i="1" s="1"/>
  <c r="H438" i="1" s="1"/>
  <c r="I438" i="1" s="1"/>
  <c r="J438" i="1"/>
  <c r="Q438" i="1" a="1"/>
  <c r="Q438" i="1" s="1"/>
  <c r="R438" i="1"/>
  <c r="L438" i="1"/>
  <c r="M438" i="1" s="1"/>
  <c r="B439" i="1"/>
  <c r="C439" i="1" a="1"/>
  <c r="C439" i="1" s="1"/>
  <c r="D439" i="1" s="1"/>
  <c r="E439" i="1"/>
  <c r="F439" i="1" s="1"/>
  <c r="S439" i="1" s="1"/>
  <c r="J439" i="1"/>
  <c r="Q439" i="1" a="1"/>
  <c r="Q439" i="1" s="1"/>
  <c r="R439" i="1"/>
  <c r="L439" i="1"/>
  <c r="M439" i="1" s="1"/>
  <c r="B440" i="1"/>
  <c r="C440" i="1" a="1"/>
  <c r="C440" i="1" s="1"/>
  <c r="D440" i="1" s="1"/>
  <c r="E440" i="1"/>
  <c r="F440" i="1" s="1"/>
  <c r="S440" i="1" s="1"/>
  <c r="J440" i="1"/>
  <c r="Q440" i="1" a="1"/>
  <c r="Q440" i="1" s="1"/>
  <c r="R440" i="1"/>
  <c r="L440" i="1"/>
  <c r="M440" i="1" s="1"/>
  <c r="B441" i="1"/>
  <c r="C441" i="1" a="1"/>
  <c r="C441" i="1" s="1"/>
  <c r="D441" i="1" s="1"/>
  <c r="E441" i="1"/>
  <c r="F441" i="1" s="1"/>
  <c r="J441" i="1"/>
  <c r="Q441" i="1" a="1"/>
  <c r="Q441" i="1" s="1"/>
  <c r="R441" i="1"/>
  <c r="L441" i="1"/>
  <c r="M441" i="1" s="1"/>
  <c r="B442" i="1"/>
  <c r="C442" i="1" a="1"/>
  <c r="C442" i="1" s="1"/>
  <c r="D442" i="1" s="1"/>
  <c r="E442" i="1"/>
  <c r="F442" i="1" s="1"/>
  <c r="J442" i="1"/>
  <c r="Q442" i="1" a="1"/>
  <c r="Q442" i="1" s="1"/>
  <c r="R442" i="1"/>
  <c r="L442" i="1"/>
  <c r="M442" i="1" s="1"/>
  <c r="B443" i="1"/>
  <c r="C443" i="1" a="1"/>
  <c r="C443" i="1" s="1"/>
  <c r="D443" i="1" s="1"/>
  <c r="E443" i="1"/>
  <c r="F443" i="1" s="1"/>
  <c r="G443" i="1" s="1"/>
  <c r="H443" i="1" s="1"/>
  <c r="I443" i="1" s="1"/>
  <c r="J443" i="1"/>
  <c r="Q443" i="1" a="1"/>
  <c r="Q443" i="1" s="1"/>
  <c r="R443" i="1"/>
  <c r="L443" i="1"/>
  <c r="M443" i="1" s="1"/>
  <c r="B444" i="1"/>
  <c r="C444" i="1" a="1"/>
  <c r="C444" i="1" s="1"/>
  <c r="D444" i="1" s="1"/>
  <c r="E444" i="1"/>
  <c r="F444" i="1" s="1"/>
  <c r="J444" i="1"/>
  <c r="Q444" i="1" a="1"/>
  <c r="Q444" i="1" s="1"/>
  <c r="R444" i="1"/>
  <c r="L444" i="1"/>
  <c r="M444" i="1" s="1"/>
  <c r="B445" i="1"/>
  <c r="C445" i="1" a="1"/>
  <c r="C445" i="1" s="1"/>
  <c r="D445" i="1" s="1"/>
  <c r="E445" i="1"/>
  <c r="F445" i="1" s="1"/>
  <c r="J445" i="1"/>
  <c r="Q445" i="1" a="1"/>
  <c r="Q445" i="1" s="1"/>
  <c r="R445" i="1"/>
  <c r="L445" i="1"/>
  <c r="M445" i="1" s="1"/>
  <c r="B446" i="1"/>
  <c r="C446" i="1" a="1"/>
  <c r="C446" i="1" s="1"/>
  <c r="D446" i="1" s="1"/>
  <c r="E446" i="1"/>
  <c r="F446" i="1" s="1"/>
  <c r="G446" i="1" s="1"/>
  <c r="H446" i="1" s="1"/>
  <c r="I446" i="1" s="1"/>
  <c r="J446" i="1"/>
  <c r="Q446" i="1" a="1"/>
  <c r="Q446" i="1" s="1"/>
  <c r="R446" i="1"/>
  <c r="L446" i="1"/>
  <c r="M446" i="1" s="1"/>
  <c r="B447" i="1"/>
  <c r="C447" i="1" a="1"/>
  <c r="C447" i="1" s="1"/>
  <c r="D447" i="1" s="1"/>
  <c r="E447" i="1"/>
  <c r="F447" i="1" s="1"/>
  <c r="G447" i="1" s="1"/>
  <c r="H447" i="1" s="1"/>
  <c r="I447" i="1" s="1"/>
  <c r="J447" i="1"/>
  <c r="Q447" i="1" a="1"/>
  <c r="Q447" i="1" s="1"/>
  <c r="R447" i="1"/>
  <c r="L447" i="1"/>
  <c r="M447" i="1" s="1"/>
  <c r="B448" i="1"/>
  <c r="C448" i="1" a="1"/>
  <c r="C448" i="1" s="1"/>
  <c r="D448" i="1" s="1"/>
  <c r="E448" i="1"/>
  <c r="F448" i="1" s="1"/>
  <c r="S448" i="1" s="1"/>
  <c r="J448" i="1"/>
  <c r="Q448" i="1" a="1"/>
  <c r="Q448" i="1" s="1"/>
  <c r="R448" i="1"/>
  <c r="L448" i="1"/>
  <c r="M448" i="1" s="1"/>
  <c r="B449" i="1"/>
  <c r="C449" i="1" a="1"/>
  <c r="C449" i="1" s="1"/>
  <c r="D449" i="1" s="1"/>
  <c r="E449" i="1"/>
  <c r="F449" i="1" s="1"/>
  <c r="J449" i="1"/>
  <c r="Q449" i="1" a="1"/>
  <c r="Q449" i="1" s="1"/>
  <c r="R449" i="1"/>
  <c r="L449" i="1"/>
  <c r="M449" i="1" s="1"/>
  <c r="B450" i="1"/>
  <c r="C450" i="1" a="1"/>
  <c r="C450" i="1" s="1"/>
  <c r="D450" i="1" s="1"/>
  <c r="E450" i="1"/>
  <c r="F450" i="1" s="1"/>
  <c r="J450" i="1"/>
  <c r="Q450" i="1" a="1"/>
  <c r="Q450" i="1" s="1"/>
  <c r="R450" i="1"/>
  <c r="L450" i="1"/>
  <c r="M450" i="1" s="1"/>
  <c r="B451" i="1"/>
  <c r="C451" i="1" a="1"/>
  <c r="C451" i="1" s="1"/>
  <c r="D451" i="1" s="1"/>
  <c r="E451" i="1"/>
  <c r="F451" i="1" s="1"/>
  <c r="G451" i="1" s="1"/>
  <c r="H451" i="1" s="1"/>
  <c r="I451" i="1" s="1"/>
  <c r="J451" i="1"/>
  <c r="Q451" i="1" a="1"/>
  <c r="Q451" i="1" s="1"/>
  <c r="R451" i="1"/>
  <c r="L451" i="1"/>
  <c r="M451" i="1" s="1"/>
  <c r="B452" i="1"/>
  <c r="C452" i="1" a="1"/>
  <c r="C452" i="1" s="1"/>
  <c r="D452" i="1" s="1"/>
  <c r="E452" i="1"/>
  <c r="F452" i="1" s="1"/>
  <c r="J452" i="1"/>
  <c r="Q452" i="1" a="1"/>
  <c r="Q452" i="1" s="1"/>
  <c r="R452" i="1"/>
  <c r="L452" i="1"/>
  <c r="M452" i="1" s="1"/>
  <c r="B453" i="1"/>
  <c r="C453" i="1" a="1"/>
  <c r="C453" i="1" s="1"/>
  <c r="D453" i="1" s="1"/>
  <c r="E453" i="1"/>
  <c r="F453" i="1" s="1"/>
  <c r="J453" i="1"/>
  <c r="Q453" i="1" a="1"/>
  <c r="Q453" i="1" s="1"/>
  <c r="R453" i="1"/>
  <c r="L453" i="1"/>
  <c r="M453" i="1" s="1"/>
  <c r="B454" i="1"/>
  <c r="C454" i="1" a="1"/>
  <c r="C454" i="1" s="1"/>
  <c r="D454" i="1" s="1"/>
  <c r="E454" i="1"/>
  <c r="F454" i="1" s="1"/>
  <c r="J454" i="1"/>
  <c r="Q454" i="1" a="1"/>
  <c r="Q454" i="1" s="1"/>
  <c r="R454" i="1"/>
  <c r="L454" i="1"/>
  <c r="M454" i="1" s="1"/>
  <c r="B455" i="1"/>
  <c r="C455" i="1" a="1"/>
  <c r="C455" i="1" s="1"/>
  <c r="D455" i="1" s="1"/>
  <c r="E455" i="1"/>
  <c r="F455" i="1" s="1"/>
  <c r="G455" i="1" s="1"/>
  <c r="H455" i="1" s="1"/>
  <c r="I455" i="1" s="1"/>
  <c r="J455" i="1"/>
  <c r="Q455" i="1" a="1"/>
  <c r="Q455" i="1" s="1"/>
  <c r="R455" i="1"/>
  <c r="L455" i="1"/>
  <c r="M455" i="1" s="1"/>
  <c r="B456" i="1"/>
  <c r="C456" i="1" a="1"/>
  <c r="C456" i="1" s="1"/>
  <c r="D456" i="1" s="1"/>
  <c r="E456" i="1"/>
  <c r="F456" i="1" s="1"/>
  <c r="J456" i="1"/>
  <c r="Q456" i="1" a="1"/>
  <c r="Q456" i="1" s="1"/>
  <c r="R456" i="1"/>
  <c r="L456" i="1"/>
  <c r="M456" i="1" s="1"/>
  <c r="B457" i="1"/>
  <c r="C457" i="1" a="1"/>
  <c r="C457" i="1" s="1"/>
  <c r="D457" i="1" s="1"/>
  <c r="E457" i="1"/>
  <c r="F457" i="1" s="1"/>
  <c r="J457" i="1"/>
  <c r="Q457" i="1" a="1"/>
  <c r="Q457" i="1" s="1"/>
  <c r="R457" i="1"/>
  <c r="L457" i="1"/>
  <c r="M457" i="1" s="1"/>
  <c r="B458" i="1"/>
  <c r="C458" i="1" a="1"/>
  <c r="C458" i="1" s="1"/>
  <c r="D458" i="1" s="1"/>
  <c r="E458" i="1"/>
  <c r="F458" i="1" s="1"/>
  <c r="G458" i="1" s="1"/>
  <c r="H458" i="1" s="1"/>
  <c r="I458" i="1" s="1"/>
  <c r="J458" i="1"/>
  <c r="Q458" i="1" a="1"/>
  <c r="Q458" i="1" s="1"/>
  <c r="R458" i="1"/>
  <c r="L458" i="1"/>
  <c r="M458" i="1" s="1"/>
  <c r="B459" i="1"/>
  <c r="C459" i="1" a="1"/>
  <c r="C459" i="1" s="1"/>
  <c r="D459" i="1" s="1"/>
  <c r="E459" i="1"/>
  <c r="F459" i="1" s="1"/>
  <c r="J459" i="1"/>
  <c r="Q459" i="1" a="1"/>
  <c r="Q459" i="1" s="1"/>
  <c r="R459" i="1"/>
  <c r="L459" i="1"/>
  <c r="M459" i="1" s="1"/>
  <c r="B460" i="1"/>
  <c r="C460" i="1" a="1"/>
  <c r="C460" i="1" s="1"/>
  <c r="D460" i="1" s="1"/>
  <c r="E460" i="1"/>
  <c r="F460" i="1" s="1"/>
  <c r="S460" i="1" s="1"/>
  <c r="J460" i="1"/>
  <c r="Q460" i="1" a="1"/>
  <c r="Q460" i="1" s="1"/>
  <c r="R460" i="1"/>
  <c r="L460" i="1"/>
  <c r="M460" i="1" s="1"/>
  <c r="B461" i="1"/>
  <c r="C461" i="1" a="1"/>
  <c r="C461" i="1" s="1"/>
  <c r="D461" i="1" s="1"/>
  <c r="E461" i="1"/>
  <c r="F461" i="1" s="1"/>
  <c r="J461" i="1"/>
  <c r="Q461" i="1" a="1"/>
  <c r="Q461" i="1" s="1"/>
  <c r="R461" i="1"/>
  <c r="L461" i="1"/>
  <c r="M461" i="1" s="1"/>
  <c r="B462" i="1"/>
  <c r="C462" i="1" a="1"/>
  <c r="C462" i="1" s="1"/>
  <c r="D462" i="1" s="1"/>
  <c r="E462" i="1"/>
  <c r="F462" i="1" s="1"/>
  <c r="S462" i="1" s="1"/>
  <c r="J462" i="1"/>
  <c r="Q462" i="1" a="1"/>
  <c r="Q462" i="1" s="1"/>
  <c r="R462" i="1"/>
  <c r="L462" i="1"/>
  <c r="M462" i="1" s="1"/>
  <c r="B463" i="1"/>
  <c r="C463" i="1" a="1"/>
  <c r="C463" i="1" s="1"/>
  <c r="D463" i="1" s="1"/>
  <c r="E463" i="1"/>
  <c r="F463" i="1" s="1"/>
  <c r="G463" i="1" s="1"/>
  <c r="H463" i="1" s="1"/>
  <c r="I463" i="1" s="1"/>
  <c r="J463" i="1"/>
  <c r="Q463" i="1" a="1"/>
  <c r="Q463" i="1" s="1"/>
  <c r="R463" i="1"/>
  <c r="L463" i="1"/>
  <c r="M463" i="1" s="1"/>
  <c r="B464" i="1"/>
  <c r="C464" i="1" a="1"/>
  <c r="C464" i="1" s="1"/>
  <c r="D464" i="1" s="1"/>
  <c r="E464" i="1"/>
  <c r="F464" i="1" s="1"/>
  <c r="J464" i="1"/>
  <c r="Q464" i="1" a="1"/>
  <c r="Q464" i="1" s="1"/>
  <c r="R464" i="1"/>
  <c r="L464" i="1"/>
  <c r="M464" i="1" s="1"/>
  <c r="B465" i="1"/>
  <c r="C465" i="1" a="1"/>
  <c r="C465" i="1" s="1"/>
  <c r="D465" i="1" s="1"/>
  <c r="E465" i="1"/>
  <c r="F465" i="1" s="1"/>
  <c r="J465" i="1"/>
  <c r="Q465" i="1" a="1"/>
  <c r="Q465" i="1" s="1"/>
  <c r="R465" i="1"/>
  <c r="L465" i="1"/>
  <c r="M465" i="1" s="1"/>
  <c r="B466" i="1"/>
  <c r="C466" i="1" a="1"/>
  <c r="C466" i="1" s="1"/>
  <c r="D466" i="1" s="1"/>
  <c r="E466" i="1"/>
  <c r="F466" i="1" s="1"/>
  <c r="J466" i="1"/>
  <c r="Q466" i="1" a="1"/>
  <c r="Q466" i="1" s="1"/>
  <c r="R466" i="1"/>
  <c r="L466" i="1"/>
  <c r="M466" i="1" s="1"/>
  <c r="B467" i="1"/>
  <c r="C467" i="1" a="1"/>
  <c r="C467" i="1" s="1"/>
  <c r="D467" i="1" s="1"/>
  <c r="E467" i="1"/>
  <c r="F467" i="1" s="1"/>
  <c r="J467" i="1"/>
  <c r="Q467" i="1" a="1"/>
  <c r="Q467" i="1" s="1"/>
  <c r="R467" i="1"/>
  <c r="L467" i="1"/>
  <c r="M467" i="1" s="1"/>
  <c r="B468" i="1"/>
  <c r="C468" i="1" a="1"/>
  <c r="C468" i="1" s="1"/>
  <c r="D468" i="1" s="1"/>
  <c r="E468" i="1"/>
  <c r="F468" i="1" s="1"/>
  <c r="J468" i="1"/>
  <c r="Q468" i="1" a="1"/>
  <c r="Q468" i="1" s="1"/>
  <c r="R468" i="1"/>
  <c r="L468" i="1"/>
  <c r="M468" i="1" s="1"/>
  <c r="B469" i="1"/>
  <c r="C469" i="1" a="1"/>
  <c r="C469" i="1" s="1"/>
  <c r="D469" i="1" s="1"/>
  <c r="E469" i="1"/>
  <c r="F469" i="1" s="1"/>
  <c r="S469" i="1" s="1"/>
  <c r="J469" i="1"/>
  <c r="Q469" i="1" a="1"/>
  <c r="Q469" i="1" s="1"/>
  <c r="R469" i="1"/>
  <c r="L469" i="1"/>
  <c r="M469" i="1" s="1"/>
  <c r="B470" i="1"/>
  <c r="C470" i="1" a="1"/>
  <c r="C470" i="1" s="1"/>
  <c r="D470" i="1" s="1"/>
  <c r="E470" i="1"/>
  <c r="F470" i="1" s="1"/>
  <c r="S470" i="1" s="1"/>
  <c r="J470" i="1"/>
  <c r="Q470" i="1" a="1"/>
  <c r="Q470" i="1" s="1"/>
  <c r="R470" i="1"/>
  <c r="L470" i="1"/>
  <c r="M470" i="1" s="1"/>
  <c r="B471" i="1"/>
  <c r="C471" i="1" a="1"/>
  <c r="C471" i="1" s="1"/>
  <c r="D471" i="1" s="1"/>
  <c r="E471" i="1"/>
  <c r="F471" i="1" s="1"/>
  <c r="S471" i="1" s="1"/>
  <c r="J471" i="1"/>
  <c r="Q471" i="1" a="1"/>
  <c r="Q471" i="1" s="1"/>
  <c r="R471" i="1"/>
  <c r="L471" i="1"/>
  <c r="M471" i="1" s="1"/>
  <c r="B472" i="1"/>
  <c r="C472" i="1" a="1"/>
  <c r="C472" i="1" s="1"/>
  <c r="D472" i="1" s="1"/>
  <c r="E472" i="1"/>
  <c r="F472" i="1" s="1"/>
  <c r="S472" i="1" s="1"/>
  <c r="J472" i="1"/>
  <c r="Q472" i="1" a="1"/>
  <c r="Q472" i="1" s="1"/>
  <c r="R472" i="1"/>
  <c r="L472" i="1"/>
  <c r="M472" i="1" s="1"/>
  <c r="B473" i="1"/>
  <c r="C473" i="1" a="1"/>
  <c r="C473" i="1" s="1"/>
  <c r="D473" i="1" s="1"/>
  <c r="E473" i="1"/>
  <c r="F473" i="1" s="1"/>
  <c r="J473" i="1"/>
  <c r="Q473" i="1" a="1"/>
  <c r="Q473" i="1" s="1"/>
  <c r="R473" i="1"/>
  <c r="L473" i="1"/>
  <c r="M473" i="1" s="1"/>
  <c r="B474" i="1"/>
  <c r="C474" i="1" a="1"/>
  <c r="C474" i="1" s="1"/>
  <c r="D474" i="1" s="1"/>
  <c r="E474" i="1"/>
  <c r="F474" i="1" s="1"/>
  <c r="J474" i="1"/>
  <c r="Q474" i="1" a="1"/>
  <c r="Q474" i="1" s="1"/>
  <c r="R474" i="1"/>
  <c r="L474" i="1"/>
  <c r="M474" i="1" s="1"/>
  <c r="B475" i="1"/>
  <c r="C475" i="1" a="1"/>
  <c r="C475" i="1" s="1"/>
  <c r="D475" i="1" s="1"/>
  <c r="E475" i="1"/>
  <c r="F475" i="1" s="1"/>
  <c r="J475" i="1"/>
  <c r="Q475" i="1" a="1"/>
  <c r="Q475" i="1" s="1"/>
  <c r="R475" i="1"/>
  <c r="L475" i="1"/>
  <c r="M475" i="1" s="1"/>
  <c r="B476" i="1"/>
  <c r="C476" i="1" a="1"/>
  <c r="C476" i="1" s="1"/>
  <c r="D476" i="1" s="1"/>
  <c r="E476" i="1"/>
  <c r="F476" i="1" s="1"/>
  <c r="J476" i="1"/>
  <c r="Q476" i="1" a="1"/>
  <c r="Q476" i="1" s="1"/>
  <c r="R476" i="1"/>
  <c r="L476" i="1"/>
  <c r="M476" i="1" s="1"/>
  <c r="B477" i="1"/>
  <c r="C477" i="1" a="1"/>
  <c r="C477" i="1" s="1"/>
  <c r="D477" i="1" s="1"/>
  <c r="E477" i="1"/>
  <c r="F477" i="1" s="1"/>
  <c r="G477" i="1" s="1"/>
  <c r="H477" i="1" s="1"/>
  <c r="I477" i="1" s="1"/>
  <c r="J477" i="1"/>
  <c r="Q477" i="1" a="1"/>
  <c r="Q477" i="1" s="1"/>
  <c r="R477" i="1"/>
  <c r="L477" i="1"/>
  <c r="M477" i="1" s="1"/>
  <c r="B478" i="1"/>
  <c r="C478" i="1" a="1"/>
  <c r="C478" i="1" s="1"/>
  <c r="D478" i="1" s="1"/>
  <c r="E478" i="1"/>
  <c r="F478" i="1" s="1"/>
  <c r="S478" i="1" s="1"/>
  <c r="J478" i="1"/>
  <c r="Q478" i="1" a="1"/>
  <c r="Q478" i="1" s="1"/>
  <c r="R478" i="1"/>
  <c r="L478" i="1"/>
  <c r="M478" i="1" s="1"/>
  <c r="B479" i="1"/>
  <c r="C479" i="1" a="1"/>
  <c r="C479" i="1" s="1"/>
  <c r="D479" i="1" s="1"/>
  <c r="E479" i="1"/>
  <c r="F479" i="1" s="1"/>
  <c r="S479" i="1" s="1"/>
  <c r="J479" i="1"/>
  <c r="Q479" i="1" a="1"/>
  <c r="Q479" i="1" s="1"/>
  <c r="R479" i="1"/>
  <c r="L479" i="1"/>
  <c r="M479" i="1" s="1"/>
  <c r="B480" i="1"/>
  <c r="C480" i="1" a="1"/>
  <c r="C480" i="1" s="1"/>
  <c r="D480" i="1" s="1"/>
  <c r="E480" i="1"/>
  <c r="F480" i="1" s="1"/>
  <c r="J480" i="1"/>
  <c r="Q480" i="1" a="1"/>
  <c r="Q480" i="1" s="1"/>
  <c r="R480" i="1"/>
  <c r="L480" i="1"/>
  <c r="M480" i="1" s="1"/>
  <c r="B481" i="1"/>
  <c r="C481" i="1" a="1"/>
  <c r="C481" i="1" s="1"/>
  <c r="D481" i="1" s="1"/>
  <c r="E481" i="1"/>
  <c r="F481" i="1" s="1"/>
  <c r="J481" i="1"/>
  <c r="Q481" i="1" a="1"/>
  <c r="Q481" i="1" s="1"/>
  <c r="R481" i="1"/>
  <c r="L481" i="1"/>
  <c r="M481" i="1" s="1"/>
  <c r="B482" i="1"/>
  <c r="C482" i="1" a="1"/>
  <c r="C482" i="1" s="1"/>
  <c r="D482" i="1" s="1"/>
  <c r="E482" i="1"/>
  <c r="F482" i="1" s="1"/>
  <c r="J482" i="1"/>
  <c r="Q482" i="1" a="1"/>
  <c r="Q482" i="1" s="1"/>
  <c r="R482" i="1"/>
  <c r="L482" i="1"/>
  <c r="M482" i="1" s="1"/>
  <c r="B483" i="1"/>
  <c r="C483" i="1" a="1"/>
  <c r="C483" i="1" s="1"/>
  <c r="D483" i="1" s="1"/>
  <c r="E483" i="1"/>
  <c r="F483" i="1" s="1"/>
  <c r="J483" i="1"/>
  <c r="Q483" i="1" a="1"/>
  <c r="Q483" i="1" s="1"/>
  <c r="R483" i="1"/>
  <c r="L483" i="1"/>
  <c r="M483" i="1" s="1"/>
  <c r="B484" i="1"/>
  <c r="C484" i="1" a="1"/>
  <c r="C484" i="1" s="1"/>
  <c r="D484" i="1" s="1"/>
  <c r="E484" i="1"/>
  <c r="F484" i="1" s="1"/>
  <c r="J484" i="1"/>
  <c r="Q484" i="1" a="1"/>
  <c r="Q484" i="1" s="1"/>
  <c r="R484" i="1"/>
  <c r="L484" i="1"/>
  <c r="M484" i="1" s="1"/>
  <c r="B485" i="1"/>
  <c r="C485" i="1" a="1"/>
  <c r="C485" i="1" s="1"/>
  <c r="D485" i="1" s="1"/>
  <c r="E485" i="1"/>
  <c r="F485" i="1" s="1"/>
  <c r="J485" i="1"/>
  <c r="Q485" i="1" a="1"/>
  <c r="Q485" i="1" s="1"/>
  <c r="R485" i="1"/>
  <c r="L485" i="1"/>
  <c r="M485" i="1" s="1"/>
  <c r="B486" i="1"/>
  <c r="C486" i="1" a="1"/>
  <c r="C486" i="1" s="1"/>
  <c r="D486" i="1" s="1"/>
  <c r="E486" i="1"/>
  <c r="F486" i="1" s="1"/>
  <c r="S486" i="1" s="1"/>
  <c r="J486" i="1"/>
  <c r="Q486" i="1" a="1"/>
  <c r="Q486" i="1" s="1"/>
  <c r="R486" i="1"/>
  <c r="L486" i="1"/>
  <c r="M486" i="1" s="1"/>
  <c r="B487" i="1"/>
  <c r="C487" i="1" a="1"/>
  <c r="C487" i="1" s="1"/>
  <c r="D487" i="1" s="1"/>
  <c r="E487" i="1"/>
  <c r="F487" i="1" s="1"/>
  <c r="S487" i="1" s="1"/>
  <c r="J487" i="1"/>
  <c r="Q487" i="1" a="1"/>
  <c r="Q487" i="1" s="1"/>
  <c r="R487" i="1"/>
  <c r="L487" i="1"/>
  <c r="M487" i="1" s="1"/>
  <c r="B488" i="1"/>
  <c r="C488" i="1" a="1"/>
  <c r="C488" i="1" s="1"/>
  <c r="D488" i="1" s="1"/>
  <c r="E488" i="1"/>
  <c r="F488" i="1" s="1"/>
  <c r="S488" i="1" s="1"/>
  <c r="J488" i="1"/>
  <c r="Q488" i="1" a="1"/>
  <c r="Q488" i="1" s="1"/>
  <c r="R488" i="1"/>
  <c r="L488" i="1"/>
  <c r="M488" i="1" s="1"/>
  <c r="B489" i="1"/>
  <c r="C489" i="1" a="1"/>
  <c r="C489" i="1" s="1"/>
  <c r="D489" i="1" s="1"/>
  <c r="E489" i="1"/>
  <c r="F489" i="1" s="1"/>
  <c r="J489" i="1"/>
  <c r="Q489" i="1" a="1"/>
  <c r="Q489" i="1" s="1"/>
  <c r="R489" i="1"/>
  <c r="L489" i="1"/>
  <c r="M489" i="1" s="1"/>
  <c r="B490" i="1"/>
  <c r="C490" i="1" a="1"/>
  <c r="C490" i="1" s="1"/>
  <c r="D490" i="1" s="1"/>
  <c r="E490" i="1"/>
  <c r="F490" i="1" s="1"/>
  <c r="J490" i="1"/>
  <c r="Q490" i="1" a="1"/>
  <c r="Q490" i="1" s="1"/>
  <c r="R490" i="1"/>
  <c r="L490" i="1"/>
  <c r="M490" i="1" s="1"/>
  <c r="B491" i="1"/>
  <c r="C491" i="1" a="1"/>
  <c r="C491" i="1" s="1"/>
  <c r="D491" i="1" s="1"/>
  <c r="E491" i="1"/>
  <c r="F491" i="1" s="1"/>
  <c r="S491" i="1" s="1"/>
  <c r="J491" i="1"/>
  <c r="Q491" i="1" a="1"/>
  <c r="Q491" i="1" s="1"/>
  <c r="R491" i="1"/>
  <c r="L491" i="1"/>
  <c r="M491" i="1" s="1"/>
  <c r="B492" i="1"/>
  <c r="C492" i="1" a="1"/>
  <c r="C492" i="1" s="1"/>
  <c r="D492" i="1" s="1"/>
  <c r="E492" i="1"/>
  <c r="F492" i="1" s="1"/>
  <c r="J492" i="1"/>
  <c r="Q492" i="1" a="1"/>
  <c r="Q492" i="1" s="1"/>
  <c r="R492" i="1"/>
  <c r="L492" i="1"/>
  <c r="M492" i="1" s="1"/>
  <c r="B493" i="1"/>
  <c r="C493" i="1" a="1"/>
  <c r="C493" i="1" s="1"/>
  <c r="D493" i="1" s="1"/>
  <c r="E493" i="1"/>
  <c r="F493" i="1" s="1"/>
  <c r="S493" i="1" s="1"/>
  <c r="J493" i="1"/>
  <c r="Q493" i="1" a="1"/>
  <c r="Q493" i="1" s="1"/>
  <c r="R493" i="1"/>
  <c r="L493" i="1"/>
  <c r="M493" i="1" s="1"/>
  <c r="B494" i="1"/>
  <c r="C494" i="1" a="1"/>
  <c r="C494" i="1" s="1"/>
  <c r="D494" i="1" s="1"/>
  <c r="E494" i="1"/>
  <c r="F494" i="1" s="1"/>
  <c r="J494" i="1"/>
  <c r="Q494" i="1" a="1"/>
  <c r="Q494" i="1" s="1"/>
  <c r="R494" i="1"/>
  <c r="L494" i="1"/>
  <c r="M494" i="1" s="1"/>
  <c r="B495" i="1"/>
  <c r="C495" i="1" a="1"/>
  <c r="C495" i="1" s="1"/>
  <c r="D495" i="1" s="1"/>
  <c r="E495" i="1"/>
  <c r="F495" i="1" s="1"/>
  <c r="G495" i="1" s="1"/>
  <c r="H495" i="1" s="1"/>
  <c r="I495" i="1" s="1"/>
  <c r="J495" i="1"/>
  <c r="Q495" i="1" a="1"/>
  <c r="Q495" i="1" s="1"/>
  <c r="R495" i="1"/>
  <c r="L495" i="1"/>
  <c r="M495" i="1" s="1"/>
  <c r="B496" i="1"/>
  <c r="C496" i="1" a="1"/>
  <c r="C496" i="1" s="1"/>
  <c r="D496" i="1" s="1"/>
  <c r="E496" i="1"/>
  <c r="F496" i="1" s="1"/>
  <c r="J496" i="1"/>
  <c r="Q496" i="1" a="1"/>
  <c r="Q496" i="1" s="1"/>
  <c r="R496" i="1"/>
  <c r="L496" i="1"/>
  <c r="M496" i="1" s="1"/>
  <c r="B497" i="1"/>
  <c r="C497" i="1" a="1"/>
  <c r="C497" i="1" s="1"/>
  <c r="D497" i="1" s="1"/>
  <c r="E497" i="1"/>
  <c r="F497" i="1" s="1"/>
  <c r="J497" i="1"/>
  <c r="Q497" i="1" a="1"/>
  <c r="Q497" i="1" s="1"/>
  <c r="R497" i="1"/>
  <c r="L497" i="1"/>
  <c r="M497" i="1" s="1"/>
  <c r="B498" i="1"/>
  <c r="C498" i="1" a="1"/>
  <c r="C498" i="1" s="1"/>
  <c r="D498" i="1" s="1"/>
  <c r="E498" i="1"/>
  <c r="F498" i="1" s="1"/>
  <c r="S498" i="1" s="1"/>
  <c r="J498" i="1"/>
  <c r="Q498" i="1" a="1"/>
  <c r="Q498" i="1" s="1"/>
  <c r="R498" i="1"/>
  <c r="L498" i="1"/>
  <c r="M498" i="1" s="1"/>
  <c r="B499" i="1"/>
  <c r="C499" i="1" a="1"/>
  <c r="C499" i="1" s="1"/>
  <c r="D499" i="1" s="1"/>
  <c r="E499" i="1"/>
  <c r="F499" i="1" s="1"/>
  <c r="J499" i="1"/>
  <c r="Q499" i="1" a="1"/>
  <c r="Q499" i="1" s="1"/>
  <c r="R499" i="1"/>
  <c r="L499" i="1"/>
  <c r="M499" i="1" s="1"/>
  <c r="B500" i="1"/>
  <c r="C500" i="1" a="1"/>
  <c r="C500" i="1" s="1"/>
  <c r="D500" i="1" s="1"/>
  <c r="E500" i="1"/>
  <c r="F500" i="1" s="1"/>
  <c r="J500" i="1"/>
  <c r="Q500" i="1" a="1"/>
  <c r="Q500" i="1" s="1"/>
  <c r="R500" i="1"/>
  <c r="L500" i="1"/>
  <c r="M500" i="1" s="1"/>
  <c r="B501" i="1"/>
  <c r="C501" i="1" a="1"/>
  <c r="C501" i="1" s="1"/>
  <c r="D501" i="1" s="1"/>
  <c r="E501" i="1"/>
  <c r="F501" i="1" s="1"/>
  <c r="S501" i="1" s="1"/>
  <c r="J501" i="1"/>
  <c r="Q501" i="1" a="1"/>
  <c r="Q501" i="1" s="1"/>
  <c r="R501" i="1"/>
  <c r="L501" i="1"/>
  <c r="M501" i="1" s="1"/>
  <c r="K497" i="1" l="1"/>
  <c r="K489" i="1"/>
  <c r="K481" i="1"/>
  <c r="K473" i="1"/>
  <c r="K465" i="1"/>
  <c r="K457" i="1"/>
  <c r="K449" i="1"/>
  <c r="K441" i="1"/>
  <c r="K433" i="1"/>
  <c r="K425" i="1"/>
  <c r="K417" i="1"/>
  <c r="K409" i="1"/>
  <c r="K401" i="1"/>
  <c r="K393" i="1"/>
  <c r="K385" i="1"/>
  <c r="K377" i="1"/>
  <c r="K369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65" i="1"/>
  <c r="K257" i="1"/>
  <c r="K249" i="1"/>
  <c r="K241" i="1"/>
  <c r="K233" i="1"/>
  <c r="K225" i="1"/>
  <c r="K21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496" i="1"/>
  <c r="K488" i="1"/>
  <c r="K480" i="1"/>
  <c r="K472" i="1"/>
  <c r="K464" i="1"/>
  <c r="K456" i="1"/>
  <c r="K448" i="1"/>
  <c r="K440" i="1"/>
  <c r="K432" i="1"/>
  <c r="K424" i="1"/>
  <c r="K416" i="1"/>
  <c r="K408" i="1"/>
  <c r="K400" i="1"/>
  <c r="K392" i="1"/>
  <c r="K384" i="1"/>
  <c r="K376" i="1"/>
  <c r="K368" i="1"/>
  <c r="K360" i="1"/>
  <c r="K352" i="1"/>
  <c r="K344" i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495" i="1"/>
  <c r="K487" i="1"/>
  <c r="K479" i="1"/>
  <c r="K471" i="1"/>
  <c r="K463" i="1"/>
  <c r="K455" i="1"/>
  <c r="K447" i="1"/>
  <c r="K439" i="1"/>
  <c r="K431" i="1"/>
  <c r="K423" i="1"/>
  <c r="K415" i="1"/>
  <c r="K407" i="1"/>
  <c r="K399" i="1"/>
  <c r="K391" i="1"/>
  <c r="K383" i="1"/>
  <c r="K375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494" i="1"/>
  <c r="K486" i="1"/>
  <c r="K478" i="1"/>
  <c r="K470" i="1"/>
  <c r="K462" i="1"/>
  <c r="K454" i="1"/>
  <c r="K446" i="1"/>
  <c r="K438" i="1"/>
  <c r="K430" i="1"/>
  <c r="K422" i="1"/>
  <c r="K414" i="1"/>
  <c r="K406" i="1"/>
  <c r="K398" i="1"/>
  <c r="K390" i="1"/>
  <c r="K382" i="1"/>
  <c r="K374" i="1"/>
  <c r="K366" i="1"/>
  <c r="K358" i="1"/>
  <c r="K350" i="1"/>
  <c r="K342" i="1"/>
  <c r="K334" i="1"/>
  <c r="K326" i="1"/>
  <c r="K318" i="1"/>
  <c r="K310" i="1"/>
  <c r="K302" i="1"/>
  <c r="K294" i="1"/>
  <c r="K286" i="1"/>
  <c r="K278" i="1"/>
  <c r="K270" i="1"/>
  <c r="K262" i="1"/>
  <c r="K254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501" i="1"/>
  <c r="K493" i="1"/>
  <c r="K485" i="1"/>
  <c r="K477" i="1"/>
  <c r="K469" i="1"/>
  <c r="K461" i="1"/>
  <c r="K453" i="1"/>
  <c r="K445" i="1"/>
  <c r="K437" i="1"/>
  <c r="K429" i="1"/>
  <c r="K421" i="1"/>
  <c r="K413" i="1"/>
  <c r="K405" i="1"/>
  <c r="K397" i="1"/>
  <c r="K389" i="1"/>
  <c r="K381" i="1"/>
  <c r="K373" i="1"/>
  <c r="K365" i="1"/>
  <c r="K357" i="1"/>
  <c r="K349" i="1"/>
  <c r="K341" i="1"/>
  <c r="K333" i="1"/>
  <c r="K325" i="1"/>
  <c r="K317" i="1"/>
  <c r="K309" i="1"/>
  <c r="K301" i="1"/>
  <c r="K293" i="1"/>
  <c r="K285" i="1"/>
  <c r="K277" i="1"/>
  <c r="K269" i="1"/>
  <c r="K261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500" i="1"/>
  <c r="K492" i="1"/>
  <c r="K484" i="1"/>
  <c r="K476" i="1"/>
  <c r="K468" i="1"/>
  <c r="K460" i="1"/>
  <c r="K452" i="1"/>
  <c r="K444" i="1"/>
  <c r="K436" i="1"/>
  <c r="K428" i="1"/>
  <c r="K420" i="1"/>
  <c r="K412" i="1"/>
  <c r="K404" i="1"/>
  <c r="K396" i="1"/>
  <c r="K388" i="1"/>
  <c r="K380" i="1"/>
  <c r="K372" i="1"/>
  <c r="K364" i="1"/>
  <c r="K356" i="1"/>
  <c r="K348" i="1"/>
  <c r="K340" i="1"/>
  <c r="K332" i="1"/>
  <c r="K324" i="1"/>
  <c r="K316" i="1"/>
  <c r="K308" i="1"/>
  <c r="K300" i="1"/>
  <c r="K292" i="1"/>
  <c r="K284" i="1"/>
  <c r="K276" i="1"/>
  <c r="K268" i="1"/>
  <c r="K260" i="1"/>
  <c r="K252" i="1"/>
  <c r="K244" i="1"/>
  <c r="K236" i="1"/>
  <c r="K228" i="1"/>
  <c r="K220" i="1"/>
  <c r="K212" i="1"/>
  <c r="K204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4" i="1"/>
  <c r="K499" i="1"/>
  <c r="K491" i="1"/>
  <c r="K483" i="1"/>
  <c r="K475" i="1"/>
  <c r="K467" i="1"/>
  <c r="K459" i="1"/>
  <c r="K451" i="1"/>
  <c r="K443" i="1"/>
  <c r="K435" i="1"/>
  <c r="K427" i="1"/>
  <c r="K419" i="1"/>
  <c r="K411" i="1"/>
  <c r="K403" i="1"/>
  <c r="K395" i="1"/>
  <c r="K387" i="1"/>
  <c r="K379" i="1"/>
  <c r="K371" i="1"/>
  <c r="K363" i="1"/>
  <c r="K355" i="1"/>
  <c r="K347" i="1"/>
  <c r="K339" i="1"/>
  <c r="K331" i="1"/>
  <c r="K323" i="1"/>
  <c r="K315" i="1"/>
  <c r="K307" i="1"/>
  <c r="K299" i="1"/>
  <c r="K291" i="1"/>
  <c r="K283" i="1"/>
  <c r="K275" i="1"/>
  <c r="K26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K3" i="1"/>
  <c r="K498" i="1"/>
  <c r="K490" i="1"/>
  <c r="K482" i="1"/>
  <c r="K474" i="1"/>
  <c r="K466" i="1"/>
  <c r="K458" i="1"/>
  <c r="K450" i="1"/>
  <c r="K442" i="1"/>
  <c r="K434" i="1"/>
  <c r="K426" i="1"/>
  <c r="K418" i="1"/>
  <c r="K410" i="1"/>
  <c r="K402" i="1"/>
  <c r="K394" i="1"/>
  <c r="K386" i="1"/>
  <c r="K378" i="1"/>
  <c r="K370" i="1"/>
  <c r="K362" i="1"/>
  <c r="K354" i="1"/>
  <c r="K346" i="1"/>
  <c r="K338" i="1"/>
  <c r="K330" i="1"/>
  <c r="K322" i="1"/>
  <c r="K314" i="1"/>
  <c r="K306" i="1"/>
  <c r="K298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2" i="1"/>
  <c r="G77" i="1"/>
  <c r="H77" i="1" s="1"/>
  <c r="I77" i="1" s="1"/>
  <c r="S154" i="1"/>
  <c r="S303" i="1"/>
  <c r="S438" i="1"/>
  <c r="S352" i="1"/>
  <c r="S331" i="1"/>
  <c r="S254" i="1"/>
  <c r="G344" i="1"/>
  <c r="H344" i="1" s="1"/>
  <c r="I344" i="1" s="1"/>
  <c r="G197" i="1"/>
  <c r="H197" i="1" s="1"/>
  <c r="I197" i="1" s="1"/>
  <c r="S87" i="1"/>
  <c r="S349" i="1"/>
  <c r="G335" i="1"/>
  <c r="H335" i="1" s="1"/>
  <c r="I335" i="1" s="1"/>
  <c r="S246" i="1"/>
  <c r="S192" i="1"/>
  <c r="S264" i="1"/>
  <c r="S238" i="1"/>
  <c r="G252" i="1"/>
  <c r="H252" i="1" s="1"/>
  <c r="I252" i="1" s="1"/>
  <c r="G313" i="1"/>
  <c r="H313" i="1" s="1"/>
  <c r="I313" i="1" s="1"/>
  <c r="S302" i="1"/>
  <c r="S74" i="1"/>
  <c r="S98" i="1"/>
  <c r="S490" i="1"/>
  <c r="G490" i="1"/>
  <c r="H490" i="1" s="1"/>
  <c r="I490" i="1" s="1"/>
  <c r="S482" i="1"/>
  <c r="G482" i="1"/>
  <c r="H482" i="1" s="1"/>
  <c r="I482" i="1" s="1"/>
  <c r="S467" i="1"/>
  <c r="G467" i="1"/>
  <c r="H467" i="1" s="1"/>
  <c r="I467" i="1" s="1"/>
  <c r="G501" i="1"/>
  <c r="H501" i="1" s="1"/>
  <c r="I501" i="1" s="1"/>
  <c r="G191" i="1"/>
  <c r="H191" i="1" s="1"/>
  <c r="I191" i="1" s="1"/>
  <c r="G186" i="1"/>
  <c r="H186" i="1" s="1"/>
  <c r="I186" i="1" s="1"/>
  <c r="S151" i="1"/>
  <c r="G90" i="1"/>
  <c r="H90" i="1" s="1"/>
  <c r="I90" i="1" s="1"/>
  <c r="G75" i="1"/>
  <c r="H75" i="1" s="1"/>
  <c r="I75" i="1" s="1"/>
  <c r="S267" i="1"/>
  <c r="S253" i="1"/>
  <c r="S168" i="1"/>
  <c r="S91" i="1"/>
  <c r="S319" i="1"/>
  <c r="S235" i="1"/>
  <c r="S166" i="1"/>
  <c r="S184" i="1"/>
  <c r="S161" i="1"/>
  <c r="S106" i="1"/>
  <c r="G95" i="1"/>
  <c r="H95" i="1" s="1"/>
  <c r="I95" i="1" s="1"/>
  <c r="S485" i="1"/>
  <c r="G485" i="1"/>
  <c r="H485" i="1" s="1"/>
  <c r="I485" i="1" s="1"/>
  <c r="G491" i="1"/>
  <c r="H491" i="1" s="1"/>
  <c r="I491" i="1" s="1"/>
  <c r="G488" i="1"/>
  <c r="H488" i="1" s="1"/>
  <c r="I488" i="1" s="1"/>
  <c r="G462" i="1"/>
  <c r="H462" i="1" s="1"/>
  <c r="I462" i="1" s="1"/>
  <c r="S105" i="1"/>
  <c r="G103" i="1"/>
  <c r="H103" i="1" s="1"/>
  <c r="I103" i="1" s="1"/>
  <c r="S242" i="1"/>
  <c r="S232" i="1"/>
  <c r="S170" i="1"/>
  <c r="S325" i="1"/>
  <c r="S148" i="1"/>
  <c r="S203" i="1"/>
  <c r="S179" i="1"/>
  <c r="S160" i="1"/>
  <c r="S336" i="1"/>
  <c r="S312" i="1"/>
  <c r="G440" i="1"/>
  <c r="H440" i="1" s="1"/>
  <c r="I440" i="1" s="1"/>
  <c r="S360" i="1"/>
  <c r="G358" i="1"/>
  <c r="H358" i="1" s="1"/>
  <c r="I358" i="1" s="1"/>
  <c r="G314" i="1"/>
  <c r="H314" i="1" s="1"/>
  <c r="I314" i="1" s="1"/>
  <c r="S311" i="1"/>
  <c r="S294" i="1"/>
  <c r="G233" i="1"/>
  <c r="H233" i="1" s="1"/>
  <c r="I233" i="1" s="1"/>
  <c r="S198" i="1"/>
  <c r="S176" i="1"/>
  <c r="G162" i="1"/>
  <c r="H162" i="1" s="1"/>
  <c r="I162" i="1" s="1"/>
  <c r="S157" i="1"/>
  <c r="G498" i="1"/>
  <c r="H498" i="1" s="1"/>
  <c r="I498" i="1" s="1"/>
  <c r="S446" i="1"/>
  <c r="G348" i="1"/>
  <c r="H348" i="1" s="1"/>
  <c r="I348" i="1" s="1"/>
  <c r="S343" i="1"/>
  <c r="S322" i="1"/>
  <c r="G276" i="1"/>
  <c r="H276" i="1" s="1"/>
  <c r="I276" i="1" s="1"/>
  <c r="S247" i="1"/>
  <c r="S483" i="1"/>
  <c r="G483" i="1"/>
  <c r="H483" i="1" s="1"/>
  <c r="I483" i="1" s="1"/>
  <c r="S496" i="1"/>
  <c r="G496" i="1"/>
  <c r="H496" i="1" s="1"/>
  <c r="I496" i="1" s="1"/>
  <c r="S436" i="1"/>
  <c r="G436" i="1"/>
  <c r="H436" i="1" s="1"/>
  <c r="I436" i="1" s="1"/>
  <c r="S494" i="1"/>
  <c r="G494" i="1"/>
  <c r="H494" i="1" s="1"/>
  <c r="I494" i="1" s="1"/>
  <c r="S480" i="1"/>
  <c r="G480" i="1"/>
  <c r="H480" i="1" s="1"/>
  <c r="I480" i="1" s="1"/>
  <c r="G459" i="1"/>
  <c r="H459" i="1" s="1"/>
  <c r="I459" i="1" s="1"/>
  <c r="S459" i="1"/>
  <c r="S442" i="1"/>
  <c r="G442" i="1"/>
  <c r="H442" i="1" s="1"/>
  <c r="I442" i="1" s="1"/>
  <c r="S499" i="1"/>
  <c r="G499" i="1"/>
  <c r="H499" i="1" s="1"/>
  <c r="I499" i="1" s="1"/>
  <c r="S464" i="1"/>
  <c r="G464" i="1"/>
  <c r="H464" i="1" s="1"/>
  <c r="I464" i="1" s="1"/>
  <c r="G333" i="1"/>
  <c r="H333" i="1" s="1"/>
  <c r="I333" i="1" s="1"/>
  <c r="S333" i="1"/>
  <c r="S323" i="1"/>
  <c r="G323" i="1"/>
  <c r="H323" i="1" s="1"/>
  <c r="I323" i="1" s="1"/>
  <c r="G239" i="1"/>
  <c r="H239" i="1" s="1"/>
  <c r="I239" i="1" s="1"/>
  <c r="S239" i="1"/>
  <c r="G486" i="1"/>
  <c r="H486" i="1" s="1"/>
  <c r="I486" i="1" s="1"/>
  <c r="G435" i="1"/>
  <c r="H435" i="1" s="1"/>
  <c r="I435" i="1" s="1"/>
  <c r="S435" i="1"/>
  <c r="G297" i="1"/>
  <c r="H297" i="1" s="1"/>
  <c r="I297" i="1" s="1"/>
  <c r="S297" i="1"/>
  <c r="G272" i="1"/>
  <c r="H272" i="1" s="1"/>
  <c r="I272" i="1" s="1"/>
  <c r="S272" i="1"/>
  <c r="G146" i="1"/>
  <c r="H146" i="1" s="1"/>
  <c r="I146" i="1" s="1"/>
  <c r="S146" i="1"/>
  <c r="G250" i="1"/>
  <c r="H250" i="1" s="1"/>
  <c r="I250" i="1" s="1"/>
  <c r="S250" i="1"/>
  <c r="G143" i="1"/>
  <c r="H143" i="1" s="1"/>
  <c r="I143" i="1" s="1"/>
  <c r="S143" i="1"/>
  <c r="S346" i="1"/>
  <c r="G346" i="1"/>
  <c r="H346" i="1" s="1"/>
  <c r="I346" i="1" s="1"/>
  <c r="S189" i="1"/>
  <c r="G189" i="1"/>
  <c r="H189" i="1" s="1"/>
  <c r="I189" i="1" s="1"/>
  <c r="S450" i="1"/>
  <c r="G450" i="1"/>
  <c r="H450" i="1" s="1"/>
  <c r="I450" i="1" s="1"/>
  <c r="G478" i="1"/>
  <c r="H478" i="1" s="1"/>
  <c r="I478" i="1" s="1"/>
  <c r="G470" i="1"/>
  <c r="H470" i="1" s="1"/>
  <c r="I470" i="1" s="1"/>
  <c r="S355" i="1"/>
  <c r="G355" i="1"/>
  <c r="H355" i="1" s="1"/>
  <c r="I355" i="1" s="1"/>
  <c r="G137" i="1"/>
  <c r="H137" i="1" s="1"/>
  <c r="I137" i="1" s="1"/>
  <c r="S137" i="1"/>
  <c r="S475" i="1"/>
  <c r="G475" i="1"/>
  <c r="H475" i="1" s="1"/>
  <c r="I475" i="1" s="1"/>
  <c r="S329" i="1"/>
  <c r="S434" i="1"/>
  <c r="G434" i="1"/>
  <c r="H434" i="1" s="1"/>
  <c r="I434" i="1" s="1"/>
  <c r="G493" i="1"/>
  <c r="H493" i="1" s="1"/>
  <c r="I493" i="1" s="1"/>
  <c r="G472" i="1"/>
  <c r="H472" i="1" s="1"/>
  <c r="I472" i="1" s="1"/>
  <c r="S432" i="1"/>
  <c r="S324" i="1"/>
  <c r="G324" i="1"/>
  <c r="H324" i="1" s="1"/>
  <c r="I324" i="1" s="1"/>
  <c r="S315" i="1"/>
  <c r="S300" i="1"/>
  <c r="G300" i="1"/>
  <c r="H300" i="1" s="1"/>
  <c r="I300" i="1" s="1"/>
  <c r="S298" i="1"/>
  <c r="G298" i="1"/>
  <c r="H298" i="1" s="1"/>
  <c r="I298" i="1" s="1"/>
  <c r="S131" i="1"/>
  <c r="G131" i="1"/>
  <c r="H131" i="1" s="1"/>
  <c r="I131" i="1" s="1"/>
  <c r="G44" i="1"/>
  <c r="H44" i="1" s="1"/>
  <c r="I44" i="1" s="1"/>
  <c r="S44" i="1"/>
  <c r="S299" i="1"/>
  <c r="S296" i="1"/>
  <c r="G133" i="1"/>
  <c r="H133" i="1" s="1"/>
  <c r="I133" i="1" s="1"/>
  <c r="G174" i="1"/>
  <c r="H174" i="1" s="1"/>
  <c r="I174" i="1" s="1"/>
  <c r="G171" i="1"/>
  <c r="H171" i="1" s="1"/>
  <c r="I171" i="1" s="1"/>
  <c r="G144" i="1"/>
  <c r="H144" i="1" s="1"/>
  <c r="I144" i="1" s="1"/>
  <c r="G199" i="1"/>
  <c r="H199" i="1" s="1"/>
  <c r="I199" i="1" s="1"/>
  <c r="G182" i="1"/>
  <c r="H182" i="1" s="1"/>
  <c r="I182" i="1" s="1"/>
  <c r="G141" i="1"/>
  <c r="H141" i="1" s="1"/>
  <c r="I141" i="1" s="1"/>
  <c r="G93" i="1"/>
  <c r="H93" i="1" s="1"/>
  <c r="I93" i="1" s="1"/>
  <c r="S187" i="1"/>
  <c r="G134" i="1"/>
  <c r="H134" i="1" s="1"/>
  <c r="I134" i="1" s="1"/>
  <c r="S341" i="1"/>
  <c r="S328" i="1"/>
  <c r="S268" i="1"/>
  <c r="S155" i="1"/>
  <c r="G424" i="1"/>
  <c r="H424" i="1" s="1"/>
  <c r="I424" i="1" s="1"/>
  <c r="S243" i="1"/>
  <c r="G172" i="1"/>
  <c r="H172" i="1" s="1"/>
  <c r="I172" i="1" s="1"/>
  <c r="G474" i="1"/>
  <c r="H474" i="1" s="1"/>
  <c r="I474" i="1" s="1"/>
  <c r="S474" i="1"/>
  <c r="S454" i="1"/>
  <c r="G454" i="1"/>
  <c r="H454" i="1" s="1"/>
  <c r="I454" i="1" s="1"/>
  <c r="S428" i="1"/>
  <c r="G428" i="1"/>
  <c r="H428" i="1" s="1"/>
  <c r="I428" i="1" s="1"/>
  <c r="G492" i="1"/>
  <c r="H492" i="1" s="1"/>
  <c r="I492" i="1" s="1"/>
  <c r="S492" i="1"/>
  <c r="G484" i="1"/>
  <c r="H484" i="1" s="1"/>
  <c r="I484" i="1" s="1"/>
  <c r="S484" i="1"/>
  <c r="G481" i="1"/>
  <c r="H481" i="1" s="1"/>
  <c r="I481" i="1" s="1"/>
  <c r="S481" i="1"/>
  <c r="G456" i="1"/>
  <c r="H456" i="1" s="1"/>
  <c r="I456" i="1" s="1"/>
  <c r="S456" i="1"/>
  <c r="S444" i="1"/>
  <c r="G444" i="1"/>
  <c r="H444" i="1" s="1"/>
  <c r="I444" i="1" s="1"/>
  <c r="S430" i="1"/>
  <c r="G430" i="1"/>
  <c r="H430" i="1" s="1"/>
  <c r="I430" i="1" s="1"/>
  <c r="G500" i="1"/>
  <c r="H500" i="1" s="1"/>
  <c r="I500" i="1" s="1"/>
  <c r="S500" i="1"/>
  <c r="G497" i="1"/>
  <c r="H497" i="1" s="1"/>
  <c r="I497" i="1" s="1"/>
  <c r="S497" i="1"/>
  <c r="G489" i="1"/>
  <c r="H489" i="1" s="1"/>
  <c r="I489" i="1" s="1"/>
  <c r="S489" i="1"/>
  <c r="G468" i="1"/>
  <c r="H468" i="1" s="1"/>
  <c r="I468" i="1" s="1"/>
  <c r="S468" i="1"/>
  <c r="G271" i="1"/>
  <c r="H271" i="1" s="1"/>
  <c r="I271" i="1" s="1"/>
  <c r="S271" i="1"/>
  <c r="S466" i="1"/>
  <c r="G466" i="1"/>
  <c r="H466" i="1" s="1"/>
  <c r="I466" i="1" s="1"/>
  <c r="G426" i="1"/>
  <c r="H426" i="1" s="1"/>
  <c r="I426" i="1" s="1"/>
  <c r="S426" i="1"/>
  <c r="G473" i="1"/>
  <c r="H473" i="1" s="1"/>
  <c r="I473" i="1" s="1"/>
  <c r="S473" i="1"/>
  <c r="G452" i="1"/>
  <c r="H452" i="1" s="1"/>
  <c r="I452" i="1" s="1"/>
  <c r="S452" i="1"/>
  <c r="G476" i="1"/>
  <c r="H476" i="1" s="1"/>
  <c r="I476" i="1" s="1"/>
  <c r="S476" i="1"/>
  <c r="G465" i="1"/>
  <c r="H465" i="1" s="1"/>
  <c r="I465" i="1" s="1"/>
  <c r="S465" i="1"/>
  <c r="S495" i="1"/>
  <c r="S458" i="1"/>
  <c r="S477" i="1"/>
  <c r="S451" i="1"/>
  <c r="G487" i="1"/>
  <c r="H487" i="1" s="1"/>
  <c r="I487" i="1" s="1"/>
  <c r="G479" i="1"/>
  <c r="H479" i="1" s="1"/>
  <c r="I479" i="1" s="1"/>
  <c r="G471" i="1"/>
  <c r="H471" i="1" s="1"/>
  <c r="I471" i="1" s="1"/>
  <c r="G448" i="1"/>
  <c r="H448" i="1" s="1"/>
  <c r="I448" i="1" s="1"/>
  <c r="G420" i="1"/>
  <c r="H420" i="1" s="1"/>
  <c r="I420" i="1" s="1"/>
  <c r="G339" i="1"/>
  <c r="H339" i="1" s="1"/>
  <c r="I339" i="1" s="1"/>
  <c r="S308" i="1"/>
  <c r="S256" i="1"/>
  <c r="G256" i="1"/>
  <c r="H256" i="1" s="1"/>
  <c r="I256" i="1" s="1"/>
  <c r="S255" i="1"/>
  <c r="G255" i="1"/>
  <c r="H255" i="1" s="1"/>
  <c r="I255" i="1" s="1"/>
  <c r="S175" i="1"/>
  <c r="G175" i="1"/>
  <c r="H175" i="1" s="1"/>
  <c r="I175" i="1" s="1"/>
  <c r="S347" i="1"/>
  <c r="G347" i="1"/>
  <c r="H347" i="1" s="1"/>
  <c r="I347" i="1" s="1"/>
  <c r="S320" i="1"/>
  <c r="G320" i="1"/>
  <c r="H320" i="1" s="1"/>
  <c r="I320" i="1" s="1"/>
  <c r="S307" i="1"/>
  <c r="G307" i="1"/>
  <c r="H307" i="1" s="1"/>
  <c r="I307" i="1" s="1"/>
  <c r="S306" i="1"/>
  <c r="G306" i="1"/>
  <c r="H306" i="1" s="1"/>
  <c r="I306" i="1" s="1"/>
  <c r="G293" i="1"/>
  <c r="H293" i="1" s="1"/>
  <c r="I293" i="1" s="1"/>
  <c r="S293" i="1"/>
  <c r="S263" i="1"/>
  <c r="G263" i="1"/>
  <c r="H263" i="1" s="1"/>
  <c r="I263" i="1" s="1"/>
  <c r="G245" i="1"/>
  <c r="H245" i="1" s="1"/>
  <c r="I245" i="1" s="1"/>
  <c r="S245" i="1"/>
  <c r="S183" i="1"/>
  <c r="G183" i="1"/>
  <c r="H183" i="1" s="1"/>
  <c r="I183" i="1" s="1"/>
  <c r="G469" i="1"/>
  <c r="H469" i="1" s="1"/>
  <c r="I469" i="1" s="1"/>
  <c r="G460" i="1"/>
  <c r="H460" i="1" s="1"/>
  <c r="I460" i="1" s="1"/>
  <c r="S354" i="1"/>
  <c r="G338" i="1"/>
  <c r="H338" i="1" s="1"/>
  <c r="I338" i="1" s="1"/>
  <c r="G304" i="1"/>
  <c r="H304" i="1" s="1"/>
  <c r="I304" i="1" s="1"/>
  <c r="S301" i="1"/>
  <c r="G266" i="1"/>
  <c r="H266" i="1" s="1"/>
  <c r="I266" i="1" s="1"/>
  <c r="G262" i="1"/>
  <c r="H262" i="1" s="1"/>
  <c r="I262" i="1" s="1"/>
  <c r="S262" i="1"/>
  <c r="S142" i="1"/>
  <c r="G142" i="1"/>
  <c r="H142" i="1" s="1"/>
  <c r="I142" i="1" s="1"/>
  <c r="G136" i="1"/>
  <c r="H136" i="1" s="1"/>
  <c r="I136" i="1" s="1"/>
  <c r="S136" i="1"/>
  <c r="G310" i="1"/>
  <c r="H310" i="1" s="1"/>
  <c r="I310" i="1" s="1"/>
  <c r="S310" i="1"/>
  <c r="S275" i="1"/>
  <c r="G275" i="1"/>
  <c r="H275" i="1" s="1"/>
  <c r="I275" i="1" s="1"/>
  <c r="S443" i="1"/>
  <c r="G317" i="1"/>
  <c r="H317" i="1" s="1"/>
  <c r="I317" i="1" s="1"/>
  <c r="S317" i="1"/>
  <c r="S286" i="1"/>
  <c r="G286" i="1"/>
  <c r="H286" i="1" s="1"/>
  <c r="I286" i="1" s="1"/>
  <c r="S455" i="1"/>
  <c r="S427" i="1"/>
  <c r="S422" i="1"/>
  <c r="G345" i="1"/>
  <c r="H345" i="1" s="1"/>
  <c r="I345" i="1" s="1"/>
  <c r="S345" i="1"/>
  <c r="S327" i="1"/>
  <c r="G237" i="1"/>
  <c r="H237" i="1" s="1"/>
  <c r="I237" i="1" s="1"/>
  <c r="S237" i="1"/>
  <c r="S447" i="1"/>
  <c r="S431" i="1"/>
  <c r="S330" i="1"/>
  <c r="S288" i="1"/>
  <c r="S337" i="1"/>
  <c r="S309" i="1"/>
  <c r="S258" i="1"/>
  <c r="S248" i="1"/>
  <c r="S240" i="1"/>
  <c r="G240" i="1"/>
  <c r="H240" i="1" s="1"/>
  <c r="I240" i="1" s="1"/>
  <c r="S295" i="1"/>
  <c r="S261" i="1"/>
  <c r="S244" i="1"/>
  <c r="S241" i="1"/>
  <c r="S236" i="1"/>
  <c r="S169" i="1"/>
  <c r="S163" i="1"/>
  <c r="S149" i="1"/>
  <c r="S139" i="1"/>
  <c r="G139" i="1"/>
  <c r="H139" i="1" s="1"/>
  <c r="I139" i="1" s="1"/>
  <c r="S101" i="1"/>
  <c r="G89" i="1"/>
  <c r="H89" i="1" s="1"/>
  <c r="I89" i="1" s="1"/>
  <c r="S89" i="1"/>
  <c r="G76" i="1"/>
  <c r="H76" i="1" s="1"/>
  <c r="I76" i="1" s="1"/>
  <c r="S76" i="1"/>
  <c r="G196" i="1"/>
  <c r="H196" i="1" s="1"/>
  <c r="I196" i="1" s="1"/>
  <c r="S196" i="1"/>
  <c r="G99" i="1"/>
  <c r="H99" i="1" s="1"/>
  <c r="I99" i="1" s="1"/>
  <c r="G201" i="1"/>
  <c r="H201" i="1" s="1"/>
  <c r="I201" i="1" s="1"/>
  <c r="S194" i="1"/>
  <c r="G194" i="1"/>
  <c r="H194" i="1" s="1"/>
  <c r="I194" i="1" s="1"/>
  <c r="S159" i="1"/>
  <c r="G159" i="1"/>
  <c r="H159" i="1" s="1"/>
  <c r="I159" i="1" s="1"/>
  <c r="S190" i="1"/>
  <c r="G190" i="1"/>
  <c r="H190" i="1" s="1"/>
  <c r="I190" i="1" s="1"/>
  <c r="S167" i="1"/>
  <c r="G167" i="1"/>
  <c r="H167" i="1" s="1"/>
  <c r="I167" i="1" s="1"/>
  <c r="S164" i="1"/>
  <c r="G164" i="1"/>
  <c r="H164" i="1" s="1"/>
  <c r="I164" i="1" s="1"/>
  <c r="S150" i="1"/>
  <c r="G150" i="1"/>
  <c r="H150" i="1" s="1"/>
  <c r="I150" i="1" s="1"/>
  <c r="S145" i="1"/>
  <c r="G145" i="1"/>
  <c r="H145" i="1" s="1"/>
  <c r="I145" i="1" s="1"/>
  <c r="S85" i="1"/>
  <c r="S181" i="1"/>
  <c r="G181" i="1"/>
  <c r="H181" i="1" s="1"/>
  <c r="I181" i="1" s="1"/>
  <c r="G178" i="1"/>
  <c r="H178" i="1" s="1"/>
  <c r="I178" i="1" s="1"/>
  <c r="S165" i="1"/>
  <c r="G158" i="1"/>
  <c r="H158" i="1" s="1"/>
  <c r="I158" i="1" s="1"/>
  <c r="S156" i="1"/>
  <c r="G140" i="1"/>
  <c r="H140" i="1" s="1"/>
  <c r="I140" i="1" s="1"/>
  <c r="S138" i="1"/>
  <c r="G138" i="1"/>
  <c r="H138" i="1" s="1"/>
  <c r="I138" i="1" s="1"/>
  <c r="G130" i="1"/>
  <c r="H130" i="1" s="1"/>
  <c r="I130" i="1" s="1"/>
  <c r="S107" i="1"/>
  <c r="G200" i="1"/>
  <c r="H200" i="1" s="1"/>
  <c r="I200" i="1" s="1"/>
  <c r="S200" i="1"/>
  <c r="G152" i="1"/>
  <c r="H152" i="1" s="1"/>
  <c r="I152" i="1" s="1"/>
  <c r="S152" i="1"/>
  <c r="S79" i="1"/>
  <c r="S153" i="1"/>
  <c r="S147" i="1"/>
  <c r="S135" i="1"/>
  <c r="G135" i="1"/>
  <c r="H135" i="1" s="1"/>
  <c r="I135" i="1" s="1"/>
  <c r="S132" i="1"/>
  <c r="G132" i="1"/>
  <c r="H132" i="1" s="1"/>
  <c r="I132" i="1" s="1"/>
  <c r="S83" i="1"/>
  <c r="S173" i="1"/>
  <c r="S429" i="1"/>
  <c r="G429" i="1"/>
  <c r="H429" i="1" s="1"/>
  <c r="I429" i="1" s="1"/>
  <c r="G381" i="1"/>
  <c r="H381" i="1" s="1"/>
  <c r="I381" i="1" s="1"/>
  <c r="S381" i="1"/>
  <c r="S457" i="1"/>
  <c r="G457" i="1"/>
  <c r="H457" i="1" s="1"/>
  <c r="I457" i="1" s="1"/>
  <c r="S453" i="1"/>
  <c r="G453" i="1"/>
  <c r="H453" i="1" s="1"/>
  <c r="I453" i="1" s="1"/>
  <c r="S441" i="1"/>
  <c r="G441" i="1"/>
  <c r="H441" i="1" s="1"/>
  <c r="I441" i="1" s="1"/>
  <c r="S425" i="1"/>
  <c r="G425" i="1"/>
  <c r="H425" i="1" s="1"/>
  <c r="I425" i="1" s="1"/>
  <c r="G391" i="1"/>
  <c r="H391" i="1" s="1"/>
  <c r="I391" i="1" s="1"/>
  <c r="S391" i="1"/>
  <c r="G284" i="1"/>
  <c r="H284" i="1" s="1"/>
  <c r="I284" i="1" s="1"/>
  <c r="S284" i="1"/>
  <c r="G389" i="1"/>
  <c r="H389" i="1" s="1"/>
  <c r="I389" i="1" s="1"/>
  <c r="S389" i="1"/>
  <c r="G377" i="1"/>
  <c r="H377" i="1" s="1"/>
  <c r="I377" i="1" s="1"/>
  <c r="S377" i="1"/>
  <c r="G228" i="1"/>
  <c r="H228" i="1" s="1"/>
  <c r="I228" i="1" s="1"/>
  <c r="S228" i="1"/>
  <c r="S292" i="1"/>
  <c r="G292" i="1"/>
  <c r="H292" i="1" s="1"/>
  <c r="I292" i="1" s="1"/>
  <c r="S433" i="1"/>
  <c r="G433" i="1"/>
  <c r="H433" i="1" s="1"/>
  <c r="I433" i="1" s="1"/>
  <c r="G393" i="1"/>
  <c r="H393" i="1" s="1"/>
  <c r="I393" i="1" s="1"/>
  <c r="S393" i="1"/>
  <c r="G387" i="1"/>
  <c r="H387" i="1" s="1"/>
  <c r="I387" i="1" s="1"/>
  <c r="S387" i="1"/>
  <c r="S445" i="1"/>
  <c r="G445" i="1"/>
  <c r="H445" i="1" s="1"/>
  <c r="I445" i="1" s="1"/>
  <c r="S437" i="1"/>
  <c r="G437" i="1"/>
  <c r="H437" i="1" s="1"/>
  <c r="I437" i="1" s="1"/>
  <c r="G397" i="1"/>
  <c r="H397" i="1" s="1"/>
  <c r="I397" i="1" s="1"/>
  <c r="S397" i="1"/>
  <c r="G379" i="1"/>
  <c r="H379" i="1" s="1"/>
  <c r="I379" i="1" s="1"/>
  <c r="S379" i="1"/>
  <c r="G375" i="1"/>
  <c r="H375" i="1" s="1"/>
  <c r="I375" i="1" s="1"/>
  <c r="S375" i="1"/>
  <c r="S280" i="1"/>
  <c r="G280" i="1"/>
  <c r="H280" i="1" s="1"/>
  <c r="I280" i="1" s="1"/>
  <c r="G399" i="1"/>
  <c r="H399" i="1" s="1"/>
  <c r="I399" i="1" s="1"/>
  <c r="S399" i="1"/>
  <c r="G385" i="1"/>
  <c r="H385" i="1" s="1"/>
  <c r="I385" i="1" s="1"/>
  <c r="S385" i="1"/>
  <c r="S461" i="1"/>
  <c r="G461" i="1"/>
  <c r="H461" i="1" s="1"/>
  <c r="I461" i="1" s="1"/>
  <c r="S449" i="1"/>
  <c r="G449" i="1"/>
  <c r="H449" i="1" s="1"/>
  <c r="I449" i="1" s="1"/>
  <c r="G383" i="1"/>
  <c r="H383" i="1" s="1"/>
  <c r="I383" i="1" s="1"/>
  <c r="S383" i="1"/>
  <c r="S421" i="1"/>
  <c r="G421" i="1"/>
  <c r="H421" i="1" s="1"/>
  <c r="I421" i="1" s="1"/>
  <c r="G395" i="1"/>
  <c r="H395" i="1" s="1"/>
  <c r="I395" i="1" s="1"/>
  <c r="S395" i="1"/>
  <c r="S463" i="1"/>
  <c r="G416" i="1"/>
  <c r="H416" i="1" s="1"/>
  <c r="I416" i="1" s="1"/>
  <c r="S416" i="1"/>
  <c r="G414" i="1"/>
  <c r="H414" i="1" s="1"/>
  <c r="I414" i="1" s="1"/>
  <c r="S414" i="1"/>
  <c r="G412" i="1"/>
  <c r="H412" i="1" s="1"/>
  <c r="I412" i="1" s="1"/>
  <c r="S412" i="1"/>
  <c r="G408" i="1"/>
  <c r="H408" i="1" s="1"/>
  <c r="I408" i="1" s="1"/>
  <c r="S408" i="1"/>
  <c r="G406" i="1"/>
  <c r="H406" i="1" s="1"/>
  <c r="I406" i="1" s="1"/>
  <c r="S406" i="1"/>
  <c r="G404" i="1"/>
  <c r="H404" i="1" s="1"/>
  <c r="I404" i="1" s="1"/>
  <c r="S404" i="1"/>
  <c r="G402" i="1"/>
  <c r="H402" i="1" s="1"/>
  <c r="I402" i="1" s="1"/>
  <c r="S402" i="1"/>
  <c r="G394" i="1"/>
  <c r="H394" i="1" s="1"/>
  <c r="I394" i="1" s="1"/>
  <c r="S394" i="1"/>
  <c r="G392" i="1"/>
  <c r="H392" i="1" s="1"/>
  <c r="I392" i="1" s="1"/>
  <c r="S392" i="1"/>
  <c r="G386" i="1"/>
  <c r="H386" i="1" s="1"/>
  <c r="I386" i="1" s="1"/>
  <c r="S386" i="1"/>
  <c r="G439" i="1"/>
  <c r="H439" i="1" s="1"/>
  <c r="I439" i="1" s="1"/>
  <c r="G423" i="1"/>
  <c r="H423" i="1" s="1"/>
  <c r="I423" i="1" s="1"/>
  <c r="G419" i="1"/>
  <c r="H419" i="1" s="1"/>
  <c r="I419" i="1" s="1"/>
  <c r="S351" i="1"/>
  <c r="S321" i="1"/>
  <c r="G316" i="1"/>
  <c r="H316" i="1" s="1"/>
  <c r="I316" i="1" s="1"/>
  <c r="S305" i="1"/>
  <c r="G290" i="1"/>
  <c r="H290" i="1" s="1"/>
  <c r="I290" i="1" s="1"/>
  <c r="G278" i="1"/>
  <c r="H278" i="1" s="1"/>
  <c r="I278" i="1" s="1"/>
  <c r="G270" i="1"/>
  <c r="H270" i="1" s="1"/>
  <c r="I270" i="1" s="1"/>
  <c r="S270" i="1"/>
  <c r="G217" i="1"/>
  <c r="H217" i="1" s="1"/>
  <c r="I217" i="1" s="1"/>
  <c r="S217" i="1"/>
  <c r="S273" i="1"/>
  <c r="G273" i="1"/>
  <c r="H273" i="1" s="1"/>
  <c r="I273" i="1" s="1"/>
  <c r="G417" i="1"/>
  <c r="H417" i="1" s="1"/>
  <c r="I417" i="1" s="1"/>
  <c r="S417" i="1"/>
  <c r="G415" i="1"/>
  <c r="H415" i="1" s="1"/>
  <c r="I415" i="1" s="1"/>
  <c r="S415" i="1"/>
  <c r="G413" i="1"/>
  <c r="H413" i="1" s="1"/>
  <c r="I413" i="1" s="1"/>
  <c r="S413" i="1"/>
  <c r="G411" i="1"/>
  <c r="H411" i="1" s="1"/>
  <c r="I411" i="1" s="1"/>
  <c r="S411" i="1"/>
  <c r="G409" i="1"/>
  <c r="H409" i="1" s="1"/>
  <c r="I409" i="1" s="1"/>
  <c r="S409" i="1"/>
  <c r="G407" i="1"/>
  <c r="H407" i="1" s="1"/>
  <c r="I407" i="1" s="1"/>
  <c r="S407" i="1"/>
  <c r="G405" i="1"/>
  <c r="H405" i="1" s="1"/>
  <c r="I405" i="1" s="1"/>
  <c r="S405" i="1"/>
  <c r="G403" i="1"/>
  <c r="H403" i="1" s="1"/>
  <c r="I403" i="1" s="1"/>
  <c r="S403" i="1"/>
  <c r="G401" i="1"/>
  <c r="H401" i="1" s="1"/>
  <c r="I401" i="1" s="1"/>
  <c r="S401" i="1"/>
  <c r="G373" i="1"/>
  <c r="H373" i="1" s="1"/>
  <c r="I373" i="1" s="1"/>
  <c r="S373" i="1"/>
  <c r="G371" i="1"/>
  <c r="H371" i="1" s="1"/>
  <c r="I371" i="1" s="1"/>
  <c r="S371" i="1"/>
  <c r="G369" i="1"/>
  <c r="H369" i="1" s="1"/>
  <c r="I369" i="1" s="1"/>
  <c r="S369" i="1"/>
  <c r="G367" i="1"/>
  <c r="H367" i="1" s="1"/>
  <c r="I367" i="1" s="1"/>
  <c r="S367" i="1"/>
  <c r="G365" i="1"/>
  <c r="H365" i="1" s="1"/>
  <c r="I365" i="1" s="1"/>
  <c r="S365" i="1"/>
  <c r="G363" i="1"/>
  <c r="H363" i="1" s="1"/>
  <c r="I363" i="1" s="1"/>
  <c r="S363" i="1"/>
  <c r="G361" i="1"/>
  <c r="H361" i="1" s="1"/>
  <c r="I361" i="1" s="1"/>
  <c r="S361" i="1"/>
  <c r="G340" i="1"/>
  <c r="H340" i="1" s="1"/>
  <c r="I340" i="1" s="1"/>
  <c r="G332" i="1"/>
  <c r="H332" i="1" s="1"/>
  <c r="I332" i="1" s="1"/>
  <c r="S318" i="1"/>
  <c r="G282" i="1"/>
  <c r="H282" i="1" s="1"/>
  <c r="I282" i="1" s="1"/>
  <c r="G260" i="1"/>
  <c r="H260" i="1" s="1"/>
  <c r="I260" i="1" s="1"/>
  <c r="G224" i="1"/>
  <c r="H224" i="1" s="1"/>
  <c r="I224" i="1" s="1"/>
  <c r="S224" i="1"/>
  <c r="S342" i="1"/>
  <c r="S359" i="1"/>
  <c r="G356" i="1"/>
  <c r="H356" i="1" s="1"/>
  <c r="I356" i="1" s="1"/>
  <c r="S356" i="1"/>
  <c r="G353" i="1"/>
  <c r="H353" i="1" s="1"/>
  <c r="I353" i="1" s="1"/>
  <c r="S353" i="1"/>
  <c r="S350" i="1"/>
  <c r="S326" i="1"/>
  <c r="S234" i="1"/>
  <c r="G234" i="1"/>
  <c r="H234" i="1" s="1"/>
  <c r="I234" i="1" s="1"/>
  <c r="G231" i="1"/>
  <c r="H231" i="1" s="1"/>
  <c r="I231" i="1" s="1"/>
  <c r="S231" i="1"/>
  <c r="G388" i="1"/>
  <c r="H388" i="1" s="1"/>
  <c r="I388" i="1" s="1"/>
  <c r="S388" i="1"/>
  <c r="G384" i="1"/>
  <c r="H384" i="1" s="1"/>
  <c r="I384" i="1" s="1"/>
  <c r="S384" i="1"/>
  <c r="G382" i="1"/>
  <c r="H382" i="1" s="1"/>
  <c r="I382" i="1" s="1"/>
  <c r="S382" i="1"/>
  <c r="G380" i="1"/>
  <c r="H380" i="1" s="1"/>
  <c r="I380" i="1" s="1"/>
  <c r="S380" i="1"/>
  <c r="G378" i="1"/>
  <c r="H378" i="1" s="1"/>
  <c r="I378" i="1" s="1"/>
  <c r="S378" i="1"/>
  <c r="G376" i="1"/>
  <c r="H376" i="1" s="1"/>
  <c r="I376" i="1" s="1"/>
  <c r="S376" i="1"/>
  <c r="G374" i="1"/>
  <c r="H374" i="1" s="1"/>
  <c r="I374" i="1" s="1"/>
  <c r="S374" i="1"/>
  <c r="G372" i="1"/>
  <c r="H372" i="1" s="1"/>
  <c r="I372" i="1" s="1"/>
  <c r="S372" i="1"/>
  <c r="G370" i="1"/>
  <c r="H370" i="1" s="1"/>
  <c r="I370" i="1" s="1"/>
  <c r="S370" i="1"/>
  <c r="G368" i="1"/>
  <c r="H368" i="1" s="1"/>
  <c r="I368" i="1" s="1"/>
  <c r="S368" i="1"/>
  <c r="G366" i="1"/>
  <c r="H366" i="1" s="1"/>
  <c r="I366" i="1" s="1"/>
  <c r="S366" i="1"/>
  <c r="G364" i="1"/>
  <c r="H364" i="1" s="1"/>
  <c r="I364" i="1" s="1"/>
  <c r="S364" i="1"/>
  <c r="G362" i="1"/>
  <c r="H362" i="1" s="1"/>
  <c r="I362" i="1" s="1"/>
  <c r="S362" i="1"/>
  <c r="S334" i="1"/>
  <c r="G212" i="1"/>
  <c r="H212" i="1" s="1"/>
  <c r="I212" i="1" s="1"/>
  <c r="S212" i="1"/>
  <c r="G410" i="1"/>
  <c r="H410" i="1" s="1"/>
  <c r="I410" i="1" s="1"/>
  <c r="S410" i="1"/>
  <c r="G400" i="1"/>
  <c r="H400" i="1" s="1"/>
  <c r="I400" i="1" s="1"/>
  <c r="S400" i="1"/>
  <c r="G398" i="1"/>
  <c r="H398" i="1" s="1"/>
  <c r="I398" i="1" s="1"/>
  <c r="S398" i="1"/>
  <c r="G396" i="1"/>
  <c r="H396" i="1" s="1"/>
  <c r="I396" i="1" s="1"/>
  <c r="S396" i="1"/>
  <c r="G390" i="1"/>
  <c r="H390" i="1" s="1"/>
  <c r="I390" i="1" s="1"/>
  <c r="S390" i="1"/>
  <c r="S418" i="1"/>
  <c r="S357" i="1"/>
  <c r="S259" i="1"/>
  <c r="G215" i="1"/>
  <c r="H215" i="1" s="1"/>
  <c r="I215" i="1" s="1"/>
  <c r="S215" i="1"/>
  <c r="G193" i="1"/>
  <c r="H193" i="1" s="1"/>
  <c r="I193" i="1" s="1"/>
  <c r="S193" i="1"/>
  <c r="G188" i="1"/>
  <c r="H188" i="1" s="1"/>
  <c r="I188" i="1" s="1"/>
  <c r="S188" i="1"/>
  <c r="G209" i="1"/>
  <c r="H209" i="1" s="1"/>
  <c r="I209" i="1" s="1"/>
  <c r="S209" i="1"/>
  <c r="G207" i="1"/>
  <c r="H207" i="1" s="1"/>
  <c r="I207" i="1" s="1"/>
  <c r="S207" i="1"/>
  <c r="G230" i="1"/>
  <c r="H230" i="1" s="1"/>
  <c r="I230" i="1" s="1"/>
  <c r="S230" i="1"/>
  <c r="G211" i="1"/>
  <c r="H211" i="1" s="1"/>
  <c r="I211" i="1" s="1"/>
  <c r="S211" i="1"/>
  <c r="G195" i="1"/>
  <c r="H195" i="1" s="1"/>
  <c r="I195" i="1" s="1"/>
  <c r="S195" i="1"/>
  <c r="S177" i="1"/>
  <c r="G291" i="1"/>
  <c r="H291" i="1" s="1"/>
  <c r="I291" i="1" s="1"/>
  <c r="G289" i="1"/>
  <c r="H289" i="1" s="1"/>
  <c r="I289" i="1" s="1"/>
  <c r="G287" i="1"/>
  <c r="H287" i="1" s="1"/>
  <c r="I287" i="1" s="1"/>
  <c r="G285" i="1"/>
  <c r="H285" i="1" s="1"/>
  <c r="I285" i="1" s="1"/>
  <c r="G283" i="1"/>
  <c r="H283" i="1" s="1"/>
  <c r="I283" i="1" s="1"/>
  <c r="G281" i="1"/>
  <c r="H281" i="1" s="1"/>
  <c r="I281" i="1" s="1"/>
  <c r="G279" i="1"/>
  <c r="H279" i="1" s="1"/>
  <c r="I279" i="1" s="1"/>
  <c r="G265" i="1"/>
  <c r="H265" i="1" s="1"/>
  <c r="I265" i="1" s="1"/>
  <c r="G257" i="1"/>
  <c r="H257" i="1" s="1"/>
  <c r="I257" i="1" s="1"/>
  <c r="G249" i="1"/>
  <c r="H249" i="1" s="1"/>
  <c r="I249" i="1" s="1"/>
  <c r="G221" i="1"/>
  <c r="H221" i="1" s="1"/>
  <c r="I221" i="1" s="1"/>
  <c r="S221" i="1"/>
  <c r="G219" i="1"/>
  <c r="H219" i="1" s="1"/>
  <c r="I219" i="1" s="1"/>
  <c r="S219" i="1"/>
  <c r="S277" i="1"/>
  <c r="G277" i="1"/>
  <c r="H277" i="1" s="1"/>
  <c r="I277" i="1" s="1"/>
  <c r="S269" i="1"/>
  <c r="G269" i="1"/>
  <c r="H269" i="1" s="1"/>
  <c r="I269" i="1" s="1"/>
  <c r="G223" i="1"/>
  <c r="H223" i="1" s="1"/>
  <c r="I223" i="1" s="1"/>
  <c r="S223" i="1"/>
  <c r="G205" i="1"/>
  <c r="H205" i="1" s="1"/>
  <c r="I205" i="1" s="1"/>
  <c r="S205" i="1"/>
  <c r="S185" i="1"/>
  <c r="G180" i="1"/>
  <c r="H180" i="1" s="1"/>
  <c r="I180" i="1" s="1"/>
  <c r="S180" i="1"/>
  <c r="G274" i="1"/>
  <c r="H274" i="1" s="1"/>
  <c r="I274" i="1" s="1"/>
  <c r="S274" i="1"/>
  <c r="S251" i="1"/>
  <c r="G225" i="1"/>
  <c r="H225" i="1" s="1"/>
  <c r="I225" i="1" s="1"/>
  <c r="S225" i="1"/>
  <c r="G213" i="1"/>
  <c r="H213" i="1" s="1"/>
  <c r="I213" i="1" s="1"/>
  <c r="S213" i="1"/>
  <c r="G229" i="1"/>
  <c r="H229" i="1" s="1"/>
  <c r="I229" i="1" s="1"/>
  <c r="S229" i="1"/>
  <c r="G227" i="1"/>
  <c r="H227" i="1" s="1"/>
  <c r="I227" i="1" s="1"/>
  <c r="S227" i="1"/>
  <c r="G226" i="1"/>
  <c r="H226" i="1" s="1"/>
  <c r="I226" i="1" s="1"/>
  <c r="S226" i="1"/>
  <c r="G220" i="1"/>
  <c r="H220" i="1" s="1"/>
  <c r="I220" i="1" s="1"/>
  <c r="S220" i="1"/>
  <c r="G216" i="1"/>
  <c r="H216" i="1" s="1"/>
  <c r="I216" i="1" s="1"/>
  <c r="S216" i="1"/>
  <c r="G208" i="1"/>
  <c r="H208" i="1" s="1"/>
  <c r="I208" i="1" s="1"/>
  <c r="S208" i="1"/>
  <c r="G222" i="1"/>
  <c r="H222" i="1" s="1"/>
  <c r="I222" i="1" s="1"/>
  <c r="S222" i="1"/>
  <c r="G218" i="1"/>
  <c r="H218" i="1" s="1"/>
  <c r="I218" i="1" s="1"/>
  <c r="S218" i="1"/>
  <c r="G214" i="1"/>
  <c r="H214" i="1" s="1"/>
  <c r="I214" i="1" s="1"/>
  <c r="S214" i="1"/>
  <c r="G210" i="1"/>
  <c r="H210" i="1" s="1"/>
  <c r="I210" i="1" s="1"/>
  <c r="S210" i="1"/>
  <c r="G206" i="1"/>
  <c r="H206" i="1" s="1"/>
  <c r="I206" i="1" s="1"/>
  <c r="S206" i="1"/>
  <c r="G204" i="1"/>
  <c r="H204" i="1" s="1"/>
  <c r="I204" i="1" s="1"/>
  <c r="S204" i="1"/>
  <c r="G122" i="1"/>
  <c r="H122" i="1" s="1"/>
  <c r="I122" i="1" s="1"/>
  <c r="S122" i="1"/>
  <c r="G120" i="1"/>
  <c r="H120" i="1" s="1"/>
  <c r="I120" i="1" s="1"/>
  <c r="S120" i="1"/>
  <c r="G26" i="1"/>
  <c r="H26" i="1" s="1"/>
  <c r="I26" i="1" s="1"/>
  <c r="S26" i="1"/>
  <c r="G54" i="1"/>
  <c r="H54" i="1" s="1"/>
  <c r="I54" i="1" s="1"/>
  <c r="S54" i="1"/>
  <c r="G45" i="1"/>
  <c r="H45" i="1" s="1"/>
  <c r="I45" i="1" s="1"/>
  <c r="S45" i="1"/>
  <c r="G118" i="1"/>
  <c r="H118" i="1" s="1"/>
  <c r="I118" i="1" s="1"/>
  <c r="S118" i="1"/>
  <c r="G78" i="1"/>
  <c r="H78" i="1" s="1"/>
  <c r="I78" i="1" s="1"/>
  <c r="S78" i="1"/>
  <c r="S202" i="1"/>
  <c r="G114" i="1"/>
  <c r="H114" i="1" s="1"/>
  <c r="I114" i="1" s="1"/>
  <c r="S114" i="1"/>
  <c r="G110" i="1"/>
  <c r="H110" i="1" s="1"/>
  <c r="I110" i="1" s="1"/>
  <c r="S110" i="1"/>
  <c r="G59" i="1"/>
  <c r="H59" i="1" s="1"/>
  <c r="I59" i="1" s="1"/>
  <c r="S59" i="1"/>
  <c r="G51" i="1"/>
  <c r="H51" i="1" s="1"/>
  <c r="I51" i="1" s="1"/>
  <c r="S51" i="1"/>
  <c r="G48" i="1"/>
  <c r="H48" i="1" s="1"/>
  <c r="I48" i="1" s="1"/>
  <c r="S48" i="1"/>
  <c r="G5" i="1"/>
  <c r="H5" i="1" s="1"/>
  <c r="I5" i="1" s="1"/>
  <c r="S5" i="1"/>
  <c r="G112" i="1"/>
  <c r="H112" i="1" s="1"/>
  <c r="I112" i="1" s="1"/>
  <c r="S112" i="1"/>
  <c r="G96" i="1"/>
  <c r="H96" i="1" s="1"/>
  <c r="I96" i="1" s="1"/>
  <c r="S96" i="1"/>
  <c r="G94" i="1"/>
  <c r="H94" i="1" s="1"/>
  <c r="I94" i="1" s="1"/>
  <c r="S94" i="1"/>
  <c r="G24" i="1"/>
  <c r="H24" i="1" s="1"/>
  <c r="I24" i="1" s="1"/>
  <c r="S24" i="1"/>
  <c r="G37" i="1"/>
  <c r="H37" i="1" s="1"/>
  <c r="I37" i="1" s="1"/>
  <c r="S37" i="1"/>
  <c r="G115" i="1"/>
  <c r="H115" i="1" s="1"/>
  <c r="I115" i="1" s="1"/>
  <c r="S115" i="1"/>
  <c r="G102" i="1"/>
  <c r="H102" i="1" s="1"/>
  <c r="I102" i="1" s="1"/>
  <c r="S102" i="1"/>
  <c r="G100" i="1"/>
  <c r="H100" i="1" s="1"/>
  <c r="I100" i="1" s="1"/>
  <c r="S100" i="1"/>
  <c r="G40" i="1"/>
  <c r="H40" i="1" s="1"/>
  <c r="I40" i="1" s="1"/>
  <c r="S40" i="1"/>
  <c r="G127" i="1"/>
  <c r="H127" i="1" s="1"/>
  <c r="I127" i="1" s="1"/>
  <c r="S127" i="1"/>
  <c r="G123" i="1"/>
  <c r="H123" i="1" s="1"/>
  <c r="I123" i="1" s="1"/>
  <c r="S123" i="1"/>
  <c r="G104" i="1"/>
  <c r="H104" i="1" s="1"/>
  <c r="I104" i="1" s="1"/>
  <c r="S104" i="1"/>
  <c r="G97" i="1"/>
  <c r="H97" i="1" s="1"/>
  <c r="I97" i="1" s="1"/>
  <c r="S97" i="1"/>
  <c r="G86" i="1"/>
  <c r="H86" i="1" s="1"/>
  <c r="I86" i="1" s="1"/>
  <c r="S86" i="1"/>
  <c r="S82" i="1"/>
  <c r="G126" i="1"/>
  <c r="H126" i="1" s="1"/>
  <c r="I126" i="1" s="1"/>
  <c r="S126" i="1"/>
  <c r="G117" i="1"/>
  <c r="H117" i="1" s="1"/>
  <c r="I117" i="1" s="1"/>
  <c r="S117" i="1"/>
  <c r="G109" i="1"/>
  <c r="H109" i="1" s="1"/>
  <c r="I109" i="1" s="1"/>
  <c r="S109" i="1"/>
  <c r="G80" i="1"/>
  <c r="H80" i="1" s="1"/>
  <c r="I80" i="1" s="1"/>
  <c r="S80" i="1"/>
  <c r="G62" i="1"/>
  <c r="H62" i="1" s="1"/>
  <c r="I62" i="1" s="1"/>
  <c r="S62" i="1"/>
  <c r="G52" i="1"/>
  <c r="H52" i="1" s="1"/>
  <c r="I52" i="1" s="1"/>
  <c r="S52" i="1"/>
  <c r="G42" i="1"/>
  <c r="H42" i="1" s="1"/>
  <c r="I42" i="1" s="1"/>
  <c r="S42" i="1"/>
  <c r="G41" i="1"/>
  <c r="H41" i="1" s="1"/>
  <c r="I41" i="1" s="1"/>
  <c r="S41" i="1"/>
  <c r="G35" i="1"/>
  <c r="H35" i="1" s="1"/>
  <c r="I35" i="1" s="1"/>
  <c r="S35" i="1"/>
  <c r="G32" i="1"/>
  <c r="H32" i="1" s="1"/>
  <c r="I32" i="1" s="1"/>
  <c r="S32" i="1"/>
  <c r="G13" i="1"/>
  <c r="H13" i="1" s="1"/>
  <c r="I13" i="1" s="1"/>
  <c r="S13" i="1"/>
  <c r="G9" i="1"/>
  <c r="H9" i="1" s="1"/>
  <c r="I9" i="1" s="1"/>
  <c r="S9" i="1"/>
  <c r="G128" i="1"/>
  <c r="H128" i="1" s="1"/>
  <c r="I128" i="1" s="1"/>
  <c r="S128" i="1"/>
  <c r="G124" i="1"/>
  <c r="H124" i="1" s="1"/>
  <c r="I124" i="1" s="1"/>
  <c r="S124" i="1"/>
  <c r="G121" i="1"/>
  <c r="H121" i="1" s="1"/>
  <c r="I121" i="1" s="1"/>
  <c r="S121" i="1"/>
  <c r="G113" i="1"/>
  <c r="H113" i="1" s="1"/>
  <c r="I113" i="1" s="1"/>
  <c r="S113" i="1"/>
  <c r="G88" i="1"/>
  <c r="H88" i="1" s="1"/>
  <c r="I88" i="1" s="1"/>
  <c r="S88" i="1"/>
  <c r="G81" i="1"/>
  <c r="H81" i="1" s="1"/>
  <c r="I81" i="1" s="1"/>
  <c r="G72" i="1"/>
  <c r="H72" i="1" s="1"/>
  <c r="I72" i="1" s="1"/>
  <c r="S72" i="1"/>
  <c r="G68" i="1"/>
  <c r="H68" i="1" s="1"/>
  <c r="I68" i="1" s="1"/>
  <c r="S68" i="1"/>
  <c r="G64" i="1"/>
  <c r="H64" i="1" s="1"/>
  <c r="I64" i="1" s="1"/>
  <c r="S64" i="1"/>
  <c r="G116" i="1"/>
  <c r="H116" i="1" s="1"/>
  <c r="I116" i="1" s="1"/>
  <c r="S116" i="1"/>
  <c r="G108" i="1"/>
  <c r="H108" i="1" s="1"/>
  <c r="I108" i="1" s="1"/>
  <c r="S108" i="1"/>
  <c r="G67" i="1"/>
  <c r="H67" i="1" s="1"/>
  <c r="I67" i="1" s="1"/>
  <c r="S67" i="1"/>
  <c r="G43" i="1"/>
  <c r="H43" i="1" s="1"/>
  <c r="I43" i="1" s="1"/>
  <c r="S43" i="1"/>
  <c r="G129" i="1"/>
  <c r="H129" i="1" s="1"/>
  <c r="I129" i="1" s="1"/>
  <c r="S129" i="1"/>
  <c r="G125" i="1"/>
  <c r="H125" i="1" s="1"/>
  <c r="I125" i="1" s="1"/>
  <c r="S125" i="1"/>
  <c r="G119" i="1"/>
  <c r="H119" i="1" s="1"/>
  <c r="I119" i="1" s="1"/>
  <c r="S119" i="1"/>
  <c r="G111" i="1"/>
  <c r="H111" i="1" s="1"/>
  <c r="I111" i="1" s="1"/>
  <c r="S111" i="1"/>
  <c r="G70" i="1"/>
  <c r="H70" i="1" s="1"/>
  <c r="I70" i="1" s="1"/>
  <c r="S70" i="1"/>
  <c r="G60" i="1"/>
  <c r="H60" i="1" s="1"/>
  <c r="I60" i="1" s="1"/>
  <c r="S60" i="1"/>
  <c r="G56" i="1"/>
  <c r="H56" i="1" s="1"/>
  <c r="I56" i="1" s="1"/>
  <c r="S56" i="1"/>
  <c r="G36" i="1"/>
  <c r="H36" i="1" s="1"/>
  <c r="I36" i="1" s="1"/>
  <c r="S36" i="1"/>
  <c r="G20" i="1"/>
  <c r="H20" i="1" s="1"/>
  <c r="I20" i="1" s="1"/>
  <c r="S20" i="1"/>
  <c r="G73" i="1"/>
  <c r="H73" i="1" s="1"/>
  <c r="I73" i="1" s="1"/>
  <c r="S73" i="1"/>
  <c r="G65" i="1"/>
  <c r="H65" i="1" s="1"/>
  <c r="I65" i="1" s="1"/>
  <c r="S65" i="1"/>
  <c r="G57" i="1"/>
  <c r="H57" i="1" s="1"/>
  <c r="I57" i="1" s="1"/>
  <c r="S57" i="1"/>
  <c r="G49" i="1"/>
  <c r="H49" i="1" s="1"/>
  <c r="I49" i="1" s="1"/>
  <c r="S49" i="1"/>
  <c r="G46" i="1"/>
  <c r="H46" i="1" s="1"/>
  <c r="I46" i="1" s="1"/>
  <c r="S46" i="1"/>
  <c r="G33" i="1"/>
  <c r="H33" i="1" s="1"/>
  <c r="I33" i="1" s="1"/>
  <c r="S33" i="1"/>
  <c r="G28" i="1"/>
  <c r="H28" i="1" s="1"/>
  <c r="I28" i="1" s="1"/>
  <c r="S28" i="1"/>
  <c r="G15" i="1"/>
  <c r="H15" i="1" s="1"/>
  <c r="I15" i="1" s="1"/>
  <c r="S15" i="1"/>
  <c r="G17" i="1"/>
  <c r="H17" i="1" s="1"/>
  <c r="I17" i="1" s="1"/>
  <c r="S17" i="1"/>
  <c r="G4" i="1"/>
  <c r="H4" i="1" s="1"/>
  <c r="I4" i="1" s="1"/>
  <c r="S4" i="1"/>
  <c r="G8" i="1"/>
  <c r="H8" i="1" s="1"/>
  <c r="I8" i="1" s="1"/>
  <c r="S8" i="1"/>
  <c r="G23" i="1"/>
  <c r="H23" i="1" s="1"/>
  <c r="I23" i="1" s="1"/>
  <c r="S23" i="1"/>
  <c r="G21" i="1"/>
  <c r="H21" i="1" s="1"/>
  <c r="I21" i="1" s="1"/>
  <c r="S21" i="1"/>
  <c r="G19" i="1"/>
  <c r="H19" i="1" s="1"/>
  <c r="I19" i="1" s="1"/>
  <c r="S19" i="1"/>
  <c r="G12" i="1"/>
  <c r="H12" i="1" s="1"/>
  <c r="I12" i="1" s="1"/>
  <c r="S12" i="1"/>
  <c r="G10" i="1"/>
  <c r="H10" i="1" s="1"/>
  <c r="I10" i="1" s="1"/>
  <c r="S10" i="1"/>
  <c r="S92" i="1"/>
  <c r="S84" i="1"/>
  <c r="G69" i="1"/>
  <c r="H69" i="1" s="1"/>
  <c r="I69" i="1" s="1"/>
  <c r="S69" i="1"/>
  <c r="G61" i="1"/>
  <c r="H61" i="1" s="1"/>
  <c r="I61" i="1" s="1"/>
  <c r="S61" i="1"/>
  <c r="G53" i="1"/>
  <c r="H53" i="1" s="1"/>
  <c r="I53" i="1" s="1"/>
  <c r="S53" i="1"/>
  <c r="G39" i="1"/>
  <c r="H39" i="1" s="1"/>
  <c r="I39" i="1" s="1"/>
  <c r="S39" i="1"/>
  <c r="G27" i="1"/>
  <c r="H27" i="1" s="1"/>
  <c r="I27" i="1" s="1"/>
  <c r="S27" i="1"/>
  <c r="G25" i="1"/>
  <c r="H25" i="1" s="1"/>
  <c r="I25" i="1" s="1"/>
  <c r="S25" i="1"/>
  <c r="G16" i="1"/>
  <c r="H16" i="1" s="1"/>
  <c r="I16" i="1" s="1"/>
  <c r="S16" i="1"/>
  <c r="G3" i="1"/>
  <c r="H3" i="1" s="1"/>
  <c r="I3" i="1" s="1"/>
  <c r="S3" i="1"/>
  <c r="G66" i="1"/>
  <c r="H66" i="1" s="1"/>
  <c r="I66" i="1" s="1"/>
  <c r="S66" i="1"/>
  <c r="G58" i="1"/>
  <c r="H58" i="1" s="1"/>
  <c r="I58" i="1" s="1"/>
  <c r="S58" i="1"/>
  <c r="G50" i="1"/>
  <c r="H50" i="1" s="1"/>
  <c r="I50" i="1" s="1"/>
  <c r="S50" i="1"/>
  <c r="G34" i="1"/>
  <c r="H34" i="1" s="1"/>
  <c r="I34" i="1" s="1"/>
  <c r="S34" i="1"/>
  <c r="G31" i="1"/>
  <c r="H31" i="1" s="1"/>
  <c r="I31" i="1" s="1"/>
  <c r="S31" i="1"/>
  <c r="G29" i="1"/>
  <c r="H29" i="1" s="1"/>
  <c r="I29" i="1" s="1"/>
  <c r="S29" i="1"/>
  <c r="G18" i="1"/>
  <c r="H18" i="1" s="1"/>
  <c r="I18" i="1" s="1"/>
  <c r="S18" i="1"/>
  <c r="G71" i="1"/>
  <c r="H71" i="1" s="1"/>
  <c r="I71" i="1" s="1"/>
  <c r="S71" i="1"/>
  <c r="G63" i="1"/>
  <c r="H63" i="1" s="1"/>
  <c r="I63" i="1" s="1"/>
  <c r="S63" i="1"/>
  <c r="G55" i="1"/>
  <c r="H55" i="1" s="1"/>
  <c r="I55" i="1" s="1"/>
  <c r="S55" i="1"/>
  <c r="G47" i="1"/>
  <c r="H47" i="1" s="1"/>
  <c r="I47" i="1" s="1"/>
  <c r="S47" i="1"/>
  <c r="G7" i="1"/>
  <c r="H7" i="1" s="1"/>
  <c r="I7" i="1" s="1"/>
  <c r="S7" i="1"/>
  <c r="G2" i="1"/>
  <c r="H2" i="1" s="1"/>
  <c r="I2" i="1" s="1"/>
  <c r="S2" i="1"/>
  <c r="G11" i="1"/>
  <c r="H11" i="1" s="1"/>
  <c r="I11" i="1" s="1"/>
  <c r="S11" i="1"/>
  <c r="G38" i="1"/>
  <c r="H38" i="1" s="1"/>
  <c r="I38" i="1" s="1"/>
  <c r="S38" i="1"/>
  <c r="G30" i="1"/>
  <c r="H30" i="1" s="1"/>
  <c r="I30" i="1" s="1"/>
  <c r="S30" i="1"/>
  <c r="G22" i="1"/>
  <c r="H22" i="1" s="1"/>
  <c r="I22" i="1" s="1"/>
  <c r="S22" i="1"/>
  <c r="G14" i="1"/>
  <c r="H14" i="1" s="1"/>
  <c r="I14" i="1" s="1"/>
  <c r="S14" i="1"/>
  <c r="G6" i="1"/>
  <c r="H6" i="1" s="1"/>
  <c r="I6" i="1" s="1"/>
  <c r="S6" i="1"/>
  <c r="X6" i="1"/>
  <c r="Y6" i="1" l="1"/>
  <c r="V6" i="1" l="1"/>
  <c r="W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<sst xmlns="http://schemas.openxmlformats.org/spreadsheetml/2006/main" count="42" uniqueCount="40">
  <si>
    <t>Employee ID</t>
  </si>
  <si>
    <t>Department</t>
  </si>
  <si>
    <t>Job Title</t>
  </si>
  <si>
    <t>Job Posting Date</t>
  </si>
  <si>
    <t>Hire Date</t>
  </si>
  <si>
    <t>Join Date</t>
  </si>
  <si>
    <t>Exit Date</t>
  </si>
  <si>
    <t>Status</t>
  </si>
  <si>
    <t>Recruitment Cost</t>
  </si>
  <si>
    <t>Training Program</t>
  </si>
  <si>
    <t>Training Completion Status</t>
  </si>
  <si>
    <t>Time to Fill</t>
  </si>
  <si>
    <t>new</t>
  </si>
  <si>
    <t>Turnover Rate</t>
  </si>
  <si>
    <t>Retention Rate</t>
  </si>
  <si>
    <t>Traianing completion rate</t>
  </si>
  <si>
    <t>Average time to fill</t>
  </si>
  <si>
    <t>Traning program</t>
  </si>
  <si>
    <t>IT</t>
  </si>
  <si>
    <t>Software Engineer</t>
  </si>
  <si>
    <t>Leadership Development</t>
  </si>
  <si>
    <t>HR</t>
  </si>
  <si>
    <t>HR Manager</t>
  </si>
  <si>
    <t>Advanced Excel Skills </t>
  </si>
  <si>
    <t>Sales</t>
  </si>
  <si>
    <t>Marketing Manager</t>
  </si>
  <si>
    <t>Conflict Resolution</t>
  </si>
  <si>
    <t>Finance</t>
  </si>
  <si>
    <t>Finance Manager</t>
  </si>
  <si>
    <t>Communication Skills</t>
  </si>
  <si>
    <t>Analytics</t>
  </si>
  <si>
    <t>Data Analyst</t>
  </si>
  <si>
    <t>Ethics and Responsibilities</t>
  </si>
  <si>
    <t>Gender</t>
  </si>
  <si>
    <t>Offers Made</t>
  </si>
  <si>
    <t>Offers Accepted</t>
  </si>
  <si>
    <t>Interviews Conducted</t>
  </si>
  <si>
    <t>Recruitment Source</t>
  </si>
  <si>
    <t>Candidate Experience Points</t>
  </si>
  <si>
    <t>Internal Hiring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</si>
</sst>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_);_(@_)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0" borderId="0" xfId="0" applyNumberFormat="1"/>
    <xf numFmtId="2" fontId="0" fillId="2" borderId="0" xfId="0" applyNumberFormat="1" applyFill="1"/>
    <xf numFmtId="0" fontId="3" fillId="2" borderId="0" xfId="0" applyFont="1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[$$-409]* #,##0_);_([$$-409]* \(#,##0\);_([$$-409]* &quot;-&quot;_);_(@_)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97AAA-AEB2-EB41-99FC-7F2A7048EB4B}" name="Table1" displayName="Table1" ref="A1:T501" totalsRowShown="0">
  <autoFilter ref="A1:T501" xr:uid="{3C997AAA-AEB2-EB41-99FC-7F2A7048EB4B}"/>
  <tableColumns count="20">
    <tableColumn id="1" xr3:uid="{28944547-ACB1-0A46-986E-4CE3614331C6}" name="Employee ID" dataDxfId="15">
      <calculatedColumnFormula>"EMP" &amp; TEXT(ROW(A1), "000")</calculatedColumnFormula>
    </tableColumn>
    <tableColumn id="13" xr3:uid="{B7AFDCC9-56A9-D341-9D8D-77AE2C1EAC0A}" name="Gender" dataDxfId="14">
      <calculatedColumnFormula>CHOOSE(RANDBETWEEN(1, 2), "Male", "Female")</calculatedColumnFormula>
    </tableColumn>
    <tableColumn id="2" xr3:uid="{6B0937D0-DF93-BC41-8FD3-CE7AFE248391}" name="Department">
      <calculatedColumnFormula array="1">INDEX(sheet2!$A$2:$A$6, RANDBETWEEN(1, 5))</calculatedColumnFormula>
    </tableColumn>
    <tableColumn id="3" xr3:uid="{4A66CF3B-234C-854B-9C05-04E292CBA290}" name="Job Title" dataDxfId="13">
      <calculatedColumnFormula>_xlfn.XLOOKUP(Table1[[#This Row],[Department]],sheet2!$A$2:$A$6,sheet2!$B$2:$B$6,_xleta.NA,0)</calculatedColumnFormula>
    </tableColumn>
    <tableColumn id="4" xr3:uid="{59950CD3-8362-F649-BAD8-B3B384B45BF7}" name="Job Posting Date" dataDxfId="12">
      <calculatedColumnFormula>DATE(RANDBETWEEN(2018, 2022), RANDBETWEEN(1, 12), RANDBETWEEN(1, 28))</calculatedColumnFormula>
    </tableColumn>
    <tableColumn id="5" xr3:uid="{4768BF98-4D3C-D848-A178-DB24831ACCB9}" name="Hire Date" dataDxfId="11">
      <calculatedColumnFormula>Table1[[#This Row],[Job Posting Date]]+ RANDBETWEEN(15, 90)</calculatedColumnFormula>
    </tableColumn>
    <tableColumn id="6" xr3:uid="{631FFA08-58C1-E04C-BAC3-FE9B0E3B6A7F}" name="Join Date" dataDxfId="10">
      <calculatedColumnFormula>Table1[[#This Row],[Hire Date]]+ RANDBETWEEN(1, 15)</calculatedColumnFormula>
    </tableColumn>
    <tableColumn id="7" xr3:uid="{9E45AC36-3D2B-EC44-92E1-DAC9348E9EAA}" name="Exit Date" dataDxfId="9">
      <calculatedColumnFormula>IF(RAND() &lt; 0.5,  Table1[[#This Row],[Join Date]]+ RANDBETWEEN(30, TODAY()- Table1[[#This Row],[Join Date]]), "-")</calculatedColumnFormula>
    </tableColumn>
    <tableColumn id="8" xr3:uid="{776E110A-3823-3249-B91D-06D5B8EF656C}" name="Status" dataDxfId="8">
      <calculatedColumnFormula>IF(Table1[[#This Row],[Exit Date]]= "-", "Active", "Exited")</calculatedColumnFormula>
    </tableColumn>
    <tableColumn id="9" xr3:uid="{0BDCBE97-78F7-6D40-A85D-B58473C5C464}" name="Recruitment Cost" dataDxfId="7">
      <calculatedColumnFormula>RANDBETWEEN(1500, 5000)</calculatedColumnFormula>
    </tableColumn>
    <tableColumn id="16" xr3:uid="{CDB7C8A6-F79D-0141-9B86-C2FB7B91DBE5}" name="Interviews Conducted" dataDxfId="6">
      <calculatedColumnFormula>Table1[[#This Row],[Offers Made]]*2</calculatedColumnFormula>
    </tableColumn>
    <tableColumn id="14" xr3:uid="{A731C2D4-962D-AD45-A2CE-0481E4CE1F4E}" name="Offers Made" dataDxfId="5">
      <calculatedColumnFormula>RANDBETWEEN(3, 8)</calculatedColumnFormula>
    </tableColumn>
    <tableColumn id="15" xr3:uid="{72AB7F6B-30EE-D54B-8E74-C188375CA81B}" name="Offers Accepted" dataDxfId="4">
      <calculatedColumnFormula>RANDBETWEEN(1, L2-1)</calculatedColumnFormula>
    </tableColumn>
    <tableColumn id="17" xr3:uid="{6AAAB906-418A-844C-8C01-4AB4C7DFD9F1}" name="Recruitment Source" dataDxfId="3">
      <calculatedColumnFormula>CHOOSE(RANDBETWEEN(1, 4), "Job Portals", "Campus Placements", "Employee Referrals", "Direct Hiring")</calculatedColumnFormula>
    </tableColumn>
    <tableColumn id="19" xr3:uid="{E7500173-DA40-8D48-933E-D0BC2EBC40B1}" name="Candidate Experience Points" dataDxfId="2">
      <calculatedColumnFormula>RANDBETWEEN(1,5)</calculatedColumnFormula>
    </tableColumn>
    <tableColumn id="20" xr3:uid="{C717D2E6-F955-E84A-816C-211F0A5B2E63}" name="Internal Hiring" dataDxfId="1">
      <calculatedColumnFormula>CHOOSE(RANDBETWEEN(1, 2), "Yes", "No")</calculatedColumnFormula>
    </tableColumn>
    <tableColumn id="10" xr3:uid="{CE3FECBA-A295-5D43-BCD5-7478B524D5C6}" name="Training Program">
      <calculatedColumnFormula array="1">INDEX(sheet2!$C$2:$C$6, RANDBETWEEN(1, 5))</calculatedColumnFormula>
    </tableColumn>
    <tableColumn id="11" xr3:uid="{944D628D-C74A-7143-BDE2-1A84DA4188F9}" name="Training Completion Status">
      <calculatedColumnFormula>IF(RAND() &lt; 0.7, "Completed", "Not Completed")</calculatedColumnFormula>
    </tableColumn>
    <tableColumn id="18" xr3:uid="{DED8EF7F-E58D-2447-82EF-FF1008B2271F}" name="Time to Fill" dataDxfId="0">
      <calculatedColumnFormula>Table1[[#This Row],[Hire Date]]-Table1[[#This Row],[Job Posting Date]]</calculatedColumnFormula>
    </tableColumn>
    <tableColumn id="12" xr3:uid="{427921CB-610C-4D48-83B8-D4F29BD865D3}" name="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0412-984B-E341-995B-2422EA401C01}">
  <dimension ref="A1:Y501"/>
  <sheetViews>
    <sheetView tabSelected="1" topLeftCell="K1" zoomScale="130" zoomScaleNormal="130" workbookViewId="0">
      <selection activeCell="K4" sqref="K4"/>
    </sheetView>
  </sheetViews>
  <sheetFormatPr baseColWidth="10" defaultColWidth="11.33203125" defaultRowHeight="16" x14ac:dyDescent="0.2"/>
  <cols>
    <col min="1" max="1" width="13.83203125" bestFit="1" customWidth="1"/>
    <col min="2" max="2" width="9.6640625" bestFit="1" customWidth="1"/>
    <col min="3" max="3" width="13.6640625" bestFit="1" customWidth="1"/>
    <col min="4" max="4" width="16.83203125" bestFit="1" customWidth="1"/>
    <col min="5" max="5" width="17.33203125" style="1" bestFit="1" customWidth="1"/>
    <col min="6" max="6" width="11.5" style="1" bestFit="1" customWidth="1"/>
    <col min="7" max="7" width="11.1640625" style="1" bestFit="1" customWidth="1"/>
    <col min="8" max="8" width="11" style="1" bestFit="1" customWidth="1"/>
    <col min="9" max="9" width="9" bestFit="1" customWidth="1"/>
    <col min="10" max="10" width="19.83203125" style="5" bestFit="1" customWidth="1"/>
    <col min="11" max="11" width="21.6640625" bestFit="1" customWidth="1"/>
    <col min="12" max="12" width="13.83203125" bestFit="1" customWidth="1"/>
    <col min="13" max="13" width="17.1640625" bestFit="1" customWidth="1"/>
    <col min="14" max="14" width="20.1640625" bestFit="1" customWidth="1"/>
    <col min="15" max="15" width="27.5" bestFit="1" customWidth="1"/>
    <col min="16" max="16" width="15.33203125" bestFit="1" customWidth="1"/>
    <col min="17" max="17" width="23.33203125" bestFit="1" customWidth="1"/>
    <col min="18" max="18" width="26.1640625" bestFit="1" customWidth="1"/>
    <col min="19" max="19" width="12.5" bestFit="1" customWidth="1"/>
    <col min="20" max="20" width="7" bestFit="1" customWidth="1"/>
    <col min="22" max="22" width="12.33203125" bestFit="1" customWidth="1"/>
    <col min="23" max="23" width="13.33203125" bestFit="1" customWidth="1"/>
    <col min="24" max="24" width="22.33203125" bestFit="1" customWidth="1"/>
    <col min="25" max="25" width="16.5" bestFit="1" customWidth="1"/>
  </cols>
  <sheetData>
    <row r="1" spans="1:25" x14ac:dyDescent="0.2">
      <c r="A1" t="s">
        <v>0</v>
      </c>
      <c r="B1" t="s">
        <v>33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5" t="s">
        <v>8</v>
      </c>
      <c r="K1" t="s">
        <v>36</v>
      </c>
      <c r="L1" t="s">
        <v>34</v>
      </c>
      <c r="M1" t="s">
        <v>35</v>
      </c>
      <c r="N1" t="s">
        <v>37</v>
      </c>
      <c r="O1" t="s">
        <v>38</v>
      </c>
      <c r="P1" t="s">
        <v>39</v>
      </c>
      <c r="Q1" t="s">
        <v>9</v>
      </c>
      <c r="R1" t="s">
        <v>10</v>
      </c>
      <c r="S1" s="7" t="s">
        <v>11</v>
      </c>
      <c r="T1" t="s">
        <v>12</v>
      </c>
    </row>
    <row r="2" spans="1:25" x14ac:dyDescent="0.2">
      <c r="A2" t="str">
        <f t="shared" ref="A2:A65" si="0">"EMP" &amp; TEXT(ROW(A1), "000")</f>
        <v>EMP001</v>
      </c>
      <c r="B2" t="str">
        <f ca="1">CHOOSE(RANDBETWEEN(1, 2), "Male", "Female")</f>
        <v>Female</v>
      </c>
      <c r="C2" t="str" cm="1">
        <f t="array" aca="1" ref="C2" ca="1">INDEX(sheet2!$A$2:$A$6, RANDBETWEEN(1, 5))</f>
        <v>IT</v>
      </c>
      <c r="D2" t="str">
        <f ca="1">_xlfn.XLOOKUP(Table1[[#This Row],[Department]],sheet2!$A$2:$A$6,sheet2!$B$2:$B$6,_xleta.NA,0)</f>
        <v>Software Engineer</v>
      </c>
      <c r="E2" s="1">
        <f ca="1">DATE(RANDBETWEEN(2018, 2022), RANDBETWEEN(1, 12), RANDBETWEEN(1, 28))</f>
        <v>44301</v>
      </c>
      <c r="F2" s="1">
        <f ca="1">Table1[[#This Row],[Job Posting Date]]+ RANDBETWEEN(15, 90)</f>
        <v>44385</v>
      </c>
      <c r="G2" s="1">
        <f ca="1">Table1[[#This Row],[Hire Date]]+ RANDBETWEEN(1, 15)</f>
        <v>44399</v>
      </c>
      <c r="H2" s="1">
        <f ca="1">IF(RAND() &lt; 0.5,  Table1[[#This Row],[Join Date]]+ RANDBETWEEN(30, TODAY()- Table1[[#This Row],[Join Date]]), "-")</f>
        <v>44959</v>
      </c>
      <c r="I2" t="str">
        <f ca="1">IF(Table1[[#This Row],[Exit Date]]= "-", "Active", "Exited")</f>
        <v>Exited</v>
      </c>
      <c r="J2" s="5">
        <f t="shared" ref="J2:J33" ca="1" si="1">RANDBETWEEN(1500, 5000)</f>
        <v>4516</v>
      </c>
      <c r="K2">
        <f ca="1">Table1[[#This Row],[Offers Made]]*2</f>
        <v>8</v>
      </c>
      <c r="L2">
        <f t="shared" ref="L2:L65" ca="1" si="2">RANDBETWEEN(3, 8)</f>
        <v>4</v>
      </c>
      <c r="M2">
        <f t="shared" ref="M2:M65" ca="1" si="3">RANDBETWEEN(1, L2-1)</f>
        <v>3</v>
      </c>
      <c r="N2" t="str">
        <f t="shared" ref="N2:N65" ca="1" si="4">CHOOSE(RANDBETWEEN(1, 4), "Job Portals", "Campus Placements", "Employee Referrals", "Direct Hiring")</f>
        <v>Campus Placements</v>
      </c>
      <c r="O2">
        <f t="shared" ref="O2:O65" ca="1" si="5">RANDBETWEEN(1,5)</f>
        <v>1</v>
      </c>
      <c r="P2" t="str">
        <f t="shared" ref="P2:P65" ca="1" si="6">CHOOSE(RANDBETWEEN(1, 2), "Yes", "No")</f>
        <v>Yes</v>
      </c>
      <c r="Q2" t="str" cm="1">
        <f t="array" aca="1" ref="Q2" ca="1">INDEX(sheet2!$C$2:$C$6, RANDBETWEEN(1, 5))</f>
        <v>Advanced Excel Skills </v>
      </c>
      <c r="R2" t="str">
        <f t="shared" ref="R2:R33" ca="1" si="7">IF(RAND() &lt; 0.7, "Completed", "Not Completed")</f>
        <v>Completed</v>
      </c>
      <c r="S2">
        <f ca="1">Table1[[#This Row],[Hire Date]]-Table1[[#This Row],[Job Posting Date]]</f>
        <v>84</v>
      </c>
    </row>
    <row r="3" spans="1:25" x14ac:dyDescent="0.2">
      <c r="A3" t="str">
        <f t="shared" si="0"/>
        <v>EMP002</v>
      </c>
      <c r="B3" t="str">
        <f t="shared" ref="B3:B65" ca="1" si="8">CHOOSE(RANDBETWEEN(1, 2), "Male", "Female")</f>
        <v>Female</v>
      </c>
      <c r="C3" t="str" cm="1">
        <f t="array" aca="1" ref="C3" ca="1">INDEX(sheet2!$A$2:$A$6, RANDBETWEEN(1, 5))</f>
        <v>HR</v>
      </c>
      <c r="D3" t="str">
        <f ca="1">_xlfn.XLOOKUP(Table1[[#This Row],[Department]],sheet2!$A$2:$A$6,sheet2!$B$2:$B$6,_xleta.NA,0)</f>
        <v>HR Manager</v>
      </c>
      <c r="E3" s="1">
        <f t="shared" ref="E3:E33" ca="1" si="9">DATE(RANDBETWEEN(2018, 2022), RANDBETWEEN(1, 12), RANDBETWEEN(1, 28))</f>
        <v>43892</v>
      </c>
      <c r="F3" s="1">
        <f ca="1">Table1[[#This Row],[Job Posting Date]]+ RANDBETWEEN(15, 90)</f>
        <v>43950</v>
      </c>
      <c r="G3" s="1">
        <f ca="1">Table1[[#This Row],[Hire Date]]+ RANDBETWEEN(1, 15)</f>
        <v>43953</v>
      </c>
      <c r="H3" s="1" t="str">
        <f ca="1">IF(RAND() &lt; 0.5,  Table1[[#This Row],[Join Date]]+ RANDBETWEEN(30, TODAY()- Table1[[#This Row],[Join Date]]), "-")</f>
        <v>-</v>
      </c>
      <c r="I3" t="str">
        <f ca="1">IF(Table1[[#This Row],[Exit Date]]= "-", "Active", "Exited")</f>
        <v>Active</v>
      </c>
      <c r="J3" s="5">
        <f t="shared" ca="1" si="1"/>
        <v>3944</v>
      </c>
      <c r="K3">
        <f ca="1">Table1[[#This Row],[Offers Made]]*2</f>
        <v>16</v>
      </c>
      <c r="L3">
        <f t="shared" ca="1" si="2"/>
        <v>8</v>
      </c>
      <c r="M3">
        <f t="shared" ca="1" si="3"/>
        <v>1</v>
      </c>
      <c r="N3" t="str">
        <f t="shared" ca="1" si="4"/>
        <v>Employee Referrals</v>
      </c>
      <c r="O3">
        <f t="shared" ca="1" si="5"/>
        <v>4</v>
      </c>
      <c r="P3" t="str">
        <f t="shared" ca="1" si="6"/>
        <v>No</v>
      </c>
      <c r="Q3" t="str" cm="1">
        <f t="array" aca="1" ref="Q3" ca="1">INDEX(sheet2!$C$2:$C$6, RANDBETWEEN(1, 5))</f>
        <v>Leadership Development</v>
      </c>
      <c r="R3" t="str">
        <f t="shared" ca="1" si="7"/>
        <v>Not Completed</v>
      </c>
      <c r="S3">
        <f ca="1">Table1[[#This Row],[Hire Date]]-Table1[[#This Row],[Job Posting Date]]</f>
        <v>58</v>
      </c>
    </row>
    <row r="4" spans="1:25" x14ac:dyDescent="0.2">
      <c r="A4" t="str">
        <f t="shared" si="0"/>
        <v>EMP003</v>
      </c>
      <c r="B4" t="str">
        <f t="shared" ca="1" si="8"/>
        <v>Female</v>
      </c>
      <c r="C4" t="str" cm="1">
        <f t="array" aca="1" ref="C4" ca="1">INDEX(sheet2!$A$2:$A$6, RANDBETWEEN(1, 5))</f>
        <v>HR</v>
      </c>
      <c r="D4" t="str">
        <f ca="1">_xlfn.XLOOKUP(Table1[[#This Row],[Department]],sheet2!$A$2:$A$6,sheet2!$B$2:$B$6,_xleta.NA,0)</f>
        <v>HR Manager</v>
      </c>
      <c r="E4" s="1">
        <f t="shared" ca="1" si="9"/>
        <v>43352</v>
      </c>
      <c r="F4" s="1">
        <f ca="1">Table1[[#This Row],[Job Posting Date]]+ RANDBETWEEN(15, 90)</f>
        <v>43438</v>
      </c>
      <c r="G4" s="1">
        <f ca="1">Table1[[#This Row],[Hire Date]]+ RANDBETWEEN(1, 15)</f>
        <v>43440</v>
      </c>
      <c r="H4" s="1">
        <f ca="1">IF(RAND() &lt; 0.5,  Table1[[#This Row],[Join Date]]+ RANDBETWEEN(30, TODAY()- Table1[[#This Row],[Join Date]]), "-")</f>
        <v>43496</v>
      </c>
      <c r="I4" t="str">
        <f ca="1">IF(Table1[[#This Row],[Exit Date]]= "-", "Active", "Exited")</f>
        <v>Exited</v>
      </c>
      <c r="J4" s="5">
        <f t="shared" ca="1" si="1"/>
        <v>4991</v>
      </c>
      <c r="K4">
        <f ca="1">Table1[[#This Row],[Offers Made]]*2</f>
        <v>12</v>
      </c>
      <c r="L4">
        <f t="shared" ca="1" si="2"/>
        <v>6</v>
      </c>
      <c r="M4">
        <f t="shared" ca="1" si="3"/>
        <v>5</v>
      </c>
      <c r="N4" t="str">
        <f t="shared" ca="1" si="4"/>
        <v>Campus Placements</v>
      </c>
      <c r="O4">
        <f t="shared" ca="1" si="5"/>
        <v>2</v>
      </c>
      <c r="P4" t="str">
        <f t="shared" ca="1" si="6"/>
        <v>No</v>
      </c>
      <c r="Q4" t="str" cm="1">
        <f t="array" aca="1" ref="Q4" ca="1">INDEX(sheet2!$C$2:$C$6, RANDBETWEEN(1, 5))</f>
        <v>Leadership Development</v>
      </c>
      <c r="R4" t="str">
        <f t="shared" ca="1" si="7"/>
        <v>Completed</v>
      </c>
      <c r="S4">
        <f ca="1">Table1[[#This Row],[Hire Date]]-Table1[[#This Row],[Job Posting Date]]</f>
        <v>86</v>
      </c>
    </row>
    <row r="5" spans="1:25" x14ac:dyDescent="0.2">
      <c r="A5" t="str">
        <f t="shared" si="0"/>
        <v>EMP004</v>
      </c>
      <c r="B5" t="str">
        <f t="shared" ca="1" si="8"/>
        <v>Male</v>
      </c>
      <c r="C5" t="str" cm="1">
        <f t="array" aca="1" ref="C5" ca="1">INDEX(sheet2!$A$2:$A$6, RANDBETWEEN(1, 5))</f>
        <v>Analytics</v>
      </c>
      <c r="D5" t="str">
        <f ca="1">_xlfn.XLOOKUP(Table1[[#This Row],[Department]],sheet2!$A$2:$A$6,sheet2!$B$2:$B$6,_xleta.NA,0)</f>
        <v>Data Analyst</v>
      </c>
      <c r="E5" s="1">
        <f t="shared" ca="1" si="9"/>
        <v>43166</v>
      </c>
      <c r="F5" s="1">
        <f ca="1">Table1[[#This Row],[Job Posting Date]]+ RANDBETWEEN(15, 90)</f>
        <v>43230</v>
      </c>
      <c r="G5" s="1">
        <f ca="1">Table1[[#This Row],[Hire Date]]+ RANDBETWEEN(1, 15)</f>
        <v>43231</v>
      </c>
      <c r="H5" s="1">
        <f ca="1">IF(RAND() &lt; 0.5,  Table1[[#This Row],[Join Date]]+ RANDBETWEEN(30, TODAY()- Table1[[#This Row],[Join Date]]), "-")</f>
        <v>44919</v>
      </c>
      <c r="I5" t="str">
        <f ca="1">IF(Table1[[#This Row],[Exit Date]]= "-", "Active", "Exited")</f>
        <v>Exited</v>
      </c>
      <c r="J5" s="5">
        <f t="shared" ca="1" si="1"/>
        <v>2157</v>
      </c>
      <c r="K5">
        <f ca="1">Table1[[#This Row],[Offers Made]]*2</f>
        <v>14</v>
      </c>
      <c r="L5">
        <f t="shared" ca="1" si="2"/>
        <v>7</v>
      </c>
      <c r="M5">
        <f t="shared" ca="1" si="3"/>
        <v>1</v>
      </c>
      <c r="N5" t="str">
        <f t="shared" ca="1" si="4"/>
        <v>Direct Hiring</v>
      </c>
      <c r="O5">
        <f t="shared" ca="1" si="5"/>
        <v>2</v>
      </c>
      <c r="P5" t="str">
        <f t="shared" ca="1" si="6"/>
        <v>No</v>
      </c>
      <c r="Q5" t="str" cm="1">
        <f t="array" aca="1" ref="Q5" ca="1">INDEX(sheet2!$C$2:$C$6, RANDBETWEEN(1, 5))</f>
        <v>Communication Skills</v>
      </c>
      <c r="R5" t="str">
        <f ca="1">IF(RAND() &lt; 0.7, "Completed", "Not Completed")</f>
        <v>Completed</v>
      </c>
      <c r="S5">
        <f ca="1">Table1[[#This Row],[Hire Date]]-Table1[[#This Row],[Job Posting Date]]</f>
        <v>64</v>
      </c>
      <c r="V5" s="4" t="s">
        <v>13</v>
      </c>
      <c r="W5" s="4" t="s">
        <v>14</v>
      </c>
      <c r="X5" s="4" t="s">
        <v>15</v>
      </c>
      <c r="Y5" s="4" t="s">
        <v>16</v>
      </c>
    </row>
    <row r="6" spans="1:25" x14ac:dyDescent="0.2">
      <c r="A6" t="str">
        <f t="shared" si="0"/>
        <v>EMP005</v>
      </c>
      <c r="B6" t="str">
        <f t="shared" ca="1" si="8"/>
        <v>Female</v>
      </c>
      <c r="C6" t="str" cm="1">
        <f t="array" aca="1" ref="C6" ca="1">INDEX(sheet2!$A$2:$A$6, RANDBETWEEN(1, 5))</f>
        <v>Finance</v>
      </c>
      <c r="D6" t="str">
        <f ca="1">_xlfn.XLOOKUP(Table1[[#This Row],[Department]],sheet2!$A$2:$A$6,sheet2!$B$2:$B$6,_xleta.NA,0)</f>
        <v>Finance Manager</v>
      </c>
      <c r="E6" s="1">
        <f t="shared" ca="1" si="9"/>
        <v>44892</v>
      </c>
      <c r="F6" s="1">
        <f ca="1">Table1[[#This Row],[Job Posting Date]]+ RANDBETWEEN(15, 90)</f>
        <v>44919</v>
      </c>
      <c r="G6" s="1">
        <f ca="1">Table1[[#This Row],[Hire Date]]+ RANDBETWEEN(1, 15)</f>
        <v>44932</v>
      </c>
      <c r="H6" s="1" t="str">
        <f ca="1">IF(RAND() &lt; 0.5,  Table1[[#This Row],[Join Date]]+ RANDBETWEEN(30, TODAY()- Table1[[#This Row],[Join Date]]), "-")</f>
        <v>-</v>
      </c>
      <c r="I6" t="str">
        <f ca="1">IF(Table1[[#This Row],[Exit Date]]= "-", "Active", "Exited")</f>
        <v>Active</v>
      </c>
      <c r="J6" s="5">
        <f t="shared" ca="1" si="1"/>
        <v>4042</v>
      </c>
      <c r="K6">
        <f ca="1">Table1[[#This Row],[Offers Made]]*2</f>
        <v>14</v>
      </c>
      <c r="L6">
        <f t="shared" ca="1" si="2"/>
        <v>7</v>
      </c>
      <c r="M6">
        <f t="shared" ca="1" si="3"/>
        <v>4</v>
      </c>
      <c r="N6" t="str">
        <f t="shared" ca="1" si="4"/>
        <v>Job Portals</v>
      </c>
      <c r="O6">
        <f t="shared" ca="1" si="5"/>
        <v>2</v>
      </c>
      <c r="P6" t="str">
        <f t="shared" ca="1" si="6"/>
        <v>No</v>
      </c>
      <c r="Q6" t="str" cm="1">
        <f t="array" aca="1" ref="Q6" ca="1">INDEX(sheet2!$C$2:$C$6, RANDBETWEEN(1, 5))</f>
        <v>Advanced Excel Skills </v>
      </c>
      <c r="R6" t="str">
        <f t="shared" ca="1" si="7"/>
        <v>Not Completed</v>
      </c>
      <c r="S6">
        <f ca="1">Table1[[#This Row],[Hire Date]]-Table1[[#This Row],[Job Posting Date]]</f>
        <v>27</v>
      </c>
      <c r="V6" s="6">
        <f ca="1">(COUNTIF(Status,"Exited") / COUNTA(Status)) * 100</f>
        <v>46.30738522954092</v>
      </c>
      <c r="W6" s="6">
        <f ca="1">((COUNTA(Status) - COUNTIF(Status,"Exited")) / COUNTA(Status)) * 100</f>
        <v>53.69261477045908</v>
      </c>
      <c r="X6" s="4">
        <f>(COUNTIF(TrainingCompletionStatus,"Completed") / COUNTA(TrainingCompletionStatus)) * 100</f>
        <v>0</v>
      </c>
      <c r="Y6" s="4" t="e">
        <f>AVERAGE(Timetofill)</f>
        <v>#DIV/0!</v>
      </c>
    </row>
    <row r="7" spans="1:25" x14ac:dyDescent="0.2">
      <c r="A7" t="str">
        <f t="shared" si="0"/>
        <v>EMP006</v>
      </c>
      <c r="B7" t="str">
        <f t="shared" ca="1" si="8"/>
        <v>Female</v>
      </c>
      <c r="C7" t="str" cm="1">
        <f t="array" aca="1" ref="C7" ca="1">INDEX(sheet2!$A$2:$A$6, RANDBETWEEN(1, 5))</f>
        <v>Sales</v>
      </c>
      <c r="D7" t="str">
        <f ca="1">_xlfn.XLOOKUP(Table1[[#This Row],[Department]],sheet2!$A$2:$A$6,sheet2!$B$2:$B$6,_xleta.NA,0)</f>
        <v>Marketing Manager</v>
      </c>
      <c r="E7" s="1">
        <f t="shared" ca="1" si="9"/>
        <v>43659</v>
      </c>
      <c r="F7" s="1">
        <f ca="1">Table1[[#This Row],[Job Posting Date]]+ RANDBETWEEN(15, 90)</f>
        <v>43737</v>
      </c>
      <c r="G7" s="1">
        <f ca="1">Table1[[#This Row],[Hire Date]]+ RANDBETWEEN(1, 15)</f>
        <v>43752</v>
      </c>
      <c r="H7" s="1" t="str">
        <f ca="1">IF(RAND() &lt; 0.5,  Table1[[#This Row],[Join Date]]+ RANDBETWEEN(30, TODAY()- Table1[[#This Row],[Join Date]]), "-")</f>
        <v>-</v>
      </c>
      <c r="I7" t="str">
        <f ca="1">IF(Table1[[#This Row],[Exit Date]]= "-", "Active", "Exited")</f>
        <v>Active</v>
      </c>
      <c r="J7" s="5">
        <f t="shared" ca="1" si="1"/>
        <v>4993</v>
      </c>
      <c r="K7">
        <f ca="1">Table1[[#This Row],[Offers Made]]*2</f>
        <v>14</v>
      </c>
      <c r="L7">
        <f t="shared" ca="1" si="2"/>
        <v>7</v>
      </c>
      <c r="M7">
        <f t="shared" ca="1" si="3"/>
        <v>2</v>
      </c>
      <c r="N7" t="str">
        <f t="shared" ca="1" si="4"/>
        <v>Direct Hiring</v>
      </c>
      <c r="O7">
        <f t="shared" ca="1" si="5"/>
        <v>4</v>
      </c>
      <c r="P7" t="str">
        <f t="shared" ca="1" si="6"/>
        <v>Yes</v>
      </c>
      <c r="Q7" t="str" cm="1">
        <f t="array" aca="1" ref="Q7" ca="1">INDEX(sheet2!$C$2:$C$6, RANDBETWEEN(1, 5))</f>
        <v>Conflict Resolution</v>
      </c>
      <c r="R7" t="str">
        <f ca="1">IF(RAND() &lt; 0.7, "Completed", "Not Completed")</f>
        <v>Completed</v>
      </c>
      <c r="S7">
        <f ca="1">Table1[[#This Row],[Hire Date]]-Table1[[#This Row],[Job Posting Date]]</f>
        <v>78</v>
      </c>
    </row>
    <row r="8" spans="1:25" x14ac:dyDescent="0.2">
      <c r="A8" t="str">
        <f t="shared" si="0"/>
        <v>EMP007</v>
      </c>
      <c r="B8" t="str">
        <f t="shared" ca="1" si="8"/>
        <v>Male</v>
      </c>
      <c r="C8" t="str" cm="1">
        <f t="array" aca="1" ref="C8" ca="1">INDEX(sheet2!$A$2:$A$6, RANDBETWEEN(1, 5))</f>
        <v>HR</v>
      </c>
      <c r="D8" t="str">
        <f ca="1">_xlfn.XLOOKUP(Table1[[#This Row],[Department]],sheet2!$A$2:$A$6,sheet2!$B$2:$B$6,_xleta.NA,0)</f>
        <v>HR Manager</v>
      </c>
      <c r="E8" s="1">
        <f t="shared" ca="1" si="9"/>
        <v>43635</v>
      </c>
      <c r="F8" s="1">
        <f ca="1">Table1[[#This Row],[Job Posting Date]]+ RANDBETWEEN(15, 90)</f>
        <v>43655</v>
      </c>
      <c r="G8" s="1">
        <f ca="1">Table1[[#This Row],[Hire Date]]+ RANDBETWEEN(1, 15)</f>
        <v>43668</v>
      </c>
      <c r="H8" s="1" t="str">
        <f ca="1">IF(RAND() &lt; 0.5,  Table1[[#This Row],[Join Date]]+ RANDBETWEEN(30, TODAY()- Table1[[#This Row],[Join Date]]), "-")</f>
        <v>-</v>
      </c>
      <c r="I8" t="str">
        <f ca="1">IF(Table1[[#This Row],[Exit Date]]= "-", "Active", "Exited")</f>
        <v>Active</v>
      </c>
      <c r="J8" s="5">
        <f t="shared" ca="1" si="1"/>
        <v>3160</v>
      </c>
      <c r="K8">
        <f ca="1">Table1[[#This Row],[Offers Made]]*2</f>
        <v>12</v>
      </c>
      <c r="L8">
        <f t="shared" ca="1" si="2"/>
        <v>6</v>
      </c>
      <c r="M8">
        <f t="shared" ca="1" si="3"/>
        <v>2</v>
      </c>
      <c r="N8" t="str">
        <f t="shared" ca="1" si="4"/>
        <v>Employee Referrals</v>
      </c>
      <c r="O8">
        <f t="shared" ca="1" si="5"/>
        <v>5</v>
      </c>
      <c r="P8" t="str">
        <f t="shared" ca="1" si="6"/>
        <v>No</v>
      </c>
      <c r="Q8" t="str" cm="1">
        <f t="array" aca="1" ref="Q8" ca="1">INDEX(sheet2!$C$2:$C$6, RANDBETWEEN(1, 5))</f>
        <v>Advanced Excel Skills </v>
      </c>
      <c r="R8" t="str">
        <f ca="1">IF(RAND() &lt; 0.7, "Completed", "Not Completed")</f>
        <v>Not Completed</v>
      </c>
      <c r="S8">
        <f ca="1">Table1[[#This Row],[Hire Date]]-Table1[[#This Row],[Job Posting Date]]</f>
        <v>20</v>
      </c>
    </row>
    <row r="9" spans="1:25" x14ac:dyDescent="0.2">
      <c r="A9" t="str">
        <f t="shared" si="0"/>
        <v>EMP008</v>
      </c>
      <c r="B9" t="str">
        <f t="shared" ca="1" si="8"/>
        <v>Female</v>
      </c>
      <c r="C9" t="str" cm="1">
        <f t="array" aca="1" ref="C9" ca="1">INDEX(sheet2!$A$2:$A$6, RANDBETWEEN(1, 5))</f>
        <v>Analytics</v>
      </c>
      <c r="D9" t="str">
        <f ca="1">_xlfn.XLOOKUP(Table1[[#This Row],[Department]],sheet2!$A$2:$A$6,sheet2!$B$2:$B$6,_xleta.NA,0)</f>
        <v>Data Analyst</v>
      </c>
      <c r="E9" s="1">
        <f t="shared" ca="1" si="9"/>
        <v>43958</v>
      </c>
      <c r="F9" s="1">
        <f ca="1">Table1[[#This Row],[Job Posting Date]]+ RANDBETWEEN(15, 90)</f>
        <v>43983</v>
      </c>
      <c r="G9" s="1">
        <f ca="1">Table1[[#This Row],[Hire Date]]+ RANDBETWEEN(1, 15)</f>
        <v>43987</v>
      </c>
      <c r="H9" s="1" t="str">
        <f ca="1">IF(RAND() &lt; 0.5,  Table1[[#This Row],[Join Date]]+ RANDBETWEEN(30, TODAY()- Table1[[#This Row],[Join Date]]), "-")</f>
        <v>-</v>
      </c>
      <c r="I9" t="str">
        <f ca="1">IF(Table1[[#This Row],[Exit Date]]= "-", "Active", "Exited")</f>
        <v>Active</v>
      </c>
      <c r="J9" s="5">
        <f t="shared" ca="1" si="1"/>
        <v>4319</v>
      </c>
      <c r="K9">
        <f ca="1">Table1[[#This Row],[Offers Made]]*2</f>
        <v>16</v>
      </c>
      <c r="L9">
        <f t="shared" ca="1" si="2"/>
        <v>8</v>
      </c>
      <c r="M9">
        <f t="shared" ca="1" si="3"/>
        <v>6</v>
      </c>
      <c r="N9" t="str">
        <f t="shared" ca="1" si="4"/>
        <v>Campus Placements</v>
      </c>
      <c r="O9">
        <f t="shared" ca="1" si="5"/>
        <v>2</v>
      </c>
      <c r="P9" t="str">
        <f t="shared" ca="1" si="6"/>
        <v>Yes</v>
      </c>
      <c r="Q9" t="str" cm="1">
        <f t="array" aca="1" ref="Q9" ca="1">INDEX(sheet2!$C$2:$C$6, RANDBETWEEN(1, 5))</f>
        <v>Ethics and Responsibilities</v>
      </c>
      <c r="R9" t="str">
        <f ca="1">IF(RAND() &lt; 0.7, "Completed", "Not Completed")</f>
        <v>Completed</v>
      </c>
      <c r="S9">
        <f ca="1">Table1[[#This Row],[Hire Date]]-Table1[[#This Row],[Job Posting Date]]</f>
        <v>25</v>
      </c>
    </row>
    <row r="10" spans="1:25" x14ac:dyDescent="0.2">
      <c r="A10" t="str">
        <f t="shared" si="0"/>
        <v>EMP009</v>
      </c>
      <c r="B10" t="str">
        <f t="shared" ca="1" si="8"/>
        <v>Male</v>
      </c>
      <c r="C10" t="str" cm="1">
        <f t="array" aca="1" ref="C10" ca="1">INDEX(sheet2!$A$2:$A$6, RANDBETWEEN(1, 5))</f>
        <v>Finance</v>
      </c>
      <c r="D10" t="str">
        <f ca="1">_xlfn.XLOOKUP(Table1[[#This Row],[Department]],sheet2!$A$2:$A$6,sheet2!$B$2:$B$6,_xleta.NA,0)</f>
        <v>Finance Manager</v>
      </c>
      <c r="E10" s="1">
        <f t="shared" ca="1" si="9"/>
        <v>43453</v>
      </c>
      <c r="F10" s="1">
        <f ca="1">Table1[[#This Row],[Job Posting Date]]+ RANDBETWEEN(15, 90)</f>
        <v>43510</v>
      </c>
      <c r="G10" s="1">
        <f ca="1">Table1[[#This Row],[Hire Date]]+ RANDBETWEEN(1, 15)</f>
        <v>43523</v>
      </c>
      <c r="H10" s="1" t="str">
        <f ca="1">IF(RAND() &lt; 0.5,  Table1[[#This Row],[Join Date]]+ RANDBETWEEN(30, TODAY()- Table1[[#This Row],[Join Date]]), "-")</f>
        <v>-</v>
      </c>
      <c r="I10" t="str">
        <f ca="1">IF(Table1[[#This Row],[Exit Date]]= "-", "Active", "Exited")</f>
        <v>Active</v>
      </c>
      <c r="J10" s="5">
        <f t="shared" ca="1" si="1"/>
        <v>4114</v>
      </c>
      <c r="K10">
        <f ca="1">Table1[[#This Row],[Offers Made]]*2</f>
        <v>10</v>
      </c>
      <c r="L10">
        <f t="shared" ca="1" si="2"/>
        <v>5</v>
      </c>
      <c r="M10">
        <f t="shared" ca="1" si="3"/>
        <v>1</v>
      </c>
      <c r="N10" t="str">
        <f t="shared" ca="1" si="4"/>
        <v>Campus Placements</v>
      </c>
      <c r="O10">
        <f t="shared" ca="1" si="5"/>
        <v>1</v>
      </c>
      <c r="P10" t="str">
        <f t="shared" ca="1" si="6"/>
        <v>No</v>
      </c>
      <c r="Q10" t="str" cm="1">
        <f t="array" aca="1" ref="Q10" ca="1">INDEX(sheet2!$C$2:$C$6, RANDBETWEEN(1, 5))</f>
        <v>Ethics and Responsibilities</v>
      </c>
      <c r="R10" t="str">
        <f t="shared" ca="1" si="7"/>
        <v>Completed</v>
      </c>
      <c r="S10">
        <f ca="1">Table1[[#This Row],[Hire Date]]-Table1[[#This Row],[Job Posting Date]]</f>
        <v>57</v>
      </c>
    </row>
    <row r="11" spans="1:25" x14ac:dyDescent="0.2">
      <c r="A11" t="str">
        <f t="shared" si="0"/>
        <v>EMP010</v>
      </c>
      <c r="B11" t="str">
        <f t="shared" ca="1" si="8"/>
        <v>Female</v>
      </c>
      <c r="C11" t="str" cm="1">
        <f t="array" aca="1" ref="C11" ca="1">INDEX(sheet2!$A$2:$A$6, RANDBETWEEN(1, 5))</f>
        <v>Finance</v>
      </c>
      <c r="D11" t="str">
        <f ca="1">_xlfn.XLOOKUP(Table1[[#This Row],[Department]],sheet2!$A$2:$A$6,sheet2!$B$2:$B$6,_xleta.NA,0)</f>
        <v>Finance Manager</v>
      </c>
      <c r="E11" s="1">
        <f t="shared" ca="1" si="9"/>
        <v>43287</v>
      </c>
      <c r="F11" s="1">
        <f ca="1">Table1[[#This Row],[Job Posting Date]]+ RANDBETWEEN(15, 90)</f>
        <v>43302</v>
      </c>
      <c r="G11" s="1">
        <f ca="1">Table1[[#This Row],[Hire Date]]+ RANDBETWEEN(1, 15)</f>
        <v>43314</v>
      </c>
      <c r="H11" s="1" t="str">
        <f ca="1">IF(RAND() &lt; 0.5,  Table1[[#This Row],[Join Date]]+ RANDBETWEEN(30, TODAY()- Table1[[#This Row],[Join Date]]), "-")</f>
        <v>-</v>
      </c>
      <c r="I11" t="str">
        <f ca="1">IF(Table1[[#This Row],[Exit Date]]= "-", "Active", "Exited")</f>
        <v>Active</v>
      </c>
      <c r="J11" s="5">
        <f t="shared" ca="1" si="1"/>
        <v>2798</v>
      </c>
      <c r="K11">
        <f ca="1">Table1[[#This Row],[Offers Made]]*2</f>
        <v>12</v>
      </c>
      <c r="L11">
        <f t="shared" ca="1" si="2"/>
        <v>6</v>
      </c>
      <c r="M11">
        <f t="shared" ca="1" si="3"/>
        <v>1</v>
      </c>
      <c r="N11" t="str">
        <f t="shared" ca="1" si="4"/>
        <v>Direct Hiring</v>
      </c>
      <c r="O11">
        <f t="shared" ca="1" si="5"/>
        <v>1</v>
      </c>
      <c r="P11" t="str">
        <f t="shared" ca="1" si="6"/>
        <v>No</v>
      </c>
      <c r="Q11" t="str" cm="1">
        <f t="array" aca="1" ref="Q11" ca="1">INDEX(sheet2!$C$2:$C$6, RANDBETWEEN(1, 5))</f>
        <v>Advanced Excel Skills </v>
      </c>
      <c r="R11" t="str">
        <f t="shared" ca="1" si="7"/>
        <v>Completed</v>
      </c>
      <c r="S11">
        <f ca="1">Table1[[#This Row],[Hire Date]]-Table1[[#This Row],[Job Posting Date]]</f>
        <v>15</v>
      </c>
    </row>
    <row r="12" spans="1:25" x14ac:dyDescent="0.2">
      <c r="A12" t="str">
        <f t="shared" si="0"/>
        <v>EMP011</v>
      </c>
      <c r="B12" t="str">
        <f t="shared" ca="1" si="8"/>
        <v>Female</v>
      </c>
      <c r="C12" t="str" cm="1">
        <f t="array" aca="1" ref="C12" ca="1">INDEX(sheet2!$A$2:$A$6, RANDBETWEEN(1, 5))</f>
        <v>Analytics</v>
      </c>
      <c r="D12" t="str">
        <f ca="1">_xlfn.XLOOKUP(Table1[[#This Row],[Department]],sheet2!$A$2:$A$6,sheet2!$B$2:$B$6,_xleta.NA,0)</f>
        <v>Data Analyst</v>
      </c>
      <c r="E12" s="1">
        <f t="shared" ca="1" si="9"/>
        <v>44106</v>
      </c>
      <c r="F12" s="1">
        <f ca="1">Table1[[#This Row],[Job Posting Date]]+ RANDBETWEEN(15, 90)</f>
        <v>44174</v>
      </c>
      <c r="G12" s="1">
        <f ca="1">Table1[[#This Row],[Hire Date]]+ RANDBETWEEN(1, 15)</f>
        <v>44187</v>
      </c>
      <c r="H12" s="1">
        <f ca="1">IF(RAND() &lt; 0.5,  Table1[[#This Row],[Join Date]]+ RANDBETWEEN(30, TODAY()- Table1[[#This Row],[Join Date]]), "-")</f>
        <v>44966</v>
      </c>
      <c r="I12" t="str">
        <f ca="1">IF(Table1[[#This Row],[Exit Date]]= "-", "Active", "Exited")</f>
        <v>Exited</v>
      </c>
      <c r="J12" s="5">
        <f t="shared" ca="1" si="1"/>
        <v>1955</v>
      </c>
      <c r="K12">
        <f ca="1">Table1[[#This Row],[Offers Made]]*2</f>
        <v>16</v>
      </c>
      <c r="L12">
        <f t="shared" ca="1" si="2"/>
        <v>8</v>
      </c>
      <c r="M12">
        <f t="shared" ca="1" si="3"/>
        <v>5</v>
      </c>
      <c r="N12" t="str">
        <f t="shared" ca="1" si="4"/>
        <v>Campus Placements</v>
      </c>
      <c r="O12">
        <f t="shared" ca="1" si="5"/>
        <v>2</v>
      </c>
      <c r="P12" t="str">
        <f t="shared" ca="1" si="6"/>
        <v>Yes</v>
      </c>
      <c r="Q12" t="str" cm="1">
        <f t="array" aca="1" ref="Q12" ca="1">INDEX(sheet2!$C$2:$C$6, RANDBETWEEN(1, 5))</f>
        <v>Communication Skills</v>
      </c>
      <c r="R12" t="str">
        <f t="shared" ca="1" si="7"/>
        <v>Completed</v>
      </c>
      <c r="S12">
        <f ca="1">Table1[[#This Row],[Hire Date]]-Table1[[#This Row],[Job Posting Date]]</f>
        <v>68</v>
      </c>
    </row>
    <row r="13" spans="1:25" x14ac:dyDescent="0.2">
      <c r="A13" t="str">
        <f t="shared" si="0"/>
        <v>EMP012</v>
      </c>
      <c r="B13" t="str">
        <f t="shared" ca="1" si="8"/>
        <v>Female</v>
      </c>
      <c r="C13" t="str" cm="1">
        <f t="array" aca="1" ref="C13" ca="1">INDEX(sheet2!$A$2:$A$6, RANDBETWEEN(1, 5))</f>
        <v>HR</v>
      </c>
      <c r="D13" t="str">
        <f ca="1">_xlfn.XLOOKUP(Table1[[#This Row],[Department]],sheet2!$A$2:$A$6,sheet2!$B$2:$B$6,_xleta.NA,0)</f>
        <v>HR Manager</v>
      </c>
      <c r="E13" s="1">
        <f t="shared" ca="1" si="9"/>
        <v>43710</v>
      </c>
      <c r="F13" s="1">
        <f ca="1">Table1[[#This Row],[Job Posting Date]]+ RANDBETWEEN(15, 90)</f>
        <v>43785</v>
      </c>
      <c r="G13" s="1">
        <f ca="1">Table1[[#This Row],[Hire Date]]+ RANDBETWEEN(1, 15)</f>
        <v>43798</v>
      </c>
      <c r="H13" s="1">
        <f ca="1">IF(RAND() &lt; 0.5,  Table1[[#This Row],[Join Date]]+ RANDBETWEEN(30, TODAY()- Table1[[#This Row],[Join Date]]), "-")</f>
        <v>44414</v>
      </c>
      <c r="I13" t="str">
        <f ca="1">IF(Table1[[#This Row],[Exit Date]]= "-", "Active", "Exited")</f>
        <v>Exited</v>
      </c>
      <c r="J13" s="5">
        <f t="shared" ca="1" si="1"/>
        <v>3482</v>
      </c>
      <c r="K13">
        <f ca="1">Table1[[#This Row],[Offers Made]]*2</f>
        <v>8</v>
      </c>
      <c r="L13">
        <f t="shared" ca="1" si="2"/>
        <v>4</v>
      </c>
      <c r="M13">
        <f t="shared" ca="1" si="3"/>
        <v>3</v>
      </c>
      <c r="N13" t="str">
        <f t="shared" ca="1" si="4"/>
        <v>Campus Placements</v>
      </c>
      <c r="O13">
        <f t="shared" ca="1" si="5"/>
        <v>1</v>
      </c>
      <c r="P13" t="str">
        <f t="shared" ca="1" si="6"/>
        <v>Yes</v>
      </c>
      <c r="Q13" t="str" cm="1">
        <f t="array" aca="1" ref="Q13" ca="1">INDEX(sheet2!$C$2:$C$6, RANDBETWEEN(1, 5))</f>
        <v>Communication Skills</v>
      </c>
      <c r="R13" t="str">
        <f t="shared" ca="1" si="7"/>
        <v>Completed</v>
      </c>
      <c r="S13">
        <f ca="1">Table1[[#This Row],[Hire Date]]-Table1[[#This Row],[Job Posting Date]]</f>
        <v>75</v>
      </c>
    </row>
    <row r="14" spans="1:25" x14ac:dyDescent="0.2">
      <c r="A14" t="str">
        <f t="shared" si="0"/>
        <v>EMP013</v>
      </c>
      <c r="B14" t="str">
        <f t="shared" ca="1" si="8"/>
        <v>Male</v>
      </c>
      <c r="C14" t="str" cm="1">
        <f t="array" aca="1" ref="C14" ca="1">INDEX(sheet2!$A$2:$A$6, RANDBETWEEN(1, 5))</f>
        <v>IT</v>
      </c>
      <c r="D14" t="str">
        <f ca="1">_xlfn.XLOOKUP(Table1[[#This Row],[Department]],sheet2!$A$2:$A$6,sheet2!$B$2:$B$6,_xleta.NA,0)</f>
        <v>Software Engineer</v>
      </c>
      <c r="E14" s="1">
        <f t="shared" ca="1" si="9"/>
        <v>44729</v>
      </c>
      <c r="F14" s="1">
        <f ca="1">Table1[[#This Row],[Job Posting Date]]+ RANDBETWEEN(15, 90)</f>
        <v>44753</v>
      </c>
      <c r="G14" s="1">
        <f ca="1">Table1[[#This Row],[Hire Date]]+ RANDBETWEEN(1, 15)</f>
        <v>44763</v>
      </c>
      <c r="H14" s="1" t="str">
        <f ca="1">IF(RAND() &lt; 0.5,  Table1[[#This Row],[Join Date]]+ RANDBETWEEN(30, TODAY()- Table1[[#This Row],[Join Date]]), "-")</f>
        <v>-</v>
      </c>
      <c r="I14" t="str">
        <f ca="1">IF(Table1[[#This Row],[Exit Date]]= "-", "Active", "Exited")</f>
        <v>Active</v>
      </c>
      <c r="J14" s="5">
        <f t="shared" ca="1" si="1"/>
        <v>2391</v>
      </c>
      <c r="K14">
        <f ca="1">Table1[[#This Row],[Offers Made]]*2</f>
        <v>14</v>
      </c>
      <c r="L14">
        <f t="shared" ca="1" si="2"/>
        <v>7</v>
      </c>
      <c r="M14">
        <f t="shared" ca="1" si="3"/>
        <v>5</v>
      </c>
      <c r="N14" t="str">
        <f t="shared" ca="1" si="4"/>
        <v>Direct Hiring</v>
      </c>
      <c r="O14">
        <f t="shared" ca="1" si="5"/>
        <v>2</v>
      </c>
      <c r="P14" t="str">
        <f t="shared" ca="1" si="6"/>
        <v>Yes</v>
      </c>
      <c r="Q14" t="str" cm="1">
        <f t="array" aca="1" ref="Q14" ca="1">INDEX(sheet2!$C$2:$C$6, RANDBETWEEN(1, 5))</f>
        <v>Advanced Excel Skills </v>
      </c>
      <c r="R14" t="str">
        <f t="shared" ca="1" si="7"/>
        <v>Completed</v>
      </c>
      <c r="S14">
        <f ca="1">Table1[[#This Row],[Hire Date]]-Table1[[#This Row],[Job Posting Date]]</f>
        <v>24</v>
      </c>
    </row>
    <row r="15" spans="1:25" x14ac:dyDescent="0.2">
      <c r="A15" t="str">
        <f t="shared" si="0"/>
        <v>EMP014</v>
      </c>
      <c r="B15" t="str">
        <f t="shared" ca="1" si="8"/>
        <v>Male</v>
      </c>
      <c r="C15" t="str" cm="1">
        <f t="array" aca="1" ref="C15" ca="1">INDEX(sheet2!$A$2:$A$6, RANDBETWEEN(1, 5))</f>
        <v>Analytics</v>
      </c>
      <c r="D15" t="str">
        <f ca="1">_xlfn.XLOOKUP(Table1[[#This Row],[Department]],sheet2!$A$2:$A$6,sheet2!$B$2:$B$6,_xleta.NA,0)</f>
        <v>Data Analyst</v>
      </c>
      <c r="E15" s="1">
        <f t="shared" ca="1" si="9"/>
        <v>43917</v>
      </c>
      <c r="F15" s="1">
        <f ca="1">Table1[[#This Row],[Job Posting Date]]+ RANDBETWEEN(15, 90)</f>
        <v>43970</v>
      </c>
      <c r="G15" s="1">
        <f ca="1">Table1[[#This Row],[Hire Date]]+ RANDBETWEEN(1, 15)</f>
        <v>43972</v>
      </c>
      <c r="H15" s="1">
        <f ca="1">IF(RAND() &lt; 0.5,  Table1[[#This Row],[Join Date]]+ RANDBETWEEN(30, TODAY()- Table1[[#This Row],[Join Date]]), "-")</f>
        <v>45061</v>
      </c>
      <c r="I15" t="str">
        <f ca="1">IF(Table1[[#This Row],[Exit Date]]= "-", "Active", "Exited")</f>
        <v>Exited</v>
      </c>
      <c r="J15" s="5">
        <f t="shared" ca="1" si="1"/>
        <v>2830</v>
      </c>
      <c r="K15">
        <f ca="1">Table1[[#This Row],[Offers Made]]*2</f>
        <v>10</v>
      </c>
      <c r="L15">
        <f t="shared" ca="1" si="2"/>
        <v>5</v>
      </c>
      <c r="M15">
        <f t="shared" ca="1" si="3"/>
        <v>4</v>
      </c>
      <c r="N15" t="str">
        <f t="shared" ca="1" si="4"/>
        <v>Campus Placements</v>
      </c>
      <c r="O15">
        <f t="shared" ca="1" si="5"/>
        <v>2</v>
      </c>
      <c r="P15" t="str">
        <f t="shared" ca="1" si="6"/>
        <v>No</v>
      </c>
      <c r="Q15" t="str" cm="1">
        <f t="array" aca="1" ref="Q15" ca="1">INDEX(sheet2!$C$2:$C$6, RANDBETWEEN(1, 5))</f>
        <v>Advanced Excel Skills </v>
      </c>
      <c r="R15" t="str">
        <f t="shared" ca="1" si="7"/>
        <v>Completed</v>
      </c>
      <c r="S15">
        <f ca="1">Table1[[#This Row],[Hire Date]]-Table1[[#This Row],[Job Posting Date]]</f>
        <v>53</v>
      </c>
    </row>
    <row r="16" spans="1:25" x14ac:dyDescent="0.2">
      <c r="A16" t="str">
        <f t="shared" si="0"/>
        <v>EMP015</v>
      </c>
      <c r="B16" t="str">
        <f t="shared" ca="1" si="8"/>
        <v>Male</v>
      </c>
      <c r="C16" t="str" cm="1">
        <f t="array" aca="1" ref="C16" ca="1">INDEX(sheet2!$A$2:$A$6, RANDBETWEEN(1, 5))</f>
        <v>Analytics</v>
      </c>
      <c r="D16" t="str">
        <f ca="1">_xlfn.XLOOKUP(Table1[[#This Row],[Department]],sheet2!$A$2:$A$6,sheet2!$B$2:$B$6,_xleta.NA,0)</f>
        <v>Data Analyst</v>
      </c>
      <c r="E16" s="1">
        <f t="shared" ca="1" si="9"/>
        <v>43972</v>
      </c>
      <c r="F16" s="1">
        <f ca="1">Table1[[#This Row],[Job Posting Date]]+ RANDBETWEEN(15, 90)</f>
        <v>44061</v>
      </c>
      <c r="G16" s="1">
        <f ca="1">Table1[[#This Row],[Hire Date]]+ RANDBETWEEN(1, 15)</f>
        <v>44070</v>
      </c>
      <c r="H16" s="1" t="str">
        <f ca="1">IF(RAND() &lt; 0.5,  Table1[[#This Row],[Join Date]]+ RANDBETWEEN(30, TODAY()- Table1[[#This Row],[Join Date]]), "-")</f>
        <v>-</v>
      </c>
      <c r="I16" t="str">
        <f ca="1">IF(Table1[[#This Row],[Exit Date]]= "-", "Active", "Exited")</f>
        <v>Active</v>
      </c>
      <c r="J16" s="5">
        <f t="shared" ca="1" si="1"/>
        <v>1974</v>
      </c>
      <c r="K16">
        <f ca="1">Table1[[#This Row],[Offers Made]]*2</f>
        <v>6</v>
      </c>
      <c r="L16">
        <f t="shared" ca="1" si="2"/>
        <v>3</v>
      </c>
      <c r="M16">
        <f t="shared" ca="1" si="3"/>
        <v>1</v>
      </c>
      <c r="N16" t="str">
        <f t="shared" ca="1" si="4"/>
        <v>Employee Referrals</v>
      </c>
      <c r="O16">
        <f t="shared" ca="1" si="5"/>
        <v>1</v>
      </c>
      <c r="P16" t="str">
        <f t="shared" ca="1" si="6"/>
        <v>No</v>
      </c>
      <c r="Q16" t="str" cm="1">
        <f t="array" aca="1" ref="Q16" ca="1">INDEX(sheet2!$C$2:$C$6, RANDBETWEEN(1, 5))</f>
        <v>Leadership Development</v>
      </c>
      <c r="R16" t="str">
        <f t="shared" ca="1" si="7"/>
        <v>Completed</v>
      </c>
      <c r="S16">
        <f ca="1">Table1[[#This Row],[Hire Date]]-Table1[[#This Row],[Job Posting Date]]</f>
        <v>89</v>
      </c>
    </row>
    <row r="17" spans="1:19" x14ac:dyDescent="0.2">
      <c r="A17" t="str">
        <f t="shared" si="0"/>
        <v>EMP016</v>
      </c>
      <c r="B17" t="str">
        <f t="shared" ca="1" si="8"/>
        <v>Male</v>
      </c>
      <c r="C17" t="str" cm="1">
        <f t="array" aca="1" ref="C17" ca="1">INDEX(sheet2!$A$2:$A$6, RANDBETWEEN(1, 5))</f>
        <v>Finance</v>
      </c>
      <c r="D17" t="str">
        <f ca="1">_xlfn.XLOOKUP(Table1[[#This Row],[Department]],sheet2!$A$2:$A$6,sheet2!$B$2:$B$6,_xleta.NA,0)</f>
        <v>Finance Manager</v>
      </c>
      <c r="E17" s="1">
        <f t="shared" ca="1" si="9"/>
        <v>43756</v>
      </c>
      <c r="F17" s="1">
        <f ca="1">Table1[[#This Row],[Job Posting Date]]+ RANDBETWEEN(15, 90)</f>
        <v>43808</v>
      </c>
      <c r="G17" s="1">
        <f ca="1">Table1[[#This Row],[Hire Date]]+ RANDBETWEEN(1, 15)</f>
        <v>43817</v>
      </c>
      <c r="H17" s="1" t="str">
        <f ca="1">IF(RAND() &lt; 0.5,  Table1[[#This Row],[Join Date]]+ RANDBETWEEN(30, TODAY()- Table1[[#This Row],[Join Date]]), "-")</f>
        <v>-</v>
      </c>
      <c r="I17" t="str">
        <f ca="1">IF(Table1[[#This Row],[Exit Date]]= "-", "Active", "Exited")</f>
        <v>Active</v>
      </c>
      <c r="J17" s="5">
        <f t="shared" ca="1" si="1"/>
        <v>2500</v>
      </c>
      <c r="K17">
        <f ca="1">Table1[[#This Row],[Offers Made]]*2</f>
        <v>14</v>
      </c>
      <c r="L17">
        <f t="shared" ca="1" si="2"/>
        <v>7</v>
      </c>
      <c r="M17">
        <f t="shared" ca="1" si="3"/>
        <v>1</v>
      </c>
      <c r="N17" t="str">
        <f t="shared" ca="1" si="4"/>
        <v>Campus Placements</v>
      </c>
      <c r="O17">
        <f t="shared" ca="1" si="5"/>
        <v>5</v>
      </c>
      <c r="P17" t="str">
        <f t="shared" ca="1" si="6"/>
        <v>No</v>
      </c>
      <c r="Q17" t="str" cm="1">
        <f t="array" aca="1" ref="Q17" ca="1">INDEX(sheet2!$C$2:$C$6, RANDBETWEEN(1, 5))</f>
        <v>Conflict Resolution</v>
      </c>
      <c r="R17" t="str">
        <f t="shared" ca="1" si="7"/>
        <v>Completed</v>
      </c>
      <c r="S17">
        <f ca="1">Table1[[#This Row],[Hire Date]]-Table1[[#This Row],[Job Posting Date]]</f>
        <v>52</v>
      </c>
    </row>
    <row r="18" spans="1:19" x14ac:dyDescent="0.2">
      <c r="A18" t="str">
        <f t="shared" si="0"/>
        <v>EMP017</v>
      </c>
      <c r="B18" t="str">
        <f t="shared" ca="1" si="8"/>
        <v>Male</v>
      </c>
      <c r="C18" t="str" cm="1">
        <f t="array" aca="1" ref="C18" ca="1">INDEX(sheet2!$A$2:$A$6, RANDBETWEEN(1, 5))</f>
        <v>Analytics</v>
      </c>
      <c r="D18" t="str">
        <f ca="1">_xlfn.XLOOKUP(Table1[[#This Row],[Department]],sheet2!$A$2:$A$6,sheet2!$B$2:$B$6,_xleta.NA,0)</f>
        <v>Data Analyst</v>
      </c>
      <c r="E18" s="1">
        <f t="shared" ca="1" si="9"/>
        <v>43784</v>
      </c>
      <c r="F18" s="1">
        <f ca="1">Table1[[#This Row],[Job Posting Date]]+ RANDBETWEEN(15, 90)</f>
        <v>43807</v>
      </c>
      <c r="G18" s="1">
        <f ca="1">Table1[[#This Row],[Hire Date]]+ RANDBETWEEN(1, 15)</f>
        <v>43816</v>
      </c>
      <c r="H18" s="1" t="str">
        <f ca="1">IF(RAND() &lt; 0.5,  Table1[[#This Row],[Join Date]]+ RANDBETWEEN(30, TODAY()- Table1[[#This Row],[Join Date]]), "-")</f>
        <v>-</v>
      </c>
      <c r="I18" t="str">
        <f ca="1">IF(Table1[[#This Row],[Exit Date]]= "-", "Active", "Exited")</f>
        <v>Active</v>
      </c>
      <c r="J18" s="5">
        <f t="shared" ca="1" si="1"/>
        <v>2134</v>
      </c>
      <c r="K18">
        <f ca="1">Table1[[#This Row],[Offers Made]]*2</f>
        <v>14</v>
      </c>
      <c r="L18">
        <f t="shared" ca="1" si="2"/>
        <v>7</v>
      </c>
      <c r="M18">
        <f t="shared" ca="1" si="3"/>
        <v>5</v>
      </c>
      <c r="N18" t="str">
        <f ca="1">CHOOSE(RANDBETWEEN(1, 4), "Job Portals", "Campus Placements", "Employee Referrals", "Direct Hiring")</f>
        <v>Campus Placements</v>
      </c>
      <c r="O18">
        <f t="shared" ca="1" si="5"/>
        <v>1</v>
      </c>
      <c r="P18" t="str">
        <f t="shared" ca="1" si="6"/>
        <v>No</v>
      </c>
      <c r="Q18" t="str" cm="1">
        <f t="array" aca="1" ref="Q18" ca="1">INDEX(sheet2!$C$2:$C$6, RANDBETWEEN(1, 5))</f>
        <v>Leadership Development</v>
      </c>
      <c r="R18" t="str">
        <f t="shared" ca="1" si="7"/>
        <v>Completed</v>
      </c>
      <c r="S18">
        <f ca="1">Table1[[#This Row],[Hire Date]]-Table1[[#This Row],[Job Posting Date]]</f>
        <v>23</v>
      </c>
    </row>
    <row r="19" spans="1:19" x14ac:dyDescent="0.2">
      <c r="A19" t="str">
        <f t="shared" si="0"/>
        <v>EMP018</v>
      </c>
      <c r="B19" t="str">
        <f t="shared" ca="1" si="8"/>
        <v>Female</v>
      </c>
      <c r="C19" t="str" cm="1">
        <f t="array" aca="1" ref="C19" ca="1">INDEX(sheet2!$A$2:$A$6, RANDBETWEEN(1, 5))</f>
        <v>Finance</v>
      </c>
      <c r="D19" t="str">
        <f ca="1">_xlfn.XLOOKUP(Table1[[#This Row],[Department]],sheet2!$A$2:$A$6,sheet2!$B$2:$B$6,_xleta.NA,0)</f>
        <v>Finance Manager</v>
      </c>
      <c r="E19" s="1">
        <f t="shared" ca="1" si="9"/>
        <v>43482</v>
      </c>
      <c r="F19" s="1">
        <f ca="1">Table1[[#This Row],[Job Posting Date]]+ RANDBETWEEN(15, 90)</f>
        <v>43510</v>
      </c>
      <c r="G19" s="1">
        <f ca="1">Table1[[#This Row],[Hire Date]]+ RANDBETWEEN(1, 15)</f>
        <v>43513</v>
      </c>
      <c r="H19" s="1" t="str">
        <f ca="1">IF(RAND() &lt; 0.5,  Table1[[#This Row],[Join Date]]+ RANDBETWEEN(30, TODAY()- Table1[[#This Row],[Join Date]]), "-")</f>
        <v>-</v>
      </c>
      <c r="I19" t="str">
        <f ca="1">IF(Table1[[#This Row],[Exit Date]]= "-", "Active", "Exited")</f>
        <v>Active</v>
      </c>
      <c r="J19" s="5">
        <f t="shared" ca="1" si="1"/>
        <v>3113</v>
      </c>
      <c r="K19">
        <f ca="1">Table1[[#This Row],[Offers Made]]*2</f>
        <v>6</v>
      </c>
      <c r="L19">
        <f t="shared" ca="1" si="2"/>
        <v>3</v>
      </c>
      <c r="M19">
        <f t="shared" ca="1" si="3"/>
        <v>1</v>
      </c>
      <c r="N19" t="str">
        <f t="shared" ca="1" si="4"/>
        <v>Campus Placements</v>
      </c>
      <c r="O19">
        <f t="shared" ca="1" si="5"/>
        <v>3</v>
      </c>
      <c r="P19" t="str">
        <f t="shared" ca="1" si="6"/>
        <v>Yes</v>
      </c>
      <c r="Q19" t="str" cm="1">
        <f t="array" aca="1" ref="Q19" ca="1">INDEX(sheet2!$C$2:$C$6, RANDBETWEEN(1, 5))</f>
        <v>Conflict Resolution</v>
      </c>
      <c r="R19" t="str">
        <f t="shared" ca="1" si="7"/>
        <v>Completed</v>
      </c>
      <c r="S19">
        <f ca="1">Table1[[#This Row],[Hire Date]]-Table1[[#This Row],[Job Posting Date]]</f>
        <v>28</v>
      </c>
    </row>
    <row r="20" spans="1:19" x14ac:dyDescent="0.2">
      <c r="A20" t="str">
        <f t="shared" si="0"/>
        <v>EMP019</v>
      </c>
      <c r="B20" t="str">
        <f t="shared" ca="1" si="8"/>
        <v>Female</v>
      </c>
      <c r="C20" t="str" cm="1">
        <f t="array" aca="1" ref="C20" ca="1">INDEX(sheet2!$A$2:$A$6, RANDBETWEEN(1, 5))</f>
        <v>IT</v>
      </c>
      <c r="D20" t="str">
        <f ca="1">_xlfn.XLOOKUP(Table1[[#This Row],[Department]],sheet2!$A$2:$A$6,sheet2!$B$2:$B$6,_xleta.NA,0)</f>
        <v>Software Engineer</v>
      </c>
      <c r="E20" s="1">
        <f t="shared" ca="1" si="9"/>
        <v>44092</v>
      </c>
      <c r="F20" s="1">
        <f ca="1">Table1[[#This Row],[Job Posting Date]]+ RANDBETWEEN(15, 90)</f>
        <v>44174</v>
      </c>
      <c r="G20" s="1">
        <f ca="1">Table1[[#This Row],[Hire Date]]+ RANDBETWEEN(1, 15)</f>
        <v>44186</v>
      </c>
      <c r="H20" s="1">
        <f ca="1">IF(RAND() &lt; 0.5,  Table1[[#This Row],[Join Date]]+ RANDBETWEEN(30, TODAY()- Table1[[#This Row],[Join Date]]), "-")</f>
        <v>44360</v>
      </c>
      <c r="I20" t="str">
        <f ca="1">IF(Table1[[#This Row],[Exit Date]]= "-", "Active", "Exited")</f>
        <v>Exited</v>
      </c>
      <c r="J20" s="5">
        <f t="shared" ca="1" si="1"/>
        <v>4401</v>
      </c>
      <c r="K20">
        <f ca="1">Table1[[#This Row],[Offers Made]]*2</f>
        <v>8</v>
      </c>
      <c r="L20">
        <f t="shared" ca="1" si="2"/>
        <v>4</v>
      </c>
      <c r="M20">
        <f t="shared" ca="1" si="3"/>
        <v>2</v>
      </c>
      <c r="N20" t="str">
        <f t="shared" ca="1" si="4"/>
        <v>Employee Referrals</v>
      </c>
      <c r="O20">
        <f t="shared" ca="1" si="5"/>
        <v>4</v>
      </c>
      <c r="P20" t="str">
        <f t="shared" ca="1" si="6"/>
        <v>Yes</v>
      </c>
      <c r="Q20" t="str" cm="1">
        <f t="array" aca="1" ref="Q20" ca="1">INDEX(sheet2!$C$2:$C$6, RANDBETWEEN(1, 5))</f>
        <v>Communication Skills</v>
      </c>
      <c r="R20" t="str">
        <f t="shared" ca="1" si="7"/>
        <v>Not Completed</v>
      </c>
      <c r="S20">
        <f ca="1">Table1[[#This Row],[Hire Date]]-Table1[[#This Row],[Job Posting Date]]</f>
        <v>82</v>
      </c>
    </row>
    <row r="21" spans="1:19" x14ac:dyDescent="0.2">
      <c r="A21" t="str">
        <f t="shared" si="0"/>
        <v>EMP020</v>
      </c>
      <c r="B21" t="str">
        <f t="shared" ca="1" si="8"/>
        <v>Male</v>
      </c>
      <c r="C21" t="str" cm="1">
        <f t="array" aca="1" ref="C21" ca="1">INDEX(sheet2!$A$2:$A$6, RANDBETWEEN(1, 5))</f>
        <v>IT</v>
      </c>
      <c r="D21" t="str">
        <f ca="1">_xlfn.XLOOKUP(Table1[[#This Row],[Department]],sheet2!$A$2:$A$6,sheet2!$B$2:$B$6,_xleta.NA,0)</f>
        <v>Software Engineer</v>
      </c>
      <c r="E21" s="1">
        <f t="shared" ca="1" si="9"/>
        <v>44162</v>
      </c>
      <c r="F21" s="1">
        <f ca="1">Table1[[#This Row],[Job Posting Date]]+ RANDBETWEEN(15, 90)</f>
        <v>44247</v>
      </c>
      <c r="G21" s="1">
        <f ca="1">Table1[[#This Row],[Hire Date]]+ RANDBETWEEN(1, 15)</f>
        <v>44257</v>
      </c>
      <c r="H21" s="1">
        <f ca="1">IF(RAND() &lt; 0.5,  Table1[[#This Row],[Join Date]]+ RANDBETWEEN(30, TODAY()- Table1[[#This Row],[Join Date]]), "-")</f>
        <v>44452</v>
      </c>
      <c r="I21" t="str">
        <f ca="1">IF(Table1[[#This Row],[Exit Date]]= "-", "Active", "Exited")</f>
        <v>Exited</v>
      </c>
      <c r="J21" s="5">
        <f t="shared" ca="1" si="1"/>
        <v>3778</v>
      </c>
      <c r="K21">
        <f ca="1">Table1[[#This Row],[Offers Made]]*2</f>
        <v>14</v>
      </c>
      <c r="L21">
        <f t="shared" ca="1" si="2"/>
        <v>7</v>
      </c>
      <c r="M21">
        <f t="shared" ca="1" si="3"/>
        <v>2</v>
      </c>
      <c r="N21" t="str">
        <f t="shared" ca="1" si="4"/>
        <v>Job Portals</v>
      </c>
      <c r="O21">
        <f t="shared" ca="1" si="5"/>
        <v>1</v>
      </c>
      <c r="P21" t="str">
        <f t="shared" ca="1" si="6"/>
        <v>No</v>
      </c>
      <c r="Q21" t="str" cm="1">
        <f t="array" aca="1" ref="Q21" ca="1">INDEX(sheet2!$C$2:$C$6, RANDBETWEEN(1, 5))</f>
        <v>Conflict Resolution</v>
      </c>
      <c r="R21" t="str">
        <f t="shared" ca="1" si="7"/>
        <v>Completed</v>
      </c>
      <c r="S21">
        <f ca="1">Table1[[#This Row],[Hire Date]]-Table1[[#This Row],[Job Posting Date]]</f>
        <v>85</v>
      </c>
    </row>
    <row r="22" spans="1:19" x14ac:dyDescent="0.2">
      <c r="A22" t="str">
        <f t="shared" si="0"/>
        <v>EMP021</v>
      </c>
      <c r="B22" t="str">
        <f t="shared" ca="1" si="8"/>
        <v>Female</v>
      </c>
      <c r="C22" t="str" cm="1">
        <f t="array" aca="1" ref="C22" ca="1">INDEX(sheet2!$A$2:$A$6, RANDBETWEEN(1, 5))</f>
        <v>Sales</v>
      </c>
      <c r="D22" t="str">
        <f ca="1">_xlfn.XLOOKUP(Table1[[#This Row],[Department]],sheet2!$A$2:$A$6,sheet2!$B$2:$B$6,_xleta.NA,0)</f>
        <v>Marketing Manager</v>
      </c>
      <c r="E22" s="1">
        <f t="shared" ca="1" si="9"/>
        <v>43952</v>
      </c>
      <c r="F22" s="1">
        <f ca="1">Table1[[#This Row],[Job Posting Date]]+ RANDBETWEEN(15, 90)</f>
        <v>43973</v>
      </c>
      <c r="G22" s="1">
        <f ca="1">Table1[[#This Row],[Hire Date]]+ RANDBETWEEN(1, 15)</f>
        <v>43978</v>
      </c>
      <c r="H22" s="1">
        <f ca="1">IF(RAND() &lt; 0.5,  Table1[[#This Row],[Join Date]]+ RANDBETWEEN(30, TODAY()- Table1[[#This Row],[Join Date]]), "-")</f>
        <v>45303</v>
      </c>
      <c r="I22" t="str">
        <f ca="1">IF(Table1[[#This Row],[Exit Date]]= "-", "Active", "Exited")</f>
        <v>Exited</v>
      </c>
      <c r="J22" s="5">
        <f t="shared" ca="1" si="1"/>
        <v>4340</v>
      </c>
      <c r="K22">
        <f ca="1">Table1[[#This Row],[Offers Made]]*2</f>
        <v>12</v>
      </c>
      <c r="L22">
        <f t="shared" ca="1" si="2"/>
        <v>6</v>
      </c>
      <c r="M22">
        <f t="shared" ca="1" si="3"/>
        <v>5</v>
      </c>
      <c r="N22" t="str">
        <f t="shared" ca="1" si="4"/>
        <v>Job Portals</v>
      </c>
      <c r="O22">
        <f t="shared" ca="1" si="5"/>
        <v>5</v>
      </c>
      <c r="P22" t="str">
        <f t="shared" ca="1" si="6"/>
        <v>No</v>
      </c>
      <c r="Q22" t="str" cm="1">
        <f t="array" aca="1" ref="Q22" ca="1">INDEX(sheet2!$C$2:$C$6, RANDBETWEEN(1, 5))</f>
        <v>Ethics and Responsibilities</v>
      </c>
      <c r="R22" t="str">
        <f t="shared" ca="1" si="7"/>
        <v>Completed</v>
      </c>
      <c r="S22">
        <f ca="1">Table1[[#This Row],[Hire Date]]-Table1[[#This Row],[Job Posting Date]]</f>
        <v>21</v>
      </c>
    </row>
    <row r="23" spans="1:19" x14ac:dyDescent="0.2">
      <c r="A23" t="str">
        <f t="shared" si="0"/>
        <v>EMP022</v>
      </c>
      <c r="B23" t="str">
        <f t="shared" ca="1" si="8"/>
        <v>Female</v>
      </c>
      <c r="C23" t="str" cm="1">
        <f t="array" aca="1" ref="C23" ca="1">INDEX(sheet2!$A$2:$A$6, RANDBETWEEN(1, 5))</f>
        <v>Sales</v>
      </c>
      <c r="D23" t="str">
        <f ca="1">_xlfn.XLOOKUP(Table1[[#This Row],[Department]],sheet2!$A$2:$A$6,sheet2!$B$2:$B$6,_xleta.NA,0)</f>
        <v>Marketing Manager</v>
      </c>
      <c r="E23" s="1">
        <f t="shared" ca="1" si="9"/>
        <v>43818</v>
      </c>
      <c r="F23" s="1">
        <f ca="1">Table1[[#This Row],[Job Posting Date]]+ RANDBETWEEN(15, 90)</f>
        <v>43903</v>
      </c>
      <c r="G23" s="1">
        <f ca="1">Table1[[#This Row],[Hire Date]]+ RANDBETWEEN(1, 15)</f>
        <v>43914</v>
      </c>
      <c r="H23" s="1" t="str">
        <f ca="1">IF(RAND() &lt; 0.5,  Table1[[#This Row],[Join Date]]+ RANDBETWEEN(30, TODAY()- Table1[[#This Row],[Join Date]]), "-")</f>
        <v>-</v>
      </c>
      <c r="I23" t="str">
        <f ca="1">IF(Table1[[#This Row],[Exit Date]]= "-", "Active", "Exited")</f>
        <v>Active</v>
      </c>
      <c r="J23" s="5">
        <f t="shared" ca="1" si="1"/>
        <v>1657</v>
      </c>
      <c r="K23">
        <f ca="1">Table1[[#This Row],[Offers Made]]*2</f>
        <v>6</v>
      </c>
      <c r="L23">
        <f t="shared" ca="1" si="2"/>
        <v>3</v>
      </c>
      <c r="M23">
        <f t="shared" ca="1" si="3"/>
        <v>1</v>
      </c>
      <c r="N23" t="str">
        <f t="shared" ca="1" si="4"/>
        <v>Direct Hiring</v>
      </c>
      <c r="O23">
        <f t="shared" ca="1" si="5"/>
        <v>2</v>
      </c>
      <c r="P23" t="str">
        <f t="shared" ca="1" si="6"/>
        <v>No</v>
      </c>
      <c r="Q23" t="str" cm="1">
        <f t="array" aca="1" ref="Q23" ca="1">INDEX(sheet2!$C$2:$C$6, RANDBETWEEN(1, 5))</f>
        <v>Ethics and Responsibilities</v>
      </c>
      <c r="R23" t="str">
        <f t="shared" ca="1" si="7"/>
        <v>Not Completed</v>
      </c>
      <c r="S23">
        <f ca="1">Table1[[#This Row],[Hire Date]]-Table1[[#This Row],[Job Posting Date]]</f>
        <v>85</v>
      </c>
    </row>
    <row r="24" spans="1:19" x14ac:dyDescent="0.2">
      <c r="A24" t="str">
        <f t="shared" si="0"/>
        <v>EMP023</v>
      </c>
      <c r="B24" t="str">
        <f t="shared" ca="1" si="8"/>
        <v>Male</v>
      </c>
      <c r="C24" t="str" cm="1">
        <f t="array" aca="1" ref="C24" ca="1">INDEX(sheet2!$A$2:$A$6, RANDBETWEEN(1, 5))</f>
        <v>Analytics</v>
      </c>
      <c r="D24" t="str">
        <f ca="1">_xlfn.XLOOKUP(Table1[[#This Row],[Department]],sheet2!$A$2:$A$6,sheet2!$B$2:$B$6,_xleta.NA,0)</f>
        <v>Data Analyst</v>
      </c>
      <c r="E24" s="1">
        <f t="shared" ca="1" si="9"/>
        <v>43934</v>
      </c>
      <c r="F24" s="1">
        <f ca="1">Table1[[#This Row],[Job Posting Date]]+ RANDBETWEEN(15, 90)</f>
        <v>43989</v>
      </c>
      <c r="G24" s="1">
        <f ca="1">Table1[[#This Row],[Hire Date]]+ RANDBETWEEN(1, 15)</f>
        <v>44002</v>
      </c>
      <c r="H24" s="1" t="str">
        <f ca="1">IF(RAND() &lt; 0.5,  Table1[[#This Row],[Join Date]]+ RANDBETWEEN(30, TODAY()- Table1[[#This Row],[Join Date]]), "-")</f>
        <v>-</v>
      </c>
      <c r="I24" t="str">
        <f ca="1">IF(Table1[[#This Row],[Exit Date]]= "-", "Active", "Exited")</f>
        <v>Active</v>
      </c>
      <c r="J24" s="5">
        <f t="shared" ca="1" si="1"/>
        <v>1766</v>
      </c>
      <c r="K24">
        <f ca="1">Table1[[#This Row],[Offers Made]]*2</f>
        <v>12</v>
      </c>
      <c r="L24">
        <f t="shared" ca="1" si="2"/>
        <v>6</v>
      </c>
      <c r="M24">
        <f t="shared" ca="1" si="3"/>
        <v>5</v>
      </c>
      <c r="N24" t="str">
        <f t="shared" ca="1" si="4"/>
        <v>Employee Referrals</v>
      </c>
      <c r="O24">
        <f t="shared" ca="1" si="5"/>
        <v>4</v>
      </c>
      <c r="P24" t="str">
        <f t="shared" ca="1" si="6"/>
        <v>No</v>
      </c>
      <c r="Q24" t="str" cm="1">
        <f t="array" aca="1" ref="Q24" ca="1">INDEX(sheet2!$C$2:$C$6, RANDBETWEEN(1, 5))</f>
        <v>Leadership Development</v>
      </c>
      <c r="R24" t="str">
        <f t="shared" ca="1" si="7"/>
        <v>Not Completed</v>
      </c>
      <c r="S24">
        <f ca="1">Table1[[#This Row],[Hire Date]]-Table1[[#This Row],[Job Posting Date]]</f>
        <v>55</v>
      </c>
    </row>
    <row r="25" spans="1:19" x14ac:dyDescent="0.2">
      <c r="A25" t="str">
        <f t="shared" si="0"/>
        <v>EMP024</v>
      </c>
      <c r="B25" t="str">
        <f t="shared" ca="1" si="8"/>
        <v>Male</v>
      </c>
      <c r="C25" t="str" cm="1">
        <f t="array" aca="1" ref="C25" ca="1">INDEX(sheet2!$A$2:$A$6, RANDBETWEEN(1, 5))</f>
        <v>IT</v>
      </c>
      <c r="D25" t="str">
        <f ca="1">_xlfn.XLOOKUP(Table1[[#This Row],[Department]],sheet2!$A$2:$A$6,sheet2!$B$2:$B$6,_xleta.NA,0)</f>
        <v>Software Engineer</v>
      </c>
      <c r="E25" s="1">
        <f t="shared" ca="1" si="9"/>
        <v>43445</v>
      </c>
      <c r="F25" s="1">
        <f ca="1">Table1[[#This Row],[Job Posting Date]]+ RANDBETWEEN(15, 90)</f>
        <v>43495</v>
      </c>
      <c r="G25" s="1">
        <f ca="1">Table1[[#This Row],[Hire Date]]+ RANDBETWEEN(1, 15)</f>
        <v>43509</v>
      </c>
      <c r="H25" s="1">
        <f ca="1">IF(RAND() &lt; 0.5,  Table1[[#This Row],[Join Date]]+ RANDBETWEEN(30, TODAY()- Table1[[#This Row],[Join Date]]), "-")</f>
        <v>45419</v>
      </c>
      <c r="I25" t="str">
        <f ca="1">IF(Table1[[#This Row],[Exit Date]]= "-", "Active", "Exited")</f>
        <v>Exited</v>
      </c>
      <c r="J25" s="5">
        <f t="shared" ca="1" si="1"/>
        <v>2327</v>
      </c>
      <c r="K25">
        <f ca="1">Table1[[#This Row],[Offers Made]]*2</f>
        <v>6</v>
      </c>
      <c r="L25">
        <f t="shared" ca="1" si="2"/>
        <v>3</v>
      </c>
      <c r="M25">
        <f t="shared" ca="1" si="3"/>
        <v>2</v>
      </c>
      <c r="N25" t="str">
        <f t="shared" ca="1" si="4"/>
        <v>Direct Hiring</v>
      </c>
      <c r="O25">
        <f t="shared" ca="1" si="5"/>
        <v>2</v>
      </c>
      <c r="P25" t="str">
        <f t="shared" ca="1" si="6"/>
        <v>No</v>
      </c>
      <c r="Q25" t="str" cm="1">
        <f t="array" aca="1" ref="Q25" ca="1">INDEX(sheet2!$C$2:$C$6, RANDBETWEEN(1, 5))</f>
        <v>Ethics and Responsibilities</v>
      </c>
      <c r="R25" t="str">
        <f t="shared" ca="1" si="7"/>
        <v>Completed</v>
      </c>
      <c r="S25">
        <f ca="1">Table1[[#This Row],[Hire Date]]-Table1[[#This Row],[Job Posting Date]]</f>
        <v>50</v>
      </c>
    </row>
    <row r="26" spans="1:19" x14ac:dyDescent="0.2">
      <c r="A26" t="str">
        <f t="shared" si="0"/>
        <v>EMP025</v>
      </c>
      <c r="B26" t="str">
        <f t="shared" ca="1" si="8"/>
        <v>Male</v>
      </c>
      <c r="C26" t="str" cm="1">
        <f t="array" aca="1" ref="C26" ca="1">INDEX(sheet2!$A$2:$A$6, RANDBETWEEN(1, 5))</f>
        <v>Analytics</v>
      </c>
      <c r="D26" t="str">
        <f ca="1">_xlfn.XLOOKUP(Table1[[#This Row],[Department]],sheet2!$A$2:$A$6,sheet2!$B$2:$B$6,_xleta.NA,0)</f>
        <v>Data Analyst</v>
      </c>
      <c r="E26" s="1">
        <f t="shared" ca="1" si="9"/>
        <v>44569</v>
      </c>
      <c r="F26" s="1">
        <f ca="1">Table1[[#This Row],[Job Posting Date]]+ RANDBETWEEN(15, 90)</f>
        <v>44626</v>
      </c>
      <c r="G26" s="1">
        <f ca="1">Table1[[#This Row],[Hire Date]]+ RANDBETWEEN(1, 15)</f>
        <v>44632</v>
      </c>
      <c r="H26" s="1">
        <f ca="1">IF(RAND() &lt; 0.5,  Table1[[#This Row],[Join Date]]+ RANDBETWEEN(30, TODAY()- Table1[[#This Row],[Join Date]]), "-")</f>
        <v>45581</v>
      </c>
      <c r="I26" t="str">
        <f ca="1">IF(Table1[[#This Row],[Exit Date]]= "-", "Active", "Exited")</f>
        <v>Exited</v>
      </c>
      <c r="J26" s="5">
        <f t="shared" ca="1" si="1"/>
        <v>2247</v>
      </c>
      <c r="K26">
        <f ca="1">Table1[[#This Row],[Offers Made]]*2</f>
        <v>16</v>
      </c>
      <c r="L26">
        <f t="shared" ca="1" si="2"/>
        <v>8</v>
      </c>
      <c r="M26">
        <f t="shared" ca="1" si="3"/>
        <v>5</v>
      </c>
      <c r="N26" t="str">
        <f t="shared" ca="1" si="4"/>
        <v>Employee Referrals</v>
      </c>
      <c r="O26">
        <f t="shared" ca="1" si="5"/>
        <v>5</v>
      </c>
      <c r="P26" t="str">
        <f t="shared" ca="1" si="6"/>
        <v>No</v>
      </c>
      <c r="Q26" t="str" cm="1">
        <f t="array" aca="1" ref="Q26" ca="1">INDEX(sheet2!$C$2:$C$6, RANDBETWEEN(1, 5))</f>
        <v>Ethics and Responsibilities</v>
      </c>
      <c r="R26" t="str">
        <f t="shared" ca="1" si="7"/>
        <v>Not Completed</v>
      </c>
      <c r="S26">
        <f ca="1">Table1[[#This Row],[Hire Date]]-Table1[[#This Row],[Job Posting Date]]</f>
        <v>57</v>
      </c>
    </row>
    <row r="27" spans="1:19" x14ac:dyDescent="0.2">
      <c r="A27" t="str">
        <f t="shared" si="0"/>
        <v>EMP026</v>
      </c>
      <c r="B27" t="str">
        <f t="shared" ca="1" si="8"/>
        <v>Male</v>
      </c>
      <c r="C27" t="str" cm="1">
        <f t="array" aca="1" ref="C27" ca="1">INDEX(sheet2!$A$2:$A$6, RANDBETWEEN(1, 5))</f>
        <v>Sales</v>
      </c>
      <c r="D27" t="str">
        <f ca="1">_xlfn.XLOOKUP(Table1[[#This Row],[Department]],sheet2!$A$2:$A$6,sheet2!$B$2:$B$6,_xleta.NA,0)</f>
        <v>Marketing Manager</v>
      </c>
      <c r="E27" s="1">
        <f t="shared" ca="1" si="9"/>
        <v>43647</v>
      </c>
      <c r="F27" s="1">
        <f ca="1">Table1[[#This Row],[Job Posting Date]]+ RANDBETWEEN(15, 90)</f>
        <v>43685</v>
      </c>
      <c r="G27" s="1">
        <f ca="1">Table1[[#This Row],[Hire Date]]+ RANDBETWEEN(1, 15)</f>
        <v>43687</v>
      </c>
      <c r="H27" s="1">
        <f ca="1">IF(RAND() &lt; 0.5,  Table1[[#This Row],[Join Date]]+ RANDBETWEEN(30, TODAY()- Table1[[#This Row],[Join Date]]), "-")</f>
        <v>45207</v>
      </c>
      <c r="I27" t="str">
        <f ca="1">IF(Table1[[#This Row],[Exit Date]]= "-", "Active", "Exited")</f>
        <v>Exited</v>
      </c>
      <c r="J27" s="5">
        <f t="shared" ca="1" si="1"/>
        <v>3135</v>
      </c>
      <c r="K27">
        <f ca="1">Table1[[#This Row],[Offers Made]]*2</f>
        <v>16</v>
      </c>
      <c r="L27">
        <f t="shared" ca="1" si="2"/>
        <v>8</v>
      </c>
      <c r="M27">
        <f t="shared" ca="1" si="3"/>
        <v>4</v>
      </c>
      <c r="N27" t="str">
        <f t="shared" ca="1" si="4"/>
        <v>Campus Placements</v>
      </c>
      <c r="O27">
        <f t="shared" ca="1" si="5"/>
        <v>5</v>
      </c>
      <c r="P27" t="str">
        <f t="shared" ca="1" si="6"/>
        <v>Yes</v>
      </c>
      <c r="Q27" t="str" cm="1">
        <f t="array" aca="1" ref="Q27" ca="1">INDEX(sheet2!$C$2:$C$6, RANDBETWEEN(1, 5))</f>
        <v>Advanced Excel Skills </v>
      </c>
      <c r="R27" t="str">
        <f t="shared" ca="1" si="7"/>
        <v>Completed</v>
      </c>
      <c r="S27">
        <f ca="1">Table1[[#This Row],[Hire Date]]-Table1[[#This Row],[Job Posting Date]]</f>
        <v>38</v>
      </c>
    </row>
    <row r="28" spans="1:19" x14ac:dyDescent="0.2">
      <c r="A28" t="str">
        <f t="shared" si="0"/>
        <v>EMP027</v>
      </c>
      <c r="B28" t="str">
        <f t="shared" ca="1" si="8"/>
        <v>Male</v>
      </c>
      <c r="C28" t="str" cm="1">
        <f t="array" aca="1" ref="C28" ca="1">INDEX(sheet2!$A$2:$A$6, RANDBETWEEN(1, 5))</f>
        <v>IT</v>
      </c>
      <c r="D28" t="str">
        <f ca="1">_xlfn.XLOOKUP(Table1[[#This Row],[Department]],sheet2!$A$2:$A$6,sheet2!$B$2:$B$6,_xleta.NA,0)</f>
        <v>Software Engineer</v>
      </c>
      <c r="E28" s="1">
        <f t="shared" ca="1" si="9"/>
        <v>43285</v>
      </c>
      <c r="F28" s="1">
        <f ca="1">Table1[[#This Row],[Job Posting Date]]+ RANDBETWEEN(15, 90)</f>
        <v>43374</v>
      </c>
      <c r="G28" s="1">
        <f ca="1">Table1[[#This Row],[Hire Date]]+ RANDBETWEEN(1, 15)</f>
        <v>43385</v>
      </c>
      <c r="H28" s="1" t="str">
        <f ca="1">IF(RAND() &lt; 0.5,  Table1[[#This Row],[Join Date]]+ RANDBETWEEN(30, TODAY()- Table1[[#This Row],[Join Date]]), "-")</f>
        <v>-</v>
      </c>
      <c r="I28" t="str">
        <f ca="1">IF(Table1[[#This Row],[Exit Date]]= "-", "Active", "Exited")</f>
        <v>Active</v>
      </c>
      <c r="J28" s="5">
        <f t="shared" ca="1" si="1"/>
        <v>2235</v>
      </c>
      <c r="K28">
        <f ca="1">Table1[[#This Row],[Offers Made]]*2</f>
        <v>14</v>
      </c>
      <c r="L28">
        <f t="shared" ca="1" si="2"/>
        <v>7</v>
      </c>
      <c r="M28">
        <f t="shared" ca="1" si="3"/>
        <v>1</v>
      </c>
      <c r="N28" t="str">
        <f t="shared" ca="1" si="4"/>
        <v>Job Portals</v>
      </c>
      <c r="O28">
        <f t="shared" ca="1" si="5"/>
        <v>5</v>
      </c>
      <c r="P28" t="str">
        <f t="shared" ca="1" si="6"/>
        <v>No</v>
      </c>
      <c r="Q28" t="str" cm="1">
        <f t="array" aca="1" ref="Q28" ca="1">INDEX(sheet2!$C$2:$C$6, RANDBETWEEN(1, 5))</f>
        <v>Leadership Development</v>
      </c>
      <c r="R28" t="str">
        <f t="shared" ca="1" si="7"/>
        <v>Completed</v>
      </c>
      <c r="S28">
        <f ca="1">Table1[[#This Row],[Hire Date]]-Table1[[#This Row],[Job Posting Date]]</f>
        <v>89</v>
      </c>
    </row>
    <row r="29" spans="1:19" x14ac:dyDescent="0.2">
      <c r="A29" t="str">
        <f t="shared" si="0"/>
        <v>EMP028</v>
      </c>
      <c r="B29" t="str">
        <f t="shared" ca="1" si="8"/>
        <v>Male</v>
      </c>
      <c r="C29" t="str" cm="1">
        <f t="array" aca="1" ref="C29" ca="1">INDEX(sheet2!$A$2:$A$6, RANDBETWEEN(1, 5))</f>
        <v>Sales</v>
      </c>
      <c r="D29" t="str">
        <f ca="1">_xlfn.XLOOKUP(Table1[[#This Row],[Department]],sheet2!$A$2:$A$6,sheet2!$B$2:$B$6,_xleta.NA,0)</f>
        <v>Marketing Manager</v>
      </c>
      <c r="E29" s="1">
        <f t="shared" ca="1" si="9"/>
        <v>44845</v>
      </c>
      <c r="F29" s="1">
        <f ca="1">Table1[[#This Row],[Job Posting Date]]+ RANDBETWEEN(15, 90)</f>
        <v>44934</v>
      </c>
      <c r="G29" s="1">
        <f ca="1">Table1[[#This Row],[Hire Date]]+ RANDBETWEEN(1, 15)</f>
        <v>44946</v>
      </c>
      <c r="H29" s="1">
        <f ca="1">IF(RAND() &lt; 0.5,  Table1[[#This Row],[Join Date]]+ RANDBETWEEN(30, TODAY()- Table1[[#This Row],[Join Date]]), "-")</f>
        <v>45009</v>
      </c>
      <c r="I29" t="str">
        <f ca="1">IF(Table1[[#This Row],[Exit Date]]= "-", "Active", "Exited")</f>
        <v>Exited</v>
      </c>
      <c r="J29" s="5">
        <f t="shared" ca="1" si="1"/>
        <v>1981</v>
      </c>
      <c r="K29">
        <f ca="1">Table1[[#This Row],[Offers Made]]*2</f>
        <v>12</v>
      </c>
      <c r="L29">
        <f t="shared" ca="1" si="2"/>
        <v>6</v>
      </c>
      <c r="M29">
        <f t="shared" ca="1" si="3"/>
        <v>2</v>
      </c>
      <c r="N29" t="str">
        <f t="shared" ca="1" si="4"/>
        <v>Campus Placements</v>
      </c>
      <c r="O29">
        <f t="shared" ca="1" si="5"/>
        <v>1</v>
      </c>
      <c r="P29" t="str">
        <f t="shared" ca="1" si="6"/>
        <v>Yes</v>
      </c>
      <c r="Q29" t="str" cm="1">
        <f t="array" aca="1" ref="Q29" ca="1">INDEX(sheet2!$C$2:$C$6, RANDBETWEEN(1, 5))</f>
        <v>Leadership Development</v>
      </c>
      <c r="R29" t="str">
        <f t="shared" ca="1" si="7"/>
        <v>Not Completed</v>
      </c>
      <c r="S29">
        <f ca="1">Table1[[#This Row],[Hire Date]]-Table1[[#This Row],[Job Posting Date]]</f>
        <v>89</v>
      </c>
    </row>
    <row r="30" spans="1:19" x14ac:dyDescent="0.2">
      <c r="A30" t="str">
        <f t="shared" si="0"/>
        <v>EMP029</v>
      </c>
      <c r="B30" t="str">
        <f t="shared" ca="1" si="8"/>
        <v>Female</v>
      </c>
      <c r="C30" t="str" cm="1">
        <f t="array" aca="1" ref="C30" ca="1">INDEX(sheet2!$A$2:$A$6, RANDBETWEEN(1, 5))</f>
        <v>HR</v>
      </c>
      <c r="D30" t="str">
        <f ca="1">_xlfn.XLOOKUP(Table1[[#This Row],[Department]],sheet2!$A$2:$A$6,sheet2!$B$2:$B$6,_xleta.NA,0)</f>
        <v>HR Manager</v>
      </c>
      <c r="E30" s="1">
        <f t="shared" ca="1" si="9"/>
        <v>43185</v>
      </c>
      <c r="F30" s="1">
        <f ca="1">Table1[[#This Row],[Job Posting Date]]+ RANDBETWEEN(15, 90)</f>
        <v>43261</v>
      </c>
      <c r="G30" s="1">
        <f ca="1">Table1[[#This Row],[Hire Date]]+ RANDBETWEEN(1, 15)</f>
        <v>43274</v>
      </c>
      <c r="H30" s="1">
        <f ca="1">IF(RAND() &lt; 0.5,  Table1[[#This Row],[Join Date]]+ RANDBETWEEN(30, TODAY()- Table1[[#This Row],[Join Date]]), "-")</f>
        <v>45635</v>
      </c>
      <c r="I30" t="str">
        <f ca="1">IF(Table1[[#This Row],[Exit Date]]= "-", "Active", "Exited")</f>
        <v>Exited</v>
      </c>
      <c r="J30" s="5">
        <f t="shared" ca="1" si="1"/>
        <v>2273</v>
      </c>
      <c r="K30">
        <f ca="1">Table1[[#This Row],[Offers Made]]*2</f>
        <v>12</v>
      </c>
      <c r="L30">
        <f t="shared" ca="1" si="2"/>
        <v>6</v>
      </c>
      <c r="M30">
        <f t="shared" ca="1" si="3"/>
        <v>2</v>
      </c>
      <c r="N30" t="str">
        <f t="shared" ca="1" si="4"/>
        <v>Direct Hiring</v>
      </c>
      <c r="O30">
        <f t="shared" ca="1" si="5"/>
        <v>5</v>
      </c>
      <c r="P30" t="str">
        <f t="shared" ca="1" si="6"/>
        <v>No</v>
      </c>
      <c r="Q30" t="str" cm="1">
        <f t="array" aca="1" ref="Q30" ca="1">INDEX(sheet2!$C$2:$C$6, RANDBETWEEN(1, 5))</f>
        <v>Conflict Resolution</v>
      </c>
      <c r="R30" t="str">
        <f t="shared" ca="1" si="7"/>
        <v>Completed</v>
      </c>
      <c r="S30">
        <f ca="1">Table1[[#This Row],[Hire Date]]-Table1[[#This Row],[Job Posting Date]]</f>
        <v>76</v>
      </c>
    </row>
    <row r="31" spans="1:19" x14ac:dyDescent="0.2">
      <c r="A31" t="str">
        <f t="shared" si="0"/>
        <v>EMP030</v>
      </c>
      <c r="B31" t="str">
        <f t="shared" ca="1" si="8"/>
        <v>Male</v>
      </c>
      <c r="C31" t="str" cm="1">
        <f t="array" aca="1" ref="C31" ca="1">INDEX(sheet2!$A$2:$A$6, RANDBETWEEN(1, 5))</f>
        <v>Finance</v>
      </c>
      <c r="D31" t="str">
        <f ca="1">_xlfn.XLOOKUP(Table1[[#This Row],[Department]],sheet2!$A$2:$A$6,sheet2!$B$2:$B$6,_xleta.NA,0)</f>
        <v>Finance Manager</v>
      </c>
      <c r="E31" s="1">
        <f t="shared" ca="1" si="9"/>
        <v>44163</v>
      </c>
      <c r="F31" s="1">
        <f ca="1">Table1[[#This Row],[Job Posting Date]]+ RANDBETWEEN(15, 90)</f>
        <v>44247</v>
      </c>
      <c r="G31" s="1">
        <f ca="1">Table1[[#This Row],[Hire Date]]+ RANDBETWEEN(1, 15)</f>
        <v>44253</v>
      </c>
      <c r="H31" s="1">
        <f ca="1">IF(RAND() &lt; 0.5,  Table1[[#This Row],[Join Date]]+ RANDBETWEEN(30, TODAY()- Table1[[#This Row],[Join Date]]), "-")</f>
        <v>44623</v>
      </c>
      <c r="I31" t="str">
        <f ca="1">IF(Table1[[#This Row],[Exit Date]]= "-", "Active", "Exited")</f>
        <v>Exited</v>
      </c>
      <c r="J31" s="5">
        <f t="shared" ca="1" si="1"/>
        <v>3192</v>
      </c>
      <c r="K31">
        <f ca="1">Table1[[#This Row],[Offers Made]]*2</f>
        <v>16</v>
      </c>
      <c r="L31">
        <f t="shared" ca="1" si="2"/>
        <v>8</v>
      </c>
      <c r="M31">
        <f t="shared" ca="1" si="3"/>
        <v>1</v>
      </c>
      <c r="N31" t="str">
        <f t="shared" ca="1" si="4"/>
        <v>Campus Placements</v>
      </c>
      <c r="O31">
        <f t="shared" ca="1" si="5"/>
        <v>1</v>
      </c>
      <c r="P31" t="str">
        <f t="shared" ca="1" si="6"/>
        <v>No</v>
      </c>
      <c r="Q31" t="str" cm="1">
        <f t="array" aca="1" ref="Q31" ca="1">INDEX(sheet2!$C$2:$C$6, RANDBETWEEN(1, 5))</f>
        <v>Conflict Resolution</v>
      </c>
      <c r="R31" t="str">
        <f t="shared" ca="1" si="7"/>
        <v>Not Completed</v>
      </c>
      <c r="S31">
        <f ca="1">Table1[[#This Row],[Hire Date]]-Table1[[#This Row],[Job Posting Date]]</f>
        <v>84</v>
      </c>
    </row>
    <row r="32" spans="1:19" x14ac:dyDescent="0.2">
      <c r="A32" t="str">
        <f t="shared" si="0"/>
        <v>EMP031</v>
      </c>
      <c r="B32" t="str">
        <f t="shared" ca="1" si="8"/>
        <v>Male</v>
      </c>
      <c r="C32" t="str" cm="1">
        <f t="array" aca="1" ref="C32" ca="1">INDEX(sheet2!$A$2:$A$6, RANDBETWEEN(1, 5))</f>
        <v>Sales</v>
      </c>
      <c r="D32" t="str">
        <f ca="1">_xlfn.XLOOKUP(Table1[[#This Row],[Department]],sheet2!$A$2:$A$6,sheet2!$B$2:$B$6,_xleta.NA,0)</f>
        <v>Marketing Manager</v>
      </c>
      <c r="E32" s="1">
        <f t="shared" ca="1" si="9"/>
        <v>44141</v>
      </c>
      <c r="F32" s="1">
        <f ca="1">Table1[[#This Row],[Job Posting Date]]+ RANDBETWEEN(15, 90)</f>
        <v>44168</v>
      </c>
      <c r="G32" s="1">
        <f ca="1">Table1[[#This Row],[Hire Date]]+ RANDBETWEEN(1, 15)</f>
        <v>44169</v>
      </c>
      <c r="H32" s="1" t="str">
        <f ca="1">IF(RAND() &lt; 0.5,  Table1[[#This Row],[Join Date]]+ RANDBETWEEN(30, TODAY()- Table1[[#This Row],[Join Date]]), "-")</f>
        <v>-</v>
      </c>
      <c r="I32" t="str">
        <f ca="1">IF(Table1[[#This Row],[Exit Date]]= "-", "Active", "Exited")</f>
        <v>Active</v>
      </c>
      <c r="J32" s="5">
        <f t="shared" ca="1" si="1"/>
        <v>1744</v>
      </c>
      <c r="K32">
        <f ca="1">Table1[[#This Row],[Offers Made]]*2</f>
        <v>8</v>
      </c>
      <c r="L32">
        <f t="shared" ca="1" si="2"/>
        <v>4</v>
      </c>
      <c r="M32">
        <f t="shared" ca="1" si="3"/>
        <v>2</v>
      </c>
      <c r="N32" t="str">
        <f t="shared" ca="1" si="4"/>
        <v>Campus Placements</v>
      </c>
      <c r="O32">
        <f t="shared" ca="1" si="5"/>
        <v>3</v>
      </c>
      <c r="P32" t="str">
        <f t="shared" ca="1" si="6"/>
        <v>Yes</v>
      </c>
      <c r="Q32" t="str" cm="1">
        <f t="array" aca="1" ref="Q32" ca="1">INDEX(sheet2!$C$2:$C$6, RANDBETWEEN(1, 5))</f>
        <v>Ethics and Responsibilities</v>
      </c>
      <c r="R32" t="str">
        <f t="shared" ca="1" si="7"/>
        <v>Completed</v>
      </c>
      <c r="S32">
        <f ca="1">Table1[[#This Row],[Hire Date]]-Table1[[#This Row],[Job Posting Date]]</f>
        <v>27</v>
      </c>
    </row>
    <row r="33" spans="1:19" x14ac:dyDescent="0.2">
      <c r="A33" t="str">
        <f t="shared" si="0"/>
        <v>EMP032</v>
      </c>
      <c r="B33" t="str">
        <f t="shared" ca="1" si="8"/>
        <v>Female</v>
      </c>
      <c r="C33" t="str" cm="1">
        <f t="array" aca="1" ref="C33" ca="1">INDEX(sheet2!$A$2:$A$6, RANDBETWEEN(1, 5))</f>
        <v>Finance</v>
      </c>
      <c r="D33" t="str">
        <f ca="1">_xlfn.XLOOKUP(Table1[[#This Row],[Department]],sheet2!$A$2:$A$6,sheet2!$B$2:$B$6,_xleta.NA,0)</f>
        <v>Finance Manager</v>
      </c>
      <c r="E33" s="1">
        <f t="shared" ca="1" si="9"/>
        <v>44900</v>
      </c>
      <c r="F33" s="1">
        <f ca="1">Table1[[#This Row],[Job Posting Date]]+ RANDBETWEEN(15, 90)</f>
        <v>44925</v>
      </c>
      <c r="G33" s="1">
        <f ca="1">Table1[[#This Row],[Hire Date]]+ RANDBETWEEN(1, 15)</f>
        <v>44929</v>
      </c>
      <c r="H33" s="1">
        <f ca="1">IF(RAND() &lt; 0.5,  Table1[[#This Row],[Join Date]]+ RANDBETWEEN(30, TODAY()- Table1[[#This Row],[Join Date]]), "-")</f>
        <v>45371</v>
      </c>
      <c r="I33" t="str">
        <f ca="1">IF(Table1[[#This Row],[Exit Date]]= "-", "Active", "Exited")</f>
        <v>Exited</v>
      </c>
      <c r="J33" s="5">
        <f t="shared" ca="1" si="1"/>
        <v>4401</v>
      </c>
      <c r="K33">
        <f ca="1">Table1[[#This Row],[Offers Made]]*2</f>
        <v>14</v>
      </c>
      <c r="L33">
        <f t="shared" ca="1" si="2"/>
        <v>7</v>
      </c>
      <c r="M33">
        <f t="shared" ca="1" si="3"/>
        <v>4</v>
      </c>
      <c r="N33" t="str">
        <f t="shared" ca="1" si="4"/>
        <v>Direct Hiring</v>
      </c>
      <c r="O33">
        <f t="shared" ca="1" si="5"/>
        <v>4</v>
      </c>
      <c r="P33" t="str">
        <f t="shared" ca="1" si="6"/>
        <v>No</v>
      </c>
      <c r="Q33" t="str" cm="1">
        <f t="array" aca="1" ref="Q33" ca="1">INDEX(sheet2!$C$2:$C$6, RANDBETWEEN(1, 5))</f>
        <v>Ethics and Responsibilities</v>
      </c>
      <c r="R33" t="str">
        <f t="shared" ca="1" si="7"/>
        <v>Completed</v>
      </c>
      <c r="S33">
        <f ca="1">Table1[[#This Row],[Hire Date]]-Table1[[#This Row],[Job Posting Date]]</f>
        <v>25</v>
      </c>
    </row>
    <row r="34" spans="1:19" x14ac:dyDescent="0.2">
      <c r="A34" t="str">
        <f t="shared" si="0"/>
        <v>EMP033</v>
      </c>
      <c r="B34" t="str">
        <f t="shared" ca="1" si="8"/>
        <v>Male</v>
      </c>
      <c r="C34" t="str" cm="1">
        <f t="array" aca="1" ref="C34" ca="1">INDEX(sheet2!$A$2:$A$6, RANDBETWEEN(1, 5))</f>
        <v>HR</v>
      </c>
      <c r="D34" t="str">
        <f ca="1">_xlfn.XLOOKUP(Table1[[#This Row],[Department]],sheet2!$A$2:$A$6,sheet2!$B$2:$B$6,_xleta.NA,0)</f>
        <v>HR Manager</v>
      </c>
      <c r="E34" s="1">
        <f t="shared" ref="E34:E65" ca="1" si="10">DATE(RANDBETWEEN(2018, 2022), RANDBETWEEN(1, 12), RANDBETWEEN(1, 28))</f>
        <v>44656</v>
      </c>
      <c r="F34" s="1">
        <f ca="1">Table1[[#This Row],[Job Posting Date]]+ RANDBETWEEN(15, 90)</f>
        <v>44671</v>
      </c>
      <c r="G34" s="1">
        <f ca="1">Table1[[#This Row],[Hire Date]]+ RANDBETWEEN(1, 15)</f>
        <v>44685</v>
      </c>
      <c r="H34" s="1">
        <f ca="1">IF(RAND() &lt; 0.5,  Table1[[#This Row],[Join Date]]+ RANDBETWEEN(30, TODAY()- Table1[[#This Row],[Join Date]]), "-")</f>
        <v>45489</v>
      </c>
      <c r="I34" t="str">
        <f ca="1">IF(Table1[[#This Row],[Exit Date]]= "-", "Active", "Exited")</f>
        <v>Exited</v>
      </c>
      <c r="J34" s="5">
        <f t="shared" ref="J34:J65" ca="1" si="11">RANDBETWEEN(1500, 5000)</f>
        <v>3278</v>
      </c>
      <c r="K34">
        <f ca="1">Table1[[#This Row],[Offers Made]]*2</f>
        <v>16</v>
      </c>
      <c r="L34">
        <f t="shared" ca="1" si="2"/>
        <v>8</v>
      </c>
      <c r="M34">
        <f t="shared" ca="1" si="3"/>
        <v>4</v>
      </c>
      <c r="N34" t="str">
        <f t="shared" ca="1" si="4"/>
        <v>Campus Placements</v>
      </c>
      <c r="O34">
        <f t="shared" ca="1" si="5"/>
        <v>1</v>
      </c>
      <c r="P34" t="str">
        <f t="shared" ca="1" si="6"/>
        <v>No</v>
      </c>
      <c r="Q34" t="str" cm="1">
        <f t="array" aca="1" ref="Q34" ca="1">INDEX(sheet2!$C$2:$C$6, RANDBETWEEN(1, 5))</f>
        <v>Ethics and Responsibilities</v>
      </c>
      <c r="R34" t="str">
        <f t="shared" ref="R34:R65" ca="1" si="12">IF(RAND() &lt; 0.7, "Completed", "Not Completed")</f>
        <v>Not Completed</v>
      </c>
      <c r="S34">
        <f ca="1">Table1[[#This Row],[Hire Date]]-Table1[[#This Row],[Job Posting Date]]</f>
        <v>15</v>
      </c>
    </row>
    <row r="35" spans="1:19" x14ac:dyDescent="0.2">
      <c r="A35" t="str">
        <f t="shared" si="0"/>
        <v>EMP034</v>
      </c>
      <c r="B35" t="str">
        <f t="shared" ca="1" si="8"/>
        <v>Female</v>
      </c>
      <c r="C35" t="str" cm="1">
        <f t="array" aca="1" ref="C35" ca="1">INDEX(sheet2!$A$2:$A$6, RANDBETWEEN(1, 5))</f>
        <v>Finance</v>
      </c>
      <c r="D35" t="str">
        <f ca="1">_xlfn.XLOOKUP(Table1[[#This Row],[Department]],sheet2!$A$2:$A$6,sheet2!$B$2:$B$6,_xleta.NA,0)</f>
        <v>Finance Manager</v>
      </c>
      <c r="E35" s="1">
        <f t="shared" ca="1" si="10"/>
        <v>43927</v>
      </c>
      <c r="F35" s="1">
        <f ca="1">Table1[[#This Row],[Job Posting Date]]+ RANDBETWEEN(15, 90)</f>
        <v>43955</v>
      </c>
      <c r="G35" s="1">
        <f ca="1">Table1[[#This Row],[Hire Date]]+ RANDBETWEEN(1, 15)</f>
        <v>43969</v>
      </c>
      <c r="H35" s="1">
        <f ca="1">IF(RAND() &lt; 0.5,  Table1[[#This Row],[Join Date]]+ RANDBETWEEN(30, TODAY()- Table1[[#This Row],[Join Date]]), "-")</f>
        <v>45488</v>
      </c>
      <c r="I35" t="str">
        <f ca="1">IF(Table1[[#This Row],[Exit Date]]= "-", "Active", "Exited")</f>
        <v>Exited</v>
      </c>
      <c r="J35" s="5">
        <f t="shared" ca="1" si="11"/>
        <v>3146</v>
      </c>
      <c r="K35">
        <f ca="1">Table1[[#This Row],[Offers Made]]*2</f>
        <v>6</v>
      </c>
      <c r="L35">
        <f t="shared" ca="1" si="2"/>
        <v>3</v>
      </c>
      <c r="M35">
        <f t="shared" ca="1" si="3"/>
        <v>1</v>
      </c>
      <c r="N35" t="str">
        <f t="shared" ca="1" si="4"/>
        <v>Job Portals</v>
      </c>
      <c r="O35">
        <f t="shared" ca="1" si="5"/>
        <v>1</v>
      </c>
      <c r="P35" t="str">
        <f t="shared" ca="1" si="6"/>
        <v>Yes</v>
      </c>
      <c r="Q35" t="str" cm="1">
        <f t="array" aca="1" ref="Q35" ca="1">INDEX(sheet2!$C$2:$C$6, RANDBETWEEN(1, 5))</f>
        <v>Advanced Excel Skills </v>
      </c>
      <c r="R35" t="str">
        <f t="shared" ca="1" si="12"/>
        <v>Completed</v>
      </c>
      <c r="S35">
        <f ca="1">Table1[[#This Row],[Hire Date]]-Table1[[#This Row],[Job Posting Date]]</f>
        <v>28</v>
      </c>
    </row>
    <row r="36" spans="1:19" x14ac:dyDescent="0.2">
      <c r="A36" t="str">
        <f t="shared" si="0"/>
        <v>EMP035</v>
      </c>
      <c r="B36" t="str">
        <f t="shared" ca="1" si="8"/>
        <v>Male</v>
      </c>
      <c r="C36" t="str" cm="1">
        <f t="array" aca="1" ref="C36" ca="1">INDEX(sheet2!$A$2:$A$6, RANDBETWEEN(1, 5))</f>
        <v>IT</v>
      </c>
      <c r="D36" t="str">
        <f ca="1">_xlfn.XLOOKUP(Table1[[#This Row],[Department]],sheet2!$A$2:$A$6,sheet2!$B$2:$B$6,_xleta.NA,0)</f>
        <v>Software Engineer</v>
      </c>
      <c r="E36" s="1">
        <f t="shared" ca="1" si="10"/>
        <v>43418</v>
      </c>
      <c r="F36" s="1">
        <f ca="1">Table1[[#This Row],[Job Posting Date]]+ RANDBETWEEN(15, 90)</f>
        <v>43443</v>
      </c>
      <c r="G36" s="1">
        <f ca="1">Table1[[#This Row],[Hire Date]]+ RANDBETWEEN(1, 15)</f>
        <v>43456</v>
      </c>
      <c r="H36" s="1" t="str">
        <f ca="1">IF(RAND() &lt; 0.5,  Table1[[#This Row],[Join Date]]+ RANDBETWEEN(30, TODAY()- Table1[[#This Row],[Join Date]]), "-")</f>
        <v>-</v>
      </c>
      <c r="I36" t="str">
        <f ca="1">IF(Table1[[#This Row],[Exit Date]]= "-", "Active", "Exited")</f>
        <v>Active</v>
      </c>
      <c r="J36" s="5">
        <f t="shared" ca="1" si="11"/>
        <v>4139</v>
      </c>
      <c r="K36">
        <f ca="1">Table1[[#This Row],[Offers Made]]*2</f>
        <v>16</v>
      </c>
      <c r="L36">
        <f t="shared" ca="1" si="2"/>
        <v>8</v>
      </c>
      <c r="M36">
        <f t="shared" ca="1" si="3"/>
        <v>7</v>
      </c>
      <c r="N36" t="str">
        <f t="shared" ca="1" si="4"/>
        <v>Campus Placements</v>
      </c>
      <c r="O36">
        <f t="shared" ca="1" si="5"/>
        <v>5</v>
      </c>
      <c r="P36" t="str">
        <f t="shared" ca="1" si="6"/>
        <v>Yes</v>
      </c>
      <c r="Q36" t="str" cm="1">
        <f t="array" aca="1" ref="Q36" ca="1">INDEX(sheet2!$C$2:$C$6, RANDBETWEEN(1, 5))</f>
        <v>Leadership Development</v>
      </c>
      <c r="R36" t="str">
        <f t="shared" ca="1" si="12"/>
        <v>Completed</v>
      </c>
      <c r="S36">
        <f ca="1">Table1[[#This Row],[Hire Date]]-Table1[[#This Row],[Job Posting Date]]</f>
        <v>25</v>
      </c>
    </row>
    <row r="37" spans="1:19" x14ac:dyDescent="0.2">
      <c r="A37" t="str">
        <f t="shared" si="0"/>
        <v>EMP036</v>
      </c>
      <c r="B37" t="str">
        <f t="shared" ca="1" si="8"/>
        <v>Male</v>
      </c>
      <c r="C37" t="str" cm="1">
        <f t="array" aca="1" ref="C37" ca="1">INDEX(sheet2!$A$2:$A$6, RANDBETWEEN(1, 5))</f>
        <v>HR</v>
      </c>
      <c r="D37" t="str">
        <f ca="1">_xlfn.XLOOKUP(Table1[[#This Row],[Department]],sheet2!$A$2:$A$6,sheet2!$B$2:$B$6,_xleta.NA,0)</f>
        <v>HR Manager</v>
      </c>
      <c r="E37" s="1">
        <f t="shared" ca="1" si="10"/>
        <v>44080</v>
      </c>
      <c r="F37" s="1">
        <f ca="1">Table1[[#This Row],[Job Posting Date]]+ RANDBETWEEN(15, 90)</f>
        <v>44133</v>
      </c>
      <c r="G37" s="1">
        <f ca="1">Table1[[#This Row],[Hire Date]]+ RANDBETWEEN(1, 15)</f>
        <v>44139</v>
      </c>
      <c r="H37" s="1">
        <f ca="1">IF(RAND() &lt; 0.5,  Table1[[#This Row],[Join Date]]+ RANDBETWEEN(30, TODAY()- Table1[[#This Row],[Join Date]]), "-")</f>
        <v>44281</v>
      </c>
      <c r="I37" t="str">
        <f ca="1">IF(Table1[[#This Row],[Exit Date]]= "-", "Active", "Exited")</f>
        <v>Exited</v>
      </c>
      <c r="J37" s="5">
        <f t="shared" ca="1" si="11"/>
        <v>4466</v>
      </c>
      <c r="K37">
        <f ca="1">Table1[[#This Row],[Offers Made]]*2</f>
        <v>16</v>
      </c>
      <c r="L37">
        <f t="shared" ca="1" si="2"/>
        <v>8</v>
      </c>
      <c r="M37">
        <f t="shared" ca="1" si="3"/>
        <v>3</v>
      </c>
      <c r="N37" t="str">
        <f t="shared" ca="1" si="4"/>
        <v>Campus Placements</v>
      </c>
      <c r="O37">
        <f t="shared" ca="1" si="5"/>
        <v>1</v>
      </c>
      <c r="P37" t="str">
        <f t="shared" ca="1" si="6"/>
        <v>No</v>
      </c>
      <c r="Q37" t="str" cm="1">
        <f t="array" aca="1" ref="Q37" ca="1">INDEX(sheet2!$C$2:$C$6, RANDBETWEEN(1, 5))</f>
        <v>Ethics and Responsibilities</v>
      </c>
      <c r="R37" t="str">
        <f t="shared" ca="1" si="12"/>
        <v>Not Completed</v>
      </c>
      <c r="S37">
        <f ca="1">Table1[[#This Row],[Hire Date]]-Table1[[#This Row],[Job Posting Date]]</f>
        <v>53</v>
      </c>
    </row>
    <row r="38" spans="1:19" x14ac:dyDescent="0.2">
      <c r="A38" t="str">
        <f t="shared" si="0"/>
        <v>EMP037</v>
      </c>
      <c r="B38" t="str">
        <f t="shared" ca="1" si="8"/>
        <v>Female</v>
      </c>
      <c r="C38" t="str" cm="1">
        <f t="array" aca="1" ref="C38" ca="1">INDEX(sheet2!$A$2:$A$6, RANDBETWEEN(1, 5))</f>
        <v>HR</v>
      </c>
      <c r="D38" t="str">
        <f ca="1">_xlfn.XLOOKUP(Table1[[#This Row],[Department]],sheet2!$A$2:$A$6,sheet2!$B$2:$B$6,_xleta.NA,0)</f>
        <v>HR Manager</v>
      </c>
      <c r="E38" s="1">
        <f t="shared" ca="1" si="10"/>
        <v>44403</v>
      </c>
      <c r="F38" s="1">
        <f ca="1">Table1[[#This Row],[Job Posting Date]]+ RANDBETWEEN(15, 90)</f>
        <v>44475</v>
      </c>
      <c r="G38" s="1">
        <f ca="1">Table1[[#This Row],[Hire Date]]+ RANDBETWEEN(1, 15)</f>
        <v>44490</v>
      </c>
      <c r="H38" s="1">
        <f ca="1">IF(RAND() &lt; 0.5,  Table1[[#This Row],[Join Date]]+ RANDBETWEEN(30, TODAY()- Table1[[#This Row],[Join Date]]), "-")</f>
        <v>45210</v>
      </c>
      <c r="I38" t="str">
        <f ca="1">IF(Table1[[#This Row],[Exit Date]]= "-", "Active", "Exited")</f>
        <v>Exited</v>
      </c>
      <c r="J38" s="5">
        <f t="shared" ca="1" si="11"/>
        <v>2686</v>
      </c>
      <c r="K38">
        <f ca="1">Table1[[#This Row],[Offers Made]]*2</f>
        <v>10</v>
      </c>
      <c r="L38">
        <f t="shared" ca="1" si="2"/>
        <v>5</v>
      </c>
      <c r="M38">
        <f t="shared" ca="1" si="3"/>
        <v>4</v>
      </c>
      <c r="N38" t="str">
        <f t="shared" ca="1" si="4"/>
        <v>Direct Hiring</v>
      </c>
      <c r="O38">
        <f t="shared" ca="1" si="5"/>
        <v>1</v>
      </c>
      <c r="P38" t="str">
        <f t="shared" ca="1" si="6"/>
        <v>Yes</v>
      </c>
      <c r="Q38" t="str" cm="1">
        <f t="array" aca="1" ref="Q38" ca="1">INDEX(sheet2!$C$2:$C$6, RANDBETWEEN(1, 5))</f>
        <v>Leadership Development</v>
      </c>
      <c r="R38" t="str">
        <f t="shared" ca="1" si="12"/>
        <v>Completed</v>
      </c>
      <c r="S38">
        <f ca="1">Table1[[#This Row],[Hire Date]]-Table1[[#This Row],[Job Posting Date]]</f>
        <v>72</v>
      </c>
    </row>
    <row r="39" spans="1:19" x14ac:dyDescent="0.2">
      <c r="A39" t="str">
        <f t="shared" si="0"/>
        <v>EMP038</v>
      </c>
      <c r="B39" t="str">
        <f t="shared" ca="1" si="8"/>
        <v>Female</v>
      </c>
      <c r="C39" t="str" cm="1">
        <f t="array" aca="1" ref="C39" ca="1">INDEX(sheet2!$A$2:$A$6, RANDBETWEEN(1, 5))</f>
        <v>IT</v>
      </c>
      <c r="D39" t="str">
        <f ca="1">_xlfn.XLOOKUP(Table1[[#This Row],[Department]],sheet2!$A$2:$A$6,sheet2!$B$2:$B$6,_xleta.NA,0)</f>
        <v>Software Engineer</v>
      </c>
      <c r="E39" s="1">
        <f t="shared" ca="1" si="10"/>
        <v>43107</v>
      </c>
      <c r="F39" s="1">
        <f ca="1">Table1[[#This Row],[Job Posting Date]]+ RANDBETWEEN(15, 90)</f>
        <v>43194</v>
      </c>
      <c r="G39" s="1">
        <f ca="1">Table1[[#This Row],[Hire Date]]+ RANDBETWEEN(1, 15)</f>
        <v>43209</v>
      </c>
      <c r="H39" s="1">
        <f ca="1">IF(RAND() &lt; 0.5,  Table1[[#This Row],[Join Date]]+ RANDBETWEEN(30, TODAY()- Table1[[#This Row],[Join Date]]), "-")</f>
        <v>45638</v>
      </c>
      <c r="I39" t="str">
        <f ca="1">IF(Table1[[#This Row],[Exit Date]]= "-", "Active", "Exited")</f>
        <v>Exited</v>
      </c>
      <c r="J39" s="5">
        <f t="shared" ca="1" si="11"/>
        <v>4777</v>
      </c>
      <c r="K39">
        <f ca="1">Table1[[#This Row],[Offers Made]]*2</f>
        <v>12</v>
      </c>
      <c r="L39">
        <f t="shared" ca="1" si="2"/>
        <v>6</v>
      </c>
      <c r="M39">
        <f t="shared" ca="1" si="3"/>
        <v>4</v>
      </c>
      <c r="N39" t="str">
        <f t="shared" ca="1" si="4"/>
        <v>Job Portals</v>
      </c>
      <c r="O39">
        <f t="shared" ca="1" si="5"/>
        <v>4</v>
      </c>
      <c r="P39" t="str">
        <f t="shared" ca="1" si="6"/>
        <v>No</v>
      </c>
      <c r="Q39" t="str" cm="1">
        <f t="array" aca="1" ref="Q39" ca="1">INDEX(sheet2!$C$2:$C$6, RANDBETWEEN(1, 5))</f>
        <v>Conflict Resolution</v>
      </c>
      <c r="R39" t="str">
        <f t="shared" ca="1" si="12"/>
        <v>Completed</v>
      </c>
      <c r="S39">
        <f ca="1">Table1[[#This Row],[Hire Date]]-Table1[[#This Row],[Job Posting Date]]</f>
        <v>87</v>
      </c>
    </row>
    <row r="40" spans="1:19" x14ac:dyDescent="0.2">
      <c r="A40" t="str">
        <f t="shared" si="0"/>
        <v>EMP039</v>
      </c>
      <c r="B40" t="str">
        <f t="shared" ca="1" si="8"/>
        <v>Male</v>
      </c>
      <c r="C40" t="str" cm="1">
        <f t="array" aca="1" ref="C40" ca="1">INDEX(sheet2!$A$2:$A$6, RANDBETWEEN(1, 5))</f>
        <v>Analytics</v>
      </c>
      <c r="D40" t="str">
        <f ca="1">_xlfn.XLOOKUP(Table1[[#This Row],[Department]],sheet2!$A$2:$A$6,sheet2!$B$2:$B$6,_xleta.NA,0)</f>
        <v>Data Analyst</v>
      </c>
      <c r="E40" s="1">
        <f t="shared" ca="1" si="10"/>
        <v>44887</v>
      </c>
      <c r="F40" s="1">
        <f ca="1">Table1[[#This Row],[Job Posting Date]]+ RANDBETWEEN(15, 90)</f>
        <v>44969</v>
      </c>
      <c r="G40" s="1">
        <f ca="1">Table1[[#This Row],[Hire Date]]+ RANDBETWEEN(1, 15)</f>
        <v>44978</v>
      </c>
      <c r="H40" s="1" t="str">
        <f ca="1">IF(RAND() &lt; 0.5,  Table1[[#This Row],[Join Date]]+ RANDBETWEEN(30, TODAY()- Table1[[#This Row],[Join Date]]), "-")</f>
        <v>-</v>
      </c>
      <c r="I40" t="str">
        <f ca="1">IF(Table1[[#This Row],[Exit Date]]= "-", "Active", "Exited")</f>
        <v>Active</v>
      </c>
      <c r="J40" s="5">
        <f t="shared" ca="1" si="11"/>
        <v>1662</v>
      </c>
      <c r="K40">
        <f ca="1">Table1[[#This Row],[Offers Made]]*2</f>
        <v>8</v>
      </c>
      <c r="L40">
        <f t="shared" ca="1" si="2"/>
        <v>4</v>
      </c>
      <c r="M40">
        <f t="shared" ca="1" si="3"/>
        <v>1</v>
      </c>
      <c r="N40" t="str">
        <f t="shared" ca="1" si="4"/>
        <v>Campus Placements</v>
      </c>
      <c r="O40">
        <f t="shared" ca="1" si="5"/>
        <v>3</v>
      </c>
      <c r="P40" t="str">
        <f t="shared" ca="1" si="6"/>
        <v>No</v>
      </c>
      <c r="Q40" t="str" cm="1">
        <f t="array" aca="1" ref="Q40" ca="1">INDEX(sheet2!$C$2:$C$6, RANDBETWEEN(1, 5))</f>
        <v>Advanced Excel Skills </v>
      </c>
      <c r="R40" t="str">
        <f t="shared" ca="1" si="12"/>
        <v>Completed</v>
      </c>
      <c r="S40">
        <f ca="1">Table1[[#This Row],[Hire Date]]-Table1[[#This Row],[Job Posting Date]]</f>
        <v>82</v>
      </c>
    </row>
    <row r="41" spans="1:19" x14ac:dyDescent="0.2">
      <c r="A41" t="str">
        <f t="shared" si="0"/>
        <v>EMP040</v>
      </c>
      <c r="B41" t="str">
        <f t="shared" ca="1" si="8"/>
        <v>Female</v>
      </c>
      <c r="C41" t="str" cm="1">
        <f t="array" aca="1" ref="C41" ca="1">INDEX(sheet2!$A$2:$A$6, RANDBETWEEN(1, 5))</f>
        <v>IT</v>
      </c>
      <c r="D41" t="str">
        <f ca="1">_xlfn.XLOOKUP(Table1[[#This Row],[Department]],sheet2!$A$2:$A$6,sheet2!$B$2:$B$6,_xleta.NA,0)</f>
        <v>Software Engineer</v>
      </c>
      <c r="E41" s="1">
        <f t="shared" ca="1" si="10"/>
        <v>43822</v>
      </c>
      <c r="F41" s="1">
        <f ca="1">Table1[[#This Row],[Job Posting Date]]+ RANDBETWEEN(15, 90)</f>
        <v>43884</v>
      </c>
      <c r="G41" s="1">
        <f ca="1">Table1[[#This Row],[Hire Date]]+ RANDBETWEEN(1, 15)</f>
        <v>43899</v>
      </c>
      <c r="H41" s="1">
        <f ca="1">IF(RAND() &lt; 0.5,  Table1[[#This Row],[Join Date]]+ RANDBETWEEN(30, TODAY()- Table1[[#This Row],[Join Date]]), "-")</f>
        <v>44979</v>
      </c>
      <c r="I41" t="str">
        <f ca="1">IF(Table1[[#This Row],[Exit Date]]= "-", "Active", "Exited")</f>
        <v>Exited</v>
      </c>
      <c r="J41" s="5">
        <f t="shared" ca="1" si="11"/>
        <v>4975</v>
      </c>
      <c r="K41">
        <f ca="1">Table1[[#This Row],[Offers Made]]*2</f>
        <v>10</v>
      </c>
      <c r="L41">
        <f t="shared" ca="1" si="2"/>
        <v>5</v>
      </c>
      <c r="M41">
        <f t="shared" ca="1" si="3"/>
        <v>2</v>
      </c>
      <c r="N41" t="str">
        <f t="shared" ca="1" si="4"/>
        <v>Employee Referrals</v>
      </c>
      <c r="O41">
        <f t="shared" ca="1" si="5"/>
        <v>5</v>
      </c>
      <c r="P41" t="str">
        <f t="shared" ca="1" si="6"/>
        <v>Yes</v>
      </c>
      <c r="Q41" t="str" cm="1">
        <f t="array" aca="1" ref="Q41" ca="1">INDEX(sheet2!$C$2:$C$6, RANDBETWEEN(1, 5))</f>
        <v>Communication Skills</v>
      </c>
      <c r="R41" t="str">
        <f t="shared" ca="1" si="12"/>
        <v>Completed</v>
      </c>
      <c r="S41">
        <f ca="1">Table1[[#This Row],[Hire Date]]-Table1[[#This Row],[Job Posting Date]]</f>
        <v>62</v>
      </c>
    </row>
    <row r="42" spans="1:19" x14ac:dyDescent="0.2">
      <c r="A42" t="str">
        <f t="shared" si="0"/>
        <v>EMP041</v>
      </c>
      <c r="B42" t="str">
        <f t="shared" ca="1" si="8"/>
        <v>Male</v>
      </c>
      <c r="C42" t="str" cm="1">
        <f t="array" aca="1" ref="C42" ca="1">INDEX(sheet2!$A$2:$A$6, RANDBETWEEN(1, 5))</f>
        <v>Sales</v>
      </c>
      <c r="D42" t="str">
        <f ca="1">_xlfn.XLOOKUP(Table1[[#This Row],[Department]],sheet2!$A$2:$A$6,sheet2!$B$2:$B$6,_xleta.NA,0)</f>
        <v>Marketing Manager</v>
      </c>
      <c r="E42" s="1">
        <f t="shared" ca="1" si="10"/>
        <v>43429</v>
      </c>
      <c r="F42" s="1">
        <f ca="1">Table1[[#This Row],[Job Posting Date]]+ RANDBETWEEN(15, 90)</f>
        <v>43445</v>
      </c>
      <c r="G42" s="1">
        <f ca="1">Table1[[#This Row],[Hire Date]]+ RANDBETWEEN(1, 15)</f>
        <v>43457</v>
      </c>
      <c r="H42" s="1">
        <f ca="1">IF(RAND() &lt; 0.5,  Table1[[#This Row],[Join Date]]+ RANDBETWEEN(30, TODAY()- Table1[[#This Row],[Join Date]]), "-")</f>
        <v>44556</v>
      </c>
      <c r="I42" t="str">
        <f ca="1">IF(Table1[[#This Row],[Exit Date]]= "-", "Active", "Exited")</f>
        <v>Exited</v>
      </c>
      <c r="J42" s="5">
        <f t="shared" ca="1" si="11"/>
        <v>4839</v>
      </c>
      <c r="K42">
        <f ca="1">Table1[[#This Row],[Offers Made]]*2</f>
        <v>12</v>
      </c>
      <c r="L42">
        <f t="shared" ca="1" si="2"/>
        <v>6</v>
      </c>
      <c r="M42">
        <f t="shared" ca="1" si="3"/>
        <v>3</v>
      </c>
      <c r="N42" t="str">
        <f t="shared" ca="1" si="4"/>
        <v>Employee Referrals</v>
      </c>
      <c r="O42">
        <f t="shared" ca="1" si="5"/>
        <v>3</v>
      </c>
      <c r="P42" t="str">
        <f t="shared" ca="1" si="6"/>
        <v>Yes</v>
      </c>
      <c r="Q42" t="str" cm="1">
        <f t="array" aca="1" ref="Q42" ca="1">INDEX(sheet2!$C$2:$C$6, RANDBETWEEN(1, 5))</f>
        <v>Communication Skills</v>
      </c>
      <c r="R42" t="str">
        <f t="shared" ca="1" si="12"/>
        <v>Completed</v>
      </c>
      <c r="S42">
        <f ca="1">Table1[[#This Row],[Hire Date]]-Table1[[#This Row],[Job Posting Date]]</f>
        <v>16</v>
      </c>
    </row>
    <row r="43" spans="1:19" x14ac:dyDescent="0.2">
      <c r="A43" t="str">
        <f t="shared" si="0"/>
        <v>EMP042</v>
      </c>
      <c r="B43" t="str">
        <f t="shared" ca="1" si="8"/>
        <v>Female</v>
      </c>
      <c r="C43" t="str" cm="1">
        <f t="array" aca="1" ref="C43" ca="1">INDEX(sheet2!$A$2:$A$6, RANDBETWEEN(1, 5))</f>
        <v>Sales</v>
      </c>
      <c r="D43" t="str">
        <f ca="1">_xlfn.XLOOKUP(Table1[[#This Row],[Department]],sheet2!$A$2:$A$6,sheet2!$B$2:$B$6,_xleta.NA,0)</f>
        <v>Marketing Manager</v>
      </c>
      <c r="E43" s="1">
        <f t="shared" ca="1" si="10"/>
        <v>44005</v>
      </c>
      <c r="F43" s="1">
        <f ca="1">Table1[[#This Row],[Job Posting Date]]+ RANDBETWEEN(15, 90)</f>
        <v>44028</v>
      </c>
      <c r="G43" s="1">
        <f ca="1">Table1[[#This Row],[Hire Date]]+ RANDBETWEEN(1, 15)</f>
        <v>44040</v>
      </c>
      <c r="H43" s="1" t="str">
        <f ca="1">IF(RAND() &lt; 0.5,  Table1[[#This Row],[Join Date]]+ RANDBETWEEN(30, TODAY()- Table1[[#This Row],[Join Date]]), "-")</f>
        <v>-</v>
      </c>
      <c r="I43" t="str">
        <f ca="1">IF(Table1[[#This Row],[Exit Date]]= "-", "Active", "Exited")</f>
        <v>Active</v>
      </c>
      <c r="J43" s="5">
        <f t="shared" ca="1" si="11"/>
        <v>4862</v>
      </c>
      <c r="K43">
        <f ca="1">Table1[[#This Row],[Offers Made]]*2</f>
        <v>8</v>
      </c>
      <c r="L43">
        <f t="shared" ca="1" si="2"/>
        <v>4</v>
      </c>
      <c r="M43">
        <f t="shared" ca="1" si="3"/>
        <v>2</v>
      </c>
      <c r="N43" t="str">
        <f t="shared" ca="1" si="4"/>
        <v>Direct Hiring</v>
      </c>
      <c r="O43">
        <f t="shared" ca="1" si="5"/>
        <v>1</v>
      </c>
      <c r="P43" t="str">
        <f t="shared" ca="1" si="6"/>
        <v>No</v>
      </c>
      <c r="Q43" t="str" cm="1">
        <f t="array" aca="1" ref="Q43" ca="1">INDEX(sheet2!$C$2:$C$6, RANDBETWEEN(1, 5))</f>
        <v>Leadership Development</v>
      </c>
      <c r="R43" t="str">
        <f t="shared" ca="1" si="12"/>
        <v>Completed</v>
      </c>
      <c r="S43">
        <f ca="1">Table1[[#This Row],[Hire Date]]-Table1[[#This Row],[Job Posting Date]]</f>
        <v>23</v>
      </c>
    </row>
    <row r="44" spans="1:19" x14ac:dyDescent="0.2">
      <c r="A44" t="str">
        <f t="shared" si="0"/>
        <v>EMP043</v>
      </c>
      <c r="B44" t="str">
        <f t="shared" ca="1" si="8"/>
        <v>Male</v>
      </c>
      <c r="C44" t="str" cm="1">
        <f t="array" aca="1" ref="C44" ca="1">INDEX(sheet2!$A$2:$A$6, RANDBETWEEN(1, 5))</f>
        <v>Finance</v>
      </c>
      <c r="D44" t="str">
        <f ca="1">_xlfn.XLOOKUP(Table1[[#This Row],[Department]],sheet2!$A$2:$A$6,sheet2!$B$2:$B$6,_xleta.NA,0)</f>
        <v>Finance Manager</v>
      </c>
      <c r="E44" s="1">
        <f t="shared" ca="1" si="10"/>
        <v>43196</v>
      </c>
      <c r="F44" s="1">
        <f ca="1">Table1[[#This Row],[Job Posting Date]]+ RANDBETWEEN(15, 90)</f>
        <v>43265</v>
      </c>
      <c r="G44" s="1">
        <f ca="1">Table1[[#This Row],[Hire Date]]+ RANDBETWEEN(1, 15)</f>
        <v>43280</v>
      </c>
      <c r="H44" s="1">
        <f ca="1">IF(RAND() &lt; 0.5,  Table1[[#This Row],[Join Date]]+ RANDBETWEEN(30, TODAY()- Table1[[#This Row],[Join Date]]), "-")</f>
        <v>43739</v>
      </c>
      <c r="I44" t="str">
        <f ca="1">IF(Table1[[#This Row],[Exit Date]]= "-", "Active", "Exited")</f>
        <v>Exited</v>
      </c>
      <c r="J44" s="5">
        <f t="shared" ca="1" si="11"/>
        <v>4944</v>
      </c>
      <c r="K44">
        <f ca="1">Table1[[#This Row],[Offers Made]]*2</f>
        <v>14</v>
      </c>
      <c r="L44">
        <f t="shared" ca="1" si="2"/>
        <v>7</v>
      </c>
      <c r="M44">
        <f t="shared" ca="1" si="3"/>
        <v>5</v>
      </c>
      <c r="N44" t="str">
        <f t="shared" ca="1" si="4"/>
        <v>Direct Hiring</v>
      </c>
      <c r="O44">
        <f t="shared" ca="1" si="5"/>
        <v>1</v>
      </c>
      <c r="P44" t="str">
        <f t="shared" ca="1" si="6"/>
        <v>No</v>
      </c>
      <c r="Q44" t="str" cm="1">
        <f t="array" aca="1" ref="Q44" ca="1">INDEX(sheet2!$C$2:$C$6, RANDBETWEEN(1, 5))</f>
        <v>Advanced Excel Skills </v>
      </c>
      <c r="R44" t="str">
        <f t="shared" ca="1" si="12"/>
        <v>Not Completed</v>
      </c>
      <c r="S44">
        <f ca="1">Table1[[#This Row],[Hire Date]]-Table1[[#This Row],[Job Posting Date]]</f>
        <v>69</v>
      </c>
    </row>
    <row r="45" spans="1:19" x14ac:dyDescent="0.2">
      <c r="A45" t="str">
        <f t="shared" si="0"/>
        <v>EMP044</v>
      </c>
      <c r="B45" t="str">
        <f t="shared" ca="1" si="8"/>
        <v>Female</v>
      </c>
      <c r="C45" t="str" cm="1">
        <f t="array" aca="1" ref="C45" ca="1">INDEX(sheet2!$A$2:$A$6, RANDBETWEEN(1, 5))</f>
        <v>HR</v>
      </c>
      <c r="D45" t="str">
        <f ca="1">_xlfn.XLOOKUP(Table1[[#This Row],[Department]],sheet2!$A$2:$A$6,sheet2!$B$2:$B$6,_xleta.NA,0)</f>
        <v>HR Manager</v>
      </c>
      <c r="E45" s="1">
        <f t="shared" ca="1" si="10"/>
        <v>44114</v>
      </c>
      <c r="F45" s="1">
        <f ca="1">Table1[[#This Row],[Job Posting Date]]+ RANDBETWEEN(15, 90)</f>
        <v>44165</v>
      </c>
      <c r="G45" s="1">
        <f ca="1">Table1[[#This Row],[Hire Date]]+ RANDBETWEEN(1, 15)</f>
        <v>44173</v>
      </c>
      <c r="H45" s="1">
        <f ca="1">IF(RAND() &lt; 0.5,  Table1[[#This Row],[Join Date]]+ RANDBETWEEN(30, TODAY()- Table1[[#This Row],[Join Date]]), "-")</f>
        <v>44549</v>
      </c>
      <c r="I45" t="str">
        <f ca="1">IF(Table1[[#This Row],[Exit Date]]= "-", "Active", "Exited")</f>
        <v>Exited</v>
      </c>
      <c r="J45" s="5">
        <f t="shared" ca="1" si="11"/>
        <v>3521</v>
      </c>
      <c r="K45">
        <f ca="1">Table1[[#This Row],[Offers Made]]*2</f>
        <v>10</v>
      </c>
      <c r="L45">
        <f t="shared" ca="1" si="2"/>
        <v>5</v>
      </c>
      <c r="M45">
        <f t="shared" ca="1" si="3"/>
        <v>3</v>
      </c>
      <c r="N45" t="str">
        <f t="shared" ca="1" si="4"/>
        <v>Direct Hiring</v>
      </c>
      <c r="O45">
        <f t="shared" ca="1" si="5"/>
        <v>3</v>
      </c>
      <c r="P45" t="str">
        <f t="shared" ca="1" si="6"/>
        <v>Yes</v>
      </c>
      <c r="Q45" t="str" cm="1">
        <f t="array" aca="1" ref="Q45" ca="1">INDEX(sheet2!$C$2:$C$6, RANDBETWEEN(1, 5))</f>
        <v>Leadership Development</v>
      </c>
      <c r="R45" t="str">
        <f t="shared" ca="1" si="12"/>
        <v>Completed</v>
      </c>
      <c r="S45">
        <f ca="1">Table1[[#This Row],[Hire Date]]-Table1[[#This Row],[Job Posting Date]]</f>
        <v>51</v>
      </c>
    </row>
    <row r="46" spans="1:19" x14ac:dyDescent="0.2">
      <c r="A46" t="str">
        <f t="shared" si="0"/>
        <v>EMP045</v>
      </c>
      <c r="B46" t="str">
        <f t="shared" ca="1" si="8"/>
        <v>Female</v>
      </c>
      <c r="C46" t="str" cm="1">
        <f t="array" aca="1" ref="C46" ca="1">INDEX(sheet2!$A$2:$A$6, RANDBETWEEN(1, 5))</f>
        <v>Finance</v>
      </c>
      <c r="D46" t="str">
        <f ca="1">_xlfn.XLOOKUP(Table1[[#This Row],[Department]],sheet2!$A$2:$A$6,sheet2!$B$2:$B$6,_xleta.NA,0)</f>
        <v>Finance Manager</v>
      </c>
      <c r="E46" s="1">
        <f t="shared" ca="1" si="10"/>
        <v>43191</v>
      </c>
      <c r="F46" s="1">
        <f ca="1">Table1[[#This Row],[Job Posting Date]]+ RANDBETWEEN(15, 90)</f>
        <v>43271</v>
      </c>
      <c r="G46" s="1">
        <f ca="1">Table1[[#This Row],[Hire Date]]+ RANDBETWEEN(1, 15)</f>
        <v>43279</v>
      </c>
      <c r="H46" s="1">
        <f ca="1">IF(RAND() &lt; 0.5,  Table1[[#This Row],[Join Date]]+ RANDBETWEEN(30, TODAY()- Table1[[#This Row],[Join Date]]), "-")</f>
        <v>44128</v>
      </c>
      <c r="I46" t="str">
        <f ca="1">IF(Table1[[#This Row],[Exit Date]]= "-", "Active", "Exited")</f>
        <v>Exited</v>
      </c>
      <c r="J46" s="5">
        <f t="shared" ca="1" si="11"/>
        <v>4958</v>
      </c>
      <c r="K46">
        <f ca="1">Table1[[#This Row],[Offers Made]]*2</f>
        <v>6</v>
      </c>
      <c r="L46">
        <f t="shared" ca="1" si="2"/>
        <v>3</v>
      </c>
      <c r="M46">
        <f t="shared" ca="1" si="3"/>
        <v>2</v>
      </c>
      <c r="N46" t="str">
        <f t="shared" ca="1" si="4"/>
        <v>Employee Referrals</v>
      </c>
      <c r="O46">
        <f t="shared" ca="1" si="5"/>
        <v>5</v>
      </c>
      <c r="P46" t="str">
        <f t="shared" ca="1" si="6"/>
        <v>Yes</v>
      </c>
      <c r="Q46" t="str" cm="1">
        <f t="array" aca="1" ref="Q46" ca="1">INDEX(sheet2!$C$2:$C$6, RANDBETWEEN(1, 5))</f>
        <v>Ethics and Responsibilities</v>
      </c>
      <c r="R46" t="str">
        <f t="shared" ca="1" si="12"/>
        <v>Not Completed</v>
      </c>
      <c r="S46">
        <f ca="1">Table1[[#This Row],[Hire Date]]-Table1[[#This Row],[Job Posting Date]]</f>
        <v>80</v>
      </c>
    </row>
    <row r="47" spans="1:19" x14ac:dyDescent="0.2">
      <c r="A47" t="str">
        <f t="shared" si="0"/>
        <v>EMP046</v>
      </c>
      <c r="B47" t="str">
        <f t="shared" ca="1" si="8"/>
        <v>Male</v>
      </c>
      <c r="C47" t="str" cm="1">
        <f t="array" aca="1" ref="C47" ca="1">INDEX(sheet2!$A$2:$A$6, RANDBETWEEN(1, 5))</f>
        <v>Analytics</v>
      </c>
      <c r="D47" t="str">
        <f ca="1">_xlfn.XLOOKUP(Table1[[#This Row],[Department]],sheet2!$A$2:$A$6,sheet2!$B$2:$B$6,_xleta.NA,0)</f>
        <v>Data Analyst</v>
      </c>
      <c r="E47" s="1">
        <f t="shared" ca="1" si="10"/>
        <v>44850</v>
      </c>
      <c r="F47" s="1">
        <f ca="1">Table1[[#This Row],[Job Posting Date]]+ RANDBETWEEN(15, 90)</f>
        <v>44935</v>
      </c>
      <c r="G47" s="1">
        <f ca="1">Table1[[#This Row],[Hire Date]]+ RANDBETWEEN(1, 15)</f>
        <v>44936</v>
      </c>
      <c r="H47" s="1" t="str">
        <f ca="1">IF(RAND() &lt; 0.5,  Table1[[#This Row],[Join Date]]+ RANDBETWEEN(30, TODAY()- Table1[[#This Row],[Join Date]]), "-")</f>
        <v>-</v>
      </c>
      <c r="I47" t="str">
        <f ca="1">IF(Table1[[#This Row],[Exit Date]]= "-", "Active", "Exited")</f>
        <v>Active</v>
      </c>
      <c r="J47" s="5">
        <f t="shared" ca="1" si="11"/>
        <v>1771</v>
      </c>
      <c r="K47">
        <f ca="1">Table1[[#This Row],[Offers Made]]*2</f>
        <v>6</v>
      </c>
      <c r="L47">
        <f t="shared" ca="1" si="2"/>
        <v>3</v>
      </c>
      <c r="M47">
        <f t="shared" ca="1" si="3"/>
        <v>1</v>
      </c>
      <c r="N47" t="str">
        <f t="shared" ca="1" si="4"/>
        <v>Job Portals</v>
      </c>
      <c r="O47">
        <f t="shared" ca="1" si="5"/>
        <v>1</v>
      </c>
      <c r="P47" t="str">
        <f t="shared" ca="1" si="6"/>
        <v>Yes</v>
      </c>
      <c r="Q47" t="str" cm="1">
        <f t="array" aca="1" ref="Q47" ca="1">INDEX(sheet2!$C$2:$C$6, RANDBETWEEN(1, 5))</f>
        <v>Advanced Excel Skills </v>
      </c>
      <c r="R47" t="str">
        <f t="shared" ca="1" si="12"/>
        <v>Completed</v>
      </c>
      <c r="S47">
        <f ca="1">Table1[[#This Row],[Hire Date]]-Table1[[#This Row],[Job Posting Date]]</f>
        <v>85</v>
      </c>
    </row>
    <row r="48" spans="1:19" x14ac:dyDescent="0.2">
      <c r="A48" t="str">
        <f t="shared" si="0"/>
        <v>EMP047</v>
      </c>
      <c r="B48" t="str">
        <f t="shared" ca="1" si="8"/>
        <v>Male</v>
      </c>
      <c r="C48" t="str" cm="1">
        <f t="array" aca="1" ref="C48" ca="1">INDEX(sheet2!$A$2:$A$6, RANDBETWEEN(1, 5))</f>
        <v>HR</v>
      </c>
      <c r="D48" t="str">
        <f ca="1">_xlfn.XLOOKUP(Table1[[#This Row],[Department]],sheet2!$A$2:$A$6,sheet2!$B$2:$B$6,_xleta.NA,0)</f>
        <v>HR Manager</v>
      </c>
      <c r="E48" s="1">
        <f t="shared" ca="1" si="10"/>
        <v>43148</v>
      </c>
      <c r="F48" s="1">
        <f ca="1">Table1[[#This Row],[Job Posting Date]]+ RANDBETWEEN(15, 90)</f>
        <v>43181</v>
      </c>
      <c r="G48" s="1">
        <f ca="1">Table1[[#This Row],[Hire Date]]+ RANDBETWEEN(1, 15)</f>
        <v>43183</v>
      </c>
      <c r="H48" s="1">
        <f ca="1">IF(RAND() &lt; 0.5,  Table1[[#This Row],[Join Date]]+ RANDBETWEEN(30, TODAY()- Table1[[#This Row],[Join Date]]), "-")</f>
        <v>44527</v>
      </c>
      <c r="I48" t="str">
        <f ca="1">IF(Table1[[#This Row],[Exit Date]]= "-", "Active", "Exited")</f>
        <v>Exited</v>
      </c>
      <c r="J48" s="5">
        <f t="shared" ca="1" si="11"/>
        <v>4765</v>
      </c>
      <c r="K48">
        <f ca="1">Table1[[#This Row],[Offers Made]]*2</f>
        <v>10</v>
      </c>
      <c r="L48">
        <f t="shared" ca="1" si="2"/>
        <v>5</v>
      </c>
      <c r="M48">
        <f t="shared" ca="1" si="3"/>
        <v>1</v>
      </c>
      <c r="N48" t="str">
        <f t="shared" ca="1" si="4"/>
        <v>Job Portals</v>
      </c>
      <c r="O48">
        <f t="shared" ca="1" si="5"/>
        <v>4</v>
      </c>
      <c r="P48" t="str">
        <f t="shared" ca="1" si="6"/>
        <v>No</v>
      </c>
      <c r="Q48" t="str" cm="1">
        <f t="array" aca="1" ref="Q48" ca="1">INDEX(sheet2!$C$2:$C$6, RANDBETWEEN(1, 5))</f>
        <v>Communication Skills</v>
      </c>
      <c r="R48" t="str">
        <f t="shared" ca="1" si="12"/>
        <v>Completed</v>
      </c>
      <c r="S48">
        <f ca="1">Table1[[#This Row],[Hire Date]]-Table1[[#This Row],[Job Posting Date]]</f>
        <v>33</v>
      </c>
    </row>
    <row r="49" spans="1:19" x14ac:dyDescent="0.2">
      <c r="A49" t="str">
        <f t="shared" si="0"/>
        <v>EMP048</v>
      </c>
      <c r="B49" t="str">
        <f t="shared" ca="1" si="8"/>
        <v>Male</v>
      </c>
      <c r="C49" t="str" cm="1">
        <f t="array" aca="1" ref="C49" ca="1">INDEX(sheet2!$A$2:$A$6, RANDBETWEEN(1, 5))</f>
        <v>Sales</v>
      </c>
      <c r="D49" t="str">
        <f ca="1">_xlfn.XLOOKUP(Table1[[#This Row],[Department]],sheet2!$A$2:$A$6,sheet2!$B$2:$B$6,_xleta.NA,0)</f>
        <v>Marketing Manager</v>
      </c>
      <c r="E49" s="1">
        <f t="shared" ca="1" si="10"/>
        <v>44756</v>
      </c>
      <c r="F49" s="1">
        <f ca="1">Table1[[#This Row],[Job Posting Date]]+ RANDBETWEEN(15, 90)</f>
        <v>44818</v>
      </c>
      <c r="G49" s="1">
        <f ca="1">Table1[[#This Row],[Hire Date]]+ RANDBETWEEN(1, 15)</f>
        <v>44819</v>
      </c>
      <c r="H49" s="1" t="str">
        <f ca="1">IF(RAND() &lt; 0.5,  Table1[[#This Row],[Join Date]]+ RANDBETWEEN(30, TODAY()- Table1[[#This Row],[Join Date]]), "-")</f>
        <v>-</v>
      </c>
      <c r="I49" t="str">
        <f ca="1">IF(Table1[[#This Row],[Exit Date]]= "-", "Active", "Exited")</f>
        <v>Active</v>
      </c>
      <c r="J49" s="5">
        <f t="shared" ca="1" si="11"/>
        <v>3157</v>
      </c>
      <c r="K49">
        <f ca="1">Table1[[#This Row],[Offers Made]]*2</f>
        <v>10</v>
      </c>
      <c r="L49">
        <f t="shared" ca="1" si="2"/>
        <v>5</v>
      </c>
      <c r="M49">
        <f t="shared" ca="1" si="3"/>
        <v>4</v>
      </c>
      <c r="N49" t="str">
        <f t="shared" ca="1" si="4"/>
        <v>Employee Referrals</v>
      </c>
      <c r="O49">
        <f t="shared" ca="1" si="5"/>
        <v>4</v>
      </c>
      <c r="P49" t="str">
        <f t="shared" ca="1" si="6"/>
        <v>Yes</v>
      </c>
      <c r="Q49" t="str" cm="1">
        <f t="array" aca="1" ref="Q49" ca="1">INDEX(sheet2!$C$2:$C$6, RANDBETWEEN(1, 5))</f>
        <v>Leadership Development</v>
      </c>
      <c r="R49" t="str">
        <f t="shared" ca="1" si="12"/>
        <v>Completed</v>
      </c>
      <c r="S49">
        <f ca="1">Table1[[#This Row],[Hire Date]]-Table1[[#This Row],[Job Posting Date]]</f>
        <v>62</v>
      </c>
    </row>
    <row r="50" spans="1:19" x14ac:dyDescent="0.2">
      <c r="A50" t="str">
        <f t="shared" si="0"/>
        <v>EMP049</v>
      </c>
      <c r="B50" t="str">
        <f t="shared" ca="1" si="8"/>
        <v>Male</v>
      </c>
      <c r="C50" t="str" cm="1">
        <f t="array" aca="1" ref="C50" ca="1">INDEX(sheet2!$A$2:$A$6, RANDBETWEEN(1, 5))</f>
        <v>Sales</v>
      </c>
      <c r="D50" t="str">
        <f ca="1">_xlfn.XLOOKUP(Table1[[#This Row],[Department]],sheet2!$A$2:$A$6,sheet2!$B$2:$B$6,_xleta.NA,0)</f>
        <v>Marketing Manager</v>
      </c>
      <c r="E50" s="1">
        <f t="shared" ca="1" si="10"/>
        <v>44891</v>
      </c>
      <c r="F50" s="1">
        <f ca="1">Table1[[#This Row],[Job Posting Date]]+ RANDBETWEEN(15, 90)</f>
        <v>44978</v>
      </c>
      <c r="G50" s="1">
        <f ca="1">Table1[[#This Row],[Hire Date]]+ RANDBETWEEN(1, 15)</f>
        <v>44983</v>
      </c>
      <c r="H50" s="1">
        <f ca="1">IF(RAND() &lt; 0.5,  Table1[[#This Row],[Join Date]]+ RANDBETWEEN(30, TODAY()- Table1[[#This Row],[Join Date]]), "-")</f>
        <v>45253</v>
      </c>
      <c r="I50" t="str">
        <f ca="1">IF(Table1[[#This Row],[Exit Date]]= "-", "Active", "Exited")</f>
        <v>Exited</v>
      </c>
      <c r="J50" s="5">
        <f t="shared" ca="1" si="11"/>
        <v>4524</v>
      </c>
      <c r="K50">
        <f ca="1">Table1[[#This Row],[Offers Made]]*2</f>
        <v>16</v>
      </c>
      <c r="L50">
        <f t="shared" ca="1" si="2"/>
        <v>8</v>
      </c>
      <c r="M50">
        <f t="shared" ca="1" si="3"/>
        <v>7</v>
      </c>
      <c r="N50" t="str">
        <f t="shared" ca="1" si="4"/>
        <v>Employee Referrals</v>
      </c>
      <c r="O50">
        <f t="shared" ca="1" si="5"/>
        <v>4</v>
      </c>
      <c r="P50" t="str">
        <f t="shared" ca="1" si="6"/>
        <v>Yes</v>
      </c>
      <c r="Q50" t="str" cm="1">
        <f t="array" aca="1" ref="Q50" ca="1">INDEX(sheet2!$C$2:$C$6, RANDBETWEEN(1, 5))</f>
        <v>Advanced Excel Skills </v>
      </c>
      <c r="R50" t="str">
        <f t="shared" ca="1" si="12"/>
        <v>Not Completed</v>
      </c>
      <c r="S50">
        <f ca="1">Table1[[#This Row],[Hire Date]]-Table1[[#This Row],[Job Posting Date]]</f>
        <v>87</v>
      </c>
    </row>
    <row r="51" spans="1:19" x14ac:dyDescent="0.2">
      <c r="A51" t="str">
        <f t="shared" si="0"/>
        <v>EMP050</v>
      </c>
      <c r="B51" t="str">
        <f t="shared" ca="1" si="8"/>
        <v>Female</v>
      </c>
      <c r="C51" t="str" cm="1">
        <f t="array" aca="1" ref="C51" ca="1">INDEX(sheet2!$A$2:$A$6, RANDBETWEEN(1, 5))</f>
        <v>HR</v>
      </c>
      <c r="D51" t="str">
        <f ca="1">_xlfn.XLOOKUP(Table1[[#This Row],[Department]],sheet2!$A$2:$A$6,sheet2!$B$2:$B$6,_xleta.NA,0)</f>
        <v>HR Manager</v>
      </c>
      <c r="E51" s="1">
        <f t="shared" ca="1" si="10"/>
        <v>44028</v>
      </c>
      <c r="F51" s="1">
        <f ca="1">Table1[[#This Row],[Job Posting Date]]+ RANDBETWEEN(15, 90)</f>
        <v>44069</v>
      </c>
      <c r="G51" s="1">
        <f ca="1">Table1[[#This Row],[Hire Date]]+ RANDBETWEEN(1, 15)</f>
        <v>44081</v>
      </c>
      <c r="H51" s="1">
        <f ca="1">IF(RAND() &lt; 0.5,  Table1[[#This Row],[Join Date]]+ RANDBETWEEN(30, TODAY()- Table1[[#This Row],[Join Date]]), "-")</f>
        <v>44704</v>
      </c>
      <c r="I51" t="str">
        <f ca="1">IF(Table1[[#This Row],[Exit Date]]= "-", "Active", "Exited")</f>
        <v>Exited</v>
      </c>
      <c r="J51" s="5">
        <f t="shared" ca="1" si="11"/>
        <v>2948</v>
      </c>
      <c r="K51">
        <f ca="1">Table1[[#This Row],[Offers Made]]*2</f>
        <v>6</v>
      </c>
      <c r="L51">
        <f t="shared" ca="1" si="2"/>
        <v>3</v>
      </c>
      <c r="M51">
        <f t="shared" ca="1" si="3"/>
        <v>2</v>
      </c>
      <c r="N51" t="str">
        <f t="shared" ca="1" si="4"/>
        <v>Job Portals</v>
      </c>
      <c r="O51">
        <f t="shared" ca="1" si="5"/>
        <v>3</v>
      </c>
      <c r="P51" t="str">
        <f t="shared" ca="1" si="6"/>
        <v>Yes</v>
      </c>
      <c r="Q51" t="str" cm="1">
        <f t="array" aca="1" ref="Q51" ca="1">INDEX(sheet2!$C$2:$C$6, RANDBETWEEN(1, 5))</f>
        <v>Advanced Excel Skills </v>
      </c>
      <c r="R51" t="str">
        <f t="shared" ca="1" si="12"/>
        <v>Not Completed</v>
      </c>
      <c r="S51">
        <f ca="1">Table1[[#This Row],[Hire Date]]-Table1[[#This Row],[Job Posting Date]]</f>
        <v>41</v>
      </c>
    </row>
    <row r="52" spans="1:19" x14ac:dyDescent="0.2">
      <c r="A52" t="str">
        <f t="shared" si="0"/>
        <v>EMP051</v>
      </c>
      <c r="B52" t="str">
        <f t="shared" ca="1" si="8"/>
        <v>Male</v>
      </c>
      <c r="C52" t="str" cm="1">
        <f t="array" aca="1" ref="C52" ca="1">INDEX(sheet2!$A$2:$A$6, RANDBETWEEN(1, 5))</f>
        <v>Sales</v>
      </c>
      <c r="D52" t="str">
        <f ca="1">_xlfn.XLOOKUP(Table1[[#This Row],[Department]],sheet2!$A$2:$A$6,sheet2!$B$2:$B$6,_xleta.NA,0)</f>
        <v>Marketing Manager</v>
      </c>
      <c r="E52" s="1">
        <f t="shared" ca="1" si="10"/>
        <v>44158</v>
      </c>
      <c r="F52" s="1">
        <f ca="1">Table1[[#This Row],[Job Posting Date]]+ RANDBETWEEN(15, 90)</f>
        <v>44180</v>
      </c>
      <c r="G52" s="1">
        <f ca="1">Table1[[#This Row],[Hire Date]]+ RANDBETWEEN(1, 15)</f>
        <v>44188</v>
      </c>
      <c r="H52" s="1" t="str">
        <f ca="1">IF(RAND() &lt; 0.5,  Table1[[#This Row],[Join Date]]+ RANDBETWEEN(30, TODAY()- Table1[[#This Row],[Join Date]]), "-")</f>
        <v>-</v>
      </c>
      <c r="I52" t="str">
        <f ca="1">IF(Table1[[#This Row],[Exit Date]]= "-", "Active", "Exited")</f>
        <v>Active</v>
      </c>
      <c r="J52" s="5">
        <f t="shared" ca="1" si="11"/>
        <v>4172</v>
      </c>
      <c r="K52">
        <f ca="1">Table1[[#This Row],[Offers Made]]*2</f>
        <v>6</v>
      </c>
      <c r="L52">
        <f t="shared" ca="1" si="2"/>
        <v>3</v>
      </c>
      <c r="M52">
        <f t="shared" ca="1" si="3"/>
        <v>1</v>
      </c>
      <c r="N52" t="str">
        <f t="shared" ca="1" si="4"/>
        <v>Direct Hiring</v>
      </c>
      <c r="O52">
        <f t="shared" ca="1" si="5"/>
        <v>4</v>
      </c>
      <c r="P52" t="str">
        <f t="shared" ca="1" si="6"/>
        <v>No</v>
      </c>
      <c r="Q52" t="str" cm="1">
        <f t="array" aca="1" ref="Q52" ca="1">INDEX(sheet2!$C$2:$C$6, RANDBETWEEN(1, 5))</f>
        <v>Communication Skills</v>
      </c>
      <c r="R52" t="str">
        <f t="shared" ca="1" si="12"/>
        <v>Completed</v>
      </c>
      <c r="S52">
        <f ca="1">Table1[[#This Row],[Hire Date]]-Table1[[#This Row],[Job Posting Date]]</f>
        <v>22</v>
      </c>
    </row>
    <row r="53" spans="1:19" x14ac:dyDescent="0.2">
      <c r="A53" t="str">
        <f t="shared" si="0"/>
        <v>EMP052</v>
      </c>
      <c r="B53" t="str">
        <f t="shared" ca="1" si="8"/>
        <v>Male</v>
      </c>
      <c r="C53" t="str" cm="1">
        <f t="array" aca="1" ref="C53" ca="1">INDEX(sheet2!$A$2:$A$6, RANDBETWEEN(1, 5))</f>
        <v>Analytics</v>
      </c>
      <c r="D53" t="str">
        <f ca="1">_xlfn.XLOOKUP(Table1[[#This Row],[Department]],sheet2!$A$2:$A$6,sheet2!$B$2:$B$6,_xleta.NA,0)</f>
        <v>Data Analyst</v>
      </c>
      <c r="E53" s="1">
        <f t="shared" ca="1" si="10"/>
        <v>44694</v>
      </c>
      <c r="F53" s="1">
        <f ca="1">Table1[[#This Row],[Job Posting Date]]+ RANDBETWEEN(15, 90)</f>
        <v>44746</v>
      </c>
      <c r="G53" s="1">
        <f ca="1">Table1[[#This Row],[Hire Date]]+ RANDBETWEEN(1, 15)</f>
        <v>44750</v>
      </c>
      <c r="H53" s="1">
        <f ca="1">IF(RAND() &lt; 0.5,  Table1[[#This Row],[Join Date]]+ RANDBETWEEN(30, TODAY()- Table1[[#This Row],[Join Date]]), "-")</f>
        <v>45117</v>
      </c>
      <c r="I53" t="str">
        <f ca="1">IF(Table1[[#This Row],[Exit Date]]= "-", "Active", "Exited")</f>
        <v>Exited</v>
      </c>
      <c r="J53" s="5">
        <f t="shared" ca="1" si="11"/>
        <v>2325</v>
      </c>
      <c r="K53">
        <f ca="1">Table1[[#This Row],[Offers Made]]*2</f>
        <v>8</v>
      </c>
      <c r="L53">
        <f t="shared" ca="1" si="2"/>
        <v>4</v>
      </c>
      <c r="M53">
        <f t="shared" ca="1" si="3"/>
        <v>2</v>
      </c>
      <c r="N53" t="str">
        <f t="shared" ca="1" si="4"/>
        <v>Campus Placements</v>
      </c>
      <c r="O53">
        <f t="shared" ca="1" si="5"/>
        <v>2</v>
      </c>
      <c r="P53" t="str">
        <f t="shared" ca="1" si="6"/>
        <v>No</v>
      </c>
      <c r="Q53" t="str" cm="1">
        <f t="array" aca="1" ref="Q53" ca="1">INDEX(sheet2!$C$2:$C$6, RANDBETWEEN(1, 5))</f>
        <v>Communication Skills</v>
      </c>
      <c r="R53" t="str">
        <f t="shared" ca="1" si="12"/>
        <v>Completed</v>
      </c>
      <c r="S53">
        <f ca="1">Table1[[#This Row],[Hire Date]]-Table1[[#This Row],[Job Posting Date]]</f>
        <v>52</v>
      </c>
    </row>
    <row r="54" spans="1:19" x14ac:dyDescent="0.2">
      <c r="A54" t="str">
        <f t="shared" si="0"/>
        <v>EMP053</v>
      </c>
      <c r="B54" t="str">
        <f t="shared" ca="1" si="8"/>
        <v>Male</v>
      </c>
      <c r="C54" t="str" cm="1">
        <f t="array" aca="1" ref="C54" ca="1">INDEX(sheet2!$A$2:$A$6, RANDBETWEEN(1, 5))</f>
        <v>Sales</v>
      </c>
      <c r="D54" t="str">
        <f ca="1">_xlfn.XLOOKUP(Table1[[#This Row],[Department]],sheet2!$A$2:$A$6,sheet2!$B$2:$B$6,_xleta.NA,0)</f>
        <v>Marketing Manager</v>
      </c>
      <c r="E54" s="1">
        <f t="shared" ca="1" si="10"/>
        <v>43502</v>
      </c>
      <c r="F54" s="1">
        <f ca="1">Table1[[#This Row],[Job Posting Date]]+ RANDBETWEEN(15, 90)</f>
        <v>43541</v>
      </c>
      <c r="G54" s="1">
        <f ca="1">Table1[[#This Row],[Hire Date]]+ RANDBETWEEN(1, 15)</f>
        <v>43551</v>
      </c>
      <c r="H54" s="1" t="str">
        <f ca="1">IF(RAND() &lt; 0.5,  Table1[[#This Row],[Join Date]]+ RANDBETWEEN(30, TODAY()- Table1[[#This Row],[Join Date]]), "-")</f>
        <v>-</v>
      </c>
      <c r="I54" t="str">
        <f ca="1">IF(Table1[[#This Row],[Exit Date]]= "-", "Active", "Exited")</f>
        <v>Active</v>
      </c>
      <c r="J54" s="5">
        <f t="shared" ca="1" si="11"/>
        <v>3031</v>
      </c>
      <c r="K54">
        <f ca="1">Table1[[#This Row],[Offers Made]]*2</f>
        <v>14</v>
      </c>
      <c r="L54">
        <f t="shared" ca="1" si="2"/>
        <v>7</v>
      </c>
      <c r="M54">
        <f t="shared" ca="1" si="3"/>
        <v>6</v>
      </c>
      <c r="N54" t="str">
        <f t="shared" ca="1" si="4"/>
        <v>Job Portals</v>
      </c>
      <c r="O54">
        <f t="shared" ca="1" si="5"/>
        <v>5</v>
      </c>
      <c r="P54" t="str">
        <f t="shared" ca="1" si="6"/>
        <v>No</v>
      </c>
      <c r="Q54" t="str" cm="1">
        <f t="array" aca="1" ref="Q54" ca="1">INDEX(sheet2!$C$2:$C$6, RANDBETWEEN(1, 5))</f>
        <v>Advanced Excel Skills </v>
      </c>
      <c r="R54" t="str">
        <f t="shared" ca="1" si="12"/>
        <v>Completed</v>
      </c>
      <c r="S54">
        <f ca="1">Table1[[#This Row],[Hire Date]]-Table1[[#This Row],[Job Posting Date]]</f>
        <v>39</v>
      </c>
    </row>
    <row r="55" spans="1:19" x14ac:dyDescent="0.2">
      <c r="A55" t="str">
        <f t="shared" si="0"/>
        <v>EMP054</v>
      </c>
      <c r="B55" t="str">
        <f t="shared" ca="1" si="8"/>
        <v>Female</v>
      </c>
      <c r="C55" t="str" cm="1">
        <f t="array" aca="1" ref="C55" ca="1">INDEX(sheet2!$A$2:$A$6, RANDBETWEEN(1, 5))</f>
        <v>IT</v>
      </c>
      <c r="D55" t="str">
        <f ca="1">_xlfn.XLOOKUP(Table1[[#This Row],[Department]],sheet2!$A$2:$A$6,sheet2!$B$2:$B$6,_xleta.NA,0)</f>
        <v>Software Engineer</v>
      </c>
      <c r="E55" s="1">
        <f t="shared" ca="1" si="10"/>
        <v>44852</v>
      </c>
      <c r="F55" s="1">
        <f ca="1">Table1[[#This Row],[Job Posting Date]]+ RANDBETWEEN(15, 90)</f>
        <v>44876</v>
      </c>
      <c r="G55" s="1">
        <f ca="1">Table1[[#This Row],[Hire Date]]+ RANDBETWEEN(1, 15)</f>
        <v>44886</v>
      </c>
      <c r="H55" s="1" t="str">
        <f ca="1">IF(RAND() &lt; 0.5,  Table1[[#This Row],[Join Date]]+ RANDBETWEEN(30, TODAY()- Table1[[#This Row],[Join Date]]), "-")</f>
        <v>-</v>
      </c>
      <c r="I55" t="str">
        <f ca="1">IF(Table1[[#This Row],[Exit Date]]= "-", "Active", "Exited")</f>
        <v>Active</v>
      </c>
      <c r="J55" s="5">
        <f t="shared" ca="1" si="11"/>
        <v>2523</v>
      </c>
      <c r="K55">
        <f ca="1">Table1[[#This Row],[Offers Made]]*2</f>
        <v>12</v>
      </c>
      <c r="L55">
        <f t="shared" ca="1" si="2"/>
        <v>6</v>
      </c>
      <c r="M55">
        <f t="shared" ca="1" si="3"/>
        <v>2</v>
      </c>
      <c r="N55" t="str">
        <f t="shared" ca="1" si="4"/>
        <v>Campus Placements</v>
      </c>
      <c r="O55">
        <f t="shared" ca="1" si="5"/>
        <v>2</v>
      </c>
      <c r="P55" t="str">
        <f t="shared" ca="1" si="6"/>
        <v>Yes</v>
      </c>
      <c r="Q55" t="str" cm="1">
        <f t="array" aca="1" ref="Q55" ca="1">INDEX(sheet2!$C$2:$C$6, RANDBETWEEN(1, 5))</f>
        <v>Advanced Excel Skills </v>
      </c>
      <c r="R55" t="str">
        <f t="shared" ca="1" si="12"/>
        <v>Completed</v>
      </c>
      <c r="S55">
        <f ca="1">Table1[[#This Row],[Hire Date]]-Table1[[#This Row],[Job Posting Date]]</f>
        <v>24</v>
      </c>
    </row>
    <row r="56" spans="1:19" x14ac:dyDescent="0.2">
      <c r="A56" t="str">
        <f t="shared" si="0"/>
        <v>EMP055</v>
      </c>
      <c r="B56" t="str">
        <f t="shared" ca="1" si="8"/>
        <v>Female</v>
      </c>
      <c r="C56" t="str" cm="1">
        <f t="array" aca="1" ref="C56" ca="1">INDEX(sheet2!$A$2:$A$6, RANDBETWEEN(1, 5))</f>
        <v>Finance</v>
      </c>
      <c r="D56" t="str">
        <f ca="1">_xlfn.XLOOKUP(Table1[[#This Row],[Department]],sheet2!$A$2:$A$6,sheet2!$B$2:$B$6,_xleta.NA,0)</f>
        <v>Finance Manager</v>
      </c>
      <c r="E56" s="1">
        <f t="shared" ca="1" si="10"/>
        <v>44279</v>
      </c>
      <c r="F56" s="1">
        <f ca="1">Table1[[#This Row],[Job Posting Date]]+ RANDBETWEEN(15, 90)</f>
        <v>44346</v>
      </c>
      <c r="G56" s="1">
        <f ca="1">Table1[[#This Row],[Hire Date]]+ RANDBETWEEN(1, 15)</f>
        <v>44357</v>
      </c>
      <c r="H56" s="1">
        <f ca="1">IF(RAND() &lt; 0.5,  Table1[[#This Row],[Join Date]]+ RANDBETWEEN(30, TODAY()- Table1[[#This Row],[Join Date]]), "-")</f>
        <v>44764</v>
      </c>
      <c r="I56" t="str">
        <f ca="1">IF(Table1[[#This Row],[Exit Date]]= "-", "Active", "Exited")</f>
        <v>Exited</v>
      </c>
      <c r="J56" s="5">
        <f t="shared" ca="1" si="11"/>
        <v>3801</v>
      </c>
      <c r="K56">
        <f ca="1">Table1[[#This Row],[Offers Made]]*2</f>
        <v>12</v>
      </c>
      <c r="L56">
        <f t="shared" ca="1" si="2"/>
        <v>6</v>
      </c>
      <c r="M56">
        <f t="shared" ca="1" si="3"/>
        <v>4</v>
      </c>
      <c r="N56" t="str">
        <f t="shared" ca="1" si="4"/>
        <v>Campus Placements</v>
      </c>
      <c r="O56">
        <f t="shared" ca="1" si="5"/>
        <v>3</v>
      </c>
      <c r="P56" t="str">
        <f t="shared" ca="1" si="6"/>
        <v>No</v>
      </c>
      <c r="Q56" t="str" cm="1">
        <f t="array" aca="1" ref="Q56" ca="1">INDEX(sheet2!$C$2:$C$6, RANDBETWEEN(1, 5))</f>
        <v>Leadership Development</v>
      </c>
      <c r="R56" t="str">
        <f t="shared" ca="1" si="12"/>
        <v>Completed</v>
      </c>
      <c r="S56">
        <f ca="1">Table1[[#This Row],[Hire Date]]-Table1[[#This Row],[Job Posting Date]]</f>
        <v>67</v>
      </c>
    </row>
    <row r="57" spans="1:19" x14ac:dyDescent="0.2">
      <c r="A57" t="str">
        <f t="shared" si="0"/>
        <v>EMP056</v>
      </c>
      <c r="B57" t="str">
        <f t="shared" ca="1" si="8"/>
        <v>Male</v>
      </c>
      <c r="C57" t="str" cm="1">
        <f t="array" aca="1" ref="C57" ca="1">INDEX(sheet2!$A$2:$A$6, RANDBETWEEN(1, 5))</f>
        <v>Finance</v>
      </c>
      <c r="D57" t="str">
        <f ca="1">_xlfn.XLOOKUP(Table1[[#This Row],[Department]],sheet2!$A$2:$A$6,sheet2!$B$2:$B$6,_xleta.NA,0)</f>
        <v>Finance Manager</v>
      </c>
      <c r="E57" s="1">
        <f t="shared" ca="1" si="10"/>
        <v>43303</v>
      </c>
      <c r="F57" s="1">
        <f ca="1">Table1[[#This Row],[Job Posting Date]]+ RANDBETWEEN(15, 90)</f>
        <v>43333</v>
      </c>
      <c r="G57" s="1">
        <f ca="1">Table1[[#This Row],[Hire Date]]+ RANDBETWEEN(1, 15)</f>
        <v>43338</v>
      </c>
      <c r="H57" s="1" t="str">
        <f ca="1">IF(RAND() &lt; 0.5,  Table1[[#This Row],[Join Date]]+ RANDBETWEEN(30, TODAY()- Table1[[#This Row],[Join Date]]), "-")</f>
        <v>-</v>
      </c>
      <c r="I57" t="str">
        <f ca="1">IF(Table1[[#This Row],[Exit Date]]= "-", "Active", "Exited")</f>
        <v>Active</v>
      </c>
      <c r="J57" s="5">
        <f t="shared" ca="1" si="11"/>
        <v>1527</v>
      </c>
      <c r="K57">
        <f ca="1">Table1[[#This Row],[Offers Made]]*2</f>
        <v>12</v>
      </c>
      <c r="L57">
        <f t="shared" ca="1" si="2"/>
        <v>6</v>
      </c>
      <c r="M57">
        <f t="shared" ca="1" si="3"/>
        <v>5</v>
      </c>
      <c r="N57" t="str">
        <f t="shared" ca="1" si="4"/>
        <v>Employee Referrals</v>
      </c>
      <c r="O57">
        <f t="shared" ca="1" si="5"/>
        <v>3</v>
      </c>
      <c r="P57" t="str">
        <f t="shared" ca="1" si="6"/>
        <v>Yes</v>
      </c>
      <c r="Q57" t="str" cm="1">
        <f t="array" aca="1" ref="Q57" ca="1">INDEX(sheet2!$C$2:$C$6, RANDBETWEEN(1, 5))</f>
        <v>Conflict Resolution</v>
      </c>
      <c r="R57" t="str">
        <f t="shared" ca="1" si="12"/>
        <v>Completed</v>
      </c>
      <c r="S57">
        <f ca="1">Table1[[#This Row],[Hire Date]]-Table1[[#This Row],[Job Posting Date]]</f>
        <v>30</v>
      </c>
    </row>
    <row r="58" spans="1:19" x14ac:dyDescent="0.2">
      <c r="A58" t="str">
        <f t="shared" si="0"/>
        <v>EMP057</v>
      </c>
      <c r="B58" t="str">
        <f t="shared" ca="1" si="8"/>
        <v>Female</v>
      </c>
      <c r="C58" t="str" cm="1">
        <f t="array" aca="1" ref="C58" ca="1">INDEX(sheet2!$A$2:$A$6, RANDBETWEEN(1, 5))</f>
        <v>IT</v>
      </c>
      <c r="D58" t="str">
        <f ca="1">_xlfn.XLOOKUP(Table1[[#This Row],[Department]],sheet2!$A$2:$A$6,sheet2!$B$2:$B$6,_xleta.NA,0)</f>
        <v>Software Engineer</v>
      </c>
      <c r="E58" s="1">
        <f t="shared" ca="1" si="10"/>
        <v>43314</v>
      </c>
      <c r="F58" s="1">
        <f ca="1">Table1[[#This Row],[Job Posting Date]]+ RANDBETWEEN(15, 90)</f>
        <v>43373</v>
      </c>
      <c r="G58" s="1">
        <f ca="1">Table1[[#This Row],[Hire Date]]+ RANDBETWEEN(1, 15)</f>
        <v>43374</v>
      </c>
      <c r="H58" s="1" t="str">
        <f ca="1">IF(RAND() &lt; 0.5,  Table1[[#This Row],[Join Date]]+ RANDBETWEEN(30, TODAY()- Table1[[#This Row],[Join Date]]), "-")</f>
        <v>-</v>
      </c>
      <c r="I58" t="str">
        <f ca="1">IF(Table1[[#This Row],[Exit Date]]= "-", "Active", "Exited")</f>
        <v>Active</v>
      </c>
      <c r="J58" s="5">
        <f t="shared" ca="1" si="11"/>
        <v>2123</v>
      </c>
      <c r="K58">
        <f ca="1">Table1[[#This Row],[Offers Made]]*2</f>
        <v>6</v>
      </c>
      <c r="L58">
        <f t="shared" ca="1" si="2"/>
        <v>3</v>
      </c>
      <c r="M58">
        <f t="shared" ca="1" si="3"/>
        <v>2</v>
      </c>
      <c r="N58" t="str">
        <f t="shared" ca="1" si="4"/>
        <v>Direct Hiring</v>
      </c>
      <c r="O58">
        <f t="shared" ca="1" si="5"/>
        <v>3</v>
      </c>
      <c r="P58" t="str">
        <f t="shared" ca="1" si="6"/>
        <v>Yes</v>
      </c>
      <c r="Q58" t="str" cm="1">
        <f t="array" aca="1" ref="Q58" ca="1">INDEX(sheet2!$C$2:$C$6, RANDBETWEEN(1, 5))</f>
        <v>Ethics and Responsibilities</v>
      </c>
      <c r="R58" t="str">
        <f t="shared" ca="1" si="12"/>
        <v>Not Completed</v>
      </c>
      <c r="S58">
        <f ca="1">Table1[[#This Row],[Hire Date]]-Table1[[#This Row],[Job Posting Date]]</f>
        <v>59</v>
      </c>
    </row>
    <row r="59" spans="1:19" x14ac:dyDescent="0.2">
      <c r="A59" t="str">
        <f t="shared" si="0"/>
        <v>EMP058</v>
      </c>
      <c r="B59" t="str">
        <f t="shared" ca="1" si="8"/>
        <v>Female</v>
      </c>
      <c r="C59" t="str" cm="1">
        <f t="array" aca="1" ref="C59" ca="1">INDEX(sheet2!$A$2:$A$6, RANDBETWEEN(1, 5))</f>
        <v>HR</v>
      </c>
      <c r="D59" t="str">
        <f ca="1">_xlfn.XLOOKUP(Table1[[#This Row],[Department]],sheet2!$A$2:$A$6,sheet2!$B$2:$B$6,_xleta.NA,0)</f>
        <v>HR Manager</v>
      </c>
      <c r="E59" s="1">
        <f t="shared" ca="1" si="10"/>
        <v>43761</v>
      </c>
      <c r="F59" s="1">
        <f ca="1">Table1[[#This Row],[Job Posting Date]]+ RANDBETWEEN(15, 90)</f>
        <v>43818</v>
      </c>
      <c r="G59" s="1">
        <f ca="1">Table1[[#This Row],[Hire Date]]+ RANDBETWEEN(1, 15)</f>
        <v>43828</v>
      </c>
      <c r="H59" s="1">
        <f ca="1">IF(RAND() &lt; 0.5,  Table1[[#This Row],[Join Date]]+ RANDBETWEEN(30, TODAY()- Table1[[#This Row],[Join Date]]), "-")</f>
        <v>45001</v>
      </c>
      <c r="I59" t="str">
        <f ca="1">IF(Table1[[#This Row],[Exit Date]]= "-", "Active", "Exited")</f>
        <v>Exited</v>
      </c>
      <c r="J59" s="5">
        <f t="shared" ca="1" si="11"/>
        <v>2029</v>
      </c>
      <c r="K59">
        <f ca="1">Table1[[#This Row],[Offers Made]]*2</f>
        <v>6</v>
      </c>
      <c r="L59">
        <f t="shared" ca="1" si="2"/>
        <v>3</v>
      </c>
      <c r="M59">
        <f t="shared" ca="1" si="3"/>
        <v>1</v>
      </c>
      <c r="N59" t="str">
        <f t="shared" ca="1" si="4"/>
        <v>Campus Placements</v>
      </c>
      <c r="O59">
        <f t="shared" ca="1" si="5"/>
        <v>3</v>
      </c>
      <c r="P59" t="str">
        <f t="shared" ca="1" si="6"/>
        <v>No</v>
      </c>
      <c r="Q59" t="str" cm="1">
        <f t="array" aca="1" ref="Q59" ca="1">INDEX(sheet2!$C$2:$C$6, RANDBETWEEN(1, 5))</f>
        <v>Communication Skills</v>
      </c>
      <c r="R59" t="str">
        <f t="shared" ca="1" si="12"/>
        <v>Completed</v>
      </c>
      <c r="S59">
        <f ca="1">Table1[[#This Row],[Hire Date]]-Table1[[#This Row],[Job Posting Date]]</f>
        <v>57</v>
      </c>
    </row>
    <row r="60" spans="1:19" x14ac:dyDescent="0.2">
      <c r="A60" t="str">
        <f t="shared" si="0"/>
        <v>EMP059</v>
      </c>
      <c r="B60" t="str">
        <f t="shared" ca="1" si="8"/>
        <v>Female</v>
      </c>
      <c r="C60" t="str" cm="1">
        <f t="array" aca="1" ref="C60" ca="1">INDEX(sheet2!$A$2:$A$6, RANDBETWEEN(1, 5))</f>
        <v>IT</v>
      </c>
      <c r="D60" t="str">
        <f ca="1">_xlfn.XLOOKUP(Table1[[#This Row],[Department]],sheet2!$A$2:$A$6,sheet2!$B$2:$B$6,_xleta.NA,0)</f>
        <v>Software Engineer</v>
      </c>
      <c r="E60" s="1">
        <f t="shared" ca="1" si="10"/>
        <v>43962</v>
      </c>
      <c r="F60" s="1">
        <f ca="1">Table1[[#This Row],[Job Posting Date]]+ RANDBETWEEN(15, 90)</f>
        <v>43994</v>
      </c>
      <c r="G60" s="1">
        <f ca="1">Table1[[#This Row],[Hire Date]]+ RANDBETWEEN(1, 15)</f>
        <v>44006</v>
      </c>
      <c r="H60" s="1">
        <f ca="1">IF(RAND() &lt; 0.5,  Table1[[#This Row],[Join Date]]+ RANDBETWEEN(30, TODAY()- Table1[[#This Row],[Join Date]]), "-")</f>
        <v>45333</v>
      </c>
      <c r="I60" t="str">
        <f ca="1">IF(Table1[[#This Row],[Exit Date]]= "-", "Active", "Exited")</f>
        <v>Exited</v>
      </c>
      <c r="J60" s="5">
        <f t="shared" ca="1" si="11"/>
        <v>2547</v>
      </c>
      <c r="K60">
        <f ca="1">Table1[[#This Row],[Offers Made]]*2</f>
        <v>16</v>
      </c>
      <c r="L60">
        <f t="shared" ca="1" si="2"/>
        <v>8</v>
      </c>
      <c r="M60">
        <f t="shared" ca="1" si="3"/>
        <v>1</v>
      </c>
      <c r="N60" t="str">
        <f t="shared" ca="1" si="4"/>
        <v>Direct Hiring</v>
      </c>
      <c r="O60">
        <f t="shared" ca="1" si="5"/>
        <v>1</v>
      </c>
      <c r="P60" t="str">
        <f t="shared" ca="1" si="6"/>
        <v>No</v>
      </c>
      <c r="Q60" t="str" cm="1">
        <f t="array" aca="1" ref="Q60" ca="1">INDEX(sheet2!$C$2:$C$6, RANDBETWEEN(1, 5))</f>
        <v>Communication Skills</v>
      </c>
      <c r="R60" t="str">
        <f t="shared" ca="1" si="12"/>
        <v>Completed</v>
      </c>
      <c r="S60">
        <f ca="1">Table1[[#This Row],[Hire Date]]-Table1[[#This Row],[Job Posting Date]]</f>
        <v>32</v>
      </c>
    </row>
    <row r="61" spans="1:19" x14ac:dyDescent="0.2">
      <c r="A61" t="str">
        <f t="shared" si="0"/>
        <v>EMP060</v>
      </c>
      <c r="B61" t="str">
        <f t="shared" ca="1" si="8"/>
        <v>Male</v>
      </c>
      <c r="C61" t="str" cm="1">
        <f t="array" aca="1" ref="C61" ca="1">INDEX(sheet2!$A$2:$A$6, RANDBETWEEN(1, 5))</f>
        <v>IT</v>
      </c>
      <c r="D61" t="str">
        <f ca="1">_xlfn.XLOOKUP(Table1[[#This Row],[Department]],sheet2!$A$2:$A$6,sheet2!$B$2:$B$6,_xleta.NA,0)</f>
        <v>Software Engineer</v>
      </c>
      <c r="E61" s="1">
        <f t="shared" ca="1" si="10"/>
        <v>44215</v>
      </c>
      <c r="F61" s="1">
        <f ca="1">Table1[[#This Row],[Job Posting Date]]+ RANDBETWEEN(15, 90)</f>
        <v>44305</v>
      </c>
      <c r="G61" s="1">
        <f ca="1">Table1[[#This Row],[Hire Date]]+ RANDBETWEEN(1, 15)</f>
        <v>44306</v>
      </c>
      <c r="H61" s="1" t="str">
        <f ca="1">IF(RAND() &lt; 0.5,  Table1[[#This Row],[Join Date]]+ RANDBETWEEN(30, TODAY()- Table1[[#This Row],[Join Date]]), "-")</f>
        <v>-</v>
      </c>
      <c r="I61" t="str">
        <f ca="1">IF(Table1[[#This Row],[Exit Date]]= "-", "Active", "Exited")</f>
        <v>Active</v>
      </c>
      <c r="J61" s="5">
        <f t="shared" ca="1" si="11"/>
        <v>3661</v>
      </c>
      <c r="K61">
        <f ca="1">Table1[[#This Row],[Offers Made]]*2</f>
        <v>16</v>
      </c>
      <c r="L61">
        <f t="shared" ca="1" si="2"/>
        <v>8</v>
      </c>
      <c r="M61">
        <f t="shared" ca="1" si="3"/>
        <v>2</v>
      </c>
      <c r="N61" t="str">
        <f t="shared" ca="1" si="4"/>
        <v>Campus Placements</v>
      </c>
      <c r="O61">
        <f t="shared" ca="1" si="5"/>
        <v>5</v>
      </c>
      <c r="P61" t="str">
        <f t="shared" ca="1" si="6"/>
        <v>Yes</v>
      </c>
      <c r="Q61" t="str" cm="1">
        <f t="array" aca="1" ref="Q61" ca="1">INDEX(sheet2!$C$2:$C$6, RANDBETWEEN(1, 5))</f>
        <v>Leadership Development</v>
      </c>
      <c r="R61" t="str">
        <f t="shared" ca="1" si="12"/>
        <v>Completed</v>
      </c>
      <c r="S61">
        <f ca="1">Table1[[#This Row],[Hire Date]]-Table1[[#This Row],[Job Posting Date]]</f>
        <v>90</v>
      </c>
    </row>
    <row r="62" spans="1:19" x14ac:dyDescent="0.2">
      <c r="A62" t="str">
        <f t="shared" si="0"/>
        <v>EMP061</v>
      </c>
      <c r="B62" t="str">
        <f t="shared" ca="1" si="8"/>
        <v>Male</v>
      </c>
      <c r="C62" t="str" cm="1">
        <f t="array" aca="1" ref="C62" ca="1">INDEX(sheet2!$A$2:$A$6, RANDBETWEEN(1, 5))</f>
        <v>Analytics</v>
      </c>
      <c r="D62" t="str">
        <f ca="1">_xlfn.XLOOKUP(Table1[[#This Row],[Department]],sheet2!$A$2:$A$6,sheet2!$B$2:$B$6,_xleta.NA,0)</f>
        <v>Data Analyst</v>
      </c>
      <c r="E62" s="1">
        <f t="shared" ca="1" si="10"/>
        <v>44881</v>
      </c>
      <c r="F62" s="1">
        <f ca="1">Table1[[#This Row],[Job Posting Date]]+ RANDBETWEEN(15, 90)</f>
        <v>44937</v>
      </c>
      <c r="G62" s="1">
        <f ca="1">Table1[[#This Row],[Hire Date]]+ RANDBETWEEN(1, 15)</f>
        <v>44939</v>
      </c>
      <c r="H62" s="1" t="str">
        <f ca="1">IF(RAND() &lt; 0.5,  Table1[[#This Row],[Join Date]]+ RANDBETWEEN(30, TODAY()- Table1[[#This Row],[Join Date]]), "-")</f>
        <v>-</v>
      </c>
      <c r="I62" t="str">
        <f ca="1">IF(Table1[[#This Row],[Exit Date]]= "-", "Active", "Exited")</f>
        <v>Active</v>
      </c>
      <c r="J62" s="5">
        <f t="shared" ca="1" si="11"/>
        <v>4179</v>
      </c>
      <c r="K62">
        <f ca="1">Table1[[#This Row],[Offers Made]]*2</f>
        <v>10</v>
      </c>
      <c r="L62">
        <f t="shared" ca="1" si="2"/>
        <v>5</v>
      </c>
      <c r="M62">
        <f t="shared" ca="1" si="3"/>
        <v>4</v>
      </c>
      <c r="N62" t="str">
        <f t="shared" ca="1" si="4"/>
        <v>Direct Hiring</v>
      </c>
      <c r="O62">
        <f t="shared" ca="1" si="5"/>
        <v>5</v>
      </c>
      <c r="P62" t="str">
        <f t="shared" ca="1" si="6"/>
        <v>No</v>
      </c>
      <c r="Q62" t="str" cm="1">
        <f t="array" aca="1" ref="Q62" ca="1">INDEX(sheet2!$C$2:$C$6, RANDBETWEEN(1, 5))</f>
        <v>Conflict Resolution</v>
      </c>
      <c r="R62" t="str">
        <f t="shared" ca="1" si="12"/>
        <v>Not Completed</v>
      </c>
      <c r="S62">
        <f ca="1">Table1[[#This Row],[Hire Date]]-Table1[[#This Row],[Job Posting Date]]</f>
        <v>56</v>
      </c>
    </row>
    <row r="63" spans="1:19" x14ac:dyDescent="0.2">
      <c r="A63" t="str">
        <f t="shared" si="0"/>
        <v>EMP062</v>
      </c>
      <c r="B63" t="str">
        <f t="shared" ca="1" si="8"/>
        <v>Female</v>
      </c>
      <c r="C63" t="str" cm="1">
        <f t="array" aca="1" ref="C63" ca="1">INDEX(sheet2!$A$2:$A$6, RANDBETWEEN(1, 5))</f>
        <v>HR</v>
      </c>
      <c r="D63" t="str">
        <f ca="1">_xlfn.XLOOKUP(Table1[[#This Row],[Department]],sheet2!$A$2:$A$6,sheet2!$B$2:$B$6,_xleta.NA,0)</f>
        <v>HR Manager</v>
      </c>
      <c r="E63" s="1">
        <f t="shared" ca="1" si="10"/>
        <v>44866</v>
      </c>
      <c r="F63" s="1">
        <f ca="1">Table1[[#This Row],[Job Posting Date]]+ RANDBETWEEN(15, 90)</f>
        <v>44917</v>
      </c>
      <c r="G63" s="1">
        <f ca="1">Table1[[#This Row],[Hire Date]]+ RANDBETWEEN(1, 15)</f>
        <v>44919</v>
      </c>
      <c r="H63" s="1" t="str">
        <f ca="1">IF(RAND() &lt; 0.5,  Table1[[#This Row],[Join Date]]+ RANDBETWEEN(30, TODAY()- Table1[[#This Row],[Join Date]]), "-")</f>
        <v>-</v>
      </c>
      <c r="I63" t="str">
        <f ca="1">IF(Table1[[#This Row],[Exit Date]]= "-", "Active", "Exited")</f>
        <v>Active</v>
      </c>
      <c r="J63" s="5">
        <f t="shared" ca="1" si="11"/>
        <v>3931</v>
      </c>
      <c r="K63">
        <f ca="1">Table1[[#This Row],[Offers Made]]*2</f>
        <v>12</v>
      </c>
      <c r="L63">
        <f t="shared" ca="1" si="2"/>
        <v>6</v>
      </c>
      <c r="M63">
        <f t="shared" ca="1" si="3"/>
        <v>3</v>
      </c>
      <c r="N63" t="str">
        <f t="shared" ca="1" si="4"/>
        <v>Direct Hiring</v>
      </c>
      <c r="O63">
        <f t="shared" ca="1" si="5"/>
        <v>3</v>
      </c>
      <c r="P63" t="str">
        <f t="shared" ca="1" si="6"/>
        <v>No</v>
      </c>
      <c r="Q63" t="str" cm="1">
        <f t="array" aca="1" ref="Q63" ca="1">INDEX(sheet2!$C$2:$C$6, RANDBETWEEN(1, 5))</f>
        <v>Ethics and Responsibilities</v>
      </c>
      <c r="R63" t="str">
        <f t="shared" ca="1" si="12"/>
        <v>Completed</v>
      </c>
      <c r="S63">
        <f ca="1">Table1[[#This Row],[Hire Date]]-Table1[[#This Row],[Job Posting Date]]</f>
        <v>51</v>
      </c>
    </row>
    <row r="64" spans="1:19" x14ac:dyDescent="0.2">
      <c r="A64" t="str">
        <f t="shared" si="0"/>
        <v>EMP063</v>
      </c>
      <c r="B64" t="str">
        <f t="shared" ca="1" si="8"/>
        <v>Male</v>
      </c>
      <c r="C64" t="str" cm="1">
        <f t="array" aca="1" ref="C64" ca="1">INDEX(sheet2!$A$2:$A$6, RANDBETWEEN(1, 5))</f>
        <v>HR</v>
      </c>
      <c r="D64" t="str">
        <f ca="1">_xlfn.XLOOKUP(Table1[[#This Row],[Department]],sheet2!$A$2:$A$6,sheet2!$B$2:$B$6,_xleta.NA,0)</f>
        <v>HR Manager</v>
      </c>
      <c r="E64" s="1">
        <f t="shared" ca="1" si="10"/>
        <v>43229</v>
      </c>
      <c r="F64" s="1">
        <f ca="1">Table1[[#This Row],[Job Posting Date]]+ RANDBETWEEN(15, 90)</f>
        <v>43263</v>
      </c>
      <c r="G64" s="1">
        <f ca="1">Table1[[#This Row],[Hire Date]]+ RANDBETWEEN(1, 15)</f>
        <v>43268</v>
      </c>
      <c r="H64" s="1" t="str">
        <f ca="1">IF(RAND() &lt; 0.5,  Table1[[#This Row],[Join Date]]+ RANDBETWEEN(30, TODAY()- Table1[[#This Row],[Join Date]]), "-")</f>
        <v>-</v>
      </c>
      <c r="I64" t="str">
        <f ca="1">IF(Table1[[#This Row],[Exit Date]]= "-", "Active", "Exited")</f>
        <v>Active</v>
      </c>
      <c r="J64" s="5">
        <f t="shared" ca="1" si="11"/>
        <v>4915</v>
      </c>
      <c r="K64">
        <f ca="1">Table1[[#This Row],[Offers Made]]*2</f>
        <v>8</v>
      </c>
      <c r="L64">
        <f t="shared" ca="1" si="2"/>
        <v>4</v>
      </c>
      <c r="M64">
        <f t="shared" ca="1" si="3"/>
        <v>2</v>
      </c>
      <c r="N64" t="str">
        <f t="shared" ca="1" si="4"/>
        <v>Job Portals</v>
      </c>
      <c r="O64">
        <f t="shared" ca="1" si="5"/>
        <v>2</v>
      </c>
      <c r="P64" t="str">
        <f t="shared" ca="1" si="6"/>
        <v>Yes</v>
      </c>
      <c r="Q64" t="str" cm="1">
        <f t="array" aca="1" ref="Q64" ca="1">INDEX(sheet2!$C$2:$C$6, RANDBETWEEN(1, 5))</f>
        <v>Ethics and Responsibilities</v>
      </c>
      <c r="R64" t="str">
        <f t="shared" ca="1" si="12"/>
        <v>Completed</v>
      </c>
      <c r="S64">
        <f ca="1">Table1[[#This Row],[Hire Date]]-Table1[[#This Row],[Job Posting Date]]</f>
        <v>34</v>
      </c>
    </row>
    <row r="65" spans="1:19" x14ac:dyDescent="0.2">
      <c r="A65" t="str">
        <f t="shared" si="0"/>
        <v>EMP064</v>
      </c>
      <c r="B65" t="str">
        <f t="shared" ca="1" si="8"/>
        <v>Male</v>
      </c>
      <c r="C65" t="str" cm="1">
        <f t="array" aca="1" ref="C65" ca="1">INDEX(sheet2!$A$2:$A$6, RANDBETWEEN(1, 5))</f>
        <v>Finance</v>
      </c>
      <c r="D65" t="str">
        <f ca="1">_xlfn.XLOOKUP(Table1[[#This Row],[Department]],sheet2!$A$2:$A$6,sheet2!$B$2:$B$6,_xleta.NA,0)</f>
        <v>Finance Manager</v>
      </c>
      <c r="E65" s="1">
        <f t="shared" ca="1" si="10"/>
        <v>44467</v>
      </c>
      <c r="F65" s="1">
        <f ca="1">Table1[[#This Row],[Job Posting Date]]+ RANDBETWEEN(15, 90)</f>
        <v>44500</v>
      </c>
      <c r="G65" s="1">
        <f ca="1">Table1[[#This Row],[Hire Date]]+ RANDBETWEEN(1, 15)</f>
        <v>44510</v>
      </c>
      <c r="H65" s="1">
        <f ca="1">IF(RAND() &lt; 0.5,  Table1[[#This Row],[Join Date]]+ RANDBETWEEN(30, TODAY()- Table1[[#This Row],[Join Date]]), "-")</f>
        <v>45462</v>
      </c>
      <c r="I65" t="str">
        <f ca="1">IF(Table1[[#This Row],[Exit Date]]= "-", "Active", "Exited")</f>
        <v>Exited</v>
      </c>
      <c r="J65" s="5">
        <f t="shared" ca="1" si="11"/>
        <v>2579</v>
      </c>
      <c r="K65">
        <f ca="1">Table1[[#This Row],[Offers Made]]*2</f>
        <v>6</v>
      </c>
      <c r="L65">
        <f t="shared" ca="1" si="2"/>
        <v>3</v>
      </c>
      <c r="M65">
        <f t="shared" ca="1" si="3"/>
        <v>2</v>
      </c>
      <c r="N65" t="str">
        <f t="shared" ca="1" si="4"/>
        <v>Job Portals</v>
      </c>
      <c r="O65">
        <f t="shared" ca="1" si="5"/>
        <v>1</v>
      </c>
      <c r="P65" t="str">
        <f t="shared" ca="1" si="6"/>
        <v>Yes</v>
      </c>
      <c r="Q65" t="str" cm="1">
        <f t="array" aca="1" ref="Q65" ca="1">INDEX(sheet2!$C$2:$C$6, RANDBETWEEN(1, 5))</f>
        <v>Conflict Resolution</v>
      </c>
      <c r="R65" t="str">
        <f t="shared" ca="1" si="12"/>
        <v>Completed</v>
      </c>
      <c r="S65">
        <f ca="1">Table1[[#This Row],[Hire Date]]-Table1[[#This Row],[Job Posting Date]]</f>
        <v>33</v>
      </c>
    </row>
    <row r="66" spans="1:19" x14ac:dyDescent="0.2">
      <c r="A66" t="str">
        <f t="shared" ref="A66:A129" si="13">"EMP" &amp; TEXT(ROW(A65), "000")</f>
        <v>EMP065</v>
      </c>
      <c r="B66" t="str">
        <f t="shared" ref="B66:B129" ca="1" si="14">CHOOSE(RANDBETWEEN(1, 2), "Male", "Female")</f>
        <v>Male</v>
      </c>
      <c r="C66" t="str" cm="1">
        <f t="array" aca="1" ref="C66" ca="1">INDEX(sheet2!$A$2:$A$6, RANDBETWEEN(1, 5))</f>
        <v>HR</v>
      </c>
      <c r="D66" t="str">
        <f ca="1">_xlfn.XLOOKUP(Table1[[#This Row],[Department]],sheet2!$A$2:$A$6,sheet2!$B$2:$B$6,_xleta.NA,0)</f>
        <v>HR Manager</v>
      </c>
      <c r="E66" s="1">
        <f t="shared" ref="E66:E101" ca="1" si="15">DATE(RANDBETWEEN(2018, 2022), RANDBETWEEN(1, 12), RANDBETWEEN(1, 28))</f>
        <v>44447</v>
      </c>
      <c r="F66" s="1">
        <f ca="1">Table1[[#This Row],[Job Posting Date]]+ RANDBETWEEN(15, 90)</f>
        <v>44532</v>
      </c>
      <c r="G66" s="1">
        <f ca="1">Table1[[#This Row],[Hire Date]]+ RANDBETWEEN(1, 15)</f>
        <v>44542</v>
      </c>
      <c r="H66" s="1">
        <f ca="1">IF(RAND() &lt; 0.5,  Table1[[#This Row],[Join Date]]+ RANDBETWEEN(30, TODAY()- Table1[[#This Row],[Join Date]]), "-")</f>
        <v>45571</v>
      </c>
      <c r="I66" t="str">
        <f ca="1">IF(Table1[[#This Row],[Exit Date]]= "-", "Active", "Exited")</f>
        <v>Exited</v>
      </c>
      <c r="J66" s="5">
        <f t="shared" ref="J66:J101" ca="1" si="16">RANDBETWEEN(1500, 5000)</f>
        <v>2016</v>
      </c>
      <c r="K66">
        <f ca="1">Table1[[#This Row],[Offers Made]]*2</f>
        <v>10</v>
      </c>
      <c r="L66">
        <f t="shared" ref="L66:L129" ca="1" si="17">RANDBETWEEN(3, 8)</f>
        <v>5</v>
      </c>
      <c r="M66">
        <f t="shared" ref="M66:M129" ca="1" si="18">RANDBETWEEN(1, L66-1)</f>
        <v>3</v>
      </c>
      <c r="N66" t="str">
        <f t="shared" ref="N66:N129" ca="1" si="19">CHOOSE(RANDBETWEEN(1, 4), "Job Portals", "Campus Placements", "Employee Referrals", "Direct Hiring")</f>
        <v>Job Portals</v>
      </c>
      <c r="O66">
        <f t="shared" ref="O66:O129" ca="1" si="20">RANDBETWEEN(1,5)</f>
        <v>4</v>
      </c>
      <c r="P66" t="str">
        <f t="shared" ref="P66:P129" ca="1" si="21">CHOOSE(RANDBETWEEN(1, 2), "Yes", "No")</f>
        <v>Yes</v>
      </c>
      <c r="Q66" t="str" cm="1">
        <f t="array" aca="1" ref="Q66" ca="1">INDEX(sheet2!$C$2:$C$6, RANDBETWEEN(1, 5))</f>
        <v>Communication Skills</v>
      </c>
      <c r="R66" t="str">
        <f t="shared" ref="R66:R101" ca="1" si="22">IF(RAND() &lt; 0.7, "Completed", "Not Completed")</f>
        <v>Completed</v>
      </c>
      <c r="S66">
        <f ca="1">Table1[[#This Row],[Hire Date]]-Table1[[#This Row],[Job Posting Date]]</f>
        <v>85</v>
      </c>
    </row>
    <row r="67" spans="1:19" x14ac:dyDescent="0.2">
      <c r="A67" t="str">
        <f t="shared" si="13"/>
        <v>EMP066</v>
      </c>
      <c r="B67" t="str">
        <f t="shared" ca="1" si="14"/>
        <v>Female</v>
      </c>
      <c r="C67" t="str" cm="1">
        <f t="array" aca="1" ref="C67" ca="1">INDEX(sheet2!$A$2:$A$6, RANDBETWEEN(1, 5))</f>
        <v>IT</v>
      </c>
      <c r="D67" t="str">
        <f ca="1">_xlfn.XLOOKUP(Table1[[#This Row],[Department]],sheet2!$A$2:$A$6,sheet2!$B$2:$B$6,_xleta.NA,0)</f>
        <v>Software Engineer</v>
      </c>
      <c r="E67" s="1">
        <f t="shared" ca="1" si="15"/>
        <v>43557</v>
      </c>
      <c r="F67" s="1">
        <f ca="1">Table1[[#This Row],[Job Posting Date]]+ RANDBETWEEN(15, 90)</f>
        <v>43608</v>
      </c>
      <c r="G67" s="1">
        <f ca="1">Table1[[#This Row],[Hire Date]]+ RANDBETWEEN(1, 15)</f>
        <v>43622</v>
      </c>
      <c r="H67" s="1" t="str">
        <f ca="1">IF(RAND() &lt; 0.5,  Table1[[#This Row],[Join Date]]+ RANDBETWEEN(30, TODAY()- Table1[[#This Row],[Join Date]]), "-")</f>
        <v>-</v>
      </c>
      <c r="I67" t="str">
        <f ca="1">IF(Table1[[#This Row],[Exit Date]]= "-", "Active", "Exited")</f>
        <v>Active</v>
      </c>
      <c r="J67" s="5">
        <f t="shared" ca="1" si="16"/>
        <v>3285</v>
      </c>
      <c r="K67">
        <f ca="1">Table1[[#This Row],[Offers Made]]*2</f>
        <v>14</v>
      </c>
      <c r="L67">
        <f t="shared" ca="1" si="17"/>
        <v>7</v>
      </c>
      <c r="M67">
        <f t="shared" ca="1" si="18"/>
        <v>6</v>
      </c>
      <c r="N67" t="str">
        <f t="shared" ca="1" si="19"/>
        <v>Campus Placements</v>
      </c>
      <c r="O67">
        <f t="shared" ca="1" si="20"/>
        <v>3</v>
      </c>
      <c r="P67" t="str">
        <f t="shared" ca="1" si="21"/>
        <v>Yes</v>
      </c>
      <c r="Q67" t="str" cm="1">
        <f t="array" aca="1" ref="Q67" ca="1">INDEX(sheet2!$C$2:$C$6, RANDBETWEEN(1, 5))</f>
        <v>Advanced Excel Skills </v>
      </c>
      <c r="R67" t="str">
        <f t="shared" ca="1" si="22"/>
        <v>Completed</v>
      </c>
      <c r="S67">
        <f ca="1">Table1[[#This Row],[Hire Date]]-Table1[[#This Row],[Job Posting Date]]</f>
        <v>51</v>
      </c>
    </row>
    <row r="68" spans="1:19" x14ac:dyDescent="0.2">
      <c r="A68" t="str">
        <f t="shared" si="13"/>
        <v>EMP067</v>
      </c>
      <c r="B68" t="str">
        <f t="shared" ca="1" si="14"/>
        <v>Male</v>
      </c>
      <c r="C68" t="str" cm="1">
        <f t="array" aca="1" ref="C68" ca="1">INDEX(sheet2!$A$2:$A$6, RANDBETWEEN(1, 5))</f>
        <v>Finance</v>
      </c>
      <c r="D68" t="str">
        <f ca="1">_xlfn.XLOOKUP(Table1[[#This Row],[Department]],sheet2!$A$2:$A$6,sheet2!$B$2:$B$6,_xleta.NA,0)</f>
        <v>Finance Manager</v>
      </c>
      <c r="E68" s="1">
        <f t="shared" ca="1" si="15"/>
        <v>43337</v>
      </c>
      <c r="F68" s="1">
        <f ca="1">Table1[[#This Row],[Job Posting Date]]+ RANDBETWEEN(15, 90)</f>
        <v>43386</v>
      </c>
      <c r="G68" s="1">
        <f ca="1">Table1[[#This Row],[Hire Date]]+ RANDBETWEEN(1, 15)</f>
        <v>43391</v>
      </c>
      <c r="H68" s="1" t="str">
        <f ca="1">IF(RAND() &lt; 0.5,  Table1[[#This Row],[Join Date]]+ RANDBETWEEN(30, TODAY()- Table1[[#This Row],[Join Date]]), "-")</f>
        <v>-</v>
      </c>
      <c r="I68" t="str">
        <f ca="1">IF(Table1[[#This Row],[Exit Date]]= "-", "Active", "Exited")</f>
        <v>Active</v>
      </c>
      <c r="J68" s="5">
        <f t="shared" ca="1" si="16"/>
        <v>3349</v>
      </c>
      <c r="K68">
        <f ca="1">Table1[[#This Row],[Offers Made]]*2</f>
        <v>16</v>
      </c>
      <c r="L68">
        <f t="shared" ca="1" si="17"/>
        <v>8</v>
      </c>
      <c r="M68">
        <f t="shared" ca="1" si="18"/>
        <v>3</v>
      </c>
      <c r="N68" t="str">
        <f t="shared" ca="1" si="19"/>
        <v>Campus Placements</v>
      </c>
      <c r="O68">
        <f t="shared" ca="1" si="20"/>
        <v>5</v>
      </c>
      <c r="P68" t="str">
        <f t="shared" ca="1" si="21"/>
        <v>No</v>
      </c>
      <c r="Q68" t="str" cm="1">
        <f t="array" aca="1" ref="Q68" ca="1">INDEX(sheet2!$C$2:$C$6, RANDBETWEEN(1, 5))</f>
        <v>Ethics and Responsibilities</v>
      </c>
      <c r="R68" t="str">
        <f t="shared" ca="1" si="22"/>
        <v>Completed</v>
      </c>
      <c r="S68">
        <f ca="1">Table1[[#This Row],[Hire Date]]-Table1[[#This Row],[Job Posting Date]]</f>
        <v>49</v>
      </c>
    </row>
    <row r="69" spans="1:19" x14ac:dyDescent="0.2">
      <c r="A69" t="str">
        <f t="shared" si="13"/>
        <v>EMP068</v>
      </c>
      <c r="B69" t="str">
        <f t="shared" ca="1" si="14"/>
        <v>Male</v>
      </c>
      <c r="C69" t="str" cm="1">
        <f t="array" aca="1" ref="C69" ca="1">INDEX(sheet2!$A$2:$A$6, RANDBETWEEN(1, 5))</f>
        <v>Finance</v>
      </c>
      <c r="D69" t="str">
        <f ca="1">_xlfn.XLOOKUP(Table1[[#This Row],[Department]],sheet2!$A$2:$A$6,sheet2!$B$2:$B$6,_xleta.NA,0)</f>
        <v>Finance Manager</v>
      </c>
      <c r="E69" s="1">
        <f t="shared" ca="1" si="15"/>
        <v>44117</v>
      </c>
      <c r="F69" s="1">
        <f ca="1">Table1[[#This Row],[Job Posting Date]]+ RANDBETWEEN(15, 90)</f>
        <v>44152</v>
      </c>
      <c r="G69" s="1">
        <f ca="1">Table1[[#This Row],[Hire Date]]+ RANDBETWEEN(1, 15)</f>
        <v>44166</v>
      </c>
      <c r="H69" s="1" t="str">
        <f ca="1">IF(RAND() &lt; 0.5,  Table1[[#This Row],[Join Date]]+ RANDBETWEEN(30, TODAY()- Table1[[#This Row],[Join Date]]), "-")</f>
        <v>-</v>
      </c>
      <c r="I69" t="str">
        <f ca="1">IF(Table1[[#This Row],[Exit Date]]= "-", "Active", "Exited")</f>
        <v>Active</v>
      </c>
      <c r="J69" s="5">
        <f t="shared" ca="1" si="16"/>
        <v>2753</v>
      </c>
      <c r="K69">
        <f ca="1">Table1[[#This Row],[Offers Made]]*2</f>
        <v>10</v>
      </c>
      <c r="L69">
        <f t="shared" ca="1" si="17"/>
        <v>5</v>
      </c>
      <c r="M69">
        <f t="shared" ca="1" si="18"/>
        <v>1</v>
      </c>
      <c r="N69" t="str">
        <f t="shared" ca="1" si="19"/>
        <v>Direct Hiring</v>
      </c>
      <c r="O69">
        <f t="shared" ca="1" si="20"/>
        <v>4</v>
      </c>
      <c r="P69" t="str">
        <f t="shared" ca="1" si="21"/>
        <v>No</v>
      </c>
      <c r="Q69" t="str" cm="1">
        <f t="array" aca="1" ref="Q69" ca="1">INDEX(sheet2!$C$2:$C$6, RANDBETWEEN(1, 5))</f>
        <v>Advanced Excel Skills </v>
      </c>
      <c r="R69" t="str">
        <f t="shared" ca="1" si="22"/>
        <v>Completed</v>
      </c>
      <c r="S69">
        <f ca="1">Table1[[#This Row],[Hire Date]]-Table1[[#This Row],[Job Posting Date]]</f>
        <v>35</v>
      </c>
    </row>
    <row r="70" spans="1:19" x14ac:dyDescent="0.2">
      <c r="A70" t="str">
        <f t="shared" si="13"/>
        <v>EMP069</v>
      </c>
      <c r="B70" t="str">
        <f t="shared" ca="1" si="14"/>
        <v>Female</v>
      </c>
      <c r="C70" t="str" cm="1">
        <f t="array" aca="1" ref="C70" ca="1">INDEX(sheet2!$A$2:$A$6, RANDBETWEEN(1, 5))</f>
        <v>Sales</v>
      </c>
      <c r="D70" t="str">
        <f ca="1">_xlfn.XLOOKUP(Table1[[#This Row],[Department]],sheet2!$A$2:$A$6,sheet2!$B$2:$B$6,_xleta.NA,0)</f>
        <v>Marketing Manager</v>
      </c>
      <c r="E70" s="1">
        <f t="shared" ca="1" si="15"/>
        <v>43732</v>
      </c>
      <c r="F70" s="1">
        <f ca="1">Table1[[#This Row],[Job Posting Date]]+ RANDBETWEEN(15, 90)</f>
        <v>43772</v>
      </c>
      <c r="G70" s="1">
        <f ca="1">Table1[[#This Row],[Hire Date]]+ RANDBETWEEN(1, 15)</f>
        <v>43787</v>
      </c>
      <c r="H70" s="1">
        <f ca="1">IF(RAND() &lt; 0.5,  Table1[[#This Row],[Join Date]]+ RANDBETWEEN(30, TODAY()- Table1[[#This Row],[Join Date]]), "-")</f>
        <v>45196</v>
      </c>
      <c r="I70" t="str">
        <f ca="1">IF(Table1[[#This Row],[Exit Date]]= "-", "Active", "Exited")</f>
        <v>Exited</v>
      </c>
      <c r="J70" s="5">
        <f t="shared" ca="1" si="16"/>
        <v>1808</v>
      </c>
      <c r="K70">
        <f ca="1">Table1[[#This Row],[Offers Made]]*2</f>
        <v>6</v>
      </c>
      <c r="L70">
        <f t="shared" ca="1" si="17"/>
        <v>3</v>
      </c>
      <c r="M70">
        <f t="shared" ca="1" si="18"/>
        <v>2</v>
      </c>
      <c r="N70" t="str">
        <f t="shared" ca="1" si="19"/>
        <v>Campus Placements</v>
      </c>
      <c r="O70">
        <f t="shared" ca="1" si="20"/>
        <v>1</v>
      </c>
      <c r="P70" t="str">
        <f t="shared" ca="1" si="21"/>
        <v>Yes</v>
      </c>
      <c r="Q70" t="str" cm="1">
        <f t="array" aca="1" ref="Q70" ca="1">INDEX(sheet2!$C$2:$C$6, RANDBETWEEN(1, 5))</f>
        <v>Conflict Resolution</v>
      </c>
      <c r="R70" t="str">
        <f t="shared" ca="1" si="22"/>
        <v>Not Completed</v>
      </c>
      <c r="S70">
        <f ca="1">Table1[[#This Row],[Hire Date]]-Table1[[#This Row],[Job Posting Date]]</f>
        <v>40</v>
      </c>
    </row>
    <row r="71" spans="1:19" x14ac:dyDescent="0.2">
      <c r="A71" t="str">
        <f t="shared" si="13"/>
        <v>EMP070</v>
      </c>
      <c r="B71" t="str">
        <f t="shared" ca="1" si="14"/>
        <v>Female</v>
      </c>
      <c r="C71" t="str" cm="1">
        <f t="array" aca="1" ref="C71" ca="1">INDEX(sheet2!$A$2:$A$6, RANDBETWEEN(1, 5))</f>
        <v>Finance</v>
      </c>
      <c r="D71" t="str">
        <f ca="1">_xlfn.XLOOKUP(Table1[[#This Row],[Department]],sheet2!$A$2:$A$6,sheet2!$B$2:$B$6,_xleta.NA,0)</f>
        <v>Finance Manager</v>
      </c>
      <c r="E71" s="1">
        <f t="shared" ca="1" si="15"/>
        <v>43211</v>
      </c>
      <c r="F71" s="1">
        <f ca="1">Table1[[#This Row],[Job Posting Date]]+ RANDBETWEEN(15, 90)</f>
        <v>43298</v>
      </c>
      <c r="G71" s="1">
        <f ca="1">Table1[[#This Row],[Hire Date]]+ RANDBETWEEN(1, 15)</f>
        <v>43313</v>
      </c>
      <c r="H71" s="1">
        <f ca="1">IF(RAND() &lt; 0.5,  Table1[[#This Row],[Join Date]]+ RANDBETWEEN(30, TODAY()- Table1[[#This Row],[Join Date]]), "-")</f>
        <v>44042</v>
      </c>
      <c r="I71" t="str">
        <f ca="1">IF(Table1[[#This Row],[Exit Date]]= "-", "Active", "Exited")</f>
        <v>Exited</v>
      </c>
      <c r="J71" s="5">
        <f t="shared" ca="1" si="16"/>
        <v>1604</v>
      </c>
      <c r="K71">
        <f ca="1">Table1[[#This Row],[Offers Made]]*2</f>
        <v>14</v>
      </c>
      <c r="L71">
        <f t="shared" ca="1" si="17"/>
        <v>7</v>
      </c>
      <c r="M71">
        <f t="shared" ca="1" si="18"/>
        <v>3</v>
      </c>
      <c r="N71" t="str">
        <f t="shared" ca="1" si="19"/>
        <v>Direct Hiring</v>
      </c>
      <c r="O71">
        <f t="shared" ca="1" si="20"/>
        <v>4</v>
      </c>
      <c r="P71" t="str">
        <f t="shared" ca="1" si="21"/>
        <v>No</v>
      </c>
      <c r="Q71" t="str" cm="1">
        <f t="array" aca="1" ref="Q71" ca="1">INDEX(sheet2!$C$2:$C$6, RANDBETWEEN(1, 5))</f>
        <v>Ethics and Responsibilities</v>
      </c>
      <c r="R71" t="str">
        <f t="shared" ca="1" si="22"/>
        <v>Not Completed</v>
      </c>
      <c r="S71">
        <f ca="1">Table1[[#This Row],[Hire Date]]-Table1[[#This Row],[Job Posting Date]]</f>
        <v>87</v>
      </c>
    </row>
    <row r="72" spans="1:19" x14ac:dyDescent="0.2">
      <c r="A72" t="str">
        <f t="shared" si="13"/>
        <v>EMP071</v>
      </c>
      <c r="B72" t="str">
        <f t="shared" ca="1" si="14"/>
        <v>Female</v>
      </c>
      <c r="C72" t="str" cm="1">
        <f t="array" aca="1" ref="C72" ca="1">INDEX(sheet2!$A$2:$A$6, RANDBETWEEN(1, 5))</f>
        <v>Sales</v>
      </c>
      <c r="D72" t="str">
        <f ca="1">_xlfn.XLOOKUP(Table1[[#This Row],[Department]],sheet2!$A$2:$A$6,sheet2!$B$2:$B$6,_xleta.NA,0)</f>
        <v>Marketing Manager</v>
      </c>
      <c r="E72" s="1">
        <f t="shared" ca="1" si="15"/>
        <v>43479</v>
      </c>
      <c r="F72" s="1">
        <f ca="1">Table1[[#This Row],[Job Posting Date]]+ RANDBETWEEN(15, 90)</f>
        <v>43540</v>
      </c>
      <c r="G72" s="1">
        <f ca="1">Table1[[#This Row],[Hire Date]]+ RANDBETWEEN(1, 15)</f>
        <v>43555</v>
      </c>
      <c r="H72" s="1">
        <f ca="1">IF(RAND() &lt; 0.5,  Table1[[#This Row],[Join Date]]+ RANDBETWEEN(30, TODAY()- Table1[[#This Row],[Join Date]]), "-")</f>
        <v>45098</v>
      </c>
      <c r="I72" t="str">
        <f ca="1">IF(Table1[[#This Row],[Exit Date]]= "-", "Active", "Exited")</f>
        <v>Exited</v>
      </c>
      <c r="J72" s="5">
        <f t="shared" ca="1" si="16"/>
        <v>1703</v>
      </c>
      <c r="K72">
        <f ca="1">Table1[[#This Row],[Offers Made]]*2</f>
        <v>16</v>
      </c>
      <c r="L72">
        <f t="shared" ca="1" si="17"/>
        <v>8</v>
      </c>
      <c r="M72">
        <f t="shared" ca="1" si="18"/>
        <v>4</v>
      </c>
      <c r="N72" t="str">
        <f t="shared" ca="1" si="19"/>
        <v>Campus Placements</v>
      </c>
      <c r="O72">
        <f t="shared" ca="1" si="20"/>
        <v>1</v>
      </c>
      <c r="P72" t="str">
        <f t="shared" ca="1" si="21"/>
        <v>Yes</v>
      </c>
      <c r="Q72" t="str" cm="1">
        <f t="array" aca="1" ref="Q72" ca="1">INDEX(sheet2!$C$2:$C$6, RANDBETWEEN(1, 5))</f>
        <v>Advanced Excel Skills </v>
      </c>
      <c r="R72" t="str">
        <f t="shared" ca="1" si="22"/>
        <v>Completed</v>
      </c>
      <c r="S72">
        <f ca="1">Table1[[#This Row],[Hire Date]]-Table1[[#This Row],[Job Posting Date]]</f>
        <v>61</v>
      </c>
    </row>
    <row r="73" spans="1:19" x14ac:dyDescent="0.2">
      <c r="A73" t="str">
        <f t="shared" si="13"/>
        <v>EMP072</v>
      </c>
      <c r="B73" t="str">
        <f t="shared" ca="1" si="14"/>
        <v>Female</v>
      </c>
      <c r="C73" t="str" cm="1">
        <f t="array" aca="1" ref="C73" ca="1">INDEX(sheet2!$A$2:$A$6, RANDBETWEEN(1, 5))</f>
        <v>Finance</v>
      </c>
      <c r="D73" t="str">
        <f ca="1">_xlfn.XLOOKUP(Table1[[#This Row],[Department]],sheet2!$A$2:$A$6,sheet2!$B$2:$B$6,_xleta.NA,0)</f>
        <v>Finance Manager</v>
      </c>
      <c r="E73" s="1">
        <f t="shared" ca="1" si="15"/>
        <v>44862</v>
      </c>
      <c r="F73" s="1">
        <f ca="1">Table1[[#This Row],[Job Posting Date]]+ RANDBETWEEN(15, 90)</f>
        <v>44905</v>
      </c>
      <c r="G73" s="1">
        <f ca="1">Table1[[#This Row],[Hire Date]]+ RANDBETWEEN(1, 15)</f>
        <v>44919</v>
      </c>
      <c r="H73" s="1">
        <f ca="1">IF(RAND() &lt; 0.5,  Table1[[#This Row],[Join Date]]+ RANDBETWEEN(30, TODAY()- Table1[[#This Row],[Join Date]]), "-")</f>
        <v>45008</v>
      </c>
      <c r="I73" t="str">
        <f ca="1">IF(Table1[[#This Row],[Exit Date]]= "-", "Active", "Exited")</f>
        <v>Exited</v>
      </c>
      <c r="J73" s="5">
        <f t="shared" ca="1" si="16"/>
        <v>2291</v>
      </c>
      <c r="K73">
        <f ca="1">Table1[[#This Row],[Offers Made]]*2</f>
        <v>12</v>
      </c>
      <c r="L73">
        <f t="shared" ca="1" si="17"/>
        <v>6</v>
      </c>
      <c r="M73">
        <f t="shared" ca="1" si="18"/>
        <v>5</v>
      </c>
      <c r="N73" t="str">
        <f t="shared" ca="1" si="19"/>
        <v>Campus Placements</v>
      </c>
      <c r="O73">
        <f t="shared" ca="1" si="20"/>
        <v>5</v>
      </c>
      <c r="P73" t="str">
        <f t="shared" ca="1" si="21"/>
        <v>No</v>
      </c>
      <c r="Q73" t="str" cm="1">
        <f t="array" aca="1" ref="Q73" ca="1">INDEX(sheet2!$C$2:$C$6, RANDBETWEEN(1, 5))</f>
        <v>Leadership Development</v>
      </c>
      <c r="R73" t="str">
        <f t="shared" ca="1" si="22"/>
        <v>Completed</v>
      </c>
      <c r="S73">
        <f ca="1">Table1[[#This Row],[Hire Date]]-Table1[[#This Row],[Job Posting Date]]</f>
        <v>43</v>
      </c>
    </row>
    <row r="74" spans="1:19" x14ac:dyDescent="0.2">
      <c r="A74" t="str">
        <f t="shared" si="13"/>
        <v>EMP073</v>
      </c>
      <c r="B74" t="str">
        <f t="shared" ca="1" si="14"/>
        <v>Female</v>
      </c>
      <c r="C74" t="str" cm="1">
        <f t="array" aca="1" ref="C74" ca="1">INDEX(sheet2!$A$2:$A$6, RANDBETWEEN(1, 5))</f>
        <v>Sales</v>
      </c>
      <c r="D74" t="str">
        <f ca="1">_xlfn.XLOOKUP(Table1[[#This Row],[Department]],sheet2!$A$2:$A$6,sheet2!$B$2:$B$6,_xleta.NA,0)</f>
        <v>Marketing Manager</v>
      </c>
      <c r="E74" s="1">
        <f t="shared" ca="1" si="15"/>
        <v>44749</v>
      </c>
      <c r="F74" s="1">
        <f ca="1">Table1[[#This Row],[Job Posting Date]]+ RANDBETWEEN(15, 90)</f>
        <v>44817</v>
      </c>
      <c r="G74" s="1">
        <f ca="1">Table1[[#This Row],[Hire Date]]+ RANDBETWEEN(1, 15)</f>
        <v>44824</v>
      </c>
      <c r="H74" s="1" t="str">
        <f ca="1">IF(RAND() &lt; 0.5,  Table1[[#This Row],[Join Date]]+ RANDBETWEEN(30, TODAY()- Table1[[#This Row],[Join Date]]), "-")</f>
        <v>-</v>
      </c>
      <c r="I74" t="str">
        <f ca="1">IF(Table1[[#This Row],[Exit Date]]= "-", "Active", "Exited")</f>
        <v>Active</v>
      </c>
      <c r="J74" s="5">
        <f t="shared" ca="1" si="16"/>
        <v>3481</v>
      </c>
      <c r="K74">
        <f ca="1">Table1[[#This Row],[Offers Made]]*2</f>
        <v>14</v>
      </c>
      <c r="L74">
        <f t="shared" ca="1" si="17"/>
        <v>7</v>
      </c>
      <c r="M74">
        <f t="shared" ca="1" si="18"/>
        <v>6</v>
      </c>
      <c r="N74" t="str">
        <f t="shared" ca="1" si="19"/>
        <v>Direct Hiring</v>
      </c>
      <c r="O74">
        <f t="shared" ca="1" si="20"/>
        <v>1</v>
      </c>
      <c r="P74" t="str">
        <f t="shared" ca="1" si="21"/>
        <v>Yes</v>
      </c>
      <c r="Q74" t="str" cm="1">
        <f t="array" aca="1" ref="Q74" ca="1">INDEX(sheet2!$C$2:$C$6, RANDBETWEEN(1, 5))</f>
        <v>Leadership Development</v>
      </c>
      <c r="R74" t="str">
        <f t="shared" ca="1" si="22"/>
        <v>Not Completed</v>
      </c>
      <c r="S74">
        <f ca="1">Table1[[#This Row],[Hire Date]]-Table1[[#This Row],[Job Posting Date]]</f>
        <v>68</v>
      </c>
    </row>
    <row r="75" spans="1:19" x14ac:dyDescent="0.2">
      <c r="A75" t="str">
        <f t="shared" si="13"/>
        <v>EMP074</v>
      </c>
      <c r="B75" t="str">
        <f t="shared" ca="1" si="14"/>
        <v>Male</v>
      </c>
      <c r="C75" t="str" cm="1">
        <f t="array" aca="1" ref="C75" ca="1">INDEX(sheet2!$A$2:$A$6, RANDBETWEEN(1, 5))</f>
        <v>HR</v>
      </c>
      <c r="D75" t="str">
        <f ca="1">_xlfn.XLOOKUP(Table1[[#This Row],[Department]],sheet2!$A$2:$A$6,sheet2!$B$2:$B$6,_xleta.NA,0)</f>
        <v>HR Manager</v>
      </c>
      <c r="E75" s="1">
        <f t="shared" ca="1" si="15"/>
        <v>44812</v>
      </c>
      <c r="F75" s="1">
        <f ca="1">Table1[[#This Row],[Job Posting Date]]+ RANDBETWEEN(15, 90)</f>
        <v>44865</v>
      </c>
      <c r="G75" s="1">
        <f ca="1">Table1[[#This Row],[Hire Date]]+ RANDBETWEEN(1, 15)</f>
        <v>44879</v>
      </c>
      <c r="H75" s="1" t="str">
        <f ca="1">IF(RAND() &lt; 0.5,  Table1[[#This Row],[Join Date]]+ RANDBETWEEN(30, TODAY()- Table1[[#This Row],[Join Date]]), "-")</f>
        <v>-</v>
      </c>
      <c r="I75" t="str">
        <f ca="1">IF(Table1[[#This Row],[Exit Date]]= "-", "Active", "Exited")</f>
        <v>Active</v>
      </c>
      <c r="J75" s="5">
        <f t="shared" ca="1" si="16"/>
        <v>4238</v>
      </c>
      <c r="K75">
        <f ca="1">Table1[[#This Row],[Offers Made]]*2</f>
        <v>8</v>
      </c>
      <c r="L75">
        <f t="shared" ca="1" si="17"/>
        <v>4</v>
      </c>
      <c r="M75">
        <f t="shared" ca="1" si="18"/>
        <v>2</v>
      </c>
      <c r="N75" t="str">
        <f t="shared" ca="1" si="19"/>
        <v>Campus Placements</v>
      </c>
      <c r="O75">
        <f t="shared" ca="1" si="20"/>
        <v>1</v>
      </c>
      <c r="P75" t="str">
        <f t="shared" ca="1" si="21"/>
        <v>No</v>
      </c>
      <c r="Q75" t="str" cm="1">
        <f t="array" aca="1" ref="Q75" ca="1">INDEX(sheet2!$C$2:$C$6, RANDBETWEEN(1, 5))</f>
        <v>Advanced Excel Skills </v>
      </c>
      <c r="R75" t="str">
        <f t="shared" ca="1" si="22"/>
        <v>Completed</v>
      </c>
      <c r="S75">
        <f ca="1">Table1[[#This Row],[Hire Date]]-Table1[[#This Row],[Job Posting Date]]</f>
        <v>53</v>
      </c>
    </row>
    <row r="76" spans="1:19" x14ac:dyDescent="0.2">
      <c r="A76" t="str">
        <f t="shared" si="13"/>
        <v>EMP075</v>
      </c>
      <c r="B76" t="str">
        <f t="shared" ca="1" si="14"/>
        <v>Male</v>
      </c>
      <c r="C76" t="str" cm="1">
        <f t="array" aca="1" ref="C76" ca="1">INDEX(sheet2!$A$2:$A$6, RANDBETWEEN(1, 5))</f>
        <v>IT</v>
      </c>
      <c r="D76" t="str">
        <f ca="1">_xlfn.XLOOKUP(Table1[[#This Row],[Department]],sheet2!$A$2:$A$6,sheet2!$B$2:$B$6,_xleta.NA,0)</f>
        <v>Software Engineer</v>
      </c>
      <c r="E76" s="1">
        <f t="shared" ca="1" si="15"/>
        <v>43276</v>
      </c>
      <c r="F76" s="1">
        <f ca="1">Table1[[#This Row],[Job Posting Date]]+ RANDBETWEEN(15, 90)</f>
        <v>43294</v>
      </c>
      <c r="G76" s="1">
        <f ca="1">Table1[[#This Row],[Hire Date]]+ RANDBETWEEN(1, 15)</f>
        <v>43306</v>
      </c>
      <c r="H76" s="1">
        <f ca="1">IF(RAND() &lt; 0.5,  Table1[[#This Row],[Join Date]]+ RANDBETWEEN(30, TODAY()- Table1[[#This Row],[Join Date]]), "-")</f>
        <v>44305</v>
      </c>
      <c r="I76" t="str">
        <f ca="1">IF(Table1[[#This Row],[Exit Date]]= "-", "Active", "Exited")</f>
        <v>Exited</v>
      </c>
      <c r="J76" s="5">
        <f t="shared" ca="1" si="16"/>
        <v>4765</v>
      </c>
      <c r="K76">
        <f ca="1">Table1[[#This Row],[Offers Made]]*2</f>
        <v>16</v>
      </c>
      <c r="L76">
        <f t="shared" ca="1" si="17"/>
        <v>8</v>
      </c>
      <c r="M76">
        <f t="shared" ca="1" si="18"/>
        <v>1</v>
      </c>
      <c r="N76" t="str">
        <f t="shared" ca="1" si="19"/>
        <v>Campus Placements</v>
      </c>
      <c r="O76">
        <f t="shared" ca="1" si="20"/>
        <v>1</v>
      </c>
      <c r="P76" t="str">
        <f t="shared" ca="1" si="21"/>
        <v>Yes</v>
      </c>
      <c r="Q76" t="str" cm="1">
        <f t="array" aca="1" ref="Q76" ca="1">INDEX(sheet2!$C$2:$C$6, RANDBETWEEN(1, 5))</f>
        <v>Ethics and Responsibilities</v>
      </c>
      <c r="R76" t="str">
        <f t="shared" ca="1" si="22"/>
        <v>Not Completed</v>
      </c>
      <c r="S76">
        <f ca="1">Table1[[#This Row],[Hire Date]]-Table1[[#This Row],[Job Posting Date]]</f>
        <v>18</v>
      </c>
    </row>
    <row r="77" spans="1:19" x14ac:dyDescent="0.2">
      <c r="A77" t="str">
        <f t="shared" si="13"/>
        <v>EMP076</v>
      </c>
      <c r="B77" t="str">
        <f t="shared" ca="1" si="14"/>
        <v>Female</v>
      </c>
      <c r="C77" t="str" cm="1">
        <f t="array" aca="1" ref="C77" ca="1">INDEX(sheet2!$A$2:$A$6, RANDBETWEEN(1, 5))</f>
        <v>Sales</v>
      </c>
      <c r="D77" t="str">
        <f ca="1">_xlfn.XLOOKUP(Table1[[#This Row],[Department]],sheet2!$A$2:$A$6,sheet2!$B$2:$B$6,_xleta.NA,0)</f>
        <v>Marketing Manager</v>
      </c>
      <c r="E77" s="1">
        <f t="shared" ca="1" si="15"/>
        <v>43178</v>
      </c>
      <c r="F77" s="1">
        <f ca="1">Table1[[#This Row],[Job Posting Date]]+ RANDBETWEEN(15, 90)</f>
        <v>43240</v>
      </c>
      <c r="G77" s="1">
        <f ca="1">Table1[[#This Row],[Hire Date]]+ RANDBETWEEN(1, 15)</f>
        <v>43255</v>
      </c>
      <c r="H77" s="1" t="str">
        <f ca="1">IF(RAND() &lt; 0.5,  Table1[[#This Row],[Join Date]]+ RANDBETWEEN(30, TODAY()- Table1[[#This Row],[Join Date]]), "-")</f>
        <v>-</v>
      </c>
      <c r="I77" t="str">
        <f ca="1">IF(Table1[[#This Row],[Exit Date]]= "-", "Active", "Exited")</f>
        <v>Active</v>
      </c>
      <c r="J77" s="5">
        <f t="shared" ca="1" si="16"/>
        <v>1628</v>
      </c>
      <c r="K77">
        <f ca="1">Table1[[#This Row],[Offers Made]]*2</f>
        <v>14</v>
      </c>
      <c r="L77">
        <f t="shared" ca="1" si="17"/>
        <v>7</v>
      </c>
      <c r="M77">
        <f t="shared" ca="1" si="18"/>
        <v>5</v>
      </c>
      <c r="N77" t="str">
        <f t="shared" ca="1" si="19"/>
        <v>Employee Referrals</v>
      </c>
      <c r="O77">
        <f t="shared" ca="1" si="20"/>
        <v>5</v>
      </c>
      <c r="P77" t="str">
        <f t="shared" ca="1" si="21"/>
        <v>No</v>
      </c>
      <c r="Q77" t="str" cm="1">
        <f t="array" aca="1" ref="Q77" ca="1">INDEX(sheet2!$C$2:$C$6, RANDBETWEEN(1, 5))</f>
        <v>Ethics and Responsibilities</v>
      </c>
      <c r="R77" t="str">
        <f t="shared" ca="1" si="22"/>
        <v>Completed</v>
      </c>
      <c r="S77">
        <f ca="1">Table1[[#This Row],[Hire Date]]-Table1[[#This Row],[Job Posting Date]]</f>
        <v>62</v>
      </c>
    </row>
    <row r="78" spans="1:19" x14ac:dyDescent="0.2">
      <c r="A78" t="str">
        <f t="shared" si="13"/>
        <v>EMP077</v>
      </c>
      <c r="B78" t="str">
        <f t="shared" ca="1" si="14"/>
        <v>Female</v>
      </c>
      <c r="C78" t="str" cm="1">
        <f t="array" aca="1" ref="C78" ca="1">INDEX(sheet2!$A$2:$A$6, RANDBETWEEN(1, 5))</f>
        <v>IT</v>
      </c>
      <c r="D78" t="str">
        <f ca="1">_xlfn.XLOOKUP(Table1[[#This Row],[Department]],sheet2!$A$2:$A$6,sheet2!$B$2:$B$6,_xleta.NA,0)</f>
        <v>Software Engineer</v>
      </c>
      <c r="E78" s="1">
        <f t="shared" ca="1" si="15"/>
        <v>44094</v>
      </c>
      <c r="F78" s="1">
        <f ca="1">Table1[[#This Row],[Job Posting Date]]+ RANDBETWEEN(15, 90)</f>
        <v>44154</v>
      </c>
      <c r="G78" s="1">
        <f ca="1">Table1[[#This Row],[Hire Date]]+ RANDBETWEEN(1, 15)</f>
        <v>44155</v>
      </c>
      <c r="H78" s="1" t="str">
        <f ca="1">IF(RAND() &lt; 0.5,  Table1[[#This Row],[Join Date]]+ RANDBETWEEN(30, TODAY()- Table1[[#This Row],[Join Date]]), "-")</f>
        <v>-</v>
      </c>
      <c r="I78" t="str">
        <f ca="1">IF(Table1[[#This Row],[Exit Date]]= "-", "Active", "Exited")</f>
        <v>Active</v>
      </c>
      <c r="J78" s="5">
        <f t="shared" ca="1" si="16"/>
        <v>4250</v>
      </c>
      <c r="K78">
        <f ca="1">Table1[[#This Row],[Offers Made]]*2</f>
        <v>12</v>
      </c>
      <c r="L78">
        <f t="shared" ca="1" si="17"/>
        <v>6</v>
      </c>
      <c r="M78">
        <f t="shared" ca="1" si="18"/>
        <v>2</v>
      </c>
      <c r="N78" t="str">
        <f t="shared" ca="1" si="19"/>
        <v>Employee Referrals</v>
      </c>
      <c r="O78">
        <f t="shared" ca="1" si="20"/>
        <v>5</v>
      </c>
      <c r="P78" t="str">
        <f t="shared" ca="1" si="21"/>
        <v>Yes</v>
      </c>
      <c r="Q78" t="str" cm="1">
        <f t="array" aca="1" ref="Q78" ca="1">INDEX(sheet2!$C$2:$C$6, RANDBETWEEN(1, 5))</f>
        <v>Communication Skills</v>
      </c>
      <c r="R78" t="str">
        <f t="shared" ca="1" si="22"/>
        <v>Completed</v>
      </c>
      <c r="S78">
        <f ca="1">Table1[[#This Row],[Hire Date]]-Table1[[#This Row],[Job Posting Date]]</f>
        <v>60</v>
      </c>
    </row>
    <row r="79" spans="1:19" x14ac:dyDescent="0.2">
      <c r="A79" t="str">
        <f t="shared" si="13"/>
        <v>EMP078</v>
      </c>
      <c r="B79" t="str">
        <f t="shared" ca="1" si="14"/>
        <v>Male</v>
      </c>
      <c r="C79" t="str" cm="1">
        <f t="array" aca="1" ref="C79" ca="1">INDEX(sheet2!$A$2:$A$6, RANDBETWEEN(1, 5))</f>
        <v>IT</v>
      </c>
      <c r="D79" t="str">
        <f ca="1">_xlfn.XLOOKUP(Table1[[#This Row],[Department]],sheet2!$A$2:$A$6,sheet2!$B$2:$B$6,_xleta.NA,0)</f>
        <v>Software Engineer</v>
      </c>
      <c r="E79" s="1">
        <f t="shared" ca="1" si="15"/>
        <v>44745</v>
      </c>
      <c r="F79" s="1">
        <f ca="1">Table1[[#This Row],[Job Posting Date]]+ RANDBETWEEN(15, 90)</f>
        <v>44769</v>
      </c>
      <c r="G79" s="1">
        <f ca="1">Table1[[#This Row],[Hire Date]]+ RANDBETWEEN(1, 15)</f>
        <v>44772</v>
      </c>
      <c r="H79" s="1" t="str">
        <f ca="1">IF(RAND() &lt; 0.5,  Table1[[#This Row],[Join Date]]+ RANDBETWEEN(30, TODAY()- Table1[[#This Row],[Join Date]]), "-")</f>
        <v>-</v>
      </c>
      <c r="I79" t="str">
        <f ca="1">IF(Table1[[#This Row],[Exit Date]]= "-", "Active", "Exited")</f>
        <v>Active</v>
      </c>
      <c r="J79" s="5">
        <f t="shared" ca="1" si="16"/>
        <v>2049</v>
      </c>
      <c r="K79">
        <f ca="1">Table1[[#This Row],[Offers Made]]*2</f>
        <v>12</v>
      </c>
      <c r="L79">
        <f t="shared" ca="1" si="17"/>
        <v>6</v>
      </c>
      <c r="M79">
        <f t="shared" ca="1" si="18"/>
        <v>4</v>
      </c>
      <c r="N79" t="str">
        <f t="shared" ca="1" si="19"/>
        <v>Campus Placements</v>
      </c>
      <c r="O79">
        <f t="shared" ca="1" si="20"/>
        <v>2</v>
      </c>
      <c r="P79" t="str">
        <f t="shared" ca="1" si="21"/>
        <v>No</v>
      </c>
      <c r="Q79" t="str" cm="1">
        <f t="array" aca="1" ref="Q79" ca="1">INDEX(sheet2!$C$2:$C$6, RANDBETWEEN(1, 5))</f>
        <v>Communication Skills</v>
      </c>
      <c r="R79" t="str">
        <f t="shared" ca="1" si="22"/>
        <v>Completed</v>
      </c>
      <c r="S79">
        <f ca="1">Table1[[#This Row],[Hire Date]]-Table1[[#This Row],[Job Posting Date]]</f>
        <v>24</v>
      </c>
    </row>
    <row r="80" spans="1:19" x14ac:dyDescent="0.2">
      <c r="A80" t="str">
        <f t="shared" si="13"/>
        <v>EMP079</v>
      </c>
      <c r="B80" t="str">
        <f t="shared" ca="1" si="14"/>
        <v>Female</v>
      </c>
      <c r="C80" t="str" cm="1">
        <f t="array" aca="1" ref="C80" ca="1">INDEX(sheet2!$A$2:$A$6, RANDBETWEEN(1, 5))</f>
        <v>HR</v>
      </c>
      <c r="D80" t="str">
        <f ca="1">_xlfn.XLOOKUP(Table1[[#This Row],[Department]],sheet2!$A$2:$A$6,sheet2!$B$2:$B$6,_xleta.NA,0)</f>
        <v>HR Manager</v>
      </c>
      <c r="E80" s="1">
        <f t="shared" ca="1" si="15"/>
        <v>43540</v>
      </c>
      <c r="F80" s="1">
        <f ca="1">Table1[[#This Row],[Job Posting Date]]+ RANDBETWEEN(15, 90)</f>
        <v>43569</v>
      </c>
      <c r="G80" s="1">
        <f ca="1">Table1[[#This Row],[Hire Date]]+ RANDBETWEEN(1, 15)</f>
        <v>43571</v>
      </c>
      <c r="H80" s="1">
        <f ca="1">IF(RAND() &lt; 0.5,  Table1[[#This Row],[Join Date]]+ RANDBETWEEN(30, TODAY()- Table1[[#This Row],[Join Date]]), "-")</f>
        <v>45532</v>
      </c>
      <c r="I80" t="str">
        <f ca="1">IF(Table1[[#This Row],[Exit Date]]= "-", "Active", "Exited")</f>
        <v>Exited</v>
      </c>
      <c r="J80" s="5">
        <f t="shared" ca="1" si="16"/>
        <v>2907</v>
      </c>
      <c r="K80">
        <f ca="1">Table1[[#This Row],[Offers Made]]*2</f>
        <v>6</v>
      </c>
      <c r="L80">
        <f t="shared" ca="1" si="17"/>
        <v>3</v>
      </c>
      <c r="M80">
        <f t="shared" ca="1" si="18"/>
        <v>1</v>
      </c>
      <c r="N80" t="str">
        <f t="shared" ca="1" si="19"/>
        <v>Employee Referrals</v>
      </c>
      <c r="O80">
        <f t="shared" ca="1" si="20"/>
        <v>4</v>
      </c>
      <c r="P80" t="str">
        <f t="shared" ca="1" si="21"/>
        <v>No</v>
      </c>
      <c r="Q80" t="str" cm="1">
        <f t="array" aca="1" ref="Q80" ca="1">INDEX(sheet2!$C$2:$C$6, RANDBETWEEN(1, 5))</f>
        <v>Leadership Development</v>
      </c>
      <c r="R80" t="str">
        <f t="shared" ca="1" si="22"/>
        <v>Completed</v>
      </c>
      <c r="S80">
        <f ca="1">Table1[[#This Row],[Hire Date]]-Table1[[#This Row],[Job Posting Date]]</f>
        <v>29</v>
      </c>
    </row>
    <row r="81" spans="1:19" x14ac:dyDescent="0.2">
      <c r="A81" t="str">
        <f t="shared" si="13"/>
        <v>EMP080</v>
      </c>
      <c r="B81" t="str">
        <f t="shared" ca="1" si="14"/>
        <v>Male</v>
      </c>
      <c r="C81" t="str" cm="1">
        <f t="array" aca="1" ref="C81" ca="1">INDEX(sheet2!$A$2:$A$6, RANDBETWEEN(1, 5))</f>
        <v>Analytics</v>
      </c>
      <c r="D81" t="str">
        <f ca="1">_xlfn.XLOOKUP(Table1[[#This Row],[Department]],sheet2!$A$2:$A$6,sheet2!$B$2:$B$6,_xleta.NA,0)</f>
        <v>Data Analyst</v>
      </c>
      <c r="E81" s="1">
        <f t="shared" ca="1" si="15"/>
        <v>43556</v>
      </c>
      <c r="F81" s="1">
        <f ca="1">Table1[[#This Row],[Job Posting Date]]+ RANDBETWEEN(15, 90)</f>
        <v>43584</v>
      </c>
      <c r="G81" s="1">
        <f ca="1">Table1[[#This Row],[Hire Date]]+ RANDBETWEEN(1, 15)</f>
        <v>43593</v>
      </c>
      <c r="H81" s="1">
        <f ca="1">IF(RAND() &lt; 0.5,  Table1[[#This Row],[Join Date]]+ RANDBETWEEN(30, TODAY()- Table1[[#This Row],[Join Date]]), "-")</f>
        <v>44970</v>
      </c>
      <c r="I81" t="str">
        <f ca="1">IF(Table1[[#This Row],[Exit Date]]= "-", "Active", "Exited")</f>
        <v>Exited</v>
      </c>
      <c r="J81" s="5">
        <f t="shared" ca="1" si="16"/>
        <v>2630</v>
      </c>
      <c r="K81">
        <f ca="1">Table1[[#This Row],[Offers Made]]*2</f>
        <v>8</v>
      </c>
      <c r="L81">
        <f t="shared" ca="1" si="17"/>
        <v>4</v>
      </c>
      <c r="M81">
        <f t="shared" ca="1" si="18"/>
        <v>1</v>
      </c>
      <c r="N81" t="str">
        <f t="shared" ca="1" si="19"/>
        <v>Job Portals</v>
      </c>
      <c r="O81">
        <f t="shared" ca="1" si="20"/>
        <v>3</v>
      </c>
      <c r="P81" t="str">
        <f t="shared" ca="1" si="21"/>
        <v>Yes</v>
      </c>
      <c r="Q81" t="str" cm="1">
        <f t="array" aca="1" ref="Q81" ca="1">INDEX(sheet2!$C$2:$C$6, RANDBETWEEN(1, 5))</f>
        <v>Ethics and Responsibilities</v>
      </c>
      <c r="R81" t="str">
        <f t="shared" ca="1" si="22"/>
        <v>Completed</v>
      </c>
      <c r="S81">
        <f ca="1">Table1[[#This Row],[Hire Date]]-Table1[[#This Row],[Job Posting Date]]</f>
        <v>28</v>
      </c>
    </row>
    <row r="82" spans="1:19" x14ac:dyDescent="0.2">
      <c r="A82" t="str">
        <f t="shared" si="13"/>
        <v>EMP081</v>
      </c>
      <c r="B82" t="str">
        <f t="shared" ca="1" si="14"/>
        <v>Male</v>
      </c>
      <c r="C82" t="str" cm="1">
        <f t="array" aca="1" ref="C82" ca="1">INDEX(sheet2!$A$2:$A$6, RANDBETWEEN(1, 5))</f>
        <v>Finance</v>
      </c>
      <c r="D82" t="str">
        <f ca="1">_xlfn.XLOOKUP(Table1[[#This Row],[Department]],sheet2!$A$2:$A$6,sheet2!$B$2:$B$6,_xleta.NA,0)</f>
        <v>Finance Manager</v>
      </c>
      <c r="E82" s="1">
        <f t="shared" ca="1" si="15"/>
        <v>44719</v>
      </c>
      <c r="F82" s="1">
        <f ca="1">Table1[[#This Row],[Job Posting Date]]+ RANDBETWEEN(15, 90)</f>
        <v>44777</v>
      </c>
      <c r="G82" s="1">
        <f ca="1">Table1[[#This Row],[Hire Date]]+ RANDBETWEEN(1, 15)</f>
        <v>44780</v>
      </c>
      <c r="H82" s="1" t="str">
        <f ca="1">IF(RAND() &lt; 0.5,  Table1[[#This Row],[Join Date]]+ RANDBETWEEN(30, TODAY()- Table1[[#This Row],[Join Date]]), "-")</f>
        <v>-</v>
      </c>
      <c r="I82" t="str">
        <f ca="1">IF(Table1[[#This Row],[Exit Date]]= "-", "Active", "Exited")</f>
        <v>Active</v>
      </c>
      <c r="J82" s="5">
        <f t="shared" ca="1" si="16"/>
        <v>2547</v>
      </c>
      <c r="K82">
        <f ca="1">Table1[[#This Row],[Offers Made]]*2</f>
        <v>6</v>
      </c>
      <c r="L82">
        <f t="shared" ca="1" si="17"/>
        <v>3</v>
      </c>
      <c r="M82">
        <f t="shared" ca="1" si="18"/>
        <v>1</v>
      </c>
      <c r="N82" t="str">
        <f t="shared" ca="1" si="19"/>
        <v>Direct Hiring</v>
      </c>
      <c r="O82">
        <f t="shared" ca="1" si="20"/>
        <v>3</v>
      </c>
      <c r="P82" t="str">
        <f t="shared" ca="1" si="21"/>
        <v>Yes</v>
      </c>
      <c r="Q82" t="str" cm="1">
        <f t="array" aca="1" ref="Q82" ca="1">INDEX(sheet2!$C$2:$C$6, RANDBETWEEN(1, 5))</f>
        <v>Advanced Excel Skills </v>
      </c>
      <c r="R82" t="str">
        <f t="shared" ca="1" si="22"/>
        <v>Completed</v>
      </c>
      <c r="S82">
        <f ca="1">Table1[[#This Row],[Hire Date]]-Table1[[#This Row],[Job Posting Date]]</f>
        <v>58</v>
      </c>
    </row>
    <row r="83" spans="1:19" x14ac:dyDescent="0.2">
      <c r="A83" t="str">
        <f t="shared" si="13"/>
        <v>EMP082</v>
      </c>
      <c r="B83" t="str">
        <f t="shared" ca="1" si="14"/>
        <v>Male</v>
      </c>
      <c r="C83" t="str" cm="1">
        <f t="array" aca="1" ref="C83" ca="1">INDEX(sheet2!$A$2:$A$6, RANDBETWEEN(1, 5))</f>
        <v>Analytics</v>
      </c>
      <c r="D83" t="str">
        <f ca="1">_xlfn.XLOOKUP(Table1[[#This Row],[Department]],sheet2!$A$2:$A$6,sheet2!$B$2:$B$6,_xleta.NA,0)</f>
        <v>Data Analyst</v>
      </c>
      <c r="E83" s="1">
        <f t="shared" ca="1" si="15"/>
        <v>44435</v>
      </c>
      <c r="F83" s="1">
        <f ca="1">Table1[[#This Row],[Job Posting Date]]+ RANDBETWEEN(15, 90)</f>
        <v>44489</v>
      </c>
      <c r="G83" s="1">
        <f ca="1">Table1[[#This Row],[Hire Date]]+ RANDBETWEEN(1, 15)</f>
        <v>44490</v>
      </c>
      <c r="H83" s="1">
        <f ca="1">IF(RAND() &lt; 0.5,  Table1[[#This Row],[Join Date]]+ RANDBETWEEN(30, TODAY()- Table1[[#This Row],[Join Date]]), "-")</f>
        <v>44836</v>
      </c>
      <c r="I83" t="str">
        <f ca="1">IF(Table1[[#This Row],[Exit Date]]= "-", "Active", "Exited")</f>
        <v>Exited</v>
      </c>
      <c r="J83" s="5">
        <f t="shared" ca="1" si="16"/>
        <v>3573</v>
      </c>
      <c r="K83">
        <f ca="1">Table1[[#This Row],[Offers Made]]*2</f>
        <v>12</v>
      </c>
      <c r="L83">
        <f t="shared" ca="1" si="17"/>
        <v>6</v>
      </c>
      <c r="M83">
        <f t="shared" ca="1" si="18"/>
        <v>1</v>
      </c>
      <c r="N83" t="str">
        <f t="shared" ca="1" si="19"/>
        <v>Employee Referrals</v>
      </c>
      <c r="O83">
        <f t="shared" ca="1" si="20"/>
        <v>3</v>
      </c>
      <c r="P83" t="str">
        <f t="shared" ca="1" si="21"/>
        <v>Yes</v>
      </c>
      <c r="Q83" t="str" cm="1">
        <f t="array" aca="1" ref="Q83" ca="1">INDEX(sheet2!$C$2:$C$6, RANDBETWEEN(1, 5))</f>
        <v>Advanced Excel Skills </v>
      </c>
      <c r="R83" t="str">
        <f t="shared" ca="1" si="22"/>
        <v>Completed</v>
      </c>
      <c r="S83">
        <f ca="1">Table1[[#This Row],[Hire Date]]-Table1[[#This Row],[Job Posting Date]]</f>
        <v>54</v>
      </c>
    </row>
    <row r="84" spans="1:19" x14ac:dyDescent="0.2">
      <c r="A84" t="str">
        <f t="shared" si="13"/>
        <v>EMP083</v>
      </c>
      <c r="B84" t="str">
        <f t="shared" ca="1" si="14"/>
        <v>Male</v>
      </c>
      <c r="C84" t="str" cm="1">
        <f t="array" aca="1" ref="C84" ca="1">INDEX(sheet2!$A$2:$A$6, RANDBETWEEN(1, 5))</f>
        <v>Sales</v>
      </c>
      <c r="D84" t="str">
        <f ca="1">_xlfn.XLOOKUP(Table1[[#This Row],[Department]],sheet2!$A$2:$A$6,sheet2!$B$2:$B$6,_xleta.NA,0)</f>
        <v>Marketing Manager</v>
      </c>
      <c r="E84" s="1">
        <f t="shared" ca="1" si="15"/>
        <v>43514</v>
      </c>
      <c r="F84" s="1">
        <f ca="1">Table1[[#This Row],[Job Posting Date]]+ RANDBETWEEN(15, 90)</f>
        <v>43539</v>
      </c>
      <c r="G84" s="1">
        <f ca="1">Table1[[#This Row],[Hire Date]]+ RANDBETWEEN(1, 15)</f>
        <v>43544</v>
      </c>
      <c r="H84" s="1">
        <f ca="1">IF(RAND() &lt; 0.5,  Table1[[#This Row],[Join Date]]+ RANDBETWEEN(30, TODAY()- Table1[[#This Row],[Join Date]]), "-")</f>
        <v>45119</v>
      </c>
      <c r="I84" t="str">
        <f ca="1">IF(Table1[[#This Row],[Exit Date]]= "-", "Active", "Exited")</f>
        <v>Exited</v>
      </c>
      <c r="J84" s="5">
        <f t="shared" ca="1" si="16"/>
        <v>4240</v>
      </c>
      <c r="K84">
        <f ca="1">Table1[[#This Row],[Offers Made]]*2</f>
        <v>14</v>
      </c>
      <c r="L84">
        <f t="shared" ca="1" si="17"/>
        <v>7</v>
      </c>
      <c r="M84">
        <f t="shared" ca="1" si="18"/>
        <v>5</v>
      </c>
      <c r="N84" t="str">
        <f t="shared" ca="1" si="19"/>
        <v>Employee Referrals</v>
      </c>
      <c r="O84">
        <f t="shared" ca="1" si="20"/>
        <v>2</v>
      </c>
      <c r="P84" t="str">
        <f t="shared" ca="1" si="21"/>
        <v>No</v>
      </c>
      <c r="Q84" t="str" cm="1">
        <f t="array" aca="1" ref="Q84" ca="1">INDEX(sheet2!$C$2:$C$6, RANDBETWEEN(1, 5))</f>
        <v>Communication Skills</v>
      </c>
      <c r="R84" t="str">
        <f t="shared" ca="1" si="22"/>
        <v>Completed</v>
      </c>
      <c r="S84">
        <f ca="1">Table1[[#This Row],[Hire Date]]-Table1[[#This Row],[Job Posting Date]]</f>
        <v>25</v>
      </c>
    </row>
    <row r="85" spans="1:19" x14ac:dyDescent="0.2">
      <c r="A85" t="str">
        <f t="shared" si="13"/>
        <v>EMP084</v>
      </c>
      <c r="B85" t="str">
        <f t="shared" ca="1" si="14"/>
        <v>Male</v>
      </c>
      <c r="C85" t="str" cm="1">
        <f t="array" aca="1" ref="C85" ca="1">INDEX(sheet2!$A$2:$A$6, RANDBETWEEN(1, 5))</f>
        <v>Analytics</v>
      </c>
      <c r="D85" t="str">
        <f ca="1">_xlfn.XLOOKUP(Table1[[#This Row],[Department]],sheet2!$A$2:$A$6,sheet2!$B$2:$B$6,_xleta.NA,0)</f>
        <v>Data Analyst</v>
      </c>
      <c r="E85" s="1">
        <f t="shared" ca="1" si="15"/>
        <v>43155</v>
      </c>
      <c r="F85" s="1">
        <f ca="1">Table1[[#This Row],[Job Posting Date]]+ RANDBETWEEN(15, 90)</f>
        <v>43213</v>
      </c>
      <c r="G85" s="1">
        <f ca="1">Table1[[#This Row],[Hire Date]]+ RANDBETWEEN(1, 15)</f>
        <v>43221</v>
      </c>
      <c r="H85" s="1" t="str">
        <f ca="1">IF(RAND() &lt; 0.5,  Table1[[#This Row],[Join Date]]+ RANDBETWEEN(30, TODAY()- Table1[[#This Row],[Join Date]]), "-")</f>
        <v>-</v>
      </c>
      <c r="I85" t="str">
        <f ca="1">IF(Table1[[#This Row],[Exit Date]]= "-", "Active", "Exited")</f>
        <v>Active</v>
      </c>
      <c r="J85" s="5">
        <f t="shared" ca="1" si="16"/>
        <v>2133</v>
      </c>
      <c r="K85">
        <f ca="1">Table1[[#This Row],[Offers Made]]*2</f>
        <v>10</v>
      </c>
      <c r="L85">
        <f t="shared" ca="1" si="17"/>
        <v>5</v>
      </c>
      <c r="M85">
        <f t="shared" ca="1" si="18"/>
        <v>3</v>
      </c>
      <c r="N85" t="str">
        <f t="shared" ca="1" si="19"/>
        <v>Direct Hiring</v>
      </c>
      <c r="O85">
        <f t="shared" ca="1" si="20"/>
        <v>4</v>
      </c>
      <c r="P85" t="str">
        <f t="shared" ca="1" si="21"/>
        <v>Yes</v>
      </c>
      <c r="Q85" t="str" cm="1">
        <f t="array" aca="1" ref="Q85" ca="1">INDEX(sheet2!$C$2:$C$6, RANDBETWEEN(1, 5))</f>
        <v>Conflict Resolution</v>
      </c>
      <c r="R85" t="str">
        <f t="shared" ca="1" si="22"/>
        <v>Not Completed</v>
      </c>
      <c r="S85">
        <f ca="1">Table1[[#This Row],[Hire Date]]-Table1[[#This Row],[Job Posting Date]]</f>
        <v>58</v>
      </c>
    </row>
    <row r="86" spans="1:19" x14ac:dyDescent="0.2">
      <c r="A86" t="str">
        <f t="shared" si="13"/>
        <v>EMP085</v>
      </c>
      <c r="B86" t="str">
        <f t="shared" ca="1" si="14"/>
        <v>Female</v>
      </c>
      <c r="C86" t="str" cm="1">
        <f t="array" aca="1" ref="C86" ca="1">INDEX(sheet2!$A$2:$A$6, RANDBETWEEN(1, 5))</f>
        <v>Finance</v>
      </c>
      <c r="D86" t="str">
        <f ca="1">_xlfn.XLOOKUP(Table1[[#This Row],[Department]],sheet2!$A$2:$A$6,sheet2!$B$2:$B$6,_xleta.NA,0)</f>
        <v>Finance Manager</v>
      </c>
      <c r="E86" s="1">
        <f t="shared" ca="1" si="15"/>
        <v>44852</v>
      </c>
      <c r="F86" s="1">
        <f ca="1">Table1[[#This Row],[Job Posting Date]]+ RANDBETWEEN(15, 90)</f>
        <v>44906</v>
      </c>
      <c r="G86" s="1">
        <f ca="1">Table1[[#This Row],[Hire Date]]+ RANDBETWEEN(1, 15)</f>
        <v>44918</v>
      </c>
      <c r="H86" s="1" t="str">
        <f ca="1">IF(RAND() &lt; 0.5,  Table1[[#This Row],[Join Date]]+ RANDBETWEEN(30, TODAY()- Table1[[#This Row],[Join Date]]), "-")</f>
        <v>-</v>
      </c>
      <c r="I86" t="str">
        <f ca="1">IF(Table1[[#This Row],[Exit Date]]= "-", "Active", "Exited")</f>
        <v>Active</v>
      </c>
      <c r="J86" s="5">
        <f t="shared" ca="1" si="16"/>
        <v>2869</v>
      </c>
      <c r="K86">
        <f ca="1">Table1[[#This Row],[Offers Made]]*2</f>
        <v>8</v>
      </c>
      <c r="L86">
        <f t="shared" ca="1" si="17"/>
        <v>4</v>
      </c>
      <c r="M86">
        <f t="shared" ca="1" si="18"/>
        <v>1</v>
      </c>
      <c r="N86" t="str">
        <f t="shared" ca="1" si="19"/>
        <v>Direct Hiring</v>
      </c>
      <c r="O86">
        <f t="shared" ca="1" si="20"/>
        <v>4</v>
      </c>
      <c r="P86" t="str">
        <f t="shared" ca="1" si="21"/>
        <v>Yes</v>
      </c>
      <c r="Q86" t="str" cm="1">
        <f t="array" aca="1" ref="Q86" ca="1">INDEX(sheet2!$C$2:$C$6, RANDBETWEEN(1, 5))</f>
        <v>Conflict Resolution</v>
      </c>
      <c r="R86" t="str">
        <f t="shared" ca="1" si="22"/>
        <v>Completed</v>
      </c>
      <c r="S86">
        <f ca="1">Table1[[#This Row],[Hire Date]]-Table1[[#This Row],[Job Posting Date]]</f>
        <v>54</v>
      </c>
    </row>
    <row r="87" spans="1:19" x14ac:dyDescent="0.2">
      <c r="A87" t="str">
        <f t="shared" si="13"/>
        <v>EMP086</v>
      </c>
      <c r="B87" t="str">
        <f t="shared" ca="1" si="14"/>
        <v>Female</v>
      </c>
      <c r="C87" t="str" cm="1">
        <f t="array" aca="1" ref="C87" ca="1">INDEX(sheet2!$A$2:$A$6, RANDBETWEEN(1, 5))</f>
        <v>HR</v>
      </c>
      <c r="D87" t="str">
        <f ca="1">_xlfn.XLOOKUP(Table1[[#This Row],[Department]],sheet2!$A$2:$A$6,sheet2!$B$2:$B$6,_xleta.NA,0)</f>
        <v>HR Manager</v>
      </c>
      <c r="E87" s="1">
        <f t="shared" ca="1" si="15"/>
        <v>44754</v>
      </c>
      <c r="F87" s="1">
        <f ca="1">Table1[[#This Row],[Job Posting Date]]+ RANDBETWEEN(15, 90)</f>
        <v>44786</v>
      </c>
      <c r="G87" s="1">
        <f ca="1">Table1[[#This Row],[Hire Date]]+ RANDBETWEEN(1, 15)</f>
        <v>44789</v>
      </c>
      <c r="H87" s="1" t="str">
        <f ca="1">IF(RAND() &lt; 0.5,  Table1[[#This Row],[Join Date]]+ RANDBETWEEN(30, TODAY()- Table1[[#This Row],[Join Date]]), "-")</f>
        <v>-</v>
      </c>
      <c r="I87" t="str">
        <f ca="1">IF(Table1[[#This Row],[Exit Date]]= "-", "Active", "Exited")</f>
        <v>Active</v>
      </c>
      <c r="J87" s="5">
        <f t="shared" ca="1" si="16"/>
        <v>4069</v>
      </c>
      <c r="K87">
        <f ca="1">Table1[[#This Row],[Offers Made]]*2</f>
        <v>10</v>
      </c>
      <c r="L87">
        <f t="shared" ca="1" si="17"/>
        <v>5</v>
      </c>
      <c r="M87">
        <f t="shared" ca="1" si="18"/>
        <v>4</v>
      </c>
      <c r="N87" t="str">
        <f t="shared" ca="1" si="19"/>
        <v>Campus Placements</v>
      </c>
      <c r="O87">
        <f t="shared" ca="1" si="20"/>
        <v>5</v>
      </c>
      <c r="P87" t="str">
        <f t="shared" ca="1" si="21"/>
        <v>No</v>
      </c>
      <c r="Q87" t="str" cm="1">
        <f t="array" aca="1" ref="Q87" ca="1">INDEX(sheet2!$C$2:$C$6, RANDBETWEEN(1, 5))</f>
        <v>Leadership Development</v>
      </c>
      <c r="R87" t="str">
        <f t="shared" ca="1" si="22"/>
        <v>Completed</v>
      </c>
      <c r="S87">
        <f ca="1">Table1[[#This Row],[Hire Date]]-Table1[[#This Row],[Job Posting Date]]</f>
        <v>32</v>
      </c>
    </row>
    <row r="88" spans="1:19" x14ac:dyDescent="0.2">
      <c r="A88" t="str">
        <f t="shared" si="13"/>
        <v>EMP087</v>
      </c>
      <c r="B88" t="str">
        <f t="shared" ca="1" si="14"/>
        <v>Male</v>
      </c>
      <c r="C88" t="str" cm="1">
        <f t="array" aca="1" ref="C88" ca="1">INDEX(sheet2!$A$2:$A$6, RANDBETWEEN(1, 5))</f>
        <v>Sales</v>
      </c>
      <c r="D88" t="str">
        <f ca="1">_xlfn.XLOOKUP(Table1[[#This Row],[Department]],sheet2!$A$2:$A$6,sheet2!$B$2:$B$6,_xleta.NA,0)</f>
        <v>Marketing Manager</v>
      </c>
      <c r="E88" s="1">
        <f t="shared" ca="1" si="15"/>
        <v>43239</v>
      </c>
      <c r="F88" s="1">
        <f ca="1">Table1[[#This Row],[Job Posting Date]]+ RANDBETWEEN(15, 90)</f>
        <v>43318</v>
      </c>
      <c r="G88" s="1">
        <f ca="1">Table1[[#This Row],[Hire Date]]+ RANDBETWEEN(1, 15)</f>
        <v>43322</v>
      </c>
      <c r="H88" s="1">
        <f ca="1">IF(RAND() &lt; 0.5,  Table1[[#This Row],[Join Date]]+ RANDBETWEEN(30, TODAY()- Table1[[#This Row],[Join Date]]), "-")</f>
        <v>43912</v>
      </c>
      <c r="I88" t="str">
        <f ca="1">IF(Table1[[#This Row],[Exit Date]]= "-", "Active", "Exited")</f>
        <v>Exited</v>
      </c>
      <c r="J88" s="5">
        <f t="shared" ca="1" si="16"/>
        <v>4825</v>
      </c>
      <c r="K88">
        <f ca="1">Table1[[#This Row],[Offers Made]]*2</f>
        <v>10</v>
      </c>
      <c r="L88">
        <f t="shared" ca="1" si="17"/>
        <v>5</v>
      </c>
      <c r="M88">
        <f t="shared" ca="1" si="18"/>
        <v>4</v>
      </c>
      <c r="N88" t="str">
        <f t="shared" ca="1" si="19"/>
        <v>Campus Placements</v>
      </c>
      <c r="O88">
        <f t="shared" ca="1" si="20"/>
        <v>4</v>
      </c>
      <c r="P88" t="str">
        <f t="shared" ca="1" si="21"/>
        <v>Yes</v>
      </c>
      <c r="Q88" t="str" cm="1">
        <f t="array" aca="1" ref="Q88" ca="1">INDEX(sheet2!$C$2:$C$6, RANDBETWEEN(1, 5))</f>
        <v>Communication Skills</v>
      </c>
      <c r="R88" t="str">
        <f t="shared" ca="1" si="22"/>
        <v>Completed</v>
      </c>
      <c r="S88">
        <f ca="1">Table1[[#This Row],[Hire Date]]-Table1[[#This Row],[Job Posting Date]]</f>
        <v>79</v>
      </c>
    </row>
    <row r="89" spans="1:19" x14ac:dyDescent="0.2">
      <c r="A89" t="str">
        <f t="shared" si="13"/>
        <v>EMP088</v>
      </c>
      <c r="B89" t="str">
        <f t="shared" ca="1" si="14"/>
        <v>Female</v>
      </c>
      <c r="C89" t="str" cm="1">
        <f t="array" aca="1" ref="C89" ca="1">INDEX(sheet2!$A$2:$A$6, RANDBETWEEN(1, 5))</f>
        <v>Analytics</v>
      </c>
      <c r="D89" t="str">
        <f ca="1">_xlfn.XLOOKUP(Table1[[#This Row],[Department]],sheet2!$A$2:$A$6,sheet2!$B$2:$B$6,_xleta.NA,0)</f>
        <v>Data Analyst</v>
      </c>
      <c r="E89" s="1">
        <f t="shared" ca="1" si="15"/>
        <v>43878</v>
      </c>
      <c r="F89" s="1">
        <f ca="1">Table1[[#This Row],[Job Posting Date]]+ RANDBETWEEN(15, 90)</f>
        <v>43905</v>
      </c>
      <c r="G89" s="1">
        <f ca="1">Table1[[#This Row],[Hire Date]]+ RANDBETWEEN(1, 15)</f>
        <v>43915</v>
      </c>
      <c r="H89" s="1">
        <f ca="1">IF(RAND() &lt; 0.5,  Table1[[#This Row],[Join Date]]+ RANDBETWEEN(30, TODAY()- Table1[[#This Row],[Join Date]]), "-")</f>
        <v>44841</v>
      </c>
      <c r="I89" t="str">
        <f ca="1">IF(Table1[[#This Row],[Exit Date]]= "-", "Active", "Exited")</f>
        <v>Exited</v>
      </c>
      <c r="J89" s="5">
        <f t="shared" ca="1" si="16"/>
        <v>4300</v>
      </c>
      <c r="K89">
        <f ca="1">Table1[[#This Row],[Offers Made]]*2</f>
        <v>10</v>
      </c>
      <c r="L89">
        <f t="shared" ca="1" si="17"/>
        <v>5</v>
      </c>
      <c r="M89">
        <f t="shared" ca="1" si="18"/>
        <v>1</v>
      </c>
      <c r="N89" t="str">
        <f t="shared" ca="1" si="19"/>
        <v>Job Portals</v>
      </c>
      <c r="O89">
        <f t="shared" ca="1" si="20"/>
        <v>3</v>
      </c>
      <c r="P89" t="str">
        <f t="shared" ca="1" si="21"/>
        <v>No</v>
      </c>
      <c r="Q89" t="str" cm="1">
        <f t="array" aca="1" ref="Q89" ca="1">INDEX(sheet2!$C$2:$C$6, RANDBETWEEN(1, 5))</f>
        <v>Ethics and Responsibilities</v>
      </c>
      <c r="R89" t="str">
        <f t="shared" ca="1" si="22"/>
        <v>Completed</v>
      </c>
      <c r="S89">
        <f ca="1">Table1[[#This Row],[Hire Date]]-Table1[[#This Row],[Job Posting Date]]</f>
        <v>27</v>
      </c>
    </row>
    <row r="90" spans="1:19" x14ac:dyDescent="0.2">
      <c r="A90" t="str">
        <f t="shared" si="13"/>
        <v>EMP089</v>
      </c>
      <c r="B90" t="str">
        <f t="shared" ca="1" si="14"/>
        <v>Male</v>
      </c>
      <c r="C90" t="str" cm="1">
        <f t="array" aca="1" ref="C90" ca="1">INDEX(sheet2!$A$2:$A$6, RANDBETWEEN(1, 5))</f>
        <v>Sales</v>
      </c>
      <c r="D90" t="str">
        <f ca="1">_xlfn.XLOOKUP(Table1[[#This Row],[Department]],sheet2!$A$2:$A$6,sheet2!$B$2:$B$6,_xleta.NA,0)</f>
        <v>Marketing Manager</v>
      </c>
      <c r="E90" s="1">
        <f t="shared" ca="1" si="15"/>
        <v>43334</v>
      </c>
      <c r="F90" s="1">
        <f ca="1">Table1[[#This Row],[Job Posting Date]]+ RANDBETWEEN(15, 90)</f>
        <v>43401</v>
      </c>
      <c r="G90" s="1">
        <f ca="1">Table1[[#This Row],[Hire Date]]+ RANDBETWEEN(1, 15)</f>
        <v>43402</v>
      </c>
      <c r="H90" s="1" t="str">
        <f ca="1">IF(RAND() &lt; 0.5,  Table1[[#This Row],[Join Date]]+ RANDBETWEEN(30, TODAY()- Table1[[#This Row],[Join Date]]), "-")</f>
        <v>-</v>
      </c>
      <c r="I90" t="str">
        <f ca="1">IF(Table1[[#This Row],[Exit Date]]= "-", "Active", "Exited")</f>
        <v>Active</v>
      </c>
      <c r="J90" s="5">
        <f t="shared" ca="1" si="16"/>
        <v>4176</v>
      </c>
      <c r="K90">
        <f ca="1">Table1[[#This Row],[Offers Made]]*2</f>
        <v>12</v>
      </c>
      <c r="L90">
        <f t="shared" ca="1" si="17"/>
        <v>6</v>
      </c>
      <c r="M90">
        <f t="shared" ca="1" si="18"/>
        <v>2</v>
      </c>
      <c r="N90" t="str">
        <f t="shared" ca="1" si="19"/>
        <v>Employee Referrals</v>
      </c>
      <c r="O90">
        <f t="shared" ca="1" si="20"/>
        <v>5</v>
      </c>
      <c r="P90" t="str">
        <f t="shared" ca="1" si="21"/>
        <v>Yes</v>
      </c>
      <c r="Q90" t="str" cm="1">
        <f t="array" aca="1" ref="Q90" ca="1">INDEX(sheet2!$C$2:$C$6, RANDBETWEEN(1, 5))</f>
        <v>Conflict Resolution</v>
      </c>
      <c r="R90" t="str">
        <f t="shared" ca="1" si="22"/>
        <v>Not Completed</v>
      </c>
      <c r="S90">
        <f ca="1">Table1[[#This Row],[Hire Date]]-Table1[[#This Row],[Job Posting Date]]</f>
        <v>67</v>
      </c>
    </row>
    <row r="91" spans="1:19" x14ac:dyDescent="0.2">
      <c r="A91" t="str">
        <f t="shared" si="13"/>
        <v>EMP090</v>
      </c>
      <c r="B91" t="str">
        <f t="shared" ca="1" si="14"/>
        <v>Male</v>
      </c>
      <c r="C91" t="str" cm="1">
        <f t="array" aca="1" ref="C91" ca="1">INDEX(sheet2!$A$2:$A$6, RANDBETWEEN(1, 5))</f>
        <v>Analytics</v>
      </c>
      <c r="D91" t="str">
        <f ca="1">_xlfn.XLOOKUP(Table1[[#This Row],[Department]],sheet2!$A$2:$A$6,sheet2!$B$2:$B$6,_xleta.NA,0)</f>
        <v>Data Analyst</v>
      </c>
      <c r="E91" s="1">
        <f t="shared" ca="1" si="15"/>
        <v>43869</v>
      </c>
      <c r="F91" s="1">
        <f ca="1">Table1[[#This Row],[Job Posting Date]]+ RANDBETWEEN(15, 90)</f>
        <v>43904</v>
      </c>
      <c r="G91" s="1">
        <f ca="1">Table1[[#This Row],[Hire Date]]+ RANDBETWEEN(1, 15)</f>
        <v>43916</v>
      </c>
      <c r="H91" s="1" t="str">
        <f ca="1">IF(RAND() &lt; 0.5,  Table1[[#This Row],[Join Date]]+ RANDBETWEEN(30, TODAY()- Table1[[#This Row],[Join Date]]), "-")</f>
        <v>-</v>
      </c>
      <c r="I91" t="str">
        <f ca="1">IF(Table1[[#This Row],[Exit Date]]= "-", "Active", "Exited")</f>
        <v>Active</v>
      </c>
      <c r="J91" s="5">
        <f t="shared" ca="1" si="16"/>
        <v>4629</v>
      </c>
      <c r="K91">
        <f ca="1">Table1[[#This Row],[Offers Made]]*2</f>
        <v>12</v>
      </c>
      <c r="L91">
        <f t="shared" ca="1" si="17"/>
        <v>6</v>
      </c>
      <c r="M91">
        <f t="shared" ca="1" si="18"/>
        <v>3</v>
      </c>
      <c r="N91" t="str">
        <f t="shared" ca="1" si="19"/>
        <v>Job Portals</v>
      </c>
      <c r="O91">
        <f t="shared" ca="1" si="20"/>
        <v>3</v>
      </c>
      <c r="P91" t="str">
        <f t="shared" ca="1" si="21"/>
        <v>Yes</v>
      </c>
      <c r="Q91" t="str" cm="1">
        <f t="array" aca="1" ref="Q91" ca="1">INDEX(sheet2!$C$2:$C$6, RANDBETWEEN(1, 5))</f>
        <v>Ethics and Responsibilities</v>
      </c>
      <c r="R91" t="str">
        <f t="shared" ca="1" si="22"/>
        <v>Completed</v>
      </c>
      <c r="S91">
        <f ca="1">Table1[[#This Row],[Hire Date]]-Table1[[#This Row],[Job Posting Date]]</f>
        <v>35</v>
      </c>
    </row>
    <row r="92" spans="1:19" x14ac:dyDescent="0.2">
      <c r="A92" t="str">
        <f t="shared" si="13"/>
        <v>EMP091</v>
      </c>
      <c r="B92" t="str">
        <f t="shared" ca="1" si="14"/>
        <v>Female</v>
      </c>
      <c r="C92" t="str" cm="1">
        <f t="array" aca="1" ref="C92" ca="1">INDEX(sheet2!$A$2:$A$6, RANDBETWEEN(1, 5))</f>
        <v>HR</v>
      </c>
      <c r="D92" t="str">
        <f ca="1">_xlfn.XLOOKUP(Table1[[#This Row],[Department]],sheet2!$A$2:$A$6,sheet2!$B$2:$B$6,_xleta.NA,0)</f>
        <v>HR Manager</v>
      </c>
      <c r="E92" s="1">
        <f t="shared" ca="1" si="15"/>
        <v>43503</v>
      </c>
      <c r="F92" s="1">
        <f ca="1">Table1[[#This Row],[Job Posting Date]]+ RANDBETWEEN(15, 90)</f>
        <v>43548</v>
      </c>
      <c r="G92" s="1">
        <f ca="1">Table1[[#This Row],[Hire Date]]+ RANDBETWEEN(1, 15)</f>
        <v>43563</v>
      </c>
      <c r="H92" s="1" t="str">
        <f ca="1">IF(RAND() &lt; 0.5,  Table1[[#This Row],[Join Date]]+ RANDBETWEEN(30, TODAY()- Table1[[#This Row],[Join Date]]), "-")</f>
        <v>-</v>
      </c>
      <c r="I92" t="str">
        <f ca="1">IF(Table1[[#This Row],[Exit Date]]= "-", "Active", "Exited")</f>
        <v>Active</v>
      </c>
      <c r="J92" s="5">
        <f t="shared" ca="1" si="16"/>
        <v>4793</v>
      </c>
      <c r="K92">
        <f ca="1">Table1[[#This Row],[Offers Made]]*2</f>
        <v>12</v>
      </c>
      <c r="L92">
        <f t="shared" ca="1" si="17"/>
        <v>6</v>
      </c>
      <c r="M92">
        <f t="shared" ca="1" si="18"/>
        <v>2</v>
      </c>
      <c r="N92" t="str">
        <f t="shared" ca="1" si="19"/>
        <v>Direct Hiring</v>
      </c>
      <c r="O92">
        <f t="shared" ca="1" si="20"/>
        <v>4</v>
      </c>
      <c r="P92" t="str">
        <f t="shared" ca="1" si="21"/>
        <v>No</v>
      </c>
      <c r="Q92" t="str" cm="1">
        <f t="array" aca="1" ref="Q92" ca="1">INDEX(sheet2!$C$2:$C$6, RANDBETWEEN(1, 5))</f>
        <v>Conflict Resolution</v>
      </c>
      <c r="R92" t="str">
        <f t="shared" ca="1" si="22"/>
        <v>Completed</v>
      </c>
      <c r="S92">
        <f ca="1">Table1[[#This Row],[Hire Date]]-Table1[[#This Row],[Job Posting Date]]</f>
        <v>45</v>
      </c>
    </row>
    <row r="93" spans="1:19" x14ac:dyDescent="0.2">
      <c r="A93" t="str">
        <f t="shared" si="13"/>
        <v>EMP092</v>
      </c>
      <c r="B93" t="str">
        <f t="shared" ca="1" si="14"/>
        <v>Female</v>
      </c>
      <c r="C93" t="str" cm="1">
        <f t="array" aca="1" ref="C93" ca="1">INDEX(sheet2!$A$2:$A$6, RANDBETWEEN(1, 5))</f>
        <v>Analytics</v>
      </c>
      <c r="D93" t="str">
        <f ca="1">_xlfn.XLOOKUP(Table1[[#This Row],[Department]],sheet2!$A$2:$A$6,sheet2!$B$2:$B$6,_xleta.NA,0)</f>
        <v>Data Analyst</v>
      </c>
      <c r="E93" s="1">
        <f t="shared" ca="1" si="15"/>
        <v>43125</v>
      </c>
      <c r="F93" s="1">
        <f ca="1">Table1[[#This Row],[Job Posting Date]]+ RANDBETWEEN(15, 90)</f>
        <v>43212</v>
      </c>
      <c r="G93" s="1">
        <f ca="1">Table1[[#This Row],[Hire Date]]+ RANDBETWEEN(1, 15)</f>
        <v>43219</v>
      </c>
      <c r="H93" s="1" t="str">
        <f ca="1">IF(RAND() &lt; 0.5,  Table1[[#This Row],[Join Date]]+ RANDBETWEEN(30, TODAY()- Table1[[#This Row],[Join Date]]), "-")</f>
        <v>-</v>
      </c>
      <c r="I93" t="str">
        <f ca="1">IF(Table1[[#This Row],[Exit Date]]= "-", "Active", "Exited")</f>
        <v>Active</v>
      </c>
      <c r="J93" s="5">
        <f t="shared" ca="1" si="16"/>
        <v>4934</v>
      </c>
      <c r="K93">
        <f ca="1">Table1[[#This Row],[Offers Made]]*2</f>
        <v>14</v>
      </c>
      <c r="L93">
        <f t="shared" ca="1" si="17"/>
        <v>7</v>
      </c>
      <c r="M93">
        <f t="shared" ca="1" si="18"/>
        <v>3</v>
      </c>
      <c r="N93" t="str">
        <f t="shared" ca="1" si="19"/>
        <v>Job Portals</v>
      </c>
      <c r="O93">
        <f t="shared" ca="1" si="20"/>
        <v>2</v>
      </c>
      <c r="P93" t="str">
        <f t="shared" ca="1" si="21"/>
        <v>No</v>
      </c>
      <c r="Q93" t="str" cm="1">
        <f t="array" aca="1" ref="Q93" ca="1">INDEX(sheet2!$C$2:$C$6, RANDBETWEEN(1, 5))</f>
        <v>Conflict Resolution</v>
      </c>
      <c r="R93" t="str">
        <f t="shared" ca="1" si="22"/>
        <v>Not Completed</v>
      </c>
      <c r="S93">
        <f ca="1">Table1[[#This Row],[Hire Date]]-Table1[[#This Row],[Job Posting Date]]</f>
        <v>87</v>
      </c>
    </row>
    <row r="94" spans="1:19" x14ac:dyDescent="0.2">
      <c r="A94" t="str">
        <f t="shared" si="13"/>
        <v>EMP093</v>
      </c>
      <c r="B94" t="str">
        <f t="shared" ca="1" si="14"/>
        <v>Female</v>
      </c>
      <c r="C94" t="str" cm="1">
        <f t="array" aca="1" ref="C94" ca="1">INDEX(sheet2!$A$2:$A$6, RANDBETWEEN(1, 5))</f>
        <v>Analytics</v>
      </c>
      <c r="D94" t="str">
        <f ca="1">_xlfn.XLOOKUP(Table1[[#This Row],[Department]],sheet2!$A$2:$A$6,sheet2!$B$2:$B$6,_xleta.NA,0)</f>
        <v>Data Analyst</v>
      </c>
      <c r="E94" s="1">
        <f t="shared" ca="1" si="15"/>
        <v>43363</v>
      </c>
      <c r="F94" s="1">
        <f ca="1">Table1[[#This Row],[Job Posting Date]]+ RANDBETWEEN(15, 90)</f>
        <v>43400</v>
      </c>
      <c r="G94" s="1">
        <f ca="1">Table1[[#This Row],[Hire Date]]+ RANDBETWEEN(1, 15)</f>
        <v>43403</v>
      </c>
      <c r="H94" s="1" t="str">
        <f ca="1">IF(RAND() &lt; 0.5,  Table1[[#This Row],[Join Date]]+ RANDBETWEEN(30, TODAY()- Table1[[#This Row],[Join Date]]), "-")</f>
        <v>-</v>
      </c>
      <c r="I94" t="str">
        <f ca="1">IF(Table1[[#This Row],[Exit Date]]= "-", "Active", "Exited")</f>
        <v>Active</v>
      </c>
      <c r="J94" s="5">
        <f t="shared" ca="1" si="16"/>
        <v>3659</v>
      </c>
      <c r="K94">
        <f ca="1">Table1[[#This Row],[Offers Made]]*2</f>
        <v>14</v>
      </c>
      <c r="L94">
        <f t="shared" ca="1" si="17"/>
        <v>7</v>
      </c>
      <c r="M94">
        <f t="shared" ca="1" si="18"/>
        <v>3</v>
      </c>
      <c r="N94" t="str">
        <f t="shared" ca="1" si="19"/>
        <v>Campus Placements</v>
      </c>
      <c r="O94">
        <f t="shared" ca="1" si="20"/>
        <v>5</v>
      </c>
      <c r="P94" t="str">
        <f t="shared" ca="1" si="21"/>
        <v>No</v>
      </c>
      <c r="Q94" t="str" cm="1">
        <f t="array" aca="1" ref="Q94" ca="1">INDEX(sheet2!$C$2:$C$6, RANDBETWEEN(1, 5))</f>
        <v>Advanced Excel Skills </v>
      </c>
      <c r="R94" t="str">
        <f t="shared" ca="1" si="22"/>
        <v>Not Completed</v>
      </c>
      <c r="S94">
        <f ca="1">Table1[[#This Row],[Hire Date]]-Table1[[#This Row],[Job Posting Date]]</f>
        <v>37</v>
      </c>
    </row>
    <row r="95" spans="1:19" x14ac:dyDescent="0.2">
      <c r="A95" t="str">
        <f t="shared" si="13"/>
        <v>EMP094</v>
      </c>
      <c r="B95" t="str">
        <f t="shared" ca="1" si="14"/>
        <v>Male</v>
      </c>
      <c r="C95" t="str" cm="1">
        <f t="array" aca="1" ref="C95" ca="1">INDEX(sheet2!$A$2:$A$6, RANDBETWEEN(1, 5))</f>
        <v>Analytics</v>
      </c>
      <c r="D95" t="str">
        <f ca="1">_xlfn.XLOOKUP(Table1[[#This Row],[Department]],sheet2!$A$2:$A$6,sheet2!$B$2:$B$6,_xleta.NA,0)</f>
        <v>Data Analyst</v>
      </c>
      <c r="E95" s="1">
        <f t="shared" ca="1" si="15"/>
        <v>44151</v>
      </c>
      <c r="F95" s="1">
        <f ca="1">Table1[[#This Row],[Job Posting Date]]+ RANDBETWEEN(15, 90)</f>
        <v>44226</v>
      </c>
      <c r="G95" s="1">
        <f ca="1">Table1[[#This Row],[Hire Date]]+ RANDBETWEEN(1, 15)</f>
        <v>44228</v>
      </c>
      <c r="H95" s="1">
        <f ca="1">IF(RAND() &lt; 0.5,  Table1[[#This Row],[Join Date]]+ RANDBETWEEN(30, TODAY()- Table1[[#This Row],[Join Date]]), "-")</f>
        <v>44294</v>
      </c>
      <c r="I95" t="str">
        <f ca="1">IF(Table1[[#This Row],[Exit Date]]= "-", "Active", "Exited")</f>
        <v>Exited</v>
      </c>
      <c r="J95" s="5">
        <f t="shared" ca="1" si="16"/>
        <v>3422</v>
      </c>
      <c r="K95">
        <f ca="1">Table1[[#This Row],[Offers Made]]*2</f>
        <v>14</v>
      </c>
      <c r="L95">
        <f t="shared" ca="1" si="17"/>
        <v>7</v>
      </c>
      <c r="M95">
        <f t="shared" ca="1" si="18"/>
        <v>2</v>
      </c>
      <c r="N95" t="str">
        <f t="shared" ca="1" si="19"/>
        <v>Employee Referrals</v>
      </c>
      <c r="O95">
        <f t="shared" ca="1" si="20"/>
        <v>2</v>
      </c>
      <c r="P95" t="str">
        <f t="shared" ca="1" si="21"/>
        <v>No</v>
      </c>
      <c r="Q95" t="str" cm="1">
        <f t="array" aca="1" ref="Q95" ca="1">INDEX(sheet2!$C$2:$C$6, RANDBETWEEN(1, 5))</f>
        <v>Ethics and Responsibilities</v>
      </c>
      <c r="R95" t="str">
        <f t="shared" ca="1" si="22"/>
        <v>Not Completed</v>
      </c>
      <c r="S95">
        <f ca="1">Table1[[#This Row],[Hire Date]]-Table1[[#This Row],[Job Posting Date]]</f>
        <v>75</v>
      </c>
    </row>
    <row r="96" spans="1:19" x14ac:dyDescent="0.2">
      <c r="A96" t="str">
        <f t="shared" si="13"/>
        <v>EMP095</v>
      </c>
      <c r="B96" t="str">
        <f t="shared" ca="1" si="14"/>
        <v>Female</v>
      </c>
      <c r="C96" t="str" cm="1">
        <f t="array" aca="1" ref="C96" ca="1">INDEX(sheet2!$A$2:$A$6, RANDBETWEEN(1, 5))</f>
        <v>IT</v>
      </c>
      <c r="D96" t="str">
        <f ca="1">_xlfn.XLOOKUP(Table1[[#This Row],[Department]],sheet2!$A$2:$A$6,sheet2!$B$2:$B$6,_xleta.NA,0)</f>
        <v>Software Engineer</v>
      </c>
      <c r="E96" s="1">
        <f t="shared" ca="1" si="15"/>
        <v>44656</v>
      </c>
      <c r="F96" s="1">
        <f ca="1">Table1[[#This Row],[Job Posting Date]]+ RANDBETWEEN(15, 90)</f>
        <v>44723</v>
      </c>
      <c r="G96" s="1">
        <f ca="1">Table1[[#This Row],[Hire Date]]+ RANDBETWEEN(1, 15)</f>
        <v>44733</v>
      </c>
      <c r="H96" s="1">
        <f ca="1">IF(RAND() &lt; 0.5,  Table1[[#This Row],[Join Date]]+ RANDBETWEEN(30, TODAY()- Table1[[#This Row],[Join Date]]), "-")</f>
        <v>44972</v>
      </c>
      <c r="I96" t="str">
        <f ca="1">IF(Table1[[#This Row],[Exit Date]]= "-", "Active", "Exited")</f>
        <v>Exited</v>
      </c>
      <c r="J96" s="5">
        <f t="shared" ca="1" si="16"/>
        <v>2885</v>
      </c>
      <c r="K96">
        <f ca="1">Table1[[#This Row],[Offers Made]]*2</f>
        <v>10</v>
      </c>
      <c r="L96">
        <f t="shared" ca="1" si="17"/>
        <v>5</v>
      </c>
      <c r="M96">
        <f t="shared" ca="1" si="18"/>
        <v>3</v>
      </c>
      <c r="N96" t="str">
        <f t="shared" ca="1" si="19"/>
        <v>Direct Hiring</v>
      </c>
      <c r="O96">
        <f t="shared" ca="1" si="20"/>
        <v>2</v>
      </c>
      <c r="P96" t="str">
        <f t="shared" ca="1" si="21"/>
        <v>Yes</v>
      </c>
      <c r="Q96" t="str" cm="1">
        <f t="array" aca="1" ref="Q96" ca="1">INDEX(sheet2!$C$2:$C$6, RANDBETWEEN(1, 5))</f>
        <v>Ethics and Responsibilities</v>
      </c>
      <c r="R96" t="str">
        <f t="shared" ca="1" si="22"/>
        <v>Not Completed</v>
      </c>
      <c r="S96">
        <f ca="1">Table1[[#This Row],[Hire Date]]-Table1[[#This Row],[Job Posting Date]]</f>
        <v>67</v>
      </c>
    </row>
    <row r="97" spans="1:19" x14ac:dyDescent="0.2">
      <c r="A97" t="str">
        <f t="shared" si="13"/>
        <v>EMP096</v>
      </c>
      <c r="B97" t="str">
        <f t="shared" ca="1" si="14"/>
        <v>Female</v>
      </c>
      <c r="C97" t="str" cm="1">
        <f t="array" aca="1" ref="C97" ca="1">INDEX(sheet2!$A$2:$A$6, RANDBETWEEN(1, 5))</f>
        <v>Finance</v>
      </c>
      <c r="D97" t="str">
        <f ca="1">_xlfn.XLOOKUP(Table1[[#This Row],[Department]],sheet2!$A$2:$A$6,sheet2!$B$2:$B$6,_xleta.NA,0)</f>
        <v>Finance Manager</v>
      </c>
      <c r="E97" s="1">
        <f t="shared" ca="1" si="15"/>
        <v>44242</v>
      </c>
      <c r="F97" s="1">
        <f ca="1">Table1[[#This Row],[Job Posting Date]]+ RANDBETWEEN(15, 90)</f>
        <v>44269</v>
      </c>
      <c r="G97" s="1">
        <f ca="1">Table1[[#This Row],[Hire Date]]+ RANDBETWEEN(1, 15)</f>
        <v>44274</v>
      </c>
      <c r="H97" s="1" t="str">
        <f ca="1">IF(RAND() &lt; 0.5,  Table1[[#This Row],[Join Date]]+ RANDBETWEEN(30, TODAY()- Table1[[#This Row],[Join Date]]), "-")</f>
        <v>-</v>
      </c>
      <c r="I97" t="str">
        <f ca="1">IF(Table1[[#This Row],[Exit Date]]= "-", "Active", "Exited")</f>
        <v>Active</v>
      </c>
      <c r="J97" s="5">
        <f t="shared" ca="1" si="16"/>
        <v>4372</v>
      </c>
      <c r="K97">
        <f ca="1">Table1[[#This Row],[Offers Made]]*2</f>
        <v>12</v>
      </c>
      <c r="L97">
        <f t="shared" ca="1" si="17"/>
        <v>6</v>
      </c>
      <c r="M97">
        <f t="shared" ca="1" si="18"/>
        <v>5</v>
      </c>
      <c r="N97" t="str">
        <f t="shared" ca="1" si="19"/>
        <v>Direct Hiring</v>
      </c>
      <c r="O97">
        <f t="shared" ca="1" si="20"/>
        <v>4</v>
      </c>
      <c r="P97" t="str">
        <f t="shared" ca="1" si="21"/>
        <v>No</v>
      </c>
      <c r="Q97" t="str" cm="1">
        <f t="array" aca="1" ref="Q97" ca="1">INDEX(sheet2!$C$2:$C$6, RANDBETWEEN(1, 5))</f>
        <v>Advanced Excel Skills </v>
      </c>
      <c r="R97" t="str">
        <f t="shared" ca="1" si="22"/>
        <v>Completed</v>
      </c>
      <c r="S97">
        <f ca="1">Table1[[#This Row],[Hire Date]]-Table1[[#This Row],[Job Posting Date]]</f>
        <v>27</v>
      </c>
    </row>
    <row r="98" spans="1:19" x14ac:dyDescent="0.2">
      <c r="A98" t="str">
        <f t="shared" si="13"/>
        <v>EMP097</v>
      </c>
      <c r="B98" t="str">
        <f t="shared" ca="1" si="14"/>
        <v>Female</v>
      </c>
      <c r="C98" t="str" cm="1">
        <f t="array" aca="1" ref="C98" ca="1">INDEX(sheet2!$A$2:$A$6, RANDBETWEEN(1, 5))</f>
        <v>IT</v>
      </c>
      <c r="D98" t="str">
        <f ca="1">_xlfn.XLOOKUP(Table1[[#This Row],[Department]],sheet2!$A$2:$A$6,sheet2!$B$2:$B$6,_xleta.NA,0)</f>
        <v>Software Engineer</v>
      </c>
      <c r="E98" s="1">
        <f t="shared" ca="1" si="15"/>
        <v>43894</v>
      </c>
      <c r="F98" s="1">
        <f ca="1">Table1[[#This Row],[Job Posting Date]]+ RANDBETWEEN(15, 90)</f>
        <v>43955</v>
      </c>
      <c r="G98" s="1">
        <f ca="1">Table1[[#This Row],[Hire Date]]+ RANDBETWEEN(1, 15)</f>
        <v>43957</v>
      </c>
      <c r="H98" s="1">
        <f ca="1">IF(RAND() &lt; 0.5,  Table1[[#This Row],[Join Date]]+ RANDBETWEEN(30, TODAY()- Table1[[#This Row],[Join Date]]), "-")</f>
        <v>44001</v>
      </c>
      <c r="I98" t="str">
        <f ca="1">IF(Table1[[#This Row],[Exit Date]]= "-", "Active", "Exited")</f>
        <v>Exited</v>
      </c>
      <c r="J98" s="5">
        <f t="shared" ca="1" si="16"/>
        <v>3592</v>
      </c>
      <c r="K98">
        <f ca="1">Table1[[#This Row],[Offers Made]]*2</f>
        <v>6</v>
      </c>
      <c r="L98">
        <f t="shared" ca="1" si="17"/>
        <v>3</v>
      </c>
      <c r="M98">
        <f t="shared" ca="1" si="18"/>
        <v>1</v>
      </c>
      <c r="N98" t="str">
        <f t="shared" ca="1" si="19"/>
        <v>Direct Hiring</v>
      </c>
      <c r="O98">
        <f t="shared" ca="1" si="20"/>
        <v>3</v>
      </c>
      <c r="P98" t="str">
        <f t="shared" ca="1" si="21"/>
        <v>Yes</v>
      </c>
      <c r="Q98" t="str" cm="1">
        <f t="array" aca="1" ref="Q98" ca="1">INDEX(sheet2!$C$2:$C$6, RANDBETWEEN(1, 5))</f>
        <v>Advanced Excel Skills </v>
      </c>
      <c r="R98" t="str">
        <f t="shared" ca="1" si="22"/>
        <v>Completed</v>
      </c>
      <c r="S98">
        <f ca="1">Table1[[#This Row],[Hire Date]]-Table1[[#This Row],[Job Posting Date]]</f>
        <v>61</v>
      </c>
    </row>
    <row r="99" spans="1:19" x14ac:dyDescent="0.2">
      <c r="A99" t="str">
        <f t="shared" si="13"/>
        <v>EMP098</v>
      </c>
      <c r="B99" t="str">
        <f t="shared" ca="1" si="14"/>
        <v>Male</v>
      </c>
      <c r="C99" t="str" cm="1">
        <f t="array" aca="1" ref="C99" ca="1">INDEX(sheet2!$A$2:$A$6, RANDBETWEEN(1, 5))</f>
        <v>Finance</v>
      </c>
      <c r="D99" t="str">
        <f ca="1">_xlfn.XLOOKUP(Table1[[#This Row],[Department]],sheet2!$A$2:$A$6,sheet2!$B$2:$B$6,_xleta.NA,0)</f>
        <v>Finance Manager</v>
      </c>
      <c r="E99" s="1">
        <f t="shared" ca="1" si="15"/>
        <v>44783</v>
      </c>
      <c r="F99" s="1">
        <f ca="1">Table1[[#This Row],[Job Posting Date]]+ RANDBETWEEN(15, 90)</f>
        <v>44845</v>
      </c>
      <c r="G99" s="1">
        <f ca="1">Table1[[#This Row],[Hire Date]]+ RANDBETWEEN(1, 15)</f>
        <v>44848</v>
      </c>
      <c r="H99" s="1" t="str">
        <f ca="1">IF(RAND() &lt; 0.5,  Table1[[#This Row],[Join Date]]+ RANDBETWEEN(30, TODAY()- Table1[[#This Row],[Join Date]]), "-")</f>
        <v>-</v>
      </c>
      <c r="I99" t="str">
        <f ca="1">IF(Table1[[#This Row],[Exit Date]]= "-", "Active", "Exited")</f>
        <v>Active</v>
      </c>
      <c r="J99" s="5">
        <f t="shared" ca="1" si="16"/>
        <v>4010</v>
      </c>
      <c r="K99">
        <f ca="1">Table1[[#This Row],[Offers Made]]*2</f>
        <v>6</v>
      </c>
      <c r="L99">
        <f t="shared" ca="1" si="17"/>
        <v>3</v>
      </c>
      <c r="M99">
        <f t="shared" ca="1" si="18"/>
        <v>2</v>
      </c>
      <c r="N99" t="str">
        <f t="shared" ca="1" si="19"/>
        <v>Direct Hiring</v>
      </c>
      <c r="O99">
        <f t="shared" ca="1" si="20"/>
        <v>5</v>
      </c>
      <c r="P99" t="str">
        <f t="shared" ca="1" si="21"/>
        <v>Yes</v>
      </c>
      <c r="Q99" t="str" cm="1">
        <f t="array" aca="1" ref="Q99" ca="1">INDEX(sheet2!$C$2:$C$6, RANDBETWEEN(1, 5))</f>
        <v>Ethics and Responsibilities</v>
      </c>
      <c r="R99" t="str">
        <f t="shared" ca="1" si="22"/>
        <v>Completed</v>
      </c>
      <c r="S99">
        <f ca="1">Table1[[#This Row],[Hire Date]]-Table1[[#This Row],[Job Posting Date]]</f>
        <v>62</v>
      </c>
    </row>
    <row r="100" spans="1:19" x14ac:dyDescent="0.2">
      <c r="A100" t="str">
        <f t="shared" si="13"/>
        <v>EMP099</v>
      </c>
      <c r="B100" t="str">
        <f t="shared" ca="1" si="14"/>
        <v>Male</v>
      </c>
      <c r="C100" t="str" cm="1">
        <f t="array" aca="1" ref="C100" ca="1">INDEX(sheet2!$A$2:$A$6, RANDBETWEEN(1, 5))</f>
        <v>IT</v>
      </c>
      <c r="D100" t="str">
        <f ca="1">_xlfn.XLOOKUP(Table1[[#This Row],[Department]],sheet2!$A$2:$A$6,sheet2!$B$2:$B$6,_xleta.NA,0)</f>
        <v>Software Engineer</v>
      </c>
      <c r="E100" s="1">
        <f t="shared" ca="1" si="15"/>
        <v>43531</v>
      </c>
      <c r="F100" s="1">
        <f ca="1">Table1[[#This Row],[Job Posting Date]]+ RANDBETWEEN(15, 90)</f>
        <v>43606</v>
      </c>
      <c r="G100" s="1">
        <f ca="1">Table1[[#This Row],[Hire Date]]+ RANDBETWEEN(1, 15)</f>
        <v>43609</v>
      </c>
      <c r="H100" s="1" t="str">
        <f ca="1">IF(RAND() &lt; 0.5,  Table1[[#This Row],[Join Date]]+ RANDBETWEEN(30, TODAY()- Table1[[#This Row],[Join Date]]), "-")</f>
        <v>-</v>
      </c>
      <c r="I100" t="str">
        <f ca="1">IF(Table1[[#This Row],[Exit Date]]= "-", "Active", "Exited")</f>
        <v>Active</v>
      </c>
      <c r="J100" s="5">
        <f t="shared" ca="1" si="16"/>
        <v>1757</v>
      </c>
      <c r="K100">
        <f ca="1">Table1[[#This Row],[Offers Made]]*2</f>
        <v>6</v>
      </c>
      <c r="L100">
        <f t="shared" ca="1" si="17"/>
        <v>3</v>
      </c>
      <c r="M100">
        <f t="shared" ca="1" si="18"/>
        <v>2</v>
      </c>
      <c r="N100" t="str">
        <f t="shared" ca="1" si="19"/>
        <v>Job Portals</v>
      </c>
      <c r="O100">
        <f t="shared" ca="1" si="20"/>
        <v>2</v>
      </c>
      <c r="P100" t="str">
        <f t="shared" ca="1" si="21"/>
        <v>Yes</v>
      </c>
      <c r="Q100" t="str" cm="1">
        <f t="array" aca="1" ref="Q100" ca="1">INDEX(sheet2!$C$2:$C$6, RANDBETWEEN(1, 5))</f>
        <v>Ethics and Responsibilities</v>
      </c>
      <c r="R100" t="str">
        <f t="shared" ca="1" si="22"/>
        <v>Completed</v>
      </c>
      <c r="S100">
        <f ca="1">Table1[[#This Row],[Hire Date]]-Table1[[#This Row],[Job Posting Date]]</f>
        <v>75</v>
      </c>
    </row>
    <row r="101" spans="1:19" x14ac:dyDescent="0.2">
      <c r="A101" t="str">
        <f t="shared" si="13"/>
        <v>EMP100</v>
      </c>
      <c r="B101" t="str">
        <f t="shared" ca="1" si="14"/>
        <v>Male</v>
      </c>
      <c r="C101" t="str" cm="1">
        <f t="array" aca="1" ref="C101" ca="1">INDEX(sheet2!$A$2:$A$6, RANDBETWEEN(1, 5))</f>
        <v>Analytics</v>
      </c>
      <c r="D101" t="str">
        <f ca="1">_xlfn.XLOOKUP(Table1[[#This Row],[Department]],sheet2!$A$2:$A$6,sheet2!$B$2:$B$6,_xleta.NA,0)</f>
        <v>Data Analyst</v>
      </c>
      <c r="E101" s="1">
        <f t="shared" ca="1" si="15"/>
        <v>43545</v>
      </c>
      <c r="F101" s="1">
        <f ca="1">Table1[[#This Row],[Job Posting Date]]+ RANDBETWEEN(15, 90)</f>
        <v>43613</v>
      </c>
      <c r="G101" s="1">
        <f ca="1">Table1[[#This Row],[Hire Date]]+ RANDBETWEEN(1, 15)</f>
        <v>43625</v>
      </c>
      <c r="H101" s="1" t="str">
        <f ca="1">IF(RAND() &lt; 0.5,  Table1[[#This Row],[Join Date]]+ RANDBETWEEN(30, TODAY()- Table1[[#This Row],[Join Date]]), "-")</f>
        <v>-</v>
      </c>
      <c r="I101" t="str">
        <f ca="1">IF(Table1[[#This Row],[Exit Date]]= "-", "Active", "Exited")</f>
        <v>Active</v>
      </c>
      <c r="J101" s="5">
        <f t="shared" ca="1" si="16"/>
        <v>3444</v>
      </c>
      <c r="K101">
        <f ca="1">Table1[[#This Row],[Offers Made]]*2</f>
        <v>10</v>
      </c>
      <c r="L101">
        <f t="shared" ca="1" si="17"/>
        <v>5</v>
      </c>
      <c r="M101">
        <f t="shared" ca="1" si="18"/>
        <v>4</v>
      </c>
      <c r="N101" t="str">
        <f t="shared" ca="1" si="19"/>
        <v>Employee Referrals</v>
      </c>
      <c r="O101">
        <f t="shared" ca="1" si="20"/>
        <v>4</v>
      </c>
      <c r="P101" t="str">
        <f t="shared" ca="1" si="21"/>
        <v>Yes</v>
      </c>
      <c r="Q101" t="str" cm="1">
        <f t="array" aca="1" ref="Q101" ca="1">INDEX(sheet2!$C$2:$C$6, RANDBETWEEN(1, 5))</f>
        <v>Conflict Resolution</v>
      </c>
      <c r="R101" t="str">
        <f t="shared" ca="1" si="22"/>
        <v>Completed</v>
      </c>
      <c r="S101">
        <f ca="1">Table1[[#This Row],[Hire Date]]-Table1[[#This Row],[Job Posting Date]]</f>
        <v>68</v>
      </c>
    </row>
    <row r="102" spans="1:19" x14ac:dyDescent="0.2">
      <c r="A102" t="str">
        <f t="shared" si="13"/>
        <v>EMP101</v>
      </c>
      <c r="B102" t="str">
        <f t="shared" ca="1" si="14"/>
        <v>Female</v>
      </c>
      <c r="C102" t="str" cm="1">
        <f t="array" aca="1" ref="C102" ca="1">INDEX(sheet2!$A$2:$A$6, RANDBETWEEN(1, 5))</f>
        <v>Sales</v>
      </c>
      <c r="D102" t="str">
        <f ca="1">_xlfn.XLOOKUP(Table1[[#This Row],[Department]],sheet2!$A$2:$A$6,sheet2!$B$2:$B$6,_xleta.NA,0)</f>
        <v>Marketing Manager</v>
      </c>
      <c r="E102" s="1">
        <f t="shared" ref="E102:E165" ca="1" si="23">DATE(RANDBETWEEN(2018, 2022), RANDBETWEEN(1, 12), RANDBETWEEN(1, 28))</f>
        <v>43712</v>
      </c>
      <c r="F102" s="1">
        <f ca="1">Table1[[#This Row],[Job Posting Date]]+ RANDBETWEEN(15, 90)</f>
        <v>43782</v>
      </c>
      <c r="G102" s="1">
        <f ca="1">Table1[[#This Row],[Hire Date]]+ RANDBETWEEN(1, 15)</f>
        <v>43792</v>
      </c>
      <c r="H102" s="1" t="str">
        <f ca="1">IF(RAND() &lt; 0.5,  Table1[[#This Row],[Join Date]]+ RANDBETWEEN(30, TODAY()- Table1[[#This Row],[Join Date]]), "-")</f>
        <v>-</v>
      </c>
      <c r="I102" t="str">
        <f ca="1">IF(Table1[[#This Row],[Exit Date]]= "-", "Active", "Exited")</f>
        <v>Active</v>
      </c>
      <c r="J102" s="5">
        <f t="shared" ref="J102:J165" ca="1" si="24">RANDBETWEEN(1500, 5000)</f>
        <v>4993</v>
      </c>
      <c r="K102">
        <f ca="1">Table1[[#This Row],[Offers Made]]*2</f>
        <v>10</v>
      </c>
      <c r="L102">
        <f t="shared" ca="1" si="17"/>
        <v>5</v>
      </c>
      <c r="M102">
        <f t="shared" ca="1" si="18"/>
        <v>4</v>
      </c>
      <c r="N102" t="str">
        <f t="shared" ca="1" si="19"/>
        <v>Job Portals</v>
      </c>
      <c r="O102">
        <f t="shared" ca="1" si="20"/>
        <v>1</v>
      </c>
      <c r="P102" t="str">
        <f t="shared" ca="1" si="21"/>
        <v>No</v>
      </c>
      <c r="Q102" t="str" cm="1">
        <f t="array" aca="1" ref="Q102" ca="1">INDEX(sheet2!$C$2:$C$6, RANDBETWEEN(1, 5))</f>
        <v>Conflict Resolution</v>
      </c>
      <c r="R102" t="str">
        <f t="shared" ref="R102:R165" ca="1" si="25">IF(RAND() &lt; 0.7, "Completed", "Not Completed")</f>
        <v>Completed</v>
      </c>
      <c r="S102">
        <f ca="1">Table1[[#This Row],[Hire Date]]-Table1[[#This Row],[Job Posting Date]]</f>
        <v>70</v>
      </c>
    </row>
    <row r="103" spans="1:19" x14ac:dyDescent="0.2">
      <c r="A103" t="str">
        <f t="shared" si="13"/>
        <v>EMP102</v>
      </c>
      <c r="B103" t="str">
        <f t="shared" ca="1" si="14"/>
        <v>Male</v>
      </c>
      <c r="C103" t="str" cm="1">
        <f t="array" aca="1" ref="C103" ca="1">INDEX(sheet2!$A$2:$A$6, RANDBETWEEN(1, 5))</f>
        <v>Sales</v>
      </c>
      <c r="D103" t="str">
        <f ca="1">_xlfn.XLOOKUP(Table1[[#This Row],[Department]],sheet2!$A$2:$A$6,sheet2!$B$2:$B$6,_xleta.NA,0)</f>
        <v>Marketing Manager</v>
      </c>
      <c r="E103" s="1">
        <f t="shared" ca="1" si="23"/>
        <v>43423</v>
      </c>
      <c r="F103" s="1">
        <f ca="1">Table1[[#This Row],[Job Posting Date]]+ RANDBETWEEN(15, 90)</f>
        <v>43468</v>
      </c>
      <c r="G103" s="1">
        <f ca="1">Table1[[#This Row],[Hire Date]]+ RANDBETWEEN(1, 15)</f>
        <v>43471</v>
      </c>
      <c r="H103" s="1" t="str">
        <f ca="1">IF(RAND() &lt; 0.5,  Table1[[#This Row],[Join Date]]+ RANDBETWEEN(30, TODAY()- Table1[[#This Row],[Join Date]]), "-")</f>
        <v>-</v>
      </c>
      <c r="I103" t="str">
        <f ca="1">IF(Table1[[#This Row],[Exit Date]]= "-", "Active", "Exited")</f>
        <v>Active</v>
      </c>
      <c r="J103" s="5">
        <f t="shared" ca="1" si="24"/>
        <v>4084</v>
      </c>
      <c r="K103">
        <f ca="1">Table1[[#This Row],[Offers Made]]*2</f>
        <v>6</v>
      </c>
      <c r="L103">
        <f t="shared" ca="1" si="17"/>
        <v>3</v>
      </c>
      <c r="M103">
        <f t="shared" ca="1" si="18"/>
        <v>1</v>
      </c>
      <c r="N103" t="str">
        <f t="shared" ca="1" si="19"/>
        <v>Job Portals</v>
      </c>
      <c r="O103">
        <f t="shared" ca="1" si="20"/>
        <v>1</v>
      </c>
      <c r="P103" t="str">
        <f t="shared" ca="1" si="21"/>
        <v>Yes</v>
      </c>
      <c r="Q103" t="str" cm="1">
        <f t="array" aca="1" ref="Q103" ca="1">INDEX(sheet2!$C$2:$C$6, RANDBETWEEN(1, 5))</f>
        <v>Ethics and Responsibilities</v>
      </c>
      <c r="R103" t="str">
        <f t="shared" ca="1" si="25"/>
        <v>Not Completed</v>
      </c>
      <c r="S103">
        <f ca="1">Table1[[#This Row],[Hire Date]]-Table1[[#This Row],[Job Posting Date]]</f>
        <v>45</v>
      </c>
    </row>
    <row r="104" spans="1:19" x14ac:dyDescent="0.2">
      <c r="A104" t="str">
        <f t="shared" si="13"/>
        <v>EMP103</v>
      </c>
      <c r="B104" t="str">
        <f t="shared" ca="1" si="14"/>
        <v>Male</v>
      </c>
      <c r="C104" t="str" cm="1">
        <f t="array" aca="1" ref="C104" ca="1">INDEX(sheet2!$A$2:$A$6, RANDBETWEEN(1, 5))</f>
        <v>Finance</v>
      </c>
      <c r="D104" t="str">
        <f ca="1">_xlfn.XLOOKUP(Table1[[#This Row],[Department]],sheet2!$A$2:$A$6,sheet2!$B$2:$B$6,_xleta.NA,0)</f>
        <v>Finance Manager</v>
      </c>
      <c r="E104" s="1">
        <f t="shared" ca="1" si="23"/>
        <v>43752</v>
      </c>
      <c r="F104" s="1">
        <f ca="1">Table1[[#This Row],[Job Posting Date]]+ RANDBETWEEN(15, 90)</f>
        <v>43787</v>
      </c>
      <c r="G104" s="1">
        <f ca="1">Table1[[#This Row],[Hire Date]]+ RANDBETWEEN(1, 15)</f>
        <v>43790</v>
      </c>
      <c r="H104" s="1">
        <f ca="1">IF(RAND() &lt; 0.5,  Table1[[#This Row],[Join Date]]+ RANDBETWEEN(30, TODAY()- Table1[[#This Row],[Join Date]]), "-")</f>
        <v>44392</v>
      </c>
      <c r="I104" t="str">
        <f ca="1">IF(Table1[[#This Row],[Exit Date]]= "-", "Active", "Exited")</f>
        <v>Exited</v>
      </c>
      <c r="J104" s="5">
        <f t="shared" ca="1" si="24"/>
        <v>2748</v>
      </c>
      <c r="K104">
        <f ca="1">Table1[[#This Row],[Offers Made]]*2</f>
        <v>16</v>
      </c>
      <c r="L104">
        <f t="shared" ca="1" si="17"/>
        <v>8</v>
      </c>
      <c r="M104">
        <f t="shared" ca="1" si="18"/>
        <v>2</v>
      </c>
      <c r="N104" t="str">
        <f t="shared" ca="1" si="19"/>
        <v>Employee Referrals</v>
      </c>
      <c r="O104">
        <f t="shared" ca="1" si="20"/>
        <v>1</v>
      </c>
      <c r="P104" t="str">
        <f t="shared" ca="1" si="21"/>
        <v>Yes</v>
      </c>
      <c r="Q104" t="str" cm="1">
        <f t="array" aca="1" ref="Q104" ca="1">INDEX(sheet2!$C$2:$C$6, RANDBETWEEN(1, 5))</f>
        <v>Communication Skills</v>
      </c>
      <c r="R104" t="str">
        <f t="shared" ca="1" si="25"/>
        <v>Completed</v>
      </c>
      <c r="S104">
        <f ca="1">Table1[[#This Row],[Hire Date]]-Table1[[#This Row],[Job Posting Date]]</f>
        <v>35</v>
      </c>
    </row>
    <row r="105" spans="1:19" x14ac:dyDescent="0.2">
      <c r="A105" t="str">
        <f t="shared" si="13"/>
        <v>EMP104</v>
      </c>
      <c r="B105" t="str">
        <f t="shared" ca="1" si="14"/>
        <v>Male</v>
      </c>
      <c r="C105" t="str" cm="1">
        <f t="array" aca="1" ref="C105" ca="1">INDEX(sheet2!$A$2:$A$6, RANDBETWEEN(1, 5))</f>
        <v>Finance</v>
      </c>
      <c r="D105" t="str">
        <f ca="1">_xlfn.XLOOKUP(Table1[[#This Row],[Department]],sheet2!$A$2:$A$6,sheet2!$B$2:$B$6,_xleta.NA,0)</f>
        <v>Finance Manager</v>
      </c>
      <c r="E105" s="1">
        <f t="shared" ca="1" si="23"/>
        <v>43663</v>
      </c>
      <c r="F105" s="1">
        <f ca="1">Table1[[#This Row],[Job Posting Date]]+ RANDBETWEEN(15, 90)</f>
        <v>43732</v>
      </c>
      <c r="G105" s="1">
        <f ca="1">Table1[[#This Row],[Hire Date]]+ RANDBETWEEN(1, 15)</f>
        <v>43745</v>
      </c>
      <c r="H105" s="1">
        <f ca="1">IF(RAND() &lt; 0.5,  Table1[[#This Row],[Join Date]]+ RANDBETWEEN(30, TODAY()- Table1[[#This Row],[Join Date]]), "-")</f>
        <v>44409</v>
      </c>
      <c r="I105" t="str">
        <f ca="1">IF(Table1[[#This Row],[Exit Date]]= "-", "Active", "Exited")</f>
        <v>Exited</v>
      </c>
      <c r="J105" s="5">
        <f t="shared" ca="1" si="24"/>
        <v>3736</v>
      </c>
      <c r="K105">
        <f ca="1">Table1[[#This Row],[Offers Made]]*2</f>
        <v>10</v>
      </c>
      <c r="L105">
        <f t="shared" ca="1" si="17"/>
        <v>5</v>
      </c>
      <c r="M105">
        <f t="shared" ca="1" si="18"/>
        <v>3</v>
      </c>
      <c r="N105" t="str">
        <f t="shared" ca="1" si="19"/>
        <v>Job Portals</v>
      </c>
      <c r="O105">
        <f t="shared" ca="1" si="20"/>
        <v>4</v>
      </c>
      <c r="P105" t="str">
        <f t="shared" ca="1" si="21"/>
        <v>Yes</v>
      </c>
      <c r="Q105" t="str" cm="1">
        <f t="array" aca="1" ref="Q105" ca="1">INDEX(sheet2!$C$2:$C$6, RANDBETWEEN(1, 5))</f>
        <v>Communication Skills</v>
      </c>
      <c r="R105" t="str">
        <f t="shared" ca="1" si="25"/>
        <v>Not Completed</v>
      </c>
      <c r="S105">
        <f ca="1">Table1[[#This Row],[Hire Date]]-Table1[[#This Row],[Job Posting Date]]</f>
        <v>69</v>
      </c>
    </row>
    <row r="106" spans="1:19" x14ac:dyDescent="0.2">
      <c r="A106" t="str">
        <f t="shared" si="13"/>
        <v>EMP105</v>
      </c>
      <c r="B106" t="str">
        <f t="shared" ca="1" si="14"/>
        <v>Female</v>
      </c>
      <c r="C106" t="str" cm="1">
        <f t="array" aca="1" ref="C106" ca="1">INDEX(sheet2!$A$2:$A$6, RANDBETWEEN(1, 5))</f>
        <v>Analytics</v>
      </c>
      <c r="D106" t="str">
        <f ca="1">_xlfn.XLOOKUP(Table1[[#This Row],[Department]],sheet2!$A$2:$A$6,sheet2!$B$2:$B$6,_xleta.NA,0)</f>
        <v>Data Analyst</v>
      </c>
      <c r="E106" s="1">
        <f t="shared" ca="1" si="23"/>
        <v>43872</v>
      </c>
      <c r="F106" s="1">
        <f ca="1">Table1[[#This Row],[Job Posting Date]]+ RANDBETWEEN(15, 90)</f>
        <v>43950</v>
      </c>
      <c r="G106" s="1">
        <f ca="1">Table1[[#This Row],[Hire Date]]+ RANDBETWEEN(1, 15)</f>
        <v>43961</v>
      </c>
      <c r="H106" s="1" t="str">
        <f ca="1">IF(RAND() &lt; 0.5,  Table1[[#This Row],[Join Date]]+ RANDBETWEEN(30, TODAY()- Table1[[#This Row],[Join Date]]), "-")</f>
        <v>-</v>
      </c>
      <c r="I106" t="str">
        <f ca="1">IF(Table1[[#This Row],[Exit Date]]= "-", "Active", "Exited")</f>
        <v>Active</v>
      </c>
      <c r="J106" s="5">
        <f t="shared" ca="1" si="24"/>
        <v>4425</v>
      </c>
      <c r="K106">
        <f ca="1">Table1[[#This Row],[Offers Made]]*2</f>
        <v>6</v>
      </c>
      <c r="L106">
        <f t="shared" ca="1" si="17"/>
        <v>3</v>
      </c>
      <c r="M106">
        <f t="shared" ca="1" si="18"/>
        <v>1</v>
      </c>
      <c r="N106" t="str">
        <f t="shared" ca="1" si="19"/>
        <v>Employee Referrals</v>
      </c>
      <c r="O106">
        <f t="shared" ca="1" si="20"/>
        <v>3</v>
      </c>
      <c r="P106" t="str">
        <f t="shared" ca="1" si="21"/>
        <v>No</v>
      </c>
      <c r="Q106" t="str" cm="1">
        <f t="array" aca="1" ref="Q106" ca="1">INDEX(sheet2!$C$2:$C$6, RANDBETWEEN(1, 5))</f>
        <v>Conflict Resolution</v>
      </c>
      <c r="R106" t="str">
        <f t="shared" ca="1" si="25"/>
        <v>Not Completed</v>
      </c>
      <c r="S106">
        <f ca="1">Table1[[#This Row],[Hire Date]]-Table1[[#This Row],[Job Posting Date]]</f>
        <v>78</v>
      </c>
    </row>
    <row r="107" spans="1:19" x14ac:dyDescent="0.2">
      <c r="A107" t="str">
        <f t="shared" si="13"/>
        <v>EMP106</v>
      </c>
      <c r="B107" t="str">
        <f t="shared" ca="1" si="14"/>
        <v>Male</v>
      </c>
      <c r="C107" t="str" cm="1">
        <f t="array" aca="1" ref="C107" ca="1">INDEX(sheet2!$A$2:$A$6, RANDBETWEEN(1, 5))</f>
        <v>Sales</v>
      </c>
      <c r="D107" t="str">
        <f ca="1">_xlfn.XLOOKUP(Table1[[#This Row],[Department]],sheet2!$A$2:$A$6,sheet2!$B$2:$B$6,_xleta.NA,0)</f>
        <v>Marketing Manager</v>
      </c>
      <c r="E107" s="1">
        <f t="shared" ca="1" si="23"/>
        <v>43908</v>
      </c>
      <c r="F107" s="1">
        <f ca="1">Table1[[#This Row],[Job Posting Date]]+ RANDBETWEEN(15, 90)</f>
        <v>43940</v>
      </c>
      <c r="G107" s="1">
        <f ca="1">Table1[[#This Row],[Hire Date]]+ RANDBETWEEN(1, 15)</f>
        <v>43943</v>
      </c>
      <c r="H107" s="1">
        <f ca="1">IF(RAND() &lt; 0.5,  Table1[[#This Row],[Join Date]]+ RANDBETWEEN(30, TODAY()- Table1[[#This Row],[Join Date]]), "-")</f>
        <v>44800</v>
      </c>
      <c r="I107" t="str">
        <f ca="1">IF(Table1[[#This Row],[Exit Date]]= "-", "Active", "Exited")</f>
        <v>Exited</v>
      </c>
      <c r="J107" s="5">
        <f t="shared" ca="1" si="24"/>
        <v>4785</v>
      </c>
      <c r="K107">
        <f ca="1">Table1[[#This Row],[Offers Made]]*2</f>
        <v>12</v>
      </c>
      <c r="L107">
        <f t="shared" ca="1" si="17"/>
        <v>6</v>
      </c>
      <c r="M107">
        <f t="shared" ca="1" si="18"/>
        <v>4</v>
      </c>
      <c r="N107" t="str">
        <f t="shared" ca="1" si="19"/>
        <v>Employee Referrals</v>
      </c>
      <c r="O107">
        <f t="shared" ca="1" si="20"/>
        <v>1</v>
      </c>
      <c r="P107" t="str">
        <f t="shared" ca="1" si="21"/>
        <v>No</v>
      </c>
      <c r="Q107" t="str" cm="1">
        <f t="array" aca="1" ref="Q107" ca="1">INDEX(sheet2!$C$2:$C$6, RANDBETWEEN(1, 5))</f>
        <v>Ethics and Responsibilities</v>
      </c>
      <c r="R107" t="str">
        <f t="shared" ca="1" si="25"/>
        <v>Not Completed</v>
      </c>
      <c r="S107">
        <f ca="1">Table1[[#This Row],[Hire Date]]-Table1[[#This Row],[Job Posting Date]]</f>
        <v>32</v>
      </c>
    </row>
    <row r="108" spans="1:19" x14ac:dyDescent="0.2">
      <c r="A108" t="str">
        <f t="shared" si="13"/>
        <v>EMP107</v>
      </c>
      <c r="B108" t="str">
        <f t="shared" ca="1" si="14"/>
        <v>Male</v>
      </c>
      <c r="C108" t="str" cm="1">
        <f t="array" aca="1" ref="C108" ca="1">INDEX(sheet2!$A$2:$A$6, RANDBETWEEN(1, 5))</f>
        <v>Analytics</v>
      </c>
      <c r="D108" t="str">
        <f ca="1">_xlfn.XLOOKUP(Table1[[#This Row],[Department]],sheet2!$A$2:$A$6,sheet2!$B$2:$B$6,_xleta.NA,0)</f>
        <v>Data Analyst</v>
      </c>
      <c r="E108" s="1">
        <f t="shared" ca="1" si="23"/>
        <v>43505</v>
      </c>
      <c r="F108" s="1">
        <f ca="1">Table1[[#This Row],[Job Posting Date]]+ RANDBETWEEN(15, 90)</f>
        <v>43568</v>
      </c>
      <c r="G108" s="1">
        <f ca="1">Table1[[#This Row],[Hire Date]]+ RANDBETWEEN(1, 15)</f>
        <v>43575</v>
      </c>
      <c r="H108" s="1">
        <f ca="1">IF(RAND() &lt; 0.5,  Table1[[#This Row],[Join Date]]+ RANDBETWEEN(30, TODAY()- Table1[[#This Row],[Join Date]]), "-")</f>
        <v>44223</v>
      </c>
      <c r="I108" t="str">
        <f ca="1">IF(Table1[[#This Row],[Exit Date]]= "-", "Active", "Exited")</f>
        <v>Exited</v>
      </c>
      <c r="J108" s="5">
        <f t="shared" ca="1" si="24"/>
        <v>4893</v>
      </c>
      <c r="K108">
        <f ca="1">Table1[[#This Row],[Offers Made]]*2</f>
        <v>12</v>
      </c>
      <c r="L108">
        <f t="shared" ca="1" si="17"/>
        <v>6</v>
      </c>
      <c r="M108">
        <f t="shared" ca="1" si="18"/>
        <v>1</v>
      </c>
      <c r="N108" t="str">
        <f t="shared" ca="1" si="19"/>
        <v>Direct Hiring</v>
      </c>
      <c r="O108">
        <f t="shared" ca="1" si="20"/>
        <v>5</v>
      </c>
      <c r="P108" t="str">
        <f t="shared" ca="1" si="21"/>
        <v>No</v>
      </c>
      <c r="Q108" t="str" cm="1">
        <f t="array" aca="1" ref="Q108" ca="1">INDEX(sheet2!$C$2:$C$6, RANDBETWEEN(1, 5))</f>
        <v>Leadership Development</v>
      </c>
      <c r="R108" t="str">
        <f t="shared" ca="1" si="25"/>
        <v>Completed</v>
      </c>
      <c r="S108">
        <f ca="1">Table1[[#This Row],[Hire Date]]-Table1[[#This Row],[Job Posting Date]]</f>
        <v>63</v>
      </c>
    </row>
    <row r="109" spans="1:19" x14ac:dyDescent="0.2">
      <c r="A109" t="str">
        <f t="shared" si="13"/>
        <v>EMP108</v>
      </c>
      <c r="B109" t="str">
        <f t="shared" ca="1" si="14"/>
        <v>Male</v>
      </c>
      <c r="C109" t="str" cm="1">
        <f t="array" aca="1" ref="C109" ca="1">INDEX(sheet2!$A$2:$A$6, RANDBETWEEN(1, 5))</f>
        <v>Finance</v>
      </c>
      <c r="D109" t="str">
        <f ca="1">_xlfn.XLOOKUP(Table1[[#This Row],[Department]],sheet2!$A$2:$A$6,sheet2!$B$2:$B$6,_xleta.NA,0)</f>
        <v>Finance Manager</v>
      </c>
      <c r="E109" s="1">
        <f t="shared" ca="1" si="23"/>
        <v>44136</v>
      </c>
      <c r="F109" s="1">
        <f ca="1">Table1[[#This Row],[Job Posting Date]]+ RANDBETWEEN(15, 90)</f>
        <v>44193</v>
      </c>
      <c r="G109" s="1">
        <f ca="1">Table1[[#This Row],[Hire Date]]+ RANDBETWEEN(1, 15)</f>
        <v>44206</v>
      </c>
      <c r="H109" s="1">
        <f ca="1">IF(RAND() &lt; 0.5,  Table1[[#This Row],[Join Date]]+ RANDBETWEEN(30, TODAY()- Table1[[#This Row],[Join Date]]), "-")</f>
        <v>44508</v>
      </c>
      <c r="I109" t="str">
        <f ca="1">IF(Table1[[#This Row],[Exit Date]]= "-", "Active", "Exited")</f>
        <v>Exited</v>
      </c>
      <c r="J109" s="5">
        <f t="shared" ca="1" si="24"/>
        <v>3835</v>
      </c>
      <c r="K109">
        <f ca="1">Table1[[#This Row],[Offers Made]]*2</f>
        <v>6</v>
      </c>
      <c r="L109">
        <f t="shared" ca="1" si="17"/>
        <v>3</v>
      </c>
      <c r="M109">
        <f t="shared" ca="1" si="18"/>
        <v>1</v>
      </c>
      <c r="N109" t="str">
        <f t="shared" ca="1" si="19"/>
        <v>Employee Referrals</v>
      </c>
      <c r="O109">
        <f t="shared" ca="1" si="20"/>
        <v>4</v>
      </c>
      <c r="P109" t="str">
        <f t="shared" ca="1" si="21"/>
        <v>No</v>
      </c>
      <c r="Q109" t="str" cm="1">
        <f t="array" aca="1" ref="Q109" ca="1">INDEX(sheet2!$C$2:$C$6, RANDBETWEEN(1, 5))</f>
        <v>Advanced Excel Skills </v>
      </c>
      <c r="R109" t="str">
        <f t="shared" ca="1" si="25"/>
        <v>Completed</v>
      </c>
      <c r="S109">
        <f ca="1">Table1[[#This Row],[Hire Date]]-Table1[[#This Row],[Job Posting Date]]</f>
        <v>57</v>
      </c>
    </row>
    <row r="110" spans="1:19" x14ac:dyDescent="0.2">
      <c r="A110" t="str">
        <f t="shared" si="13"/>
        <v>EMP109</v>
      </c>
      <c r="B110" t="str">
        <f t="shared" ca="1" si="14"/>
        <v>Male</v>
      </c>
      <c r="C110" t="str" cm="1">
        <f t="array" aca="1" ref="C110" ca="1">INDEX(sheet2!$A$2:$A$6, RANDBETWEEN(1, 5))</f>
        <v>Sales</v>
      </c>
      <c r="D110" t="str">
        <f ca="1">_xlfn.XLOOKUP(Table1[[#This Row],[Department]],sheet2!$A$2:$A$6,sheet2!$B$2:$B$6,_xleta.NA,0)</f>
        <v>Marketing Manager</v>
      </c>
      <c r="E110" s="1">
        <f t="shared" ca="1" si="23"/>
        <v>44061</v>
      </c>
      <c r="F110" s="1">
        <f ca="1">Table1[[#This Row],[Job Posting Date]]+ RANDBETWEEN(15, 90)</f>
        <v>44117</v>
      </c>
      <c r="G110" s="1">
        <f ca="1">Table1[[#This Row],[Hire Date]]+ RANDBETWEEN(1, 15)</f>
        <v>44125</v>
      </c>
      <c r="H110" s="1">
        <f ca="1">IF(RAND() &lt; 0.5,  Table1[[#This Row],[Join Date]]+ RANDBETWEEN(30, TODAY()- Table1[[#This Row],[Join Date]]), "-")</f>
        <v>45001</v>
      </c>
      <c r="I110" t="str">
        <f ca="1">IF(Table1[[#This Row],[Exit Date]]= "-", "Active", "Exited")</f>
        <v>Exited</v>
      </c>
      <c r="J110" s="5">
        <f t="shared" ca="1" si="24"/>
        <v>4440</v>
      </c>
      <c r="K110">
        <f ca="1">Table1[[#This Row],[Offers Made]]*2</f>
        <v>8</v>
      </c>
      <c r="L110">
        <f t="shared" ca="1" si="17"/>
        <v>4</v>
      </c>
      <c r="M110">
        <f t="shared" ca="1" si="18"/>
        <v>2</v>
      </c>
      <c r="N110" t="str">
        <f t="shared" ca="1" si="19"/>
        <v>Direct Hiring</v>
      </c>
      <c r="O110">
        <f t="shared" ca="1" si="20"/>
        <v>5</v>
      </c>
      <c r="P110" t="str">
        <f t="shared" ca="1" si="21"/>
        <v>Yes</v>
      </c>
      <c r="Q110" t="str" cm="1">
        <f t="array" aca="1" ref="Q110" ca="1">INDEX(sheet2!$C$2:$C$6, RANDBETWEEN(1, 5))</f>
        <v>Conflict Resolution</v>
      </c>
      <c r="R110" t="str">
        <f t="shared" ca="1" si="25"/>
        <v>Completed</v>
      </c>
      <c r="S110">
        <f ca="1">Table1[[#This Row],[Hire Date]]-Table1[[#This Row],[Job Posting Date]]</f>
        <v>56</v>
      </c>
    </row>
    <row r="111" spans="1:19" x14ac:dyDescent="0.2">
      <c r="A111" t="str">
        <f t="shared" si="13"/>
        <v>EMP110</v>
      </c>
      <c r="B111" t="str">
        <f t="shared" ca="1" si="14"/>
        <v>Male</v>
      </c>
      <c r="C111" t="str" cm="1">
        <f t="array" aca="1" ref="C111" ca="1">INDEX(sheet2!$A$2:$A$6, RANDBETWEEN(1, 5))</f>
        <v>Analytics</v>
      </c>
      <c r="D111" t="str">
        <f ca="1">_xlfn.XLOOKUP(Table1[[#This Row],[Department]],sheet2!$A$2:$A$6,sheet2!$B$2:$B$6,_xleta.NA,0)</f>
        <v>Data Analyst</v>
      </c>
      <c r="E111" s="1">
        <f t="shared" ca="1" si="23"/>
        <v>43674</v>
      </c>
      <c r="F111" s="1">
        <f ca="1">Table1[[#This Row],[Job Posting Date]]+ RANDBETWEEN(15, 90)</f>
        <v>43702</v>
      </c>
      <c r="G111" s="1">
        <f ca="1">Table1[[#This Row],[Hire Date]]+ RANDBETWEEN(1, 15)</f>
        <v>43716</v>
      </c>
      <c r="H111" s="1" t="str">
        <f ca="1">IF(RAND() &lt; 0.5,  Table1[[#This Row],[Join Date]]+ RANDBETWEEN(30, TODAY()- Table1[[#This Row],[Join Date]]), "-")</f>
        <v>-</v>
      </c>
      <c r="I111" t="str">
        <f ca="1">IF(Table1[[#This Row],[Exit Date]]= "-", "Active", "Exited")</f>
        <v>Active</v>
      </c>
      <c r="J111" s="5">
        <f t="shared" ca="1" si="24"/>
        <v>1845</v>
      </c>
      <c r="K111">
        <f ca="1">Table1[[#This Row],[Offers Made]]*2</f>
        <v>12</v>
      </c>
      <c r="L111">
        <f t="shared" ca="1" si="17"/>
        <v>6</v>
      </c>
      <c r="M111">
        <f t="shared" ca="1" si="18"/>
        <v>2</v>
      </c>
      <c r="N111" t="str">
        <f t="shared" ca="1" si="19"/>
        <v>Direct Hiring</v>
      </c>
      <c r="O111">
        <f t="shared" ca="1" si="20"/>
        <v>4</v>
      </c>
      <c r="P111" t="str">
        <f t="shared" ca="1" si="21"/>
        <v>Yes</v>
      </c>
      <c r="Q111" t="str" cm="1">
        <f t="array" aca="1" ref="Q111" ca="1">INDEX(sheet2!$C$2:$C$6, RANDBETWEEN(1, 5))</f>
        <v>Advanced Excel Skills </v>
      </c>
      <c r="R111" t="str">
        <f t="shared" ca="1" si="25"/>
        <v>Completed</v>
      </c>
      <c r="S111">
        <f ca="1">Table1[[#This Row],[Hire Date]]-Table1[[#This Row],[Job Posting Date]]</f>
        <v>28</v>
      </c>
    </row>
    <row r="112" spans="1:19" x14ac:dyDescent="0.2">
      <c r="A112" t="str">
        <f t="shared" si="13"/>
        <v>EMP111</v>
      </c>
      <c r="B112" t="str">
        <f t="shared" ca="1" si="14"/>
        <v>Male</v>
      </c>
      <c r="C112" t="str" cm="1">
        <f t="array" aca="1" ref="C112" ca="1">INDEX(sheet2!$A$2:$A$6, RANDBETWEEN(1, 5))</f>
        <v>Finance</v>
      </c>
      <c r="D112" t="str">
        <f ca="1">_xlfn.XLOOKUP(Table1[[#This Row],[Department]],sheet2!$A$2:$A$6,sheet2!$B$2:$B$6,_xleta.NA,0)</f>
        <v>Finance Manager</v>
      </c>
      <c r="E112" s="1">
        <f t="shared" ca="1" si="23"/>
        <v>43868</v>
      </c>
      <c r="F112" s="1">
        <f ca="1">Table1[[#This Row],[Job Posting Date]]+ RANDBETWEEN(15, 90)</f>
        <v>43921</v>
      </c>
      <c r="G112" s="1">
        <f ca="1">Table1[[#This Row],[Hire Date]]+ RANDBETWEEN(1, 15)</f>
        <v>43925</v>
      </c>
      <c r="H112" s="1">
        <f ca="1">IF(RAND() &lt; 0.5,  Table1[[#This Row],[Join Date]]+ RANDBETWEEN(30, TODAY()- Table1[[#This Row],[Join Date]]), "-")</f>
        <v>44769</v>
      </c>
      <c r="I112" t="str">
        <f ca="1">IF(Table1[[#This Row],[Exit Date]]= "-", "Active", "Exited")</f>
        <v>Exited</v>
      </c>
      <c r="J112" s="5">
        <f t="shared" ca="1" si="24"/>
        <v>3909</v>
      </c>
      <c r="K112">
        <f ca="1">Table1[[#This Row],[Offers Made]]*2</f>
        <v>6</v>
      </c>
      <c r="L112">
        <f t="shared" ca="1" si="17"/>
        <v>3</v>
      </c>
      <c r="M112">
        <f t="shared" ca="1" si="18"/>
        <v>1</v>
      </c>
      <c r="N112" t="str">
        <f t="shared" ca="1" si="19"/>
        <v>Employee Referrals</v>
      </c>
      <c r="O112">
        <f t="shared" ca="1" si="20"/>
        <v>2</v>
      </c>
      <c r="P112" t="str">
        <f t="shared" ca="1" si="21"/>
        <v>No</v>
      </c>
      <c r="Q112" t="str" cm="1">
        <f t="array" aca="1" ref="Q112" ca="1">INDEX(sheet2!$C$2:$C$6, RANDBETWEEN(1, 5))</f>
        <v>Leadership Development</v>
      </c>
      <c r="R112" t="str">
        <f t="shared" ca="1" si="25"/>
        <v>Not Completed</v>
      </c>
      <c r="S112">
        <f ca="1">Table1[[#This Row],[Hire Date]]-Table1[[#This Row],[Job Posting Date]]</f>
        <v>53</v>
      </c>
    </row>
    <row r="113" spans="1:19" x14ac:dyDescent="0.2">
      <c r="A113" t="str">
        <f t="shared" si="13"/>
        <v>EMP112</v>
      </c>
      <c r="B113" t="str">
        <f t="shared" ca="1" si="14"/>
        <v>Female</v>
      </c>
      <c r="C113" t="str" cm="1">
        <f t="array" aca="1" ref="C113" ca="1">INDEX(sheet2!$A$2:$A$6, RANDBETWEEN(1, 5))</f>
        <v>Finance</v>
      </c>
      <c r="D113" t="str">
        <f ca="1">_xlfn.XLOOKUP(Table1[[#This Row],[Department]],sheet2!$A$2:$A$6,sheet2!$B$2:$B$6,_xleta.NA,0)</f>
        <v>Finance Manager</v>
      </c>
      <c r="E113" s="1">
        <f t="shared" ca="1" si="23"/>
        <v>43121</v>
      </c>
      <c r="F113" s="1">
        <f ca="1">Table1[[#This Row],[Job Posting Date]]+ RANDBETWEEN(15, 90)</f>
        <v>43156</v>
      </c>
      <c r="G113" s="1">
        <f ca="1">Table1[[#This Row],[Hire Date]]+ RANDBETWEEN(1, 15)</f>
        <v>43170</v>
      </c>
      <c r="H113" s="1" t="str">
        <f ca="1">IF(RAND() &lt; 0.5,  Table1[[#This Row],[Join Date]]+ RANDBETWEEN(30, TODAY()- Table1[[#This Row],[Join Date]]), "-")</f>
        <v>-</v>
      </c>
      <c r="I113" t="str">
        <f ca="1">IF(Table1[[#This Row],[Exit Date]]= "-", "Active", "Exited")</f>
        <v>Active</v>
      </c>
      <c r="J113" s="5">
        <f t="shared" ca="1" si="24"/>
        <v>2244</v>
      </c>
      <c r="K113">
        <f ca="1">Table1[[#This Row],[Offers Made]]*2</f>
        <v>8</v>
      </c>
      <c r="L113">
        <f t="shared" ca="1" si="17"/>
        <v>4</v>
      </c>
      <c r="M113">
        <f t="shared" ca="1" si="18"/>
        <v>1</v>
      </c>
      <c r="N113" t="str">
        <f t="shared" ca="1" si="19"/>
        <v>Direct Hiring</v>
      </c>
      <c r="O113">
        <f t="shared" ca="1" si="20"/>
        <v>2</v>
      </c>
      <c r="P113" t="str">
        <f t="shared" ca="1" si="21"/>
        <v>Yes</v>
      </c>
      <c r="Q113" t="str" cm="1">
        <f t="array" aca="1" ref="Q113" ca="1">INDEX(sheet2!$C$2:$C$6, RANDBETWEEN(1, 5))</f>
        <v>Conflict Resolution</v>
      </c>
      <c r="R113" t="str">
        <f t="shared" ca="1" si="25"/>
        <v>Not Completed</v>
      </c>
      <c r="S113">
        <f ca="1">Table1[[#This Row],[Hire Date]]-Table1[[#This Row],[Job Posting Date]]</f>
        <v>35</v>
      </c>
    </row>
    <row r="114" spans="1:19" x14ac:dyDescent="0.2">
      <c r="A114" t="str">
        <f t="shared" si="13"/>
        <v>EMP113</v>
      </c>
      <c r="B114" t="str">
        <f t="shared" ca="1" si="14"/>
        <v>Male</v>
      </c>
      <c r="C114" t="str" cm="1">
        <f t="array" aca="1" ref="C114" ca="1">INDEX(sheet2!$A$2:$A$6, RANDBETWEEN(1, 5))</f>
        <v>Finance</v>
      </c>
      <c r="D114" t="str">
        <f ca="1">_xlfn.XLOOKUP(Table1[[#This Row],[Department]],sheet2!$A$2:$A$6,sheet2!$B$2:$B$6,_xleta.NA,0)</f>
        <v>Finance Manager</v>
      </c>
      <c r="E114" s="1">
        <f t="shared" ca="1" si="23"/>
        <v>43551</v>
      </c>
      <c r="F114" s="1">
        <f ca="1">Table1[[#This Row],[Job Posting Date]]+ RANDBETWEEN(15, 90)</f>
        <v>43599</v>
      </c>
      <c r="G114" s="1">
        <f ca="1">Table1[[#This Row],[Hire Date]]+ RANDBETWEEN(1, 15)</f>
        <v>43608</v>
      </c>
      <c r="H114" s="1" t="str">
        <f ca="1">IF(RAND() &lt; 0.5,  Table1[[#This Row],[Join Date]]+ RANDBETWEEN(30, TODAY()- Table1[[#This Row],[Join Date]]), "-")</f>
        <v>-</v>
      </c>
      <c r="I114" t="str">
        <f ca="1">IF(Table1[[#This Row],[Exit Date]]= "-", "Active", "Exited")</f>
        <v>Active</v>
      </c>
      <c r="J114" s="5">
        <f t="shared" ca="1" si="24"/>
        <v>2902</v>
      </c>
      <c r="K114">
        <f ca="1">Table1[[#This Row],[Offers Made]]*2</f>
        <v>6</v>
      </c>
      <c r="L114">
        <f t="shared" ca="1" si="17"/>
        <v>3</v>
      </c>
      <c r="M114">
        <f t="shared" ca="1" si="18"/>
        <v>2</v>
      </c>
      <c r="N114" t="str">
        <f t="shared" ca="1" si="19"/>
        <v>Campus Placements</v>
      </c>
      <c r="O114">
        <f t="shared" ca="1" si="20"/>
        <v>4</v>
      </c>
      <c r="P114" t="str">
        <f t="shared" ca="1" si="21"/>
        <v>No</v>
      </c>
      <c r="Q114" t="str" cm="1">
        <f t="array" aca="1" ref="Q114" ca="1">INDEX(sheet2!$C$2:$C$6, RANDBETWEEN(1, 5))</f>
        <v>Communication Skills</v>
      </c>
      <c r="R114" t="str">
        <f t="shared" ca="1" si="25"/>
        <v>Completed</v>
      </c>
      <c r="S114">
        <f ca="1">Table1[[#This Row],[Hire Date]]-Table1[[#This Row],[Job Posting Date]]</f>
        <v>48</v>
      </c>
    </row>
    <row r="115" spans="1:19" x14ac:dyDescent="0.2">
      <c r="A115" t="str">
        <f t="shared" si="13"/>
        <v>EMP114</v>
      </c>
      <c r="B115" t="str">
        <f t="shared" ca="1" si="14"/>
        <v>Male</v>
      </c>
      <c r="C115" t="str" cm="1">
        <f t="array" aca="1" ref="C115" ca="1">INDEX(sheet2!$A$2:$A$6, RANDBETWEEN(1, 5))</f>
        <v>IT</v>
      </c>
      <c r="D115" t="str">
        <f ca="1">_xlfn.XLOOKUP(Table1[[#This Row],[Department]],sheet2!$A$2:$A$6,sheet2!$B$2:$B$6,_xleta.NA,0)</f>
        <v>Software Engineer</v>
      </c>
      <c r="E115" s="1">
        <f t="shared" ca="1" si="23"/>
        <v>44679</v>
      </c>
      <c r="F115" s="1">
        <f ca="1">Table1[[#This Row],[Job Posting Date]]+ RANDBETWEEN(15, 90)</f>
        <v>44723</v>
      </c>
      <c r="G115" s="1">
        <f ca="1">Table1[[#This Row],[Hire Date]]+ RANDBETWEEN(1, 15)</f>
        <v>44729</v>
      </c>
      <c r="H115" s="1" t="str">
        <f ca="1">IF(RAND() &lt; 0.5,  Table1[[#This Row],[Join Date]]+ RANDBETWEEN(30, TODAY()- Table1[[#This Row],[Join Date]]), "-")</f>
        <v>-</v>
      </c>
      <c r="I115" t="str">
        <f ca="1">IF(Table1[[#This Row],[Exit Date]]= "-", "Active", "Exited")</f>
        <v>Active</v>
      </c>
      <c r="J115" s="5">
        <f t="shared" ca="1" si="24"/>
        <v>3453</v>
      </c>
      <c r="K115">
        <f ca="1">Table1[[#This Row],[Offers Made]]*2</f>
        <v>12</v>
      </c>
      <c r="L115">
        <f t="shared" ca="1" si="17"/>
        <v>6</v>
      </c>
      <c r="M115">
        <f t="shared" ca="1" si="18"/>
        <v>1</v>
      </c>
      <c r="N115" t="str">
        <f t="shared" ca="1" si="19"/>
        <v>Job Portals</v>
      </c>
      <c r="O115">
        <f t="shared" ca="1" si="20"/>
        <v>1</v>
      </c>
      <c r="P115" t="str">
        <f t="shared" ca="1" si="21"/>
        <v>No</v>
      </c>
      <c r="Q115" t="str" cm="1">
        <f t="array" aca="1" ref="Q115" ca="1">INDEX(sheet2!$C$2:$C$6, RANDBETWEEN(1, 5))</f>
        <v>Conflict Resolution</v>
      </c>
      <c r="R115" t="str">
        <f t="shared" ca="1" si="25"/>
        <v>Completed</v>
      </c>
      <c r="S115">
        <f ca="1">Table1[[#This Row],[Hire Date]]-Table1[[#This Row],[Job Posting Date]]</f>
        <v>44</v>
      </c>
    </row>
    <row r="116" spans="1:19" x14ac:dyDescent="0.2">
      <c r="A116" t="str">
        <f t="shared" si="13"/>
        <v>EMP115</v>
      </c>
      <c r="B116" t="str">
        <f t="shared" ca="1" si="14"/>
        <v>Female</v>
      </c>
      <c r="C116" t="str" cm="1">
        <f t="array" aca="1" ref="C116" ca="1">INDEX(sheet2!$A$2:$A$6, RANDBETWEEN(1, 5))</f>
        <v>Analytics</v>
      </c>
      <c r="D116" t="str">
        <f ca="1">_xlfn.XLOOKUP(Table1[[#This Row],[Department]],sheet2!$A$2:$A$6,sheet2!$B$2:$B$6,_xleta.NA,0)</f>
        <v>Data Analyst</v>
      </c>
      <c r="E116" s="1">
        <f t="shared" ca="1" si="23"/>
        <v>43209</v>
      </c>
      <c r="F116" s="1">
        <f ca="1">Table1[[#This Row],[Job Posting Date]]+ RANDBETWEEN(15, 90)</f>
        <v>43264</v>
      </c>
      <c r="G116" s="1">
        <f ca="1">Table1[[#This Row],[Hire Date]]+ RANDBETWEEN(1, 15)</f>
        <v>43279</v>
      </c>
      <c r="H116" s="1">
        <f ca="1">IF(RAND() &lt; 0.5,  Table1[[#This Row],[Join Date]]+ RANDBETWEEN(30, TODAY()- Table1[[#This Row],[Join Date]]), "-")</f>
        <v>45491</v>
      </c>
      <c r="I116" t="str">
        <f ca="1">IF(Table1[[#This Row],[Exit Date]]= "-", "Active", "Exited")</f>
        <v>Exited</v>
      </c>
      <c r="J116" s="5">
        <f t="shared" ca="1" si="24"/>
        <v>4321</v>
      </c>
      <c r="K116">
        <f ca="1">Table1[[#This Row],[Offers Made]]*2</f>
        <v>8</v>
      </c>
      <c r="L116">
        <f t="shared" ca="1" si="17"/>
        <v>4</v>
      </c>
      <c r="M116">
        <f t="shared" ca="1" si="18"/>
        <v>2</v>
      </c>
      <c r="N116" t="str">
        <f t="shared" ca="1" si="19"/>
        <v>Job Portals</v>
      </c>
      <c r="O116">
        <f t="shared" ca="1" si="20"/>
        <v>2</v>
      </c>
      <c r="P116" t="str">
        <f t="shared" ca="1" si="21"/>
        <v>Yes</v>
      </c>
      <c r="Q116" t="str" cm="1">
        <f t="array" aca="1" ref="Q116" ca="1">INDEX(sheet2!$C$2:$C$6, RANDBETWEEN(1, 5))</f>
        <v>Ethics and Responsibilities</v>
      </c>
      <c r="R116" t="str">
        <f t="shared" ca="1" si="25"/>
        <v>Completed</v>
      </c>
      <c r="S116">
        <f ca="1">Table1[[#This Row],[Hire Date]]-Table1[[#This Row],[Job Posting Date]]</f>
        <v>55</v>
      </c>
    </row>
    <row r="117" spans="1:19" x14ac:dyDescent="0.2">
      <c r="A117" t="str">
        <f t="shared" si="13"/>
        <v>EMP116</v>
      </c>
      <c r="B117" t="str">
        <f t="shared" ca="1" si="14"/>
        <v>Female</v>
      </c>
      <c r="C117" t="str" cm="1">
        <f t="array" aca="1" ref="C117" ca="1">INDEX(sheet2!$A$2:$A$6, RANDBETWEEN(1, 5))</f>
        <v>Sales</v>
      </c>
      <c r="D117" t="str">
        <f ca="1">_xlfn.XLOOKUP(Table1[[#This Row],[Department]],sheet2!$A$2:$A$6,sheet2!$B$2:$B$6,_xleta.NA,0)</f>
        <v>Marketing Manager</v>
      </c>
      <c r="E117" s="1">
        <f t="shared" ca="1" si="23"/>
        <v>44878</v>
      </c>
      <c r="F117" s="1">
        <f ca="1">Table1[[#This Row],[Job Posting Date]]+ RANDBETWEEN(15, 90)</f>
        <v>44947</v>
      </c>
      <c r="G117" s="1">
        <f ca="1">Table1[[#This Row],[Hire Date]]+ RANDBETWEEN(1, 15)</f>
        <v>44962</v>
      </c>
      <c r="H117" s="1">
        <f ca="1">IF(RAND() &lt; 0.5,  Table1[[#This Row],[Join Date]]+ RANDBETWEEN(30, TODAY()- Table1[[#This Row],[Join Date]]), "-")</f>
        <v>45670</v>
      </c>
      <c r="I117" t="str">
        <f ca="1">IF(Table1[[#This Row],[Exit Date]]= "-", "Active", "Exited")</f>
        <v>Exited</v>
      </c>
      <c r="J117" s="5">
        <f t="shared" ca="1" si="24"/>
        <v>2454</v>
      </c>
      <c r="K117">
        <f ca="1">Table1[[#This Row],[Offers Made]]*2</f>
        <v>16</v>
      </c>
      <c r="L117">
        <f t="shared" ca="1" si="17"/>
        <v>8</v>
      </c>
      <c r="M117">
        <f t="shared" ca="1" si="18"/>
        <v>6</v>
      </c>
      <c r="N117" t="str">
        <f t="shared" ca="1" si="19"/>
        <v>Employee Referrals</v>
      </c>
      <c r="O117">
        <f t="shared" ca="1" si="20"/>
        <v>2</v>
      </c>
      <c r="P117" t="str">
        <f t="shared" ca="1" si="21"/>
        <v>No</v>
      </c>
      <c r="Q117" t="str" cm="1">
        <f t="array" aca="1" ref="Q117" ca="1">INDEX(sheet2!$C$2:$C$6, RANDBETWEEN(1, 5))</f>
        <v>Conflict Resolution</v>
      </c>
      <c r="R117" t="str">
        <f t="shared" ca="1" si="25"/>
        <v>Completed</v>
      </c>
      <c r="S117">
        <f ca="1">Table1[[#This Row],[Hire Date]]-Table1[[#This Row],[Job Posting Date]]</f>
        <v>69</v>
      </c>
    </row>
    <row r="118" spans="1:19" x14ac:dyDescent="0.2">
      <c r="A118" t="str">
        <f t="shared" si="13"/>
        <v>EMP117</v>
      </c>
      <c r="B118" t="str">
        <f t="shared" ca="1" si="14"/>
        <v>Female</v>
      </c>
      <c r="C118" t="str" cm="1">
        <f t="array" aca="1" ref="C118" ca="1">INDEX(sheet2!$A$2:$A$6, RANDBETWEEN(1, 5))</f>
        <v>Sales</v>
      </c>
      <c r="D118" t="str">
        <f ca="1">_xlfn.XLOOKUP(Table1[[#This Row],[Department]],sheet2!$A$2:$A$6,sheet2!$B$2:$B$6,_xleta.NA,0)</f>
        <v>Marketing Manager</v>
      </c>
      <c r="E118" s="1">
        <f t="shared" ca="1" si="23"/>
        <v>43657</v>
      </c>
      <c r="F118" s="1">
        <f ca="1">Table1[[#This Row],[Job Posting Date]]+ RANDBETWEEN(15, 90)</f>
        <v>43733</v>
      </c>
      <c r="G118" s="1">
        <f ca="1">Table1[[#This Row],[Hire Date]]+ RANDBETWEEN(1, 15)</f>
        <v>43739</v>
      </c>
      <c r="H118" s="1">
        <f ca="1">IF(RAND() &lt; 0.5,  Table1[[#This Row],[Join Date]]+ RANDBETWEEN(30, TODAY()- Table1[[#This Row],[Join Date]]), "-")</f>
        <v>45076</v>
      </c>
      <c r="I118" t="str">
        <f ca="1">IF(Table1[[#This Row],[Exit Date]]= "-", "Active", "Exited")</f>
        <v>Exited</v>
      </c>
      <c r="J118" s="5">
        <f t="shared" ca="1" si="24"/>
        <v>3750</v>
      </c>
      <c r="K118">
        <f ca="1">Table1[[#This Row],[Offers Made]]*2</f>
        <v>10</v>
      </c>
      <c r="L118">
        <f t="shared" ca="1" si="17"/>
        <v>5</v>
      </c>
      <c r="M118">
        <f t="shared" ca="1" si="18"/>
        <v>3</v>
      </c>
      <c r="N118" t="str">
        <f t="shared" ca="1" si="19"/>
        <v>Campus Placements</v>
      </c>
      <c r="O118">
        <f t="shared" ca="1" si="20"/>
        <v>5</v>
      </c>
      <c r="P118" t="str">
        <f t="shared" ca="1" si="21"/>
        <v>No</v>
      </c>
      <c r="Q118" t="str" cm="1">
        <f t="array" aca="1" ref="Q118" ca="1">INDEX(sheet2!$C$2:$C$6, RANDBETWEEN(1, 5))</f>
        <v>Advanced Excel Skills </v>
      </c>
      <c r="R118" t="str">
        <f t="shared" ca="1" si="25"/>
        <v>Completed</v>
      </c>
      <c r="S118">
        <f ca="1">Table1[[#This Row],[Hire Date]]-Table1[[#This Row],[Job Posting Date]]</f>
        <v>76</v>
      </c>
    </row>
    <row r="119" spans="1:19" x14ac:dyDescent="0.2">
      <c r="A119" t="str">
        <f t="shared" si="13"/>
        <v>EMP118</v>
      </c>
      <c r="B119" t="str">
        <f t="shared" ca="1" si="14"/>
        <v>Male</v>
      </c>
      <c r="C119" t="str" cm="1">
        <f t="array" aca="1" ref="C119" ca="1">INDEX(sheet2!$A$2:$A$6, RANDBETWEEN(1, 5))</f>
        <v>IT</v>
      </c>
      <c r="D119" t="str">
        <f ca="1">_xlfn.XLOOKUP(Table1[[#This Row],[Department]],sheet2!$A$2:$A$6,sheet2!$B$2:$B$6,_xleta.NA,0)</f>
        <v>Software Engineer</v>
      </c>
      <c r="E119" s="1">
        <f t="shared" ca="1" si="23"/>
        <v>43607</v>
      </c>
      <c r="F119" s="1">
        <f ca="1">Table1[[#This Row],[Job Posting Date]]+ RANDBETWEEN(15, 90)</f>
        <v>43651</v>
      </c>
      <c r="G119" s="1">
        <f ca="1">Table1[[#This Row],[Hire Date]]+ RANDBETWEEN(1, 15)</f>
        <v>43661</v>
      </c>
      <c r="H119" s="1">
        <f ca="1">IF(RAND() &lt; 0.5,  Table1[[#This Row],[Join Date]]+ RANDBETWEEN(30, TODAY()- Table1[[#This Row],[Join Date]]), "-")</f>
        <v>44782</v>
      </c>
      <c r="I119" t="str">
        <f ca="1">IF(Table1[[#This Row],[Exit Date]]= "-", "Active", "Exited")</f>
        <v>Exited</v>
      </c>
      <c r="J119" s="5">
        <f t="shared" ca="1" si="24"/>
        <v>3493</v>
      </c>
      <c r="K119">
        <f ca="1">Table1[[#This Row],[Offers Made]]*2</f>
        <v>10</v>
      </c>
      <c r="L119">
        <f t="shared" ca="1" si="17"/>
        <v>5</v>
      </c>
      <c r="M119">
        <f t="shared" ca="1" si="18"/>
        <v>4</v>
      </c>
      <c r="N119" t="str">
        <f t="shared" ca="1" si="19"/>
        <v>Direct Hiring</v>
      </c>
      <c r="O119">
        <f t="shared" ca="1" si="20"/>
        <v>3</v>
      </c>
      <c r="P119" t="str">
        <f t="shared" ca="1" si="21"/>
        <v>No</v>
      </c>
      <c r="Q119" t="str" cm="1">
        <f t="array" aca="1" ref="Q119" ca="1">INDEX(sheet2!$C$2:$C$6, RANDBETWEEN(1, 5))</f>
        <v>Advanced Excel Skills </v>
      </c>
      <c r="R119" t="str">
        <f t="shared" ca="1" si="25"/>
        <v>Completed</v>
      </c>
      <c r="S119">
        <f ca="1">Table1[[#This Row],[Hire Date]]-Table1[[#This Row],[Job Posting Date]]</f>
        <v>44</v>
      </c>
    </row>
    <row r="120" spans="1:19" x14ac:dyDescent="0.2">
      <c r="A120" t="str">
        <f t="shared" si="13"/>
        <v>EMP119</v>
      </c>
      <c r="B120" t="str">
        <f t="shared" ca="1" si="14"/>
        <v>Male</v>
      </c>
      <c r="C120" t="str" cm="1">
        <f t="array" aca="1" ref="C120" ca="1">INDEX(sheet2!$A$2:$A$6, RANDBETWEEN(1, 5))</f>
        <v>Analytics</v>
      </c>
      <c r="D120" t="str">
        <f ca="1">_xlfn.XLOOKUP(Table1[[#This Row],[Department]],sheet2!$A$2:$A$6,sheet2!$B$2:$B$6,_xleta.NA,0)</f>
        <v>Data Analyst</v>
      </c>
      <c r="E120" s="1">
        <f t="shared" ca="1" si="23"/>
        <v>44222</v>
      </c>
      <c r="F120" s="1">
        <f ca="1">Table1[[#This Row],[Job Posting Date]]+ RANDBETWEEN(15, 90)</f>
        <v>44258</v>
      </c>
      <c r="G120" s="1">
        <f ca="1">Table1[[#This Row],[Hire Date]]+ RANDBETWEEN(1, 15)</f>
        <v>44268</v>
      </c>
      <c r="H120" s="1">
        <f ca="1">IF(RAND() &lt; 0.5,  Table1[[#This Row],[Join Date]]+ RANDBETWEEN(30, TODAY()- Table1[[#This Row],[Join Date]]), "-")</f>
        <v>45351</v>
      </c>
      <c r="I120" t="str">
        <f ca="1">IF(Table1[[#This Row],[Exit Date]]= "-", "Active", "Exited")</f>
        <v>Exited</v>
      </c>
      <c r="J120" s="5">
        <f t="shared" ca="1" si="24"/>
        <v>3301</v>
      </c>
      <c r="K120">
        <f ca="1">Table1[[#This Row],[Offers Made]]*2</f>
        <v>12</v>
      </c>
      <c r="L120">
        <f t="shared" ca="1" si="17"/>
        <v>6</v>
      </c>
      <c r="M120">
        <f t="shared" ca="1" si="18"/>
        <v>5</v>
      </c>
      <c r="N120" t="str">
        <f t="shared" ca="1" si="19"/>
        <v>Job Portals</v>
      </c>
      <c r="O120">
        <f t="shared" ca="1" si="20"/>
        <v>3</v>
      </c>
      <c r="P120" t="str">
        <f t="shared" ca="1" si="21"/>
        <v>No</v>
      </c>
      <c r="Q120" t="str" cm="1">
        <f t="array" aca="1" ref="Q120" ca="1">INDEX(sheet2!$C$2:$C$6, RANDBETWEEN(1, 5))</f>
        <v>Ethics and Responsibilities</v>
      </c>
      <c r="R120" t="str">
        <f t="shared" ca="1" si="25"/>
        <v>Completed</v>
      </c>
      <c r="S120">
        <f ca="1">Table1[[#This Row],[Hire Date]]-Table1[[#This Row],[Job Posting Date]]</f>
        <v>36</v>
      </c>
    </row>
    <row r="121" spans="1:19" x14ac:dyDescent="0.2">
      <c r="A121" t="str">
        <f t="shared" si="13"/>
        <v>EMP120</v>
      </c>
      <c r="B121" t="str">
        <f t="shared" ca="1" si="14"/>
        <v>Female</v>
      </c>
      <c r="C121" t="str" cm="1">
        <f t="array" aca="1" ref="C121" ca="1">INDEX(sheet2!$A$2:$A$6, RANDBETWEEN(1, 5))</f>
        <v>Analytics</v>
      </c>
      <c r="D121" t="str">
        <f ca="1">_xlfn.XLOOKUP(Table1[[#This Row],[Department]],sheet2!$A$2:$A$6,sheet2!$B$2:$B$6,_xleta.NA,0)</f>
        <v>Data Analyst</v>
      </c>
      <c r="E121" s="1">
        <f t="shared" ca="1" si="23"/>
        <v>43191</v>
      </c>
      <c r="F121" s="1">
        <f ca="1">Table1[[#This Row],[Job Posting Date]]+ RANDBETWEEN(15, 90)</f>
        <v>43269</v>
      </c>
      <c r="G121" s="1">
        <f ca="1">Table1[[#This Row],[Hire Date]]+ RANDBETWEEN(1, 15)</f>
        <v>43273</v>
      </c>
      <c r="H121" s="1">
        <f ca="1">IF(RAND() &lt; 0.5,  Table1[[#This Row],[Join Date]]+ RANDBETWEEN(30, TODAY()- Table1[[#This Row],[Join Date]]), "-")</f>
        <v>44262</v>
      </c>
      <c r="I121" t="str">
        <f ca="1">IF(Table1[[#This Row],[Exit Date]]= "-", "Active", "Exited")</f>
        <v>Exited</v>
      </c>
      <c r="J121" s="5">
        <f t="shared" ca="1" si="24"/>
        <v>3880</v>
      </c>
      <c r="K121">
        <f ca="1">Table1[[#This Row],[Offers Made]]*2</f>
        <v>6</v>
      </c>
      <c r="L121">
        <f t="shared" ca="1" si="17"/>
        <v>3</v>
      </c>
      <c r="M121">
        <f t="shared" ca="1" si="18"/>
        <v>2</v>
      </c>
      <c r="N121" t="str">
        <f t="shared" ca="1" si="19"/>
        <v>Campus Placements</v>
      </c>
      <c r="O121">
        <f t="shared" ca="1" si="20"/>
        <v>3</v>
      </c>
      <c r="P121" t="str">
        <f t="shared" ca="1" si="21"/>
        <v>No</v>
      </c>
      <c r="Q121" t="str" cm="1">
        <f t="array" aca="1" ref="Q121" ca="1">INDEX(sheet2!$C$2:$C$6, RANDBETWEEN(1, 5))</f>
        <v>Ethics and Responsibilities</v>
      </c>
      <c r="R121" t="str">
        <f t="shared" ca="1" si="25"/>
        <v>Completed</v>
      </c>
      <c r="S121">
        <f ca="1">Table1[[#This Row],[Hire Date]]-Table1[[#This Row],[Job Posting Date]]</f>
        <v>78</v>
      </c>
    </row>
    <row r="122" spans="1:19" x14ac:dyDescent="0.2">
      <c r="A122" t="str">
        <f t="shared" si="13"/>
        <v>EMP121</v>
      </c>
      <c r="B122" t="str">
        <f t="shared" ca="1" si="14"/>
        <v>Male</v>
      </c>
      <c r="C122" t="str" cm="1">
        <f t="array" aca="1" ref="C122" ca="1">INDEX(sheet2!$A$2:$A$6, RANDBETWEEN(1, 5))</f>
        <v>Sales</v>
      </c>
      <c r="D122" t="str">
        <f ca="1">_xlfn.XLOOKUP(Table1[[#This Row],[Department]],sheet2!$A$2:$A$6,sheet2!$B$2:$B$6,_xleta.NA,0)</f>
        <v>Marketing Manager</v>
      </c>
      <c r="E122" s="1">
        <f t="shared" ca="1" si="23"/>
        <v>44416</v>
      </c>
      <c r="F122" s="1">
        <f ca="1">Table1[[#This Row],[Job Posting Date]]+ RANDBETWEEN(15, 90)</f>
        <v>44487</v>
      </c>
      <c r="G122" s="1">
        <f ca="1">Table1[[#This Row],[Hire Date]]+ RANDBETWEEN(1, 15)</f>
        <v>44493</v>
      </c>
      <c r="H122" s="1" t="str">
        <f ca="1">IF(RAND() &lt; 0.5,  Table1[[#This Row],[Join Date]]+ RANDBETWEEN(30, TODAY()- Table1[[#This Row],[Join Date]]), "-")</f>
        <v>-</v>
      </c>
      <c r="I122" t="str">
        <f ca="1">IF(Table1[[#This Row],[Exit Date]]= "-", "Active", "Exited")</f>
        <v>Active</v>
      </c>
      <c r="J122" s="5">
        <f t="shared" ca="1" si="24"/>
        <v>2759</v>
      </c>
      <c r="K122">
        <f ca="1">Table1[[#This Row],[Offers Made]]*2</f>
        <v>8</v>
      </c>
      <c r="L122">
        <f t="shared" ca="1" si="17"/>
        <v>4</v>
      </c>
      <c r="M122">
        <f t="shared" ca="1" si="18"/>
        <v>1</v>
      </c>
      <c r="N122" t="str">
        <f t="shared" ca="1" si="19"/>
        <v>Employee Referrals</v>
      </c>
      <c r="O122">
        <f t="shared" ca="1" si="20"/>
        <v>5</v>
      </c>
      <c r="P122" t="str">
        <f t="shared" ca="1" si="21"/>
        <v>Yes</v>
      </c>
      <c r="Q122" t="str" cm="1">
        <f t="array" aca="1" ref="Q122" ca="1">INDEX(sheet2!$C$2:$C$6, RANDBETWEEN(1, 5))</f>
        <v>Conflict Resolution</v>
      </c>
      <c r="R122" t="str">
        <f t="shared" ca="1" si="25"/>
        <v>Not Completed</v>
      </c>
      <c r="S122">
        <f ca="1">Table1[[#This Row],[Hire Date]]-Table1[[#This Row],[Job Posting Date]]</f>
        <v>71</v>
      </c>
    </row>
    <row r="123" spans="1:19" x14ac:dyDescent="0.2">
      <c r="A123" t="str">
        <f t="shared" si="13"/>
        <v>EMP122</v>
      </c>
      <c r="B123" t="str">
        <f t="shared" ca="1" si="14"/>
        <v>Male</v>
      </c>
      <c r="C123" t="str" cm="1">
        <f t="array" aca="1" ref="C123" ca="1">INDEX(sheet2!$A$2:$A$6, RANDBETWEEN(1, 5))</f>
        <v>Sales</v>
      </c>
      <c r="D123" t="str">
        <f ca="1">_xlfn.XLOOKUP(Table1[[#This Row],[Department]],sheet2!$A$2:$A$6,sheet2!$B$2:$B$6,_xleta.NA,0)</f>
        <v>Marketing Manager</v>
      </c>
      <c r="E123" s="1">
        <f t="shared" ca="1" si="23"/>
        <v>43274</v>
      </c>
      <c r="F123" s="1">
        <f ca="1">Table1[[#This Row],[Job Posting Date]]+ RANDBETWEEN(15, 90)</f>
        <v>43338</v>
      </c>
      <c r="G123" s="1">
        <f ca="1">Table1[[#This Row],[Hire Date]]+ RANDBETWEEN(1, 15)</f>
        <v>43346</v>
      </c>
      <c r="H123" s="1" t="str">
        <f ca="1">IF(RAND() &lt; 0.5,  Table1[[#This Row],[Join Date]]+ RANDBETWEEN(30, TODAY()- Table1[[#This Row],[Join Date]]), "-")</f>
        <v>-</v>
      </c>
      <c r="I123" t="str">
        <f ca="1">IF(Table1[[#This Row],[Exit Date]]= "-", "Active", "Exited")</f>
        <v>Active</v>
      </c>
      <c r="J123" s="5">
        <f t="shared" ca="1" si="24"/>
        <v>2430</v>
      </c>
      <c r="K123">
        <f ca="1">Table1[[#This Row],[Offers Made]]*2</f>
        <v>10</v>
      </c>
      <c r="L123">
        <f t="shared" ca="1" si="17"/>
        <v>5</v>
      </c>
      <c r="M123">
        <f t="shared" ca="1" si="18"/>
        <v>3</v>
      </c>
      <c r="N123" t="str">
        <f t="shared" ca="1" si="19"/>
        <v>Employee Referrals</v>
      </c>
      <c r="O123">
        <f t="shared" ca="1" si="20"/>
        <v>4</v>
      </c>
      <c r="P123" t="str">
        <f t="shared" ca="1" si="21"/>
        <v>No</v>
      </c>
      <c r="Q123" t="str" cm="1">
        <f t="array" aca="1" ref="Q123" ca="1">INDEX(sheet2!$C$2:$C$6, RANDBETWEEN(1, 5))</f>
        <v>Communication Skills</v>
      </c>
      <c r="R123" t="str">
        <f t="shared" ca="1" si="25"/>
        <v>Completed</v>
      </c>
      <c r="S123">
        <f ca="1">Table1[[#This Row],[Hire Date]]-Table1[[#This Row],[Job Posting Date]]</f>
        <v>64</v>
      </c>
    </row>
    <row r="124" spans="1:19" x14ac:dyDescent="0.2">
      <c r="A124" t="str">
        <f t="shared" si="13"/>
        <v>EMP123</v>
      </c>
      <c r="B124" t="str">
        <f t="shared" ca="1" si="14"/>
        <v>Female</v>
      </c>
      <c r="C124" t="str" cm="1">
        <f t="array" aca="1" ref="C124" ca="1">INDEX(sheet2!$A$2:$A$6, RANDBETWEEN(1, 5))</f>
        <v>Sales</v>
      </c>
      <c r="D124" t="str">
        <f ca="1">_xlfn.XLOOKUP(Table1[[#This Row],[Department]],sheet2!$A$2:$A$6,sheet2!$B$2:$B$6,_xleta.NA,0)</f>
        <v>Marketing Manager</v>
      </c>
      <c r="E124" s="1">
        <f t="shared" ca="1" si="23"/>
        <v>43780</v>
      </c>
      <c r="F124" s="1">
        <f ca="1">Table1[[#This Row],[Job Posting Date]]+ RANDBETWEEN(15, 90)</f>
        <v>43811</v>
      </c>
      <c r="G124" s="1">
        <f ca="1">Table1[[#This Row],[Hire Date]]+ RANDBETWEEN(1, 15)</f>
        <v>43819</v>
      </c>
      <c r="H124" s="1" t="str">
        <f ca="1">IF(RAND() &lt; 0.5,  Table1[[#This Row],[Join Date]]+ RANDBETWEEN(30, TODAY()- Table1[[#This Row],[Join Date]]), "-")</f>
        <v>-</v>
      </c>
      <c r="I124" t="str">
        <f ca="1">IF(Table1[[#This Row],[Exit Date]]= "-", "Active", "Exited")</f>
        <v>Active</v>
      </c>
      <c r="J124" s="5">
        <f t="shared" ca="1" si="24"/>
        <v>4973</v>
      </c>
      <c r="K124">
        <f ca="1">Table1[[#This Row],[Offers Made]]*2</f>
        <v>14</v>
      </c>
      <c r="L124">
        <f t="shared" ca="1" si="17"/>
        <v>7</v>
      </c>
      <c r="M124">
        <f t="shared" ca="1" si="18"/>
        <v>2</v>
      </c>
      <c r="N124" t="str">
        <f t="shared" ca="1" si="19"/>
        <v>Job Portals</v>
      </c>
      <c r="O124">
        <f t="shared" ca="1" si="20"/>
        <v>5</v>
      </c>
      <c r="P124" t="str">
        <f t="shared" ca="1" si="21"/>
        <v>Yes</v>
      </c>
      <c r="Q124" t="str" cm="1">
        <f t="array" aca="1" ref="Q124" ca="1">INDEX(sheet2!$C$2:$C$6, RANDBETWEEN(1, 5))</f>
        <v>Conflict Resolution</v>
      </c>
      <c r="R124" t="str">
        <f t="shared" ca="1" si="25"/>
        <v>Completed</v>
      </c>
      <c r="S124">
        <f ca="1">Table1[[#This Row],[Hire Date]]-Table1[[#This Row],[Job Posting Date]]</f>
        <v>31</v>
      </c>
    </row>
    <row r="125" spans="1:19" x14ac:dyDescent="0.2">
      <c r="A125" t="str">
        <f t="shared" si="13"/>
        <v>EMP124</v>
      </c>
      <c r="B125" t="str">
        <f t="shared" ca="1" si="14"/>
        <v>Male</v>
      </c>
      <c r="C125" t="str" cm="1">
        <f t="array" aca="1" ref="C125" ca="1">INDEX(sheet2!$A$2:$A$6, RANDBETWEEN(1, 5))</f>
        <v>Sales</v>
      </c>
      <c r="D125" t="str">
        <f ca="1">_xlfn.XLOOKUP(Table1[[#This Row],[Department]],sheet2!$A$2:$A$6,sheet2!$B$2:$B$6,_xleta.NA,0)</f>
        <v>Marketing Manager</v>
      </c>
      <c r="E125" s="1">
        <f t="shared" ca="1" si="23"/>
        <v>43572</v>
      </c>
      <c r="F125" s="1">
        <f ca="1">Table1[[#This Row],[Job Posting Date]]+ RANDBETWEEN(15, 90)</f>
        <v>43622</v>
      </c>
      <c r="G125" s="1">
        <f ca="1">Table1[[#This Row],[Hire Date]]+ RANDBETWEEN(1, 15)</f>
        <v>43623</v>
      </c>
      <c r="H125" s="1" t="str">
        <f ca="1">IF(RAND() &lt; 0.5,  Table1[[#This Row],[Join Date]]+ RANDBETWEEN(30, TODAY()- Table1[[#This Row],[Join Date]]), "-")</f>
        <v>-</v>
      </c>
      <c r="I125" t="str">
        <f ca="1">IF(Table1[[#This Row],[Exit Date]]= "-", "Active", "Exited")</f>
        <v>Active</v>
      </c>
      <c r="J125" s="5">
        <f t="shared" ca="1" si="24"/>
        <v>3973</v>
      </c>
      <c r="K125">
        <f ca="1">Table1[[#This Row],[Offers Made]]*2</f>
        <v>6</v>
      </c>
      <c r="L125">
        <f t="shared" ca="1" si="17"/>
        <v>3</v>
      </c>
      <c r="M125">
        <f t="shared" ca="1" si="18"/>
        <v>1</v>
      </c>
      <c r="N125" t="str">
        <f t="shared" ca="1" si="19"/>
        <v>Campus Placements</v>
      </c>
      <c r="O125">
        <f t="shared" ca="1" si="20"/>
        <v>2</v>
      </c>
      <c r="P125" t="str">
        <f t="shared" ca="1" si="21"/>
        <v>Yes</v>
      </c>
      <c r="Q125" t="str" cm="1">
        <f t="array" aca="1" ref="Q125" ca="1">INDEX(sheet2!$C$2:$C$6, RANDBETWEEN(1, 5))</f>
        <v>Ethics and Responsibilities</v>
      </c>
      <c r="R125" t="str">
        <f t="shared" ca="1" si="25"/>
        <v>Completed</v>
      </c>
      <c r="S125">
        <f ca="1">Table1[[#This Row],[Hire Date]]-Table1[[#This Row],[Job Posting Date]]</f>
        <v>50</v>
      </c>
    </row>
    <row r="126" spans="1:19" x14ac:dyDescent="0.2">
      <c r="A126" t="str">
        <f t="shared" si="13"/>
        <v>EMP125</v>
      </c>
      <c r="B126" t="str">
        <f t="shared" ca="1" si="14"/>
        <v>Male</v>
      </c>
      <c r="C126" t="str" cm="1">
        <f t="array" aca="1" ref="C126" ca="1">INDEX(sheet2!$A$2:$A$6, RANDBETWEEN(1, 5))</f>
        <v>HR</v>
      </c>
      <c r="D126" t="str">
        <f ca="1">_xlfn.XLOOKUP(Table1[[#This Row],[Department]],sheet2!$A$2:$A$6,sheet2!$B$2:$B$6,_xleta.NA,0)</f>
        <v>HR Manager</v>
      </c>
      <c r="E126" s="1">
        <f t="shared" ca="1" si="23"/>
        <v>43871</v>
      </c>
      <c r="F126" s="1">
        <f ca="1">Table1[[#This Row],[Job Posting Date]]+ RANDBETWEEN(15, 90)</f>
        <v>43919</v>
      </c>
      <c r="G126" s="1">
        <f ca="1">Table1[[#This Row],[Hire Date]]+ RANDBETWEEN(1, 15)</f>
        <v>43934</v>
      </c>
      <c r="H126" s="1" t="str">
        <f ca="1">IF(RAND() &lt; 0.5,  Table1[[#This Row],[Join Date]]+ RANDBETWEEN(30, TODAY()- Table1[[#This Row],[Join Date]]), "-")</f>
        <v>-</v>
      </c>
      <c r="I126" t="str">
        <f ca="1">IF(Table1[[#This Row],[Exit Date]]= "-", "Active", "Exited")</f>
        <v>Active</v>
      </c>
      <c r="J126" s="5">
        <f t="shared" ca="1" si="24"/>
        <v>2287</v>
      </c>
      <c r="K126">
        <f ca="1">Table1[[#This Row],[Offers Made]]*2</f>
        <v>6</v>
      </c>
      <c r="L126">
        <f t="shared" ca="1" si="17"/>
        <v>3</v>
      </c>
      <c r="M126">
        <f t="shared" ca="1" si="18"/>
        <v>2</v>
      </c>
      <c r="N126" t="str">
        <f t="shared" ca="1" si="19"/>
        <v>Employee Referrals</v>
      </c>
      <c r="O126">
        <f t="shared" ca="1" si="20"/>
        <v>4</v>
      </c>
      <c r="P126" t="str">
        <f t="shared" ca="1" si="21"/>
        <v>No</v>
      </c>
      <c r="Q126" t="str" cm="1">
        <f t="array" aca="1" ref="Q126" ca="1">INDEX(sheet2!$C$2:$C$6, RANDBETWEEN(1, 5))</f>
        <v>Leadership Development</v>
      </c>
      <c r="R126" t="str">
        <f t="shared" ca="1" si="25"/>
        <v>Completed</v>
      </c>
      <c r="S126">
        <f ca="1">Table1[[#This Row],[Hire Date]]-Table1[[#This Row],[Job Posting Date]]</f>
        <v>48</v>
      </c>
    </row>
    <row r="127" spans="1:19" x14ac:dyDescent="0.2">
      <c r="A127" t="str">
        <f t="shared" si="13"/>
        <v>EMP126</v>
      </c>
      <c r="B127" t="str">
        <f t="shared" ca="1" si="14"/>
        <v>Female</v>
      </c>
      <c r="C127" t="str" cm="1">
        <f t="array" aca="1" ref="C127" ca="1">INDEX(sheet2!$A$2:$A$6, RANDBETWEEN(1, 5))</f>
        <v>IT</v>
      </c>
      <c r="D127" t="str">
        <f ca="1">_xlfn.XLOOKUP(Table1[[#This Row],[Department]],sheet2!$A$2:$A$6,sheet2!$B$2:$B$6,_xleta.NA,0)</f>
        <v>Software Engineer</v>
      </c>
      <c r="E127" s="1">
        <f t="shared" ca="1" si="23"/>
        <v>43247</v>
      </c>
      <c r="F127" s="1">
        <f ca="1">Table1[[#This Row],[Job Posting Date]]+ RANDBETWEEN(15, 90)</f>
        <v>43295</v>
      </c>
      <c r="G127" s="1">
        <f ca="1">Table1[[#This Row],[Hire Date]]+ RANDBETWEEN(1, 15)</f>
        <v>43301</v>
      </c>
      <c r="H127" s="1">
        <f ca="1">IF(RAND() &lt; 0.5,  Table1[[#This Row],[Join Date]]+ RANDBETWEEN(30, TODAY()- Table1[[#This Row],[Join Date]]), "-")</f>
        <v>44299</v>
      </c>
      <c r="I127" t="str">
        <f ca="1">IF(Table1[[#This Row],[Exit Date]]= "-", "Active", "Exited")</f>
        <v>Exited</v>
      </c>
      <c r="J127" s="5">
        <f t="shared" ca="1" si="24"/>
        <v>2327</v>
      </c>
      <c r="K127">
        <f ca="1">Table1[[#This Row],[Offers Made]]*2</f>
        <v>14</v>
      </c>
      <c r="L127">
        <f t="shared" ca="1" si="17"/>
        <v>7</v>
      </c>
      <c r="M127">
        <f t="shared" ca="1" si="18"/>
        <v>5</v>
      </c>
      <c r="N127" t="str">
        <f t="shared" ca="1" si="19"/>
        <v>Direct Hiring</v>
      </c>
      <c r="O127">
        <f t="shared" ca="1" si="20"/>
        <v>4</v>
      </c>
      <c r="P127" t="str">
        <f t="shared" ca="1" si="21"/>
        <v>No</v>
      </c>
      <c r="Q127" t="str" cm="1">
        <f t="array" aca="1" ref="Q127" ca="1">INDEX(sheet2!$C$2:$C$6, RANDBETWEEN(1, 5))</f>
        <v>Ethics and Responsibilities</v>
      </c>
      <c r="R127" t="str">
        <f t="shared" ca="1" si="25"/>
        <v>Not Completed</v>
      </c>
      <c r="S127">
        <f ca="1">Table1[[#This Row],[Hire Date]]-Table1[[#This Row],[Job Posting Date]]</f>
        <v>48</v>
      </c>
    </row>
    <row r="128" spans="1:19" x14ac:dyDescent="0.2">
      <c r="A128" t="str">
        <f t="shared" si="13"/>
        <v>EMP127</v>
      </c>
      <c r="B128" t="str">
        <f t="shared" ca="1" si="14"/>
        <v>Female</v>
      </c>
      <c r="C128" t="str" cm="1">
        <f t="array" aca="1" ref="C128" ca="1">INDEX(sheet2!$A$2:$A$6, RANDBETWEEN(1, 5))</f>
        <v>IT</v>
      </c>
      <c r="D128" t="str">
        <f ca="1">_xlfn.XLOOKUP(Table1[[#This Row],[Department]],sheet2!$A$2:$A$6,sheet2!$B$2:$B$6,_xleta.NA,0)</f>
        <v>Software Engineer</v>
      </c>
      <c r="E128" s="1">
        <f t="shared" ca="1" si="23"/>
        <v>44215</v>
      </c>
      <c r="F128" s="1">
        <f ca="1">Table1[[#This Row],[Job Posting Date]]+ RANDBETWEEN(15, 90)</f>
        <v>44298</v>
      </c>
      <c r="G128" s="1">
        <f ca="1">Table1[[#This Row],[Hire Date]]+ RANDBETWEEN(1, 15)</f>
        <v>44312</v>
      </c>
      <c r="H128" s="1" t="str">
        <f ca="1">IF(RAND() &lt; 0.5,  Table1[[#This Row],[Join Date]]+ RANDBETWEEN(30, TODAY()- Table1[[#This Row],[Join Date]]), "-")</f>
        <v>-</v>
      </c>
      <c r="I128" t="str">
        <f ca="1">IF(Table1[[#This Row],[Exit Date]]= "-", "Active", "Exited")</f>
        <v>Active</v>
      </c>
      <c r="J128" s="5">
        <f t="shared" ca="1" si="24"/>
        <v>2581</v>
      </c>
      <c r="K128">
        <f ca="1">Table1[[#This Row],[Offers Made]]*2</f>
        <v>14</v>
      </c>
      <c r="L128">
        <f t="shared" ca="1" si="17"/>
        <v>7</v>
      </c>
      <c r="M128">
        <f t="shared" ca="1" si="18"/>
        <v>2</v>
      </c>
      <c r="N128" t="str">
        <f t="shared" ca="1" si="19"/>
        <v>Employee Referrals</v>
      </c>
      <c r="O128">
        <f t="shared" ca="1" si="20"/>
        <v>3</v>
      </c>
      <c r="P128" t="str">
        <f t="shared" ca="1" si="21"/>
        <v>Yes</v>
      </c>
      <c r="Q128" t="str" cm="1">
        <f t="array" aca="1" ref="Q128" ca="1">INDEX(sheet2!$C$2:$C$6, RANDBETWEEN(1, 5))</f>
        <v>Conflict Resolution</v>
      </c>
      <c r="R128" t="str">
        <f t="shared" ca="1" si="25"/>
        <v>Not Completed</v>
      </c>
      <c r="S128">
        <f ca="1">Table1[[#This Row],[Hire Date]]-Table1[[#This Row],[Job Posting Date]]</f>
        <v>83</v>
      </c>
    </row>
    <row r="129" spans="1:19" x14ac:dyDescent="0.2">
      <c r="A129" t="str">
        <f t="shared" si="13"/>
        <v>EMP128</v>
      </c>
      <c r="B129" t="str">
        <f t="shared" ca="1" si="14"/>
        <v>Male</v>
      </c>
      <c r="C129" t="str" cm="1">
        <f t="array" aca="1" ref="C129" ca="1">INDEX(sheet2!$A$2:$A$6, RANDBETWEEN(1, 5))</f>
        <v>Sales</v>
      </c>
      <c r="D129" t="str">
        <f ca="1">_xlfn.XLOOKUP(Table1[[#This Row],[Department]],sheet2!$A$2:$A$6,sheet2!$B$2:$B$6,_xleta.NA,0)</f>
        <v>Marketing Manager</v>
      </c>
      <c r="E129" s="1">
        <f t="shared" ca="1" si="23"/>
        <v>43294</v>
      </c>
      <c r="F129" s="1">
        <f ca="1">Table1[[#This Row],[Job Posting Date]]+ RANDBETWEEN(15, 90)</f>
        <v>43361</v>
      </c>
      <c r="G129" s="1">
        <f ca="1">Table1[[#This Row],[Hire Date]]+ RANDBETWEEN(1, 15)</f>
        <v>43371</v>
      </c>
      <c r="H129" s="1" t="str">
        <f ca="1">IF(RAND() &lt; 0.5,  Table1[[#This Row],[Join Date]]+ RANDBETWEEN(30, TODAY()- Table1[[#This Row],[Join Date]]), "-")</f>
        <v>-</v>
      </c>
      <c r="I129" t="str">
        <f ca="1">IF(Table1[[#This Row],[Exit Date]]= "-", "Active", "Exited")</f>
        <v>Active</v>
      </c>
      <c r="J129" s="5">
        <f t="shared" ca="1" si="24"/>
        <v>3405</v>
      </c>
      <c r="K129">
        <f ca="1">Table1[[#This Row],[Offers Made]]*2</f>
        <v>14</v>
      </c>
      <c r="L129">
        <f t="shared" ca="1" si="17"/>
        <v>7</v>
      </c>
      <c r="M129">
        <f t="shared" ca="1" si="18"/>
        <v>6</v>
      </c>
      <c r="N129" t="str">
        <f t="shared" ca="1" si="19"/>
        <v>Campus Placements</v>
      </c>
      <c r="O129">
        <f t="shared" ca="1" si="20"/>
        <v>4</v>
      </c>
      <c r="P129" t="str">
        <f t="shared" ca="1" si="21"/>
        <v>No</v>
      </c>
      <c r="Q129" t="str" cm="1">
        <f t="array" aca="1" ref="Q129" ca="1">INDEX(sheet2!$C$2:$C$6, RANDBETWEEN(1, 5))</f>
        <v>Conflict Resolution</v>
      </c>
      <c r="R129" t="str">
        <f t="shared" ca="1" si="25"/>
        <v>Completed</v>
      </c>
      <c r="S129">
        <f ca="1">Table1[[#This Row],[Hire Date]]-Table1[[#This Row],[Job Posting Date]]</f>
        <v>67</v>
      </c>
    </row>
    <row r="130" spans="1:19" x14ac:dyDescent="0.2">
      <c r="A130" t="str">
        <f t="shared" ref="A130:A193" si="26">"EMP" &amp; TEXT(ROW(A129), "000")</f>
        <v>EMP129</v>
      </c>
      <c r="B130" t="str">
        <f t="shared" ref="B130:B193" ca="1" si="27">CHOOSE(RANDBETWEEN(1, 2), "Male", "Female")</f>
        <v>Male</v>
      </c>
      <c r="C130" t="str" cm="1">
        <f t="array" aca="1" ref="C130" ca="1">INDEX(sheet2!$A$2:$A$6, RANDBETWEEN(1, 5))</f>
        <v>Finance</v>
      </c>
      <c r="D130" t="str">
        <f ca="1">_xlfn.XLOOKUP(Table1[[#This Row],[Department]],sheet2!$A$2:$A$6,sheet2!$B$2:$B$6,_xleta.NA,0)</f>
        <v>Finance Manager</v>
      </c>
      <c r="E130" s="1">
        <f t="shared" ca="1" si="23"/>
        <v>44092</v>
      </c>
      <c r="F130" s="1">
        <f ca="1">Table1[[#This Row],[Job Posting Date]]+ RANDBETWEEN(15, 90)</f>
        <v>44117</v>
      </c>
      <c r="G130" s="1">
        <f ca="1">Table1[[#This Row],[Hire Date]]+ RANDBETWEEN(1, 15)</f>
        <v>44131</v>
      </c>
      <c r="H130" s="1">
        <f ca="1">IF(RAND() &lt; 0.5,  Table1[[#This Row],[Join Date]]+ RANDBETWEEN(30, TODAY()- Table1[[#This Row],[Join Date]]), "-")</f>
        <v>44167</v>
      </c>
      <c r="I130" t="str">
        <f ca="1">IF(Table1[[#This Row],[Exit Date]]= "-", "Active", "Exited")</f>
        <v>Exited</v>
      </c>
      <c r="J130" s="5">
        <f t="shared" ca="1" si="24"/>
        <v>2402</v>
      </c>
      <c r="K130">
        <f ca="1">Table1[[#This Row],[Offers Made]]*2</f>
        <v>14</v>
      </c>
      <c r="L130">
        <f t="shared" ref="L130:L193" ca="1" si="28">RANDBETWEEN(3, 8)</f>
        <v>7</v>
      </c>
      <c r="M130">
        <f t="shared" ref="M130:M193" ca="1" si="29">RANDBETWEEN(1, L130-1)</f>
        <v>6</v>
      </c>
      <c r="N130" t="str">
        <f t="shared" ref="N130:N193" ca="1" si="30">CHOOSE(RANDBETWEEN(1, 4), "Job Portals", "Campus Placements", "Employee Referrals", "Direct Hiring")</f>
        <v>Campus Placements</v>
      </c>
      <c r="O130">
        <f t="shared" ref="O130:O193" ca="1" si="31">RANDBETWEEN(1,5)</f>
        <v>4</v>
      </c>
      <c r="P130" t="str">
        <f t="shared" ref="P130:P193" ca="1" si="32">CHOOSE(RANDBETWEEN(1, 2), "Yes", "No")</f>
        <v>Yes</v>
      </c>
      <c r="Q130" t="str" cm="1">
        <f t="array" aca="1" ref="Q130" ca="1">INDEX(sheet2!$C$2:$C$6, RANDBETWEEN(1, 5))</f>
        <v>Leadership Development</v>
      </c>
      <c r="R130" t="str">
        <f t="shared" ca="1" si="25"/>
        <v>Not Completed</v>
      </c>
      <c r="S130">
        <f ca="1">Table1[[#This Row],[Hire Date]]-Table1[[#This Row],[Job Posting Date]]</f>
        <v>25</v>
      </c>
    </row>
    <row r="131" spans="1:19" x14ac:dyDescent="0.2">
      <c r="A131" t="str">
        <f t="shared" si="26"/>
        <v>EMP130</v>
      </c>
      <c r="B131" t="str">
        <f t="shared" ca="1" si="27"/>
        <v>Male</v>
      </c>
      <c r="C131" t="str" cm="1">
        <f t="array" aca="1" ref="C131" ca="1">INDEX(sheet2!$A$2:$A$6, RANDBETWEEN(1, 5))</f>
        <v>HR</v>
      </c>
      <c r="D131" t="str">
        <f ca="1">_xlfn.XLOOKUP(Table1[[#This Row],[Department]],sheet2!$A$2:$A$6,sheet2!$B$2:$B$6,_xleta.NA,0)</f>
        <v>HR Manager</v>
      </c>
      <c r="E131" s="1">
        <f t="shared" ca="1" si="23"/>
        <v>43492</v>
      </c>
      <c r="F131" s="1">
        <f ca="1">Table1[[#This Row],[Job Posting Date]]+ RANDBETWEEN(15, 90)</f>
        <v>43520</v>
      </c>
      <c r="G131" s="1">
        <f ca="1">Table1[[#This Row],[Hire Date]]+ RANDBETWEEN(1, 15)</f>
        <v>43534</v>
      </c>
      <c r="H131" s="1">
        <f ca="1">IF(RAND() &lt; 0.5,  Table1[[#This Row],[Join Date]]+ RANDBETWEEN(30, TODAY()- Table1[[#This Row],[Join Date]]), "-")</f>
        <v>44798</v>
      </c>
      <c r="I131" t="str">
        <f ca="1">IF(Table1[[#This Row],[Exit Date]]= "-", "Active", "Exited")</f>
        <v>Exited</v>
      </c>
      <c r="J131" s="5">
        <f t="shared" ca="1" si="24"/>
        <v>4839</v>
      </c>
      <c r="K131">
        <f ca="1">Table1[[#This Row],[Offers Made]]*2</f>
        <v>16</v>
      </c>
      <c r="L131">
        <f t="shared" ca="1" si="28"/>
        <v>8</v>
      </c>
      <c r="M131">
        <f t="shared" ca="1" si="29"/>
        <v>6</v>
      </c>
      <c r="N131" t="str">
        <f t="shared" ca="1" si="30"/>
        <v>Job Portals</v>
      </c>
      <c r="O131">
        <f t="shared" ca="1" si="31"/>
        <v>3</v>
      </c>
      <c r="P131" t="str">
        <f t="shared" ca="1" si="32"/>
        <v>Yes</v>
      </c>
      <c r="Q131" t="str" cm="1">
        <f t="array" aca="1" ref="Q131" ca="1">INDEX(sheet2!$C$2:$C$6, RANDBETWEEN(1, 5))</f>
        <v>Conflict Resolution</v>
      </c>
      <c r="R131" t="str">
        <f t="shared" ca="1" si="25"/>
        <v>Completed</v>
      </c>
      <c r="S131">
        <f ca="1">Table1[[#This Row],[Hire Date]]-Table1[[#This Row],[Job Posting Date]]</f>
        <v>28</v>
      </c>
    </row>
    <row r="132" spans="1:19" x14ac:dyDescent="0.2">
      <c r="A132" t="str">
        <f t="shared" si="26"/>
        <v>EMP131</v>
      </c>
      <c r="B132" t="str">
        <f t="shared" ca="1" si="27"/>
        <v>Male</v>
      </c>
      <c r="C132" t="str" cm="1">
        <f t="array" aca="1" ref="C132" ca="1">INDEX(sheet2!$A$2:$A$6, RANDBETWEEN(1, 5))</f>
        <v>IT</v>
      </c>
      <c r="D132" t="str">
        <f ca="1">_xlfn.XLOOKUP(Table1[[#This Row],[Department]],sheet2!$A$2:$A$6,sheet2!$B$2:$B$6,_xleta.NA,0)</f>
        <v>Software Engineer</v>
      </c>
      <c r="E132" s="1">
        <f t="shared" ca="1" si="23"/>
        <v>43481</v>
      </c>
      <c r="F132" s="1">
        <f ca="1">Table1[[#This Row],[Job Posting Date]]+ RANDBETWEEN(15, 90)</f>
        <v>43564</v>
      </c>
      <c r="G132" s="1">
        <f ca="1">Table1[[#This Row],[Hire Date]]+ RANDBETWEEN(1, 15)</f>
        <v>43576</v>
      </c>
      <c r="H132" s="1">
        <f ca="1">IF(RAND() &lt; 0.5,  Table1[[#This Row],[Join Date]]+ RANDBETWEEN(30, TODAY()- Table1[[#This Row],[Join Date]]), "-")</f>
        <v>45231</v>
      </c>
      <c r="I132" t="str">
        <f ca="1">IF(Table1[[#This Row],[Exit Date]]= "-", "Active", "Exited")</f>
        <v>Exited</v>
      </c>
      <c r="J132" s="5">
        <f t="shared" ca="1" si="24"/>
        <v>2344</v>
      </c>
      <c r="K132">
        <f ca="1">Table1[[#This Row],[Offers Made]]*2</f>
        <v>6</v>
      </c>
      <c r="L132">
        <f t="shared" ca="1" si="28"/>
        <v>3</v>
      </c>
      <c r="M132">
        <f t="shared" ca="1" si="29"/>
        <v>1</v>
      </c>
      <c r="N132" t="str">
        <f t="shared" ca="1" si="30"/>
        <v>Job Portals</v>
      </c>
      <c r="O132">
        <f t="shared" ca="1" si="31"/>
        <v>2</v>
      </c>
      <c r="P132" t="str">
        <f t="shared" ca="1" si="32"/>
        <v>No</v>
      </c>
      <c r="Q132" t="str" cm="1">
        <f t="array" aca="1" ref="Q132" ca="1">INDEX(sheet2!$C$2:$C$6, RANDBETWEEN(1, 5))</f>
        <v>Conflict Resolution</v>
      </c>
      <c r="R132" t="str">
        <f t="shared" ca="1" si="25"/>
        <v>Completed</v>
      </c>
      <c r="S132">
        <f ca="1">Table1[[#This Row],[Hire Date]]-Table1[[#This Row],[Job Posting Date]]</f>
        <v>83</v>
      </c>
    </row>
    <row r="133" spans="1:19" x14ac:dyDescent="0.2">
      <c r="A133" t="str">
        <f t="shared" si="26"/>
        <v>EMP132</v>
      </c>
      <c r="B133" t="str">
        <f t="shared" ca="1" si="27"/>
        <v>Male</v>
      </c>
      <c r="C133" t="str" cm="1">
        <f t="array" aca="1" ref="C133" ca="1">INDEX(sheet2!$A$2:$A$6, RANDBETWEEN(1, 5))</f>
        <v>Finance</v>
      </c>
      <c r="D133" t="str">
        <f ca="1">_xlfn.XLOOKUP(Table1[[#This Row],[Department]],sheet2!$A$2:$A$6,sheet2!$B$2:$B$6,_xleta.NA,0)</f>
        <v>Finance Manager</v>
      </c>
      <c r="E133" s="1">
        <f t="shared" ca="1" si="23"/>
        <v>44261</v>
      </c>
      <c r="F133" s="1">
        <f ca="1">Table1[[#This Row],[Job Posting Date]]+ RANDBETWEEN(15, 90)</f>
        <v>44298</v>
      </c>
      <c r="G133" s="1">
        <f ca="1">Table1[[#This Row],[Hire Date]]+ RANDBETWEEN(1, 15)</f>
        <v>44310</v>
      </c>
      <c r="H133" s="1">
        <f ca="1">IF(RAND() &lt; 0.5,  Table1[[#This Row],[Join Date]]+ RANDBETWEEN(30, TODAY()- Table1[[#This Row],[Join Date]]), "-")</f>
        <v>44590</v>
      </c>
      <c r="I133" t="str">
        <f ca="1">IF(Table1[[#This Row],[Exit Date]]= "-", "Active", "Exited")</f>
        <v>Exited</v>
      </c>
      <c r="J133" s="5">
        <f t="shared" ca="1" si="24"/>
        <v>4941</v>
      </c>
      <c r="K133">
        <f ca="1">Table1[[#This Row],[Offers Made]]*2</f>
        <v>14</v>
      </c>
      <c r="L133">
        <f t="shared" ca="1" si="28"/>
        <v>7</v>
      </c>
      <c r="M133">
        <f t="shared" ca="1" si="29"/>
        <v>6</v>
      </c>
      <c r="N133" t="str">
        <f t="shared" ca="1" si="30"/>
        <v>Direct Hiring</v>
      </c>
      <c r="O133">
        <f t="shared" ca="1" si="31"/>
        <v>2</v>
      </c>
      <c r="P133" t="str">
        <f t="shared" ca="1" si="32"/>
        <v>Yes</v>
      </c>
      <c r="Q133" t="str" cm="1">
        <f t="array" aca="1" ref="Q133" ca="1">INDEX(sheet2!$C$2:$C$6, RANDBETWEEN(1, 5))</f>
        <v>Conflict Resolution</v>
      </c>
      <c r="R133" t="str">
        <f t="shared" ca="1" si="25"/>
        <v>Completed</v>
      </c>
      <c r="S133">
        <f ca="1">Table1[[#This Row],[Hire Date]]-Table1[[#This Row],[Job Posting Date]]</f>
        <v>37</v>
      </c>
    </row>
    <row r="134" spans="1:19" x14ac:dyDescent="0.2">
      <c r="A134" t="str">
        <f t="shared" si="26"/>
        <v>EMP133</v>
      </c>
      <c r="B134" t="str">
        <f t="shared" ca="1" si="27"/>
        <v>Male</v>
      </c>
      <c r="C134" t="str" cm="1">
        <f t="array" aca="1" ref="C134" ca="1">INDEX(sheet2!$A$2:$A$6, RANDBETWEEN(1, 5))</f>
        <v>Analytics</v>
      </c>
      <c r="D134" t="str">
        <f ca="1">_xlfn.XLOOKUP(Table1[[#This Row],[Department]],sheet2!$A$2:$A$6,sheet2!$B$2:$B$6,_xleta.NA,0)</f>
        <v>Data Analyst</v>
      </c>
      <c r="E134" s="1">
        <f t="shared" ca="1" si="23"/>
        <v>44465</v>
      </c>
      <c r="F134" s="1">
        <f ca="1">Table1[[#This Row],[Job Posting Date]]+ RANDBETWEEN(15, 90)</f>
        <v>44521</v>
      </c>
      <c r="G134" s="1">
        <f ca="1">Table1[[#This Row],[Hire Date]]+ RANDBETWEEN(1, 15)</f>
        <v>44522</v>
      </c>
      <c r="H134" s="1">
        <f ca="1">IF(RAND() &lt; 0.5,  Table1[[#This Row],[Join Date]]+ RANDBETWEEN(30, TODAY()- Table1[[#This Row],[Join Date]]), "-")</f>
        <v>45387</v>
      </c>
      <c r="I134" t="str">
        <f ca="1">IF(Table1[[#This Row],[Exit Date]]= "-", "Active", "Exited")</f>
        <v>Exited</v>
      </c>
      <c r="J134" s="5">
        <f t="shared" ca="1" si="24"/>
        <v>4558</v>
      </c>
      <c r="K134">
        <f ca="1">Table1[[#This Row],[Offers Made]]*2</f>
        <v>10</v>
      </c>
      <c r="L134">
        <f t="shared" ca="1" si="28"/>
        <v>5</v>
      </c>
      <c r="M134">
        <f t="shared" ca="1" si="29"/>
        <v>2</v>
      </c>
      <c r="N134" t="str">
        <f t="shared" ca="1" si="30"/>
        <v>Campus Placements</v>
      </c>
      <c r="O134">
        <f t="shared" ca="1" si="31"/>
        <v>5</v>
      </c>
      <c r="P134" t="str">
        <f t="shared" ca="1" si="32"/>
        <v>No</v>
      </c>
      <c r="Q134" t="str" cm="1">
        <f t="array" aca="1" ref="Q134" ca="1">INDEX(sheet2!$C$2:$C$6, RANDBETWEEN(1, 5))</f>
        <v>Advanced Excel Skills </v>
      </c>
      <c r="R134" t="str">
        <f t="shared" ca="1" si="25"/>
        <v>Not Completed</v>
      </c>
      <c r="S134">
        <f ca="1">Table1[[#This Row],[Hire Date]]-Table1[[#This Row],[Job Posting Date]]</f>
        <v>56</v>
      </c>
    </row>
    <row r="135" spans="1:19" x14ac:dyDescent="0.2">
      <c r="A135" t="str">
        <f t="shared" si="26"/>
        <v>EMP134</v>
      </c>
      <c r="B135" t="str">
        <f t="shared" ca="1" si="27"/>
        <v>Female</v>
      </c>
      <c r="C135" t="str" cm="1">
        <f t="array" aca="1" ref="C135" ca="1">INDEX(sheet2!$A$2:$A$6, RANDBETWEEN(1, 5))</f>
        <v>Finance</v>
      </c>
      <c r="D135" t="str">
        <f ca="1">_xlfn.XLOOKUP(Table1[[#This Row],[Department]],sheet2!$A$2:$A$6,sheet2!$B$2:$B$6,_xleta.NA,0)</f>
        <v>Finance Manager</v>
      </c>
      <c r="E135" s="1">
        <f t="shared" ca="1" si="23"/>
        <v>43493</v>
      </c>
      <c r="F135" s="1">
        <f ca="1">Table1[[#This Row],[Job Posting Date]]+ RANDBETWEEN(15, 90)</f>
        <v>43522</v>
      </c>
      <c r="G135" s="1">
        <f ca="1">Table1[[#This Row],[Hire Date]]+ RANDBETWEEN(1, 15)</f>
        <v>43533</v>
      </c>
      <c r="H135" s="1">
        <f ca="1">IF(RAND() &lt; 0.5,  Table1[[#This Row],[Join Date]]+ RANDBETWEEN(30, TODAY()- Table1[[#This Row],[Join Date]]), "-")</f>
        <v>44344</v>
      </c>
      <c r="I135" t="str">
        <f ca="1">IF(Table1[[#This Row],[Exit Date]]= "-", "Active", "Exited")</f>
        <v>Exited</v>
      </c>
      <c r="J135" s="5">
        <f t="shared" ca="1" si="24"/>
        <v>3584</v>
      </c>
      <c r="K135">
        <f ca="1">Table1[[#This Row],[Offers Made]]*2</f>
        <v>14</v>
      </c>
      <c r="L135">
        <f t="shared" ca="1" si="28"/>
        <v>7</v>
      </c>
      <c r="M135">
        <f t="shared" ca="1" si="29"/>
        <v>1</v>
      </c>
      <c r="N135" t="str">
        <f t="shared" ca="1" si="30"/>
        <v>Job Portals</v>
      </c>
      <c r="O135">
        <f t="shared" ca="1" si="31"/>
        <v>4</v>
      </c>
      <c r="P135" t="str">
        <f t="shared" ca="1" si="32"/>
        <v>Yes</v>
      </c>
      <c r="Q135" t="str" cm="1">
        <f t="array" aca="1" ref="Q135" ca="1">INDEX(sheet2!$C$2:$C$6, RANDBETWEEN(1, 5))</f>
        <v>Conflict Resolution</v>
      </c>
      <c r="R135" t="str">
        <f t="shared" ca="1" si="25"/>
        <v>Completed</v>
      </c>
      <c r="S135">
        <f ca="1">Table1[[#This Row],[Hire Date]]-Table1[[#This Row],[Job Posting Date]]</f>
        <v>29</v>
      </c>
    </row>
    <row r="136" spans="1:19" x14ac:dyDescent="0.2">
      <c r="A136" t="str">
        <f t="shared" si="26"/>
        <v>EMP135</v>
      </c>
      <c r="B136" t="str">
        <f t="shared" ca="1" si="27"/>
        <v>Male</v>
      </c>
      <c r="C136" t="str" cm="1">
        <f t="array" aca="1" ref="C136" ca="1">INDEX(sheet2!$A$2:$A$6, RANDBETWEEN(1, 5))</f>
        <v>Sales</v>
      </c>
      <c r="D136" t="str">
        <f ca="1">_xlfn.XLOOKUP(Table1[[#This Row],[Department]],sheet2!$A$2:$A$6,sheet2!$B$2:$B$6,_xleta.NA,0)</f>
        <v>Marketing Manager</v>
      </c>
      <c r="E136" s="1">
        <f t="shared" ca="1" si="23"/>
        <v>43566</v>
      </c>
      <c r="F136" s="1">
        <f ca="1">Table1[[#This Row],[Job Posting Date]]+ RANDBETWEEN(15, 90)</f>
        <v>43585</v>
      </c>
      <c r="G136" s="1">
        <f ca="1">Table1[[#This Row],[Hire Date]]+ RANDBETWEEN(1, 15)</f>
        <v>43594</v>
      </c>
      <c r="H136" s="1" t="str">
        <f ca="1">IF(RAND() &lt; 0.5,  Table1[[#This Row],[Join Date]]+ RANDBETWEEN(30, TODAY()- Table1[[#This Row],[Join Date]]), "-")</f>
        <v>-</v>
      </c>
      <c r="I136" t="str">
        <f ca="1">IF(Table1[[#This Row],[Exit Date]]= "-", "Active", "Exited")</f>
        <v>Active</v>
      </c>
      <c r="J136" s="5">
        <f t="shared" ca="1" si="24"/>
        <v>4480</v>
      </c>
      <c r="K136">
        <f ca="1">Table1[[#This Row],[Offers Made]]*2</f>
        <v>14</v>
      </c>
      <c r="L136">
        <f t="shared" ca="1" si="28"/>
        <v>7</v>
      </c>
      <c r="M136">
        <f t="shared" ca="1" si="29"/>
        <v>1</v>
      </c>
      <c r="N136" t="str">
        <f t="shared" ca="1" si="30"/>
        <v>Employee Referrals</v>
      </c>
      <c r="O136">
        <f t="shared" ca="1" si="31"/>
        <v>4</v>
      </c>
      <c r="P136" t="str">
        <f t="shared" ca="1" si="32"/>
        <v>No</v>
      </c>
      <c r="Q136" t="str" cm="1">
        <f t="array" aca="1" ref="Q136" ca="1">INDEX(sheet2!$C$2:$C$6, RANDBETWEEN(1, 5))</f>
        <v>Ethics and Responsibilities</v>
      </c>
      <c r="R136" t="str">
        <f t="shared" ca="1" si="25"/>
        <v>Completed</v>
      </c>
      <c r="S136">
        <f ca="1">Table1[[#This Row],[Hire Date]]-Table1[[#This Row],[Job Posting Date]]</f>
        <v>19</v>
      </c>
    </row>
    <row r="137" spans="1:19" x14ac:dyDescent="0.2">
      <c r="A137" t="str">
        <f t="shared" si="26"/>
        <v>EMP136</v>
      </c>
      <c r="B137" t="str">
        <f t="shared" ca="1" si="27"/>
        <v>Male</v>
      </c>
      <c r="C137" t="str" cm="1">
        <f t="array" aca="1" ref="C137" ca="1">INDEX(sheet2!$A$2:$A$6, RANDBETWEEN(1, 5))</f>
        <v>Finance</v>
      </c>
      <c r="D137" t="str">
        <f ca="1">_xlfn.XLOOKUP(Table1[[#This Row],[Department]],sheet2!$A$2:$A$6,sheet2!$B$2:$B$6,_xleta.NA,0)</f>
        <v>Finance Manager</v>
      </c>
      <c r="E137" s="1">
        <f t="shared" ca="1" si="23"/>
        <v>44483</v>
      </c>
      <c r="F137" s="1">
        <f ca="1">Table1[[#This Row],[Job Posting Date]]+ RANDBETWEEN(15, 90)</f>
        <v>44551</v>
      </c>
      <c r="G137" s="1">
        <f ca="1">Table1[[#This Row],[Hire Date]]+ RANDBETWEEN(1, 15)</f>
        <v>44554</v>
      </c>
      <c r="H137" s="1" t="str">
        <f ca="1">IF(RAND() &lt; 0.5,  Table1[[#This Row],[Join Date]]+ RANDBETWEEN(30, TODAY()- Table1[[#This Row],[Join Date]]), "-")</f>
        <v>-</v>
      </c>
      <c r="I137" t="str">
        <f ca="1">IF(Table1[[#This Row],[Exit Date]]= "-", "Active", "Exited")</f>
        <v>Active</v>
      </c>
      <c r="J137" s="5">
        <f t="shared" ca="1" si="24"/>
        <v>3283</v>
      </c>
      <c r="K137">
        <f ca="1">Table1[[#This Row],[Offers Made]]*2</f>
        <v>8</v>
      </c>
      <c r="L137">
        <f t="shared" ca="1" si="28"/>
        <v>4</v>
      </c>
      <c r="M137">
        <f t="shared" ca="1" si="29"/>
        <v>3</v>
      </c>
      <c r="N137" t="str">
        <f t="shared" ca="1" si="30"/>
        <v>Direct Hiring</v>
      </c>
      <c r="O137">
        <f t="shared" ca="1" si="31"/>
        <v>4</v>
      </c>
      <c r="P137" t="str">
        <f t="shared" ca="1" si="32"/>
        <v>Yes</v>
      </c>
      <c r="Q137" t="str" cm="1">
        <f t="array" aca="1" ref="Q137" ca="1">INDEX(sheet2!$C$2:$C$6, RANDBETWEEN(1, 5))</f>
        <v>Advanced Excel Skills </v>
      </c>
      <c r="R137" t="str">
        <f t="shared" ca="1" si="25"/>
        <v>Completed</v>
      </c>
      <c r="S137">
        <f ca="1">Table1[[#This Row],[Hire Date]]-Table1[[#This Row],[Job Posting Date]]</f>
        <v>68</v>
      </c>
    </row>
    <row r="138" spans="1:19" x14ac:dyDescent="0.2">
      <c r="A138" t="str">
        <f t="shared" si="26"/>
        <v>EMP137</v>
      </c>
      <c r="B138" t="str">
        <f t="shared" ca="1" si="27"/>
        <v>Female</v>
      </c>
      <c r="C138" t="str" cm="1">
        <f t="array" aca="1" ref="C138" ca="1">INDEX(sheet2!$A$2:$A$6, RANDBETWEEN(1, 5))</f>
        <v>Finance</v>
      </c>
      <c r="D138" t="str">
        <f ca="1">_xlfn.XLOOKUP(Table1[[#This Row],[Department]],sheet2!$A$2:$A$6,sheet2!$B$2:$B$6,_xleta.NA,0)</f>
        <v>Finance Manager</v>
      </c>
      <c r="E138" s="1">
        <f t="shared" ca="1" si="23"/>
        <v>44491</v>
      </c>
      <c r="F138" s="1">
        <f ca="1">Table1[[#This Row],[Job Posting Date]]+ RANDBETWEEN(15, 90)</f>
        <v>44522</v>
      </c>
      <c r="G138" s="1">
        <f ca="1">Table1[[#This Row],[Hire Date]]+ RANDBETWEEN(1, 15)</f>
        <v>44529</v>
      </c>
      <c r="H138" s="1">
        <f ca="1">IF(RAND() &lt; 0.5,  Table1[[#This Row],[Join Date]]+ RANDBETWEEN(30, TODAY()- Table1[[#This Row],[Join Date]]), "-")</f>
        <v>44731</v>
      </c>
      <c r="I138" t="str">
        <f ca="1">IF(Table1[[#This Row],[Exit Date]]= "-", "Active", "Exited")</f>
        <v>Exited</v>
      </c>
      <c r="J138" s="5">
        <f t="shared" ca="1" si="24"/>
        <v>4191</v>
      </c>
      <c r="K138">
        <f ca="1">Table1[[#This Row],[Offers Made]]*2</f>
        <v>12</v>
      </c>
      <c r="L138">
        <f t="shared" ca="1" si="28"/>
        <v>6</v>
      </c>
      <c r="M138">
        <f t="shared" ca="1" si="29"/>
        <v>5</v>
      </c>
      <c r="N138" t="str">
        <f t="shared" ca="1" si="30"/>
        <v>Job Portals</v>
      </c>
      <c r="O138">
        <f t="shared" ca="1" si="31"/>
        <v>4</v>
      </c>
      <c r="P138" t="str">
        <f t="shared" ca="1" si="32"/>
        <v>Yes</v>
      </c>
      <c r="Q138" t="str" cm="1">
        <f t="array" aca="1" ref="Q138" ca="1">INDEX(sheet2!$C$2:$C$6, RANDBETWEEN(1, 5))</f>
        <v>Communication Skills</v>
      </c>
      <c r="R138" t="str">
        <f t="shared" ca="1" si="25"/>
        <v>Not Completed</v>
      </c>
      <c r="S138">
        <f ca="1">Table1[[#This Row],[Hire Date]]-Table1[[#This Row],[Job Posting Date]]</f>
        <v>31</v>
      </c>
    </row>
    <row r="139" spans="1:19" x14ac:dyDescent="0.2">
      <c r="A139" t="str">
        <f t="shared" si="26"/>
        <v>EMP138</v>
      </c>
      <c r="B139" t="str">
        <f t="shared" ca="1" si="27"/>
        <v>Male</v>
      </c>
      <c r="C139" t="str" cm="1">
        <f t="array" aca="1" ref="C139" ca="1">INDEX(sheet2!$A$2:$A$6, RANDBETWEEN(1, 5))</f>
        <v>HR</v>
      </c>
      <c r="D139" t="str">
        <f ca="1">_xlfn.XLOOKUP(Table1[[#This Row],[Department]],sheet2!$A$2:$A$6,sheet2!$B$2:$B$6,_xleta.NA,0)</f>
        <v>HR Manager</v>
      </c>
      <c r="E139" s="1">
        <f t="shared" ca="1" si="23"/>
        <v>43223</v>
      </c>
      <c r="F139" s="1">
        <f ca="1">Table1[[#This Row],[Job Posting Date]]+ RANDBETWEEN(15, 90)</f>
        <v>43310</v>
      </c>
      <c r="G139" s="1">
        <f ca="1">Table1[[#This Row],[Hire Date]]+ RANDBETWEEN(1, 15)</f>
        <v>43317</v>
      </c>
      <c r="H139" s="1">
        <f ca="1">IF(RAND() &lt; 0.5,  Table1[[#This Row],[Join Date]]+ RANDBETWEEN(30, TODAY()- Table1[[#This Row],[Join Date]]), "-")</f>
        <v>43479</v>
      </c>
      <c r="I139" t="str">
        <f ca="1">IF(Table1[[#This Row],[Exit Date]]= "-", "Active", "Exited")</f>
        <v>Exited</v>
      </c>
      <c r="J139" s="5">
        <f t="shared" ca="1" si="24"/>
        <v>2006</v>
      </c>
      <c r="K139">
        <f ca="1">Table1[[#This Row],[Offers Made]]*2</f>
        <v>8</v>
      </c>
      <c r="L139">
        <f t="shared" ca="1" si="28"/>
        <v>4</v>
      </c>
      <c r="M139">
        <f t="shared" ca="1" si="29"/>
        <v>2</v>
      </c>
      <c r="N139" t="str">
        <f t="shared" ca="1" si="30"/>
        <v>Campus Placements</v>
      </c>
      <c r="O139">
        <f t="shared" ca="1" si="31"/>
        <v>2</v>
      </c>
      <c r="P139" t="str">
        <f t="shared" ca="1" si="32"/>
        <v>No</v>
      </c>
      <c r="Q139" t="str" cm="1">
        <f t="array" aca="1" ref="Q139" ca="1">INDEX(sheet2!$C$2:$C$6, RANDBETWEEN(1, 5))</f>
        <v>Conflict Resolution</v>
      </c>
      <c r="R139" t="str">
        <f t="shared" ca="1" si="25"/>
        <v>Completed</v>
      </c>
      <c r="S139">
        <f ca="1">Table1[[#This Row],[Hire Date]]-Table1[[#This Row],[Job Posting Date]]</f>
        <v>87</v>
      </c>
    </row>
    <row r="140" spans="1:19" x14ac:dyDescent="0.2">
      <c r="A140" t="str">
        <f t="shared" si="26"/>
        <v>EMP139</v>
      </c>
      <c r="B140" t="str">
        <f t="shared" ca="1" si="27"/>
        <v>Male</v>
      </c>
      <c r="C140" t="str" cm="1">
        <f t="array" aca="1" ref="C140" ca="1">INDEX(sheet2!$A$2:$A$6, RANDBETWEEN(1, 5))</f>
        <v>HR</v>
      </c>
      <c r="D140" t="str">
        <f ca="1">_xlfn.XLOOKUP(Table1[[#This Row],[Department]],sheet2!$A$2:$A$6,sheet2!$B$2:$B$6,_xleta.NA,0)</f>
        <v>HR Manager</v>
      </c>
      <c r="E140" s="1">
        <f t="shared" ca="1" si="23"/>
        <v>44512</v>
      </c>
      <c r="F140" s="1">
        <f ca="1">Table1[[#This Row],[Job Posting Date]]+ RANDBETWEEN(15, 90)</f>
        <v>44541</v>
      </c>
      <c r="G140" s="1">
        <f ca="1">Table1[[#This Row],[Hire Date]]+ RANDBETWEEN(1, 15)</f>
        <v>44545</v>
      </c>
      <c r="H140" s="1">
        <f ca="1">IF(RAND() &lt; 0.5,  Table1[[#This Row],[Join Date]]+ RANDBETWEEN(30, TODAY()- Table1[[#This Row],[Join Date]]), "-")</f>
        <v>44835</v>
      </c>
      <c r="I140" t="str">
        <f ca="1">IF(Table1[[#This Row],[Exit Date]]= "-", "Active", "Exited")</f>
        <v>Exited</v>
      </c>
      <c r="J140" s="5">
        <f t="shared" ca="1" si="24"/>
        <v>3058</v>
      </c>
      <c r="K140">
        <f ca="1">Table1[[#This Row],[Offers Made]]*2</f>
        <v>16</v>
      </c>
      <c r="L140">
        <f t="shared" ca="1" si="28"/>
        <v>8</v>
      </c>
      <c r="M140">
        <f t="shared" ca="1" si="29"/>
        <v>1</v>
      </c>
      <c r="N140" t="str">
        <f t="shared" ca="1" si="30"/>
        <v>Campus Placements</v>
      </c>
      <c r="O140">
        <f t="shared" ca="1" si="31"/>
        <v>4</v>
      </c>
      <c r="P140" t="str">
        <f t="shared" ca="1" si="32"/>
        <v>No</v>
      </c>
      <c r="Q140" t="str" cm="1">
        <f t="array" aca="1" ref="Q140" ca="1">INDEX(sheet2!$C$2:$C$6, RANDBETWEEN(1, 5))</f>
        <v>Conflict Resolution</v>
      </c>
      <c r="R140" t="str">
        <f t="shared" ca="1" si="25"/>
        <v>Completed</v>
      </c>
      <c r="S140">
        <f ca="1">Table1[[#This Row],[Hire Date]]-Table1[[#This Row],[Job Posting Date]]</f>
        <v>29</v>
      </c>
    </row>
    <row r="141" spans="1:19" x14ac:dyDescent="0.2">
      <c r="A141" t="str">
        <f t="shared" si="26"/>
        <v>EMP140</v>
      </c>
      <c r="B141" t="str">
        <f t="shared" ca="1" si="27"/>
        <v>Male</v>
      </c>
      <c r="C141" t="str" cm="1">
        <f t="array" aca="1" ref="C141" ca="1">INDEX(sheet2!$A$2:$A$6, RANDBETWEEN(1, 5))</f>
        <v>Sales</v>
      </c>
      <c r="D141" t="str">
        <f ca="1">_xlfn.XLOOKUP(Table1[[#This Row],[Department]],sheet2!$A$2:$A$6,sheet2!$B$2:$B$6,_xleta.NA,0)</f>
        <v>Marketing Manager</v>
      </c>
      <c r="E141" s="1">
        <f t="shared" ca="1" si="23"/>
        <v>43852</v>
      </c>
      <c r="F141" s="1">
        <f ca="1">Table1[[#This Row],[Job Posting Date]]+ RANDBETWEEN(15, 90)</f>
        <v>43892</v>
      </c>
      <c r="G141" s="1">
        <f ca="1">Table1[[#This Row],[Hire Date]]+ RANDBETWEEN(1, 15)</f>
        <v>43900</v>
      </c>
      <c r="H141" s="1" t="str">
        <f ca="1">IF(RAND() &lt; 0.5,  Table1[[#This Row],[Join Date]]+ RANDBETWEEN(30, TODAY()- Table1[[#This Row],[Join Date]]), "-")</f>
        <v>-</v>
      </c>
      <c r="I141" t="str">
        <f ca="1">IF(Table1[[#This Row],[Exit Date]]= "-", "Active", "Exited")</f>
        <v>Active</v>
      </c>
      <c r="J141" s="5">
        <f t="shared" ca="1" si="24"/>
        <v>1928</v>
      </c>
      <c r="K141">
        <f ca="1">Table1[[#This Row],[Offers Made]]*2</f>
        <v>6</v>
      </c>
      <c r="L141">
        <f t="shared" ca="1" si="28"/>
        <v>3</v>
      </c>
      <c r="M141">
        <f t="shared" ca="1" si="29"/>
        <v>2</v>
      </c>
      <c r="N141" t="str">
        <f t="shared" ca="1" si="30"/>
        <v>Direct Hiring</v>
      </c>
      <c r="O141">
        <f t="shared" ca="1" si="31"/>
        <v>3</v>
      </c>
      <c r="P141" t="str">
        <f t="shared" ca="1" si="32"/>
        <v>No</v>
      </c>
      <c r="Q141" t="str" cm="1">
        <f t="array" aca="1" ref="Q141" ca="1">INDEX(sheet2!$C$2:$C$6, RANDBETWEEN(1, 5))</f>
        <v>Ethics and Responsibilities</v>
      </c>
      <c r="R141" t="str">
        <f t="shared" ca="1" si="25"/>
        <v>Completed</v>
      </c>
      <c r="S141">
        <f ca="1">Table1[[#This Row],[Hire Date]]-Table1[[#This Row],[Job Posting Date]]</f>
        <v>40</v>
      </c>
    </row>
    <row r="142" spans="1:19" x14ac:dyDescent="0.2">
      <c r="A142" t="str">
        <f t="shared" si="26"/>
        <v>EMP141</v>
      </c>
      <c r="B142" t="str">
        <f t="shared" ca="1" si="27"/>
        <v>Female</v>
      </c>
      <c r="C142" t="str" cm="1">
        <f t="array" aca="1" ref="C142" ca="1">INDEX(sheet2!$A$2:$A$6, RANDBETWEEN(1, 5))</f>
        <v>Finance</v>
      </c>
      <c r="D142" t="str">
        <f ca="1">_xlfn.XLOOKUP(Table1[[#This Row],[Department]],sheet2!$A$2:$A$6,sheet2!$B$2:$B$6,_xleta.NA,0)</f>
        <v>Finance Manager</v>
      </c>
      <c r="E142" s="1">
        <f t="shared" ca="1" si="23"/>
        <v>43104</v>
      </c>
      <c r="F142" s="1">
        <f ca="1">Table1[[#This Row],[Job Posting Date]]+ RANDBETWEEN(15, 90)</f>
        <v>43185</v>
      </c>
      <c r="G142" s="1">
        <f ca="1">Table1[[#This Row],[Hire Date]]+ RANDBETWEEN(1, 15)</f>
        <v>43196</v>
      </c>
      <c r="H142" s="1" t="str">
        <f ca="1">IF(RAND() &lt; 0.5,  Table1[[#This Row],[Join Date]]+ RANDBETWEEN(30, TODAY()- Table1[[#This Row],[Join Date]]), "-")</f>
        <v>-</v>
      </c>
      <c r="I142" t="str">
        <f ca="1">IF(Table1[[#This Row],[Exit Date]]= "-", "Active", "Exited")</f>
        <v>Active</v>
      </c>
      <c r="J142" s="5">
        <f t="shared" ca="1" si="24"/>
        <v>3266</v>
      </c>
      <c r="K142">
        <f ca="1">Table1[[#This Row],[Offers Made]]*2</f>
        <v>16</v>
      </c>
      <c r="L142">
        <f t="shared" ca="1" si="28"/>
        <v>8</v>
      </c>
      <c r="M142">
        <f t="shared" ca="1" si="29"/>
        <v>4</v>
      </c>
      <c r="N142" t="str">
        <f t="shared" ca="1" si="30"/>
        <v>Employee Referrals</v>
      </c>
      <c r="O142">
        <f t="shared" ca="1" si="31"/>
        <v>5</v>
      </c>
      <c r="P142" t="str">
        <f t="shared" ca="1" si="32"/>
        <v>No</v>
      </c>
      <c r="Q142" t="str" cm="1">
        <f t="array" aca="1" ref="Q142" ca="1">INDEX(sheet2!$C$2:$C$6, RANDBETWEEN(1, 5))</f>
        <v>Conflict Resolution</v>
      </c>
      <c r="R142" t="str">
        <f t="shared" ca="1" si="25"/>
        <v>Not Completed</v>
      </c>
      <c r="S142">
        <f ca="1">Table1[[#This Row],[Hire Date]]-Table1[[#This Row],[Job Posting Date]]</f>
        <v>81</v>
      </c>
    </row>
    <row r="143" spans="1:19" x14ac:dyDescent="0.2">
      <c r="A143" t="str">
        <f t="shared" si="26"/>
        <v>EMP142</v>
      </c>
      <c r="B143" t="str">
        <f t="shared" ca="1" si="27"/>
        <v>Female</v>
      </c>
      <c r="C143" t="str" cm="1">
        <f t="array" aca="1" ref="C143" ca="1">INDEX(sheet2!$A$2:$A$6, RANDBETWEEN(1, 5))</f>
        <v>HR</v>
      </c>
      <c r="D143" t="str">
        <f ca="1">_xlfn.XLOOKUP(Table1[[#This Row],[Department]],sheet2!$A$2:$A$6,sheet2!$B$2:$B$6,_xleta.NA,0)</f>
        <v>HR Manager</v>
      </c>
      <c r="E143" s="1">
        <f t="shared" ca="1" si="23"/>
        <v>43396</v>
      </c>
      <c r="F143" s="1">
        <f ca="1">Table1[[#This Row],[Job Posting Date]]+ RANDBETWEEN(15, 90)</f>
        <v>43484</v>
      </c>
      <c r="G143" s="1">
        <f ca="1">Table1[[#This Row],[Hire Date]]+ RANDBETWEEN(1, 15)</f>
        <v>43496</v>
      </c>
      <c r="H143" s="1">
        <f ca="1">IF(RAND() &lt; 0.5,  Table1[[#This Row],[Join Date]]+ RANDBETWEEN(30, TODAY()- Table1[[#This Row],[Join Date]]), "-")</f>
        <v>45556</v>
      </c>
      <c r="I143" t="str">
        <f ca="1">IF(Table1[[#This Row],[Exit Date]]= "-", "Active", "Exited")</f>
        <v>Exited</v>
      </c>
      <c r="J143" s="5">
        <f t="shared" ca="1" si="24"/>
        <v>2660</v>
      </c>
      <c r="K143">
        <f ca="1">Table1[[#This Row],[Offers Made]]*2</f>
        <v>16</v>
      </c>
      <c r="L143">
        <f t="shared" ca="1" si="28"/>
        <v>8</v>
      </c>
      <c r="M143">
        <f t="shared" ca="1" si="29"/>
        <v>1</v>
      </c>
      <c r="N143" t="str">
        <f t="shared" ca="1" si="30"/>
        <v>Job Portals</v>
      </c>
      <c r="O143">
        <f t="shared" ca="1" si="31"/>
        <v>2</v>
      </c>
      <c r="P143" t="str">
        <f t="shared" ca="1" si="32"/>
        <v>No</v>
      </c>
      <c r="Q143" t="str" cm="1">
        <f t="array" aca="1" ref="Q143" ca="1">INDEX(sheet2!$C$2:$C$6, RANDBETWEEN(1, 5))</f>
        <v>Ethics and Responsibilities</v>
      </c>
      <c r="R143" t="str">
        <f t="shared" ca="1" si="25"/>
        <v>Completed</v>
      </c>
      <c r="S143">
        <f ca="1">Table1[[#This Row],[Hire Date]]-Table1[[#This Row],[Job Posting Date]]</f>
        <v>88</v>
      </c>
    </row>
    <row r="144" spans="1:19" x14ac:dyDescent="0.2">
      <c r="A144" t="str">
        <f t="shared" si="26"/>
        <v>EMP143</v>
      </c>
      <c r="B144" t="str">
        <f t="shared" ca="1" si="27"/>
        <v>Male</v>
      </c>
      <c r="C144" t="str" cm="1">
        <f t="array" aca="1" ref="C144" ca="1">INDEX(sheet2!$A$2:$A$6, RANDBETWEEN(1, 5))</f>
        <v>IT</v>
      </c>
      <c r="D144" t="str">
        <f ca="1">_xlfn.XLOOKUP(Table1[[#This Row],[Department]],sheet2!$A$2:$A$6,sheet2!$B$2:$B$6,_xleta.NA,0)</f>
        <v>Software Engineer</v>
      </c>
      <c r="E144" s="1">
        <f t="shared" ca="1" si="23"/>
        <v>44321</v>
      </c>
      <c r="F144" s="1">
        <f ca="1">Table1[[#This Row],[Job Posting Date]]+ RANDBETWEEN(15, 90)</f>
        <v>44380</v>
      </c>
      <c r="G144" s="1">
        <f ca="1">Table1[[#This Row],[Hire Date]]+ RANDBETWEEN(1, 15)</f>
        <v>44392</v>
      </c>
      <c r="H144" s="1" t="str">
        <f ca="1">IF(RAND() &lt; 0.5,  Table1[[#This Row],[Join Date]]+ RANDBETWEEN(30, TODAY()- Table1[[#This Row],[Join Date]]), "-")</f>
        <v>-</v>
      </c>
      <c r="I144" t="str">
        <f ca="1">IF(Table1[[#This Row],[Exit Date]]= "-", "Active", "Exited")</f>
        <v>Active</v>
      </c>
      <c r="J144" s="5">
        <f t="shared" ca="1" si="24"/>
        <v>2157</v>
      </c>
      <c r="K144">
        <f ca="1">Table1[[#This Row],[Offers Made]]*2</f>
        <v>16</v>
      </c>
      <c r="L144">
        <f t="shared" ca="1" si="28"/>
        <v>8</v>
      </c>
      <c r="M144">
        <f t="shared" ca="1" si="29"/>
        <v>7</v>
      </c>
      <c r="N144" t="str">
        <f t="shared" ca="1" si="30"/>
        <v>Direct Hiring</v>
      </c>
      <c r="O144">
        <f t="shared" ca="1" si="31"/>
        <v>2</v>
      </c>
      <c r="P144" t="str">
        <f t="shared" ca="1" si="32"/>
        <v>No</v>
      </c>
      <c r="Q144" t="str" cm="1">
        <f t="array" aca="1" ref="Q144" ca="1">INDEX(sheet2!$C$2:$C$6, RANDBETWEEN(1, 5))</f>
        <v>Advanced Excel Skills </v>
      </c>
      <c r="R144" t="str">
        <f t="shared" ca="1" si="25"/>
        <v>Completed</v>
      </c>
      <c r="S144">
        <f ca="1">Table1[[#This Row],[Hire Date]]-Table1[[#This Row],[Job Posting Date]]</f>
        <v>59</v>
      </c>
    </row>
    <row r="145" spans="1:19" x14ac:dyDescent="0.2">
      <c r="A145" t="str">
        <f t="shared" si="26"/>
        <v>EMP144</v>
      </c>
      <c r="B145" t="str">
        <f t="shared" ca="1" si="27"/>
        <v>Male</v>
      </c>
      <c r="C145" t="str" cm="1">
        <f t="array" aca="1" ref="C145" ca="1">INDEX(sheet2!$A$2:$A$6, RANDBETWEEN(1, 5))</f>
        <v>Sales</v>
      </c>
      <c r="D145" t="str">
        <f ca="1">_xlfn.XLOOKUP(Table1[[#This Row],[Department]],sheet2!$A$2:$A$6,sheet2!$B$2:$B$6,_xleta.NA,0)</f>
        <v>Marketing Manager</v>
      </c>
      <c r="E145" s="1">
        <f t="shared" ca="1" si="23"/>
        <v>44302</v>
      </c>
      <c r="F145" s="1">
        <f ca="1">Table1[[#This Row],[Job Posting Date]]+ RANDBETWEEN(15, 90)</f>
        <v>44377</v>
      </c>
      <c r="G145" s="1">
        <f ca="1">Table1[[#This Row],[Hire Date]]+ RANDBETWEEN(1, 15)</f>
        <v>44382</v>
      </c>
      <c r="H145" s="1" t="str">
        <f ca="1">IF(RAND() &lt; 0.5,  Table1[[#This Row],[Join Date]]+ RANDBETWEEN(30, TODAY()- Table1[[#This Row],[Join Date]]), "-")</f>
        <v>-</v>
      </c>
      <c r="I145" t="str">
        <f ca="1">IF(Table1[[#This Row],[Exit Date]]= "-", "Active", "Exited")</f>
        <v>Active</v>
      </c>
      <c r="J145" s="5">
        <f t="shared" ca="1" si="24"/>
        <v>1616</v>
      </c>
      <c r="K145">
        <f ca="1">Table1[[#This Row],[Offers Made]]*2</f>
        <v>10</v>
      </c>
      <c r="L145">
        <f t="shared" ca="1" si="28"/>
        <v>5</v>
      </c>
      <c r="M145">
        <f t="shared" ca="1" si="29"/>
        <v>4</v>
      </c>
      <c r="N145" t="str">
        <f t="shared" ca="1" si="30"/>
        <v>Campus Placements</v>
      </c>
      <c r="O145">
        <f t="shared" ca="1" si="31"/>
        <v>5</v>
      </c>
      <c r="P145" t="str">
        <f t="shared" ca="1" si="32"/>
        <v>No</v>
      </c>
      <c r="Q145" t="str" cm="1">
        <f t="array" aca="1" ref="Q145" ca="1">INDEX(sheet2!$C$2:$C$6, RANDBETWEEN(1, 5))</f>
        <v>Conflict Resolution</v>
      </c>
      <c r="R145" t="str">
        <f t="shared" ca="1" si="25"/>
        <v>Completed</v>
      </c>
      <c r="S145">
        <f ca="1">Table1[[#This Row],[Hire Date]]-Table1[[#This Row],[Job Posting Date]]</f>
        <v>75</v>
      </c>
    </row>
    <row r="146" spans="1:19" x14ac:dyDescent="0.2">
      <c r="A146" t="str">
        <f t="shared" si="26"/>
        <v>EMP145</v>
      </c>
      <c r="B146" t="str">
        <f t="shared" ca="1" si="27"/>
        <v>Female</v>
      </c>
      <c r="C146" t="str" cm="1">
        <f t="array" aca="1" ref="C146" ca="1">INDEX(sheet2!$A$2:$A$6, RANDBETWEEN(1, 5))</f>
        <v>IT</v>
      </c>
      <c r="D146" t="str">
        <f ca="1">_xlfn.XLOOKUP(Table1[[#This Row],[Department]],sheet2!$A$2:$A$6,sheet2!$B$2:$B$6,_xleta.NA,0)</f>
        <v>Software Engineer</v>
      </c>
      <c r="E146" s="1">
        <f t="shared" ca="1" si="23"/>
        <v>43878</v>
      </c>
      <c r="F146" s="1">
        <f ca="1">Table1[[#This Row],[Job Posting Date]]+ RANDBETWEEN(15, 90)</f>
        <v>43915</v>
      </c>
      <c r="G146" s="1">
        <f ca="1">Table1[[#This Row],[Hire Date]]+ RANDBETWEEN(1, 15)</f>
        <v>43929</v>
      </c>
      <c r="H146" s="1" t="str">
        <f ca="1">IF(RAND() &lt; 0.5,  Table1[[#This Row],[Join Date]]+ RANDBETWEEN(30, TODAY()- Table1[[#This Row],[Join Date]]), "-")</f>
        <v>-</v>
      </c>
      <c r="I146" t="str">
        <f ca="1">IF(Table1[[#This Row],[Exit Date]]= "-", "Active", "Exited")</f>
        <v>Active</v>
      </c>
      <c r="J146" s="5">
        <f t="shared" ca="1" si="24"/>
        <v>3398</v>
      </c>
      <c r="K146">
        <f ca="1">Table1[[#This Row],[Offers Made]]*2</f>
        <v>16</v>
      </c>
      <c r="L146">
        <f t="shared" ca="1" si="28"/>
        <v>8</v>
      </c>
      <c r="M146">
        <f t="shared" ca="1" si="29"/>
        <v>6</v>
      </c>
      <c r="N146" t="str">
        <f t="shared" ca="1" si="30"/>
        <v>Job Portals</v>
      </c>
      <c r="O146">
        <f t="shared" ca="1" si="31"/>
        <v>5</v>
      </c>
      <c r="P146" t="str">
        <f t="shared" ca="1" si="32"/>
        <v>Yes</v>
      </c>
      <c r="Q146" t="str" cm="1">
        <f t="array" aca="1" ref="Q146" ca="1">INDEX(sheet2!$C$2:$C$6, RANDBETWEEN(1, 5))</f>
        <v>Advanced Excel Skills </v>
      </c>
      <c r="R146" t="str">
        <f t="shared" ca="1" si="25"/>
        <v>Completed</v>
      </c>
      <c r="S146">
        <f ca="1">Table1[[#This Row],[Hire Date]]-Table1[[#This Row],[Job Posting Date]]</f>
        <v>37</v>
      </c>
    </row>
    <row r="147" spans="1:19" x14ac:dyDescent="0.2">
      <c r="A147" t="str">
        <f t="shared" si="26"/>
        <v>EMP146</v>
      </c>
      <c r="B147" t="str">
        <f t="shared" ca="1" si="27"/>
        <v>Male</v>
      </c>
      <c r="C147" t="str" cm="1">
        <f t="array" aca="1" ref="C147" ca="1">INDEX(sheet2!$A$2:$A$6, RANDBETWEEN(1, 5))</f>
        <v>IT</v>
      </c>
      <c r="D147" t="str">
        <f ca="1">_xlfn.XLOOKUP(Table1[[#This Row],[Department]],sheet2!$A$2:$A$6,sheet2!$B$2:$B$6,_xleta.NA,0)</f>
        <v>Software Engineer</v>
      </c>
      <c r="E147" s="1">
        <f t="shared" ca="1" si="23"/>
        <v>43104</v>
      </c>
      <c r="F147" s="1">
        <f ca="1">Table1[[#This Row],[Job Posting Date]]+ RANDBETWEEN(15, 90)</f>
        <v>43156</v>
      </c>
      <c r="G147" s="1">
        <f ca="1">Table1[[#This Row],[Hire Date]]+ RANDBETWEEN(1, 15)</f>
        <v>43163</v>
      </c>
      <c r="H147" s="1">
        <f ca="1">IF(RAND() &lt; 0.5,  Table1[[#This Row],[Join Date]]+ RANDBETWEEN(30, TODAY()- Table1[[#This Row],[Join Date]]), "-")</f>
        <v>43247</v>
      </c>
      <c r="I147" t="str">
        <f ca="1">IF(Table1[[#This Row],[Exit Date]]= "-", "Active", "Exited")</f>
        <v>Exited</v>
      </c>
      <c r="J147" s="5">
        <f t="shared" ca="1" si="24"/>
        <v>2166</v>
      </c>
      <c r="K147">
        <f ca="1">Table1[[#This Row],[Offers Made]]*2</f>
        <v>6</v>
      </c>
      <c r="L147">
        <f t="shared" ca="1" si="28"/>
        <v>3</v>
      </c>
      <c r="M147">
        <f t="shared" ca="1" si="29"/>
        <v>1</v>
      </c>
      <c r="N147" t="str">
        <f t="shared" ca="1" si="30"/>
        <v>Direct Hiring</v>
      </c>
      <c r="O147">
        <f t="shared" ca="1" si="31"/>
        <v>3</v>
      </c>
      <c r="P147" t="str">
        <f t="shared" ca="1" si="32"/>
        <v>No</v>
      </c>
      <c r="Q147" t="str" cm="1">
        <f t="array" aca="1" ref="Q147" ca="1">INDEX(sheet2!$C$2:$C$6, RANDBETWEEN(1, 5))</f>
        <v>Conflict Resolution</v>
      </c>
      <c r="R147" t="str">
        <f t="shared" ca="1" si="25"/>
        <v>Completed</v>
      </c>
      <c r="S147">
        <f ca="1">Table1[[#This Row],[Hire Date]]-Table1[[#This Row],[Job Posting Date]]</f>
        <v>52</v>
      </c>
    </row>
    <row r="148" spans="1:19" x14ac:dyDescent="0.2">
      <c r="A148" t="str">
        <f t="shared" si="26"/>
        <v>EMP147</v>
      </c>
      <c r="B148" t="str">
        <f t="shared" ca="1" si="27"/>
        <v>Female</v>
      </c>
      <c r="C148" t="str" cm="1">
        <f t="array" aca="1" ref="C148" ca="1">INDEX(sheet2!$A$2:$A$6, RANDBETWEEN(1, 5))</f>
        <v>Finance</v>
      </c>
      <c r="D148" t="str">
        <f ca="1">_xlfn.XLOOKUP(Table1[[#This Row],[Department]],sheet2!$A$2:$A$6,sheet2!$B$2:$B$6,_xleta.NA,0)</f>
        <v>Finance Manager</v>
      </c>
      <c r="E148" s="1">
        <f t="shared" ca="1" si="23"/>
        <v>43582</v>
      </c>
      <c r="F148" s="1">
        <f ca="1">Table1[[#This Row],[Job Posting Date]]+ RANDBETWEEN(15, 90)</f>
        <v>43606</v>
      </c>
      <c r="G148" s="1">
        <f ca="1">Table1[[#This Row],[Hire Date]]+ RANDBETWEEN(1, 15)</f>
        <v>43613</v>
      </c>
      <c r="H148" s="1" t="str">
        <f ca="1">IF(RAND() &lt; 0.5,  Table1[[#This Row],[Join Date]]+ RANDBETWEEN(30, TODAY()- Table1[[#This Row],[Join Date]]), "-")</f>
        <v>-</v>
      </c>
      <c r="I148" t="str">
        <f ca="1">IF(Table1[[#This Row],[Exit Date]]= "-", "Active", "Exited")</f>
        <v>Active</v>
      </c>
      <c r="J148" s="5">
        <f t="shared" ca="1" si="24"/>
        <v>2416</v>
      </c>
      <c r="K148">
        <f ca="1">Table1[[#This Row],[Offers Made]]*2</f>
        <v>12</v>
      </c>
      <c r="L148">
        <f t="shared" ca="1" si="28"/>
        <v>6</v>
      </c>
      <c r="M148">
        <f t="shared" ca="1" si="29"/>
        <v>3</v>
      </c>
      <c r="N148" t="str">
        <f t="shared" ca="1" si="30"/>
        <v>Job Portals</v>
      </c>
      <c r="O148">
        <f t="shared" ca="1" si="31"/>
        <v>3</v>
      </c>
      <c r="P148" t="str">
        <f t="shared" ca="1" si="32"/>
        <v>No</v>
      </c>
      <c r="Q148" t="str" cm="1">
        <f t="array" aca="1" ref="Q148" ca="1">INDEX(sheet2!$C$2:$C$6, RANDBETWEEN(1, 5))</f>
        <v>Advanced Excel Skills </v>
      </c>
      <c r="R148" t="str">
        <f t="shared" ca="1" si="25"/>
        <v>Not Completed</v>
      </c>
      <c r="S148">
        <f ca="1">Table1[[#This Row],[Hire Date]]-Table1[[#This Row],[Job Posting Date]]</f>
        <v>24</v>
      </c>
    </row>
    <row r="149" spans="1:19" x14ac:dyDescent="0.2">
      <c r="A149" t="str">
        <f t="shared" si="26"/>
        <v>EMP148</v>
      </c>
      <c r="B149" t="str">
        <f t="shared" ca="1" si="27"/>
        <v>Male</v>
      </c>
      <c r="C149" t="str" cm="1">
        <f t="array" aca="1" ref="C149" ca="1">INDEX(sheet2!$A$2:$A$6, RANDBETWEEN(1, 5))</f>
        <v>Finance</v>
      </c>
      <c r="D149" t="str">
        <f ca="1">_xlfn.XLOOKUP(Table1[[#This Row],[Department]],sheet2!$A$2:$A$6,sheet2!$B$2:$B$6,_xleta.NA,0)</f>
        <v>Finance Manager</v>
      </c>
      <c r="E149" s="1">
        <f t="shared" ca="1" si="23"/>
        <v>43107</v>
      </c>
      <c r="F149" s="1">
        <f ca="1">Table1[[#This Row],[Job Posting Date]]+ RANDBETWEEN(15, 90)</f>
        <v>43128</v>
      </c>
      <c r="G149" s="1">
        <f ca="1">Table1[[#This Row],[Hire Date]]+ RANDBETWEEN(1, 15)</f>
        <v>43143</v>
      </c>
      <c r="H149" s="1" t="str">
        <f ca="1">IF(RAND() &lt; 0.5,  Table1[[#This Row],[Join Date]]+ RANDBETWEEN(30, TODAY()- Table1[[#This Row],[Join Date]]), "-")</f>
        <v>-</v>
      </c>
      <c r="I149" t="str">
        <f ca="1">IF(Table1[[#This Row],[Exit Date]]= "-", "Active", "Exited")</f>
        <v>Active</v>
      </c>
      <c r="J149" s="5">
        <f t="shared" ca="1" si="24"/>
        <v>3980</v>
      </c>
      <c r="K149">
        <f ca="1">Table1[[#This Row],[Offers Made]]*2</f>
        <v>12</v>
      </c>
      <c r="L149">
        <f t="shared" ca="1" si="28"/>
        <v>6</v>
      </c>
      <c r="M149">
        <f t="shared" ca="1" si="29"/>
        <v>3</v>
      </c>
      <c r="N149" t="str">
        <f t="shared" ca="1" si="30"/>
        <v>Job Portals</v>
      </c>
      <c r="O149">
        <f t="shared" ca="1" si="31"/>
        <v>5</v>
      </c>
      <c r="P149" t="str">
        <f t="shared" ca="1" si="32"/>
        <v>No</v>
      </c>
      <c r="Q149" t="str" cm="1">
        <f t="array" aca="1" ref="Q149" ca="1">INDEX(sheet2!$C$2:$C$6, RANDBETWEEN(1, 5))</f>
        <v>Ethics and Responsibilities</v>
      </c>
      <c r="R149" t="str">
        <f t="shared" ca="1" si="25"/>
        <v>Completed</v>
      </c>
      <c r="S149">
        <f ca="1">Table1[[#This Row],[Hire Date]]-Table1[[#This Row],[Job Posting Date]]</f>
        <v>21</v>
      </c>
    </row>
    <row r="150" spans="1:19" x14ac:dyDescent="0.2">
      <c r="A150" t="str">
        <f t="shared" si="26"/>
        <v>EMP149</v>
      </c>
      <c r="B150" t="str">
        <f t="shared" ca="1" si="27"/>
        <v>Female</v>
      </c>
      <c r="C150" t="str" cm="1">
        <f t="array" aca="1" ref="C150" ca="1">INDEX(sheet2!$A$2:$A$6, RANDBETWEEN(1, 5))</f>
        <v>IT</v>
      </c>
      <c r="D150" t="str">
        <f ca="1">_xlfn.XLOOKUP(Table1[[#This Row],[Department]],sheet2!$A$2:$A$6,sheet2!$B$2:$B$6,_xleta.NA,0)</f>
        <v>Software Engineer</v>
      </c>
      <c r="E150" s="1">
        <f t="shared" ca="1" si="23"/>
        <v>43795</v>
      </c>
      <c r="F150" s="1">
        <f ca="1">Table1[[#This Row],[Job Posting Date]]+ RANDBETWEEN(15, 90)</f>
        <v>43845</v>
      </c>
      <c r="G150" s="1">
        <f ca="1">Table1[[#This Row],[Hire Date]]+ RANDBETWEEN(1, 15)</f>
        <v>43854</v>
      </c>
      <c r="H150" s="1">
        <f ca="1">IF(RAND() &lt; 0.5,  Table1[[#This Row],[Join Date]]+ RANDBETWEEN(30, TODAY()- Table1[[#This Row],[Join Date]]), "-")</f>
        <v>44066</v>
      </c>
      <c r="I150" t="str">
        <f ca="1">IF(Table1[[#This Row],[Exit Date]]= "-", "Active", "Exited")</f>
        <v>Exited</v>
      </c>
      <c r="J150" s="5">
        <f t="shared" ca="1" si="24"/>
        <v>3546</v>
      </c>
      <c r="K150">
        <f ca="1">Table1[[#This Row],[Offers Made]]*2</f>
        <v>10</v>
      </c>
      <c r="L150">
        <f t="shared" ca="1" si="28"/>
        <v>5</v>
      </c>
      <c r="M150">
        <f t="shared" ca="1" si="29"/>
        <v>4</v>
      </c>
      <c r="N150" t="str">
        <f t="shared" ca="1" si="30"/>
        <v>Job Portals</v>
      </c>
      <c r="O150">
        <f t="shared" ca="1" si="31"/>
        <v>2</v>
      </c>
      <c r="P150" t="str">
        <f t="shared" ca="1" si="32"/>
        <v>No</v>
      </c>
      <c r="Q150" t="str" cm="1">
        <f t="array" aca="1" ref="Q150" ca="1">INDEX(sheet2!$C$2:$C$6, RANDBETWEEN(1, 5))</f>
        <v>Leadership Development</v>
      </c>
      <c r="R150" t="str">
        <f t="shared" ca="1" si="25"/>
        <v>Completed</v>
      </c>
      <c r="S150">
        <f ca="1">Table1[[#This Row],[Hire Date]]-Table1[[#This Row],[Job Posting Date]]</f>
        <v>50</v>
      </c>
    </row>
    <row r="151" spans="1:19" x14ac:dyDescent="0.2">
      <c r="A151" t="str">
        <f t="shared" si="26"/>
        <v>EMP150</v>
      </c>
      <c r="B151" t="str">
        <f t="shared" ca="1" si="27"/>
        <v>Female</v>
      </c>
      <c r="C151" t="str" cm="1">
        <f t="array" aca="1" ref="C151" ca="1">INDEX(sheet2!$A$2:$A$6, RANDBETWEEN(1, 5))</f>
        <v>HR</v>
      </c>
      <c r="D151" t="str">
        <f ca="1">_xlfn.XLOOKUP(Table1[[#This Row],[Department]],sheet2!$A$2:$A$6,sheet2!$B$2:$B$6,_xleta.NA,0)</f>
        <v>HR Manager</v>
      </c>
      <c r="E151" s="1">
        <f t="shared" ca="1" si="23"/>
        <v>44116</v>
      </c>
      <c r="F151" s="1">
        <f ca="1">Table1[[#This Row],[Job Posting Date]]+ RANDBETWEEN(15, 90)</f>
        <v>44136</v>
      </c>
      <c r="G151" s="1">
        <f ca="1">Table1[[#This Row],[Hire Date]]+ RANDBETWEEN(1, 15)</f>
        <v>44149</v>
      </c>
      <c r="H151" s="1" t="str">
        <f ca="1">IF(RAND() &lt; 0.5,  Table1[[#This Row],[Join Date]]+ RANDBETWEEN(30, TODAY()- Table1[[#This Row],[Join Date]]), "-")</f>
        <v>-</v>
      </c>
      <c r="I151" t="str">
        <f ca="1">IF(Table1[[#This Row],[Exit Date]]= "-", "Active", "Exited")</f>
        <v>Active</v>
      </c>
      <c r="J151" s="5">
        <f t="shared" ca="1" si="24"/>
        <v>4220</v>
      </c>
      <c r="K151">
        <f ca="1">Table1[[#This Row],[Offers Made]]*2</f>
        <v>14</v>
      </c>
      <c r="L151">
        <f t="shared" ca="1" si="28"/>
        <v>7</v>
      </c>
      <c r="M151">
        <f t="shared" ca="1" si="29"/>
        <v>2</v>
      </c>
      <c r="N151" t="str">
        <f t="shared" ca="1" si="30"/>
        <v>Employee Referrals</v>
      </c>
      <c r="O151">
        <f t="shared" ca="1" si="31"/>
        <v>5</v>
      </c>
      <c r="P151" t="str">
        <f t="shared" ca="1" si="32"/>
        <v>No</v>
      </c>
      <c r="Q151" t="str" cm="1">
        <f t="array" aca="1" ref="Q151" ca="1">INDEX(sheet2!$C$2:$C$6, RANDBETWEEN(1, 5))</f>
        <v>Communication Skills</v>
      </c>
      <c r="R151" t="str">
        <f t="shared" ca="1" si="25"/>
        <v>Completed</v>
      </c>
      <c r="S151">
        <f ca="1">Table1[[#This Row],[Hire Date]]-Table1[[#This Row],[Job Posting Date]]</f>
        <v>20</v>
      </c>
    </row>
    <row r="152" spans="1:19" x14ac:dyDescent="0.2">
      <c r="A152" t="str">
        <f t="shared" si="26"/>
        <v>EMP151</v>
      </c>
      <c r="B152" t="str">
        <f t="shared" ca="1" si="27"/>
        <v>Female</v>
      </c>
      <c r="C152" t="str" cm="1">
        <f t="array" aca="1" ref="C152" ca="1">INDEX(sheet2!$A$2:$A$6, RANDBETWEEN(1, 5))</f>
        <v>Finance</v>
      </c>
      <c r="D152" t="str">
        <f ca="1">_xlfn.XLOOKUP(Table1[[#This Row],[Department]],sheet2!$A$2:$A$6,sheet2!$B$2:$B$6,_xleta.NA,0)</f>
        <v>Finance Manager</v>
      </c>
      <c r="E152" s="1">
        <f t="shared" ca="1" si="23"/>
        <v>44800</v>
      </c>
      <c r="F152" s="1">
        <f ca="1">Table1[[#This Row],[Job Posting Date]]+ RANDBETWEEN(15, 90)</f>
        <v>44853</v>
      </c>
      <c r="G152" s="1">
        <f ca="1">Table1[[#This Row],[Hire Date]]+ RANDBETWEEN(1, 15)</f>
        <v>44863</v>
      </c>
      <c r="H152" s="1" t="str">
        <f ca="1">IF(RAND() &lt; 0.5,  Table1[[#This Row],[Join Date]]+ RANDBETWEEN(30, TODAY()- Table1[[#This Row],[Join Date]]), "-")</f>
        <v>-</v>
      </c>
      <c r="I152" t="str">
        <f ca="1">IF(Table1[[#This Row],[Exit Date]]= "-", "Active", "Exited")</f>
        <v>Active</v>
      </c>
      <c r="J152" s="5">
        <f t="shared" ca="1" si="24"/>
        <v>2454</v>
      </c>
      <c r="K152">
        <f ca="1">Table1[[#This Row],[Offers Made]]*2</f>
        <v>16</v>
      </c>
      <c r="L152">
        <f t="shared" ca="1" si="28"/>
        <v>8</v>
      </c>
      <c r="M152">
        <f t="shared" ca="1" si="29"/>
        <v>4</v>
      </c>
      <c r="N152" t="str">
        <f t="shared" ca="1" si="30"/>
        <v>Employee Referrals</v>
      </c>
      <c r="O152">
        <f t="shared" ca="1" si="31"/>
        <v>2</v>
      </c>
      <c r="P152" t="str">
        <f t="shared" ca="1" si="32"/>
        <v>No</v>
      </c>
      <c r="Q152" t="str" cm="1">
        <f t="array" aca="1" ref="Q152" ca="1">INDEX(sheet2!$C$2:$C$6, RANDBETWEEN(1, 5))</f>
        <v>Communication Skills</v>
      </c>
      <c r="R152" t="str">
        <f t="shared" ca="1" si="25"/>
        <v>Completed</v>
      </c>
      <c r="S152">
        <f ca="1">Table1[[#This Row],[Hire Date]]-Table1[[#This Row],[Job Posting Date]]</f>
        <v>53</v>
      </c>
    </row>
    <row r="153" spans="1:19" x14ac:dyDescent="0.2">
      <c r="A153" t="str">
        <f t="shared" si="26"/>
        <v>EMP152</v>
      </c>
      <c r="B153" t="str">
        <f t="shared" ca="1" si="27"/>
        <v>Female</v>
      </c>
      <c r="C153" t="str" cm="1">
        <f t="array" aca="1" ref="C153" ca="1">INDEX(sheet2!$A$2:$A$6, RANDBETWEEN(1, 5))</f>
        <v>Finance</v>
      </c>
      <c r="D153" t="str">
        <f ca="1">_xlfn.XLOOKUP(Table1[[#This Row],[Department]],sheet2!$A$2:$A$6,sheet2!$B$2:$B$6,_xleta.NA,0)</f>
        <v>Finance Manager</v>
      </c>
      <c r="E153" s="1">
        <f t="shared" ca="1" si="23"/>
        <v>43664</v>
      </c>
      <c r="F153" s="1">
        <f ca="1">Table1[[#This Row],[Job Posting Date]]+ RANDBETWEEN(15, 90)</f>
        <v>43747</v>
      </c>
      <c r="G153" s="1">
        <f ca="1">Table1[[#This Row],[Hire Date]]+ RANDBETWEEN(1, 15)</f>
        <v>43750</v>
      </c>
      <c r="H153" s="1">
        <f ca="1">IF(RAND() &lt; 0.5,  Table1[[#This Row],[Join Date]]+ RANDBETWEEN(30, TODAY()- Table1[[#This Row],[Join Date]]), "-")</f>
        <v>45494</v>
      </c>
      <c r="I153" t="str">
        <f ca="1">IF(Table1[[#This Row],[Exit Date]]= "-", "Active", "Exited")</f>
        <v>Exited</v>
      </c>
      <c r="J153" s="5">
        <f t="shared" ca="1" si="24"/>
        <v>1842</v>
      </c>
      <c r="K153">
        <f ca="1">Table1[[#This Row],[Offers Made]]*2</f>
        <v>10</v>
      </c>
      <c r="L153">
        <f t="shared" ca="1" si="28"/>
        <v>5</v>
      </c>
      <c r="M153">
        <f t="shared" ca="1" si="29"/>
        <v>4</v>
      </c>
      <c r="N153" t="str">
        <f t="shared" ca="1" si="30"/>
        <v>Campus Placements</v>
      </c>
      <c r="O153">
        <f t="shared" ca="1" si="31"/>
        <v>4</v>
      </c>
      <c r="P153" t="str">
        <f t="shared" ca="1" si="32"/>
        <v>Yes</v>
      </c>
      <c r="Q153" t="str" cm="1">
        <f t="array" aca="1" ref="Q153" ca="1">INDEX(sheet2!$C$2:$C$6, RANDBETWEEN(1, 5))</f>
        <v>Leadership Development</v>
      </c>
      <c r="R153" t="str">
        <f t="shared" ca="1" si="25"/>
        <v>Completed</v>
      </c>
      <c r="S153">
        <f ca="1">Table1[[#This Row],[Hire Date]]-Table1[[#This Row],[Job Posting Date]]</f>
        <v>83</v>
      </c>
    </row>
    <row r="154" spans="1:19" x14ac:dyDescent="0.2">
      <c r="A154" t="str">
        <f t="shared" si="26"/>
        <v>EMP153</v>
      </c>
      <c r="B154" t="str">
        <f t="shared" ca="1" si="27"/>
        <v>Male</v>
      </c>
      <c r="C154" t="str" cm="1">
        <f t="array" aca="1" ref="C154" ca="1">INDEX(sheet2!$A$2:$A$6, RANDBETWEEN(1, 5))</f>
        <v>HR</v>
      </c>
      <c r="D154" t="str">
        <f ca="1">_xlfn.XLOOKUP(Table1[[#This Row],[Department]],sheet2!$A$2:$A$6,sheet2!$B$2:$B$6,_xleta.NA,0)</f>
        <v>HR Manager</v>
      </c>
      <c r="E154" s="1">
        <f t="shared" ca="1" si="23"/>
        <v>43397</v>
      </c>
      <c r="F154" s="1">
        <f ca="1">Table1[[#This Row],[Job Posting Date]]+ RANDBETWEEN(15, 90)</f>
        <v>43454</v>
      </c>
      <c r="G154" s="1">
        <f ca="1">Table1[[#This Row],[Hire Date]]+ RANDBETWEEN(1, 15)</f>
        <v>43460</v>
      </c>
      <c r="H154" s="1" t="str">
        <f ca="1">IF(RAND() &lt; 0.5,  Table1[[#This Row],[Join Date]]+ RANDBETWEEN(30, TODAY()- Table1[[#This Row],[Join Date]]), "-")</f>
        <v>-</v>
      </c>
      <c r="I154" t="str">
        <f ca="1">IF(Table1[[#This Row],[Exit Date]]= "-", "Active", "Exited")</f>
        <v>Active</v>
      </c>
      <c r="J154" s="5">
        <f t="shared" ca="1" si="24"/>
        <v>3258</v>
      </c>
      <c r="K154">
        <f ca="1">Table1[[#This Row],[Offers Made]]*2</f>
        <v>6</v>
      </c>
      <c r="L154">
        <f t="shared" ca="1" si="28"/>
        <v>3</v>
      </c>
      <c r="M154">
        <f t="shared" ca="1" si="29"/>
        <v>1</v>
      </c>
      <c r="N154" t="str">
        <f t="shared" ca="1" si="30"/>
        <v>Employee Referrals</v>
      </c>
      <c r="O154">
        <f t="shared" ca="1" si="31"/>
        <v>3</v>
      </c>
      <c r="P154" t="str">
        <f t="shared" ca="1" si="32"/>
        <v>No</v>
      </c>
      <c r="Q154" t="str" cm="1">
        <f t="array" aca="1" ref="Q154" ca="1">INDEX(sheet2!$C$2:$C$6, RANDBETWEEN(1, 5))</f>
        <v>Communication Skills</v>
      </c>
      <c r="R154" t="str">
        <f t="shared" ca="1" si="25"/>
        <v>Not Completed</v>
      </c>
      <c r="S154">
        <f ca="1">Table1[[#This Row],[Hire Date]]-Table1[[#This Row],[Job Posting Date]]</f>
        <v>57</v>
      </c>
    </row>
    <row r="155" spans="1:19" x14ac:dyDescent="0.2">
      <c r="A155" t="str">
        <f t="shared" si="26"/>
        <v>EMP154</v>
      </c>
      <c r="B155" t="str">
        <f t="shared" ca="1" si="27"/>
        <v>Male</v>
      </c>
      <c r="C155" t="str" cm="1">
        <f t="array" aca="1" ref="C155" ca="1">INDEX(sheet2!$A$2:$A$6, RANDBETWEEN(1, 5))</f>
        <v>Finance</v>
      </c>
      <c r="D155" t="str">
        <f ca="1">_xlfn.XLOOKUP(Table1[[#This Row],[Department]],sheet2!$A$2:$A$6,sheet2!$B$2:$B$6,_xleta.NA,0)</f>
        <v>Finance Manager</v>
      </c>
      <c r="E155" s="1">
        <f t="shared" ca="1" si="23"/>
        <v>44304</v>
      </c>
      <c r="F155" s="1">
        <f ca="1">Table1[[#This Row],[Job Posting Date]]+ RANDBETWEEN(15, 90)</f>
        <v>44329</v>
      </c>
      <c r="G155" s="1">
        <f ca="1">Table1[[#This Row],[Hire Date]]+ RANDBETWEEN(1, 15)</f>
        <v>44337</v>
      </c>
      <c r="H155" s="1">
        <f ca="1">IF(RAND() &lt; 0.5,  Table1[[#This Row],[Join Date]]+ RANDBETWEEN(30, TODAY()- Table1[[#This Row],[Join Date]]), "-")</f>
        <v>44595</v>
      </c>
      <c r="I155" t="str">
        <f ca="1">IF(Table1[[#This Row],[Exit Date]]= "-", "Active", "Exited")</f>
        <v>Exited</v>
      </c>
      <c r="J155" s="5">
        <f t="shared" ca="1" si="24"/>
        <v>3073</v>
      </c>
      <c r="K155">
        <f ca="1">Table1[[#This Row],[Offers Made]]*2</f>
        <v>6</v>
      </c>
      <c r="L155">
        <f t="shared" ca="1" si="28"/>
        <v>3</v>
      </c>
      <c r="M155">
        <f t="shared" ca="1" si="29"/>
        <v>1</v>
      </c>
      <c r="N155" t="str">
        <f t="shared" ca="1" si="30"/>
        <v>Job Portals</v>
      </c>
      <c r="O155">
        <f t="shared" ca="1" si="31"/>
        <v>5</v>
      </c>
      <c r="P155" t="str">
        <f t="shared" ca="1" si="32"/>
        <v>Yes</v>
      </c>
      <c r="Q155" t="str" cm="1">
        <f t="array" aca="1" ref="Q155" ca="1">INDEX(sheet2!$C$2:$C$6, RANDBETWEEN(1, 5))</f>
        <v>Ethics and Responsibilities</v>
      </c>
      <c r="R155" t="str">
        <f t="shared" ca="1" si="25"/>
        <v>Completed</v>
      </c>
      <c r="S155">
        <f ca="1">Table1[[#This Row],[Hire Date]]-Table1[[#This Row],[Job Posting Date]]</f>
        <v>25</v>
      </c>
    </row>
    <row r="156" spans="1:19" x14ac:dyDescent="0.2">
      <c r="A156" t="str">
        <f t="shared" si="26"/>
        <v>EMP155</v>
      </c>
      <c r="B156" t="str">
        <f t="shared" ca="1" si="27"/>
        <v>Male</v>
      </c>
      <c r="C156" t="str" cm="1">
        <f t="array" aca="1" ref="C156" ca="1">INDEX(sheet2!$A$2:$A$6, RANDBETWEEN(1, 5))</f>
        <v>HR</v>
      </c>
      <c r="D156" t="str">
        <f ca="1">_xlfn.XLOOKUP(Table1[[#This Row],[Department]],sheet2!$A$2:$A$6,sheet2!$B$2:$B$6,_xleta.NA,0)</f>
        <v>HR Manager</v>
      </c>
      <c r="E156" s="1">
        <f t="shared" ca="1" si="23"/>
        <v>44566</v>
      </c>
      <c r="F156" s="1">
        <f ca="1">Table1[[#This Row],[Job Posting Date]]+ RANDBETWEEN(15, 90)</f>
        <v>44616</v>
      </c>
      <c r="G156" s="1">
        <f ca="1">Table1[[#This Row],[Hire Date]]+ RANDBETWEEN(1, 15)</f>
        <v>44626</v>
      </c>
      <c r="H156" s="1">
        <f ca="1">IF(RAND() &lt; 0.5,  Table1[[#This Row],[Join Date]]+ RANDBETWEEN(30, TODAY()- Table1[[#This Row],[Join Date]]), "-")</f>
        <v>45005</v>
      </c>
      <c r="I156" t="str">
        <f ca="1">IF(Table1[[#This Row],[Exit Date]]= "-", "Active", "Exited")</f>
        <v>Exited</v>
      </c>
      <c r="J156" s="5">
        <f t="shared" ca="1" si="24"/>
        <v>2784</v>
      </c>
      <c r="K156">
        <f ca="1">Table1[[#This Row],[Offers Made]]*2</f>
        <v>10</v>
      </c>
      <c r="L156">
        <f t="shared" ca="1" si="28"/>
        <v>5</v>
      </c>
      <c r="M156">
        <f t="shared" ca="1" si="29"/>
        <v>3</v>
      </c>
      <c r="N156" t="str">
        <f t="shared" ca="1" si="30"/>
        <v>Employee Referrals</v>
      </c>
      <c r="O156">
        <f t="shared" ca="1" si="31"/>
        <v>5</v>
      </c>
      <c r="P156" t="str">
        <f t="shared" ca="1" si="32"/>
        <v>No</v>
      </c>
      <c r="Q156" t="str" cm="1">
        <f t="array" aca="1" ref="Q156" ca="1">INDEX(sheet2!$C$2:$C$6, RANDBETWEEN(1, 5))</f>
        <v>Leadership Development</v>
      </c>
      <c r="R156" t="str">
        <f t="shared" ca="1" si="25"/>
        <v>Completed</v>
      </c>
      <c r="S156">
        <f ca="1">Table1[[#This Row],[Hire Date]]-Table1[[#This Row],[Job Posting Date]]</f>
        <v>50</v>
      </c>
    </row>
    <row r="157" spans="1:19" x14ac:dyDescent="0.2">
      <c r="A157" t="str">
        <f t="shared" si="26"/>
        <v>EMP156</v>
      </c>
      <c r="B157" t="str">
        <f t="shared" ca="1" si="27"/>
        <v>Female</v>
      </c>
      <c r="C157" t="str" cm="1">
        <f t="array" aca="1" ref="C157" ca="1">INDEX(sheet2!$A$2:$A$6, RANDBETWEEN(1, 5))</f>
        <v>IT</v>
      </c>
      <c r="D157" t="str">
        <f ca="1">_xlfn.XLOOKUP(Table1[[#This Row],[Department]],sheet2!$A$2:$A$6,sheet2!$B$2:$B$6,_xleta.NA,0)</f>
        <v>Software Engineer</v>
      </c>
      <c r="E157" s="1">
        <f t="shared" ca="1" si="23"/>
        <v>43782</v>
      </c>
      <c r="F157" s="1">
        <f ca="1">Table1[[#This Row],[Job Posting Date]]+ RANDBETWEEN(15, 90)</f>
        <v>43846</v>
      </c>
      <c r="G157" s="1">
        <f ca="1">Table1[[#This Row],[Hire Date]]+ RANDBETWEEN(1, 15)</f>
        <v>43852</v>
      </c>
      <c r="H157" s="1">
        <f ca="1">IF(RAND() &lt; 0.5,  Table1[[#This Row],[Join Date]]+ RANDBETWEEN(30, TODAY()- Table1[[#This Row],[Join Date]]), "-")</f>
        <v>45026</v>
      </c>
      <c r="I157" t="str">
        <f ca="1">IF(Table1[[#This Row],[Exit Date]]= "-", "Active", "Exited")</f>
        <v>Exited</v>
      </c>
      <c r="J157" s="5">
        <f t="shared" ca="1" si="24"/>
        <v>4268</v>
      </c>
      <c r="K157">
        <f ca="1">Table1[[#This Row],[Offers Made]]*2</f>
        <v>14</v>
      </c>
      <c r="L157">
        <f t="shared" ca="1" si="28"/>
        <v>7</v>
      </c>
      <c r="M157">
        <f t="shared" ca="1" si="29"/>
        <v>3</v>
      </c>
      <c r="N157" t="str">
        <f t="shared" ca="1" si="30"/>
        <v>Direct Hiring</v>
      </c>
      <c r="O157">
        <f t="shared" ca="1" si="31"/>
        <v>5</v>
      </c>
      <c r="P157" t="str">
        <f t="shared" ca="1" si="32"/>
        <v>No</v>
      </c>
      <c r="Q157" t="str" cm="1">
        <f t="array" aca="1" ref="Q157" ca="1">INDEX(sheet2!$C$2:$C$6, RANDBETWEEN(1, 5))</f>
        <v>Ethics and Responsibilities</v>
      </c>
      <c r="R157" t="str">
        <f t="shared" ca="1" si="25"/>
        <v>Completed</v>
      </c>
      <c r="S157">
        <f ca="1">Table1[[#This Row],[Hire Date]]-Table1[[#This Row],[Job Posting Date]]</f>
        <v>64</v>
      </c>
    </row>
    <row r="158" spans="1:19" x14ac:dyDescent="0.2">
      <c r="A158" t="str">
        <f t="shared" si="26"/>
        <v>EMP157</v>
      </c>
      <c r="B158" t="str">
        <f t="shared" ca="1" si="27"/>
        <v>Female</v>
      </c>
      <c r="C158" t="str" cm="1">
        <f t="array" aca="1" ref="C158" ca="1">INDEX(sheet2!$A$2:$A$6, RANDBETWEEN(1, 5))</f>
        <v>IT</v>
      </c>
      <c r="D158" t="str">
        <f ca="1">_xlfn.XLOOKUP(Table1[[#This Row],[Department]],sheet2!$A$2:$A$6,sheet2!$B$2:$B$6,_xleta.NA,0)</f>
        <v>Software Engineer</v>
      </c>
      <c r="E158" s="1">
        <f t="shared" ca="1" si="23"/>
        <v>43684</v>
      </c>
      <c r="F158" s="1">
        <f ca="1">Table1[[#This Row],[Job Posting Date]]+ RANDBETWEEN(15, 90)</f>
        <v>43766</v>
      </c>
      <c r="G158" s="1">
        <f ca="1">Table1[[#This Row],[Hire Date]]+ RANDBETWEEN(1, 15)</f>
        <v>43776</v>
      </c>
      <c r="H158" s="1">
        <f ca="1">IF(RAND() &lt; 0.5,  Table1[[#This Row],[Join Date]]+ RANDBETWEEN(30, TODAY()- Table1[[#This Row],[Join Date]]), "-")</f>
        <v>45459</v>
      </c>
      <c r="I158" t="str">
        <f ca="1">IF(Table1[[#This Row],[Exit Date]]= "-", "Active", "Exited")</f>
        <v>Exited</v>
      </c>
      <c r="J158" s="5">
        <f t="shared" ca="1" si="24"/>
        <v>1578</v>
      </c>
      <c r="K158">
        <f ca="1">Table1[[#This Row],[Offers Made]]*2</f>
        <v>6</v>
      </c>
      <c r="L158">
        <f t="shared" ca="1" si="28"/>
        <v>3</v>
      </c>
      <c r="M158">
        <f t="shared" ca="1" si="29"/>
        <v>1</v>
      </c>
      <c r="N158" t="str">
        <f t="shared" ca="1" si="30"/>
        <v>Direct Hiring</v>
      </c>
      <c r="O158">
        <f t="shared" ca="1" si="31"/>
        <v>2</v>
      </c>
      <c r="P158" t="str">
        <f t="shared" ca="1" si="32"/>
        <v>No</v>
      </c>
      <c r="Q158" t="str" cm="1">
        <f t="array" aca="1" ref="Q158" ca="1">INDEX(sheet2!$C$2:$C$6, RANDBETWEEN(1, 5))</f>
        <v>Conflict Resolution</v>
      </c>
      <c r="R158" t="str">
        <f t="shared" ca="1" si="25"/>
        <v>Not Completed</v>
      </c>
      <c r="S158">
        <f ca="1">Table1[[#This Row],[Hire Date]]-Table1[[#This Row],[Job Posting Date]]</f>
        <v>82</v>
      </c>
    </row>
    <row r="159" spans="1:19" x14ac:dyDescent="0.2">
      <c r="A159" t="str">
        <f t="shared" si="26"/>
        <v>EMP158</v>
      </c>
      <c r="B159" t="str">
        <f t="shared" ca="1" si="27"/>
        <v>Female</v>
      </c>
      <c r="C159" t="str" cm="1">
        <f t="array" aca="1" ref="C159" ca="1">INDEX(sheet2!$A$2:$A$6, RANDBETWEEN(1, 5))</f>
        <v>HR</v>
      </c>
      <c r="D159" t="str">
        <f ca="1">_xlfn.XLOOKUP(Table1[[#This Row],[Department]],sheet2!$A$2:$A$6,sheet2!$B$2:$B$6,_xleta.NA,0)</f>
        <v>HR Manager</v>
      </c>
      <c r="E159" s="1">
        <f t="shared" ca="1" si="23"/>
        <v>43232</v>
      </c>
      <c r="F159" s="1">
        <f ca="1">Table1[[#This Row],[Job Posting Date]]+ RANDBETWEEN(15, 90)</f>
        <v>43304</v>
      </c>
      <c r="G159" s="1">
        <f ca="1">Table1[[#This Row],[Hire Date]]+ RANDBETWEEN(1, 15)</f>
        <v>43307</v>
      </c>
      <c r="H159" s="1" t="str">
        <f ca="1">IF(RAND() &lt; 0.5,  Table1[[#This Row],[Join Date]]+ RANDBETWEEN(30, TODAY()- Table1[[#This Row],[Join Date]]), "-")</f>
        <v>-</v>
      </c>
      <c r="I159" t="str">
        <f ca="1">IF(Table1[[#This Row],[Exit Date]]= "-", "Active", "Exited")</f>
        <v>Active</v>
      </c>
      <c r="J159" s="5">
        <f t="shared" ca="1" si="24"/>
        <v>2147</v>
      </c>
      <c r="K159">
        <f ca="1">Table1[[#This Row],[Offers Made]]*2</f>
        <v>10</v>
      </c>
      <c r="L159">
        <f t="shared" ca="1" si="28"/>
        <v>5</v>
      </c>
      <c r="M159">
        <f t="shared" ca="1" si="29"/>
        <v>2</v>
      </c>
      <c r="N159" t="str">
        <f t="shared" ca="1" si="30"/>
        <v>Job Portals</v>
      </c>
      <c r="O159">
        <f t="shared" ca="1" si="31"/>
        <v>3</v>
      </c>
      <c r="P159" t="str">
        <f t="shared" ca="1" si="32"/>
        <v>No</v>
      </c>
      <c r="Q159" t="str" cm="1">
        <f t="array" aca="1" ref="Q159" ca="1">INDEX(sheet2!$C$2:$C$6, RANDBETWEEN(1, 5))</f>
        <v>Leadership Development</v>
      </c>
      <c r="R159" t="str">
        <f t="shared" ca="1" si="25"/>
        <v>Not Completed</v>
      </c>
      <c r="S159">
        <f ca="1">Table1[[#This Row],[Hire Date]]-Table1[[#This Row],[Job Posting Date]]</f>
        <v>72</v>
      </c>
    </row>
    <row r="160" spans="1:19" x14ac:dyDescent="0.2">
      <c r="A160" t="str">
        <f t="shared" si="26"/>
        <v>EMP159</v>
      </c>
      <c r="B160" t="str">
        <f t="shared" ca="1" si="27"/>
        <v>Female</v>
      </c>
      <c r="C160" t="str" cm="1">
        <f t="array" aca="1" ref="C160" ca="1">INDEX(sheet2!$A$2:$A$6, RANDBETWEEN(1, 5))</f>
        <v>Analytics</v>
      </c>
      <c r="D160" t="str">
        <f ca="1">_xlfn.XLOOKUP(Table1[[#This Row],[Department]],sheet2!$A$2:$A$6,sheet2!$B$2:$B$6,_xleta.NA,0)</f>
        <v>Data Analyst</v>
      </c>
      <c r="E160" s="1">
        <f t="shared" ca="1" si="23"/>
        <v>44327</v>
      </c>
      <c r="F160" s="1">
        <f ca="1">Table1[[#This Row],[Job Posting Date]]+ RANDBETWEEN(15, 90)</f>
        <v>44397</v>
      </c>
      <c r="G160" s="1">
        <f ca="1">Table1[[#This Row],[Hire Date]]+ RANDBETWEEN(1, 15)</f>
        <v>44400</v>
      </c>
      <c r="H160" s="1">
        <f ca="1">IF(RAND() &lt; 0.5,  Table1[[#This Row],[Join Date]]+ RANDBETWEEN(30, TODAY()- Table1[[#This Row],[Join Date]]), "-")</f>
        <v>44967</v>
      </c>
      <c r="I160" t="str">
        <f ca="1">IF(Table1[[#This Row],[Exit Date]]= "-", "Active", "Exited")</f>
        <v>Exited</v>
      </c>
      <c r="J160" s="5">
        <f t="shared" ca="1" si="24"/>
        <v>4502</v>
      </c>
      <c r="K160">
        <f ca="1">Table1[[#This Row],[Offers Made]]*2</f>
        <v>8</v>
      </c>
      <c r="L160">
        <f t="shared" ca="1" si="28"/>
        <v>4</v>
      </c>
      <c r="M160">
        <f t="shared" ca="1" si="29"/>
        <v>1</v>
      </c>
      <c r="N160" t="str">
        <f t="shared" ca="1" si="30"/>
        <v>Campus Placements</v>
      </c>
      <c r="O160">
        <f t="shared" ca="1" si="31"/>
        <v>4</v>
      </c>
      <c r="P160" t="str">
        <f t="shared" ca="1" si="32"/>
        <v>Yes</v>
      </c>
      <c r="Q160" t="str" cm="1">
        <f t="array" aca="1" ref="Q160" ca="1">INDEX(sheet2!$C$2:$C$6, RANDBETWEEN(1, 5))</f>
        <v>Advanced Excel Skills </v>
      </c>
      <c r="R160" t="str">
        <f t="shared" ca="1" si="25"/>
        <v>Completed</v>
      </c>
      <c r="S160">
        <f ca="1">Table1[[#This Row],[Hire Date]]-Table1[[#This Row],[Job Posting Date]]</f>
        <v>70</v>
      </c>
    </row>
    <row r="161" spans="1:19" x14ac:dyDescent="0.2">
      <c r="A161" t="str">
        <f t="shared" si="26"/>
        <v>EMP160</v>
      </c>
      <c r="B161" t="str">
        <f t="shared" ca="1" si="27"/>
        <v>Male</v>
      </c>
      <c r="C161" t="str" cm="1">
        <f t="array" aca="1" ref="C161" ca="1">INDEX(sheet2!$A$2:$A$6, RANDBETWEEN(1, 5))</f>
        <v>IT</v>
      </c>
      <c r="D161" t="str">
        <f ca="1">_xlfn.XLOOKUP(Table1[[#This Row],[Department]],sheet2!$A$2:$A$6,sheet2!$B$2:$B$6,_xleta.NA,0)</f>
        <v>Software Engineer</v>
      </c>
      <c r="E161" s="1">
        <f t="shared" ca="1" si="23"/>
        <v>43843</v>
      </c>
      <c r="F161" s="1">
        <f ca="1">Table1[[#This Row],[Job Posting Date]]+ RANDBETWEEN(15, 90)</f>
        <v>43905</v>
      </c>
      <c r="G161" s="1">
        <f ca="1">Table1[[#This Row],[Hire Date]]+ RANDBETWEEN(1, 15)</f>
        <v>43912</v>
      </c>
      <c r="H161" s="1">
        <f ca="1">IF(RAND() &lt; 0.5,  Table1[[#This Row],[Join Date]]+ RANDBETWEEN(30, TODAY()- Table1[[#This Row],[Join Date]]), "-")</f>
        <v>44184</v>
      </c>
      <c r="I161" t="str">
        <f ca="1">IF(Table1[[#This Row],[Exit Date]]= "-", "Active", "Exited")</f>
        <v>Exited</v>
      </c>
      <c r="J161" s="5">
        <f t="shared" ca="1" si="24"/>
        <v>2297</v>
      </c>
      <c r="K161">
        <f ca="1">Table1[[#This Row],[Offers Made]]*2</f>
        <v>16</v>
      </c>
      <c r="L161">
        <f t="shared" ca="1" si="28"/>
        <v>8</v>
      </c>
      <c r="M161">
        <f t="shared" ca="1" si="29"/>
        <v>5</v>
      </c>
      <c r="N161" t="str">
        <f t="shared" ca="1" si="30"/>
        <v>Campus Placements</v>
      </c>
      <c r="O161">
        <f t="shared" ca="1" si="31"/>
        <v>4</v>
      </c>
      <c r="P161" t="str">
        <f t="shared" ca="1" si="32"/>
        <v>Yes</v>
      </c>
      <c r="Q161" t="str" cm="1">
        <f t="array" aca="1" ref="Q161" ca="1">INDEX(sheet2!$C$2:$C$6, RANDBETWEEN(1, 5))</f>
        <v>Ethics and Responsibilities</v>
      </c>
      <c r="R161" t="str">
        <f t="shared" ca="1" si="25"/>
        <v>Completed</v>
      </c>
      <c r="S161">
        <f ca="1">Table1[[#This Row],[Hire Date]]-Table1[[#This Row],[Job Posting Date]]</f>
        <v>62</v>
      </c>
    </row>
    <row r="162" spans="1:19" x14ac:dyDescent="0.2">
      <c r="A162" t="str">
        <f t="shared" si="26"/>
        <v>EMP161</v>
      </c>
      <c r="B162" t="str">
        <f t="shared" ca="1" si="27"/>
        <v>Male</v>
      </c>
      <c r="C162" t="str" cm="1">
        <f t="array" aca="1" ref="C162" ca="1">INDEX(sheet2!$A$2:$A$6, RANDBETWEEN(1, 5))</f>
        <v>Finance</v>
      </c>
      <c r="D162" t="str">
        <f ca="1">_xlfn.XLOOKUP(Table1[[#This Row],[Department]],sheet2!$A$2:$A$6,sheet2!$B$2:$B$6,_xleta.NA,0)</f>
        <v>Finance Manager</v>
      </c>
      <c r="E162" s="1">
        <f t="shared" ca="1" si="23"/>
        <v>44121</v>
      </c>
      <c r="F162" s="1">
        <f ca="1">Table1[[#This Row],[Job Posting Date]]+ RANDBETWEEN(15, 90)</f>
        <v>44202</v>
      </c>
      <c r="G162" s="1">
        <f ca="1">Table1[[#This Row],[Hire Date]]+ RANDBETWEEN(1, 15)</f>
        <v>44208</v>
      </c>
      <c r="H162" s="1">
        <f ca="1">IF(RAND() &lt; 0.5,  Table1[[#This Row],[Join Date]]+ RANDBETWEEN(30, TODAY()- Table1[[#This Row],[Join Date]]), "-")</f>
        <v>44526</v>
      </c>
      <c r="I162" t="str">
        <f ca="1">IF(Table1[[#This Row],[Exit Date]]= "-", "Active", "Exited")</f>
        <v>Exited</v>
      </c>
      <c r="J162" s="5">
        <f t="shared" ca="1" si="24"/>
        <v>3754</v>
      </c>
      <c r="K162">
        <f ca="1">Table1[[#This Row],[Offers Made]]*2</f>
        <v>6</v>
      </c>
      <c r="L162">
        <f t="shared" ca="1" si="28"/>
        <v>3</v>
      </c>
      <c r="M162">
        <f t="shared" ca="1" si="29"/>
        <v>1</v>
      </c>
      <c r="N162" t="str">
        <f t="shared" ca="1" si="30"/>
        <v>Campus Placements</v>
      </c>
      <c r="O162">
        <f t="shared" ca="1" si="31"/>
        <v>5</v>
      </c>
      <c r="P162" t="str">
        <f t="shared" ca="1" si="32"/>
        <v>No</v>
      </c>
      <c r="Q162" t="str" cm="1">
        <f t="array" aca="1" ref="Q162" ca="1">INDEX(sheet2!$C$2:$C$6, RANDBETWEEN(1, 5))</f>
        <v>Communication Skills</v>
      </c>
      <c r="R162" t="str">
        <f t="shared" ca="1" si="25"/>
        <v>Completed</v>
      </c>
      <c r="S162">
        <f ca="1">Table1[[#This Row],[Hire Date]]-Table1[[#This Row],[Job Posting Date]]</f>
        <v>81</v>
      </c>
    </row>
    <row r="163" spans="1:19" x14ac:dyDescent="0.2">
      <c r="A163" t="str">
        <f t="shared" si="26"/>
        <v>EMP162</v>
      </c>
      <c r="B163" t="str">
        <f t="shared" ca="1" si="27"/>
        <v>Female</v>
      </c>
      <c r="C163" t="str" cm="1">
        <f t="array" aca="1" ref="C163" ca="1">INDEX(sheet2!$A$2:$A$6, RANDBETWEEN(1, 5))</f>
        <v>Analytics</v>
      </c>
      <c r="D163" t="str">
        <f ca="1">_xlfn.XLOOKUP(Table1[[#This Row],[Department]],sheet2!$A$2:$A$6,sheet2!$B$2:$B$6,_xleta.NA,0)</f>
        <v>Data Analyst</v>
      </c>
      <c r="E163" s="1">
        <f t="shared" ca="1" si="23"/>
        <v>43267</v>
      </c>
      <c r="F163" s="1">
        <f ca="1">Table1[[#This Row],[Job Posting Date]]+ RANDBETWEEN(15, 90)</f>
        <v>43342</v>
      </c>
      <c r="G163" s="1">
        <f ca="1">Table1[[#This Row],[Hire Date]]+ RANDBETWEEN(1, 15)</f>
        <v>43350</v>
      </c>
      <c r="H163" s="1" t="str">
        <f ca="1">IF(RAND() &lt; 0.5,  Table1[[#This Row],[Join Date]]+ RANDBETWEEN(30, TODAY()- Table1[[#This Row],[Join Date]]), "-")</f>
        <v>-</v>
      </c>
      <c r="I163" t="str">
        <f ca="1">IF(Table1[[#This Row],[Exit Date]]= "-", "Active", "Exited")</f>
        <v>Active</v>
      </c>
      <c r="J163" s="5">
        <f t="shared" ca="1" si="24"/>
        <v>3256</v>
      </c>
      <c r="K163">
        <f ca="1">Table1[[#This Row],[Offers Made]]*2</f>
        <v>16</v>
      </c>
      <c r="L163">
        <f t="shared" ca="1" si="28"/>
        <v>8</v>
      </c>
      <c r="M163">
        <f t="shared" ca="1" si="29"/>
        <v>5</v>
      </c>
      <c r="N163" t="str">
        <f t="shared" ca="1" si="30"/>
        <v>Employee Referrals</v>
      </c>
      <c r="O163">
        <f t="shared" ca="1" si="31"/>
        <v>5</v>
      </c>
      <c r="P163" t="str">
        <f t="shared" ca="1" si="32"/>
        <v>No</v>
      </c>
      <c r="Q163" t="str" cm="1">
        <f t="array" aca="1" ref="Q163" ca="1">INDEX(sheet2!$C$2:$C$6, RANDBETWEEN(1, 5))</f>
        <v>Leadership Development</v>
      </c>
      <c r="R163" t="str">
        <f t="shared" ca="1" si="25"/>
        <v>Not Completed</v>
      </c>
      <c r="S163">
        <f ca="1">Table1[[#This Row],[Hire Date]]-Table1[[#This Row],[Job Posting Date]]</f>
        <v>75</v>
      </c>
    </row>
    <row r="164" spans="1:19" x14ac:dyDescent="0.2">
      <c r="A164" t="str">
        <f t="shared" si="26"/>
        <v>EMP163</v>
      </c>
      <c r="B164" t="str">
        <f t="shared" ca="1" si="27"/>
        <v>Male</v>
      </c>
      <c r="C164" t="str" cm="1">
        <f t="array" aca="1" ref="C164" ca="1">INDEX(sheet2!$A$2:$A$6, RANDBETWEEN(1, 5))</f>
        <v>HR</v>
      </c>
      <c r="D164" t="str">
        <f ca="1">_xlfn.XLOOKUP(Table1[[#This Row],[Department]],sheet2!$A$2:$A$6,sheet2!$B$2:$B$6,_xleta.NA,0)</f>
        <v>HR Manager</v>
      </c>
      <c r="E164" s="1">
        <f t="shared" ca="1" si="23"/>
        <v>44277</v>
      </c>
      <c r="F164" s="1">
        <f ca="1">Table1[[#This Row],[Job Posting Date]]+ RANDBETWEEN(15, 90)</f>
        <v>44313</v>
      </c>
      <c r="G164" s="1">
        <f ca="1">Table1[[#This Row],[Hire Date]]+ RANDBETWEEN(1, 15)</f>
        <v>44317</v>
      </c>
      <c r="H164" s="1" t="str">
        <f ca="1">IF(RAND() &lt; 0.5,  Table1[[#This Row],[Join Date]]+ RANDBETWEEN(30, TODAY()- Table1[[#This Row],[Join Date]]), "-")</f>
        <v>-</v>
      </c>
      <c r="I164" t="str">
        <f ca="1">IF(Table1[[#This Row],[Exit Date]]= "-", "Active", "Exited")</f>
        <v>Active</v>
      </c>
      <c r="J164" s="5">
        <f t="shared" ca="1" si="24"/>
        <v>3100</v>
      </c>
      <c r="K164">
        <f ca="1">Table1[[#This Row],[Offers Made]]*2</f>
        <v>16</v>
      </c>
      <c r="L164">
        <f t="shared" ca="1" si="28"/>
        <v>8</v>
      </c>
      <c r="M164">
        <f t="shared" ca="1" si="29"/>
        <v>7</v>
      </c>
      <c r="N164" t="str">
        <f t="shared" ca="1" si="30"/>
        <v>Campus Placements</v>
      </c>
      <c r="O164">
        <f t="shared" ca="1" si="31"/>
        <v>2</v>
      </c>
      <c r="P164" t="str">
        <f t="shared" ca="1" si="32"/>
        <v>No</v>
      </c>
      <c r="Q164" t="str" cm="1">
        <f t="array" aca="1" ref="Q164" ca="1">INDEX(sheet2!$C$2:$C$6, RANDBETWEEN(1, 5))</f>
        <v>Communication Skills</v>
      </c>
      <c r="R164" t="str">
        <f t="shared" ca="1" si="25"/>
        <v>Completed</v>
      </c>
      <c r="S164">
        <f ca="1">Table1[[#This Row],[Hire Date]]-Table1[[#This Row],[Job Posting Date]]</f>
        <v>36</v>
      </c>
    </row>
    <row r="165" spans="1:19" x14ac:dyDescent="0.2">
      <c r="A165" t="str">
        <f t="shared" si="26"/>
        <v>EMP164</v>
      </c>
      <c r="B165" t="str">
        <f t="shared" ca="1" si="27"/>
        <v>Female</v>
      </c>
      <c r="C165" t="str" cm="1">
        <f t="array" aca="1" ref="C165" ca="1">INDEX(sheet2!$A$2:$A$6, RANDBETWEEN(1, 5))</f>
        <v>Analytics</v>
      </c>
      <c r="D165" t="str">
        <f ca="1">_xlfn.XLOOKUP(Table1[[#This Row],[Department]],sheet2!$A$2:$A$6,sheet2!$B$2:$B$6,_xleta.NA,0)</f>
        <v>Data Analyst</v>
      </c>
      <c r="E165" s="1">
        <f t="shared" ca="1" si="23"/>
        <v>44112</v>
      </c>
      <c r="F165" s="1">
        <f ca="1">Table1[[#This Row],[Job Posting Date]]+ RANDBETWEEN(15, 90)</f>
        <v>44202</v>
      </c>
      <c r="G165" s="1">
        <f ca="1">Table1[[#This Row],[Hire Date]]+ RANDBETWEEN(1, 15)</f>
        <v>44206</v>
      </c>
      <c r="H165" s="1" t="str">
        <f ca="1">IF(RAND() &lt; 0.5,  Table1[[#This Row],[Join Date]]+ RANDBETWEEN(30, TODAY()- Table1[[#This Row],[Join Date]]), "-")</f>
        <v>-</v>
      </c>
      <c r="I165" t="str">
        <f ca="1">IF(Table1[[#This Row],[Exit Date]]= "-", "Active", "Exited")</f>
        <v>Active</v>
      </c>
      <c r="J165" s="5">
        <f t="shared" ca="1" si="24"/>
        <v>2865</v>
      </c>
      <c r="K165">
        <f ca="1">Table1[[#This Row],[Offers Made]]*2</f>
        <v>10</v>
      </c>
      <c r="L165">
        <f t="shared" ca="1" si="28"/>
        <v>5</v>
      </c>
      <c r="M165">
        <f t="shared" ca="1" si="29"/>
        <v>3</v>
      </c>
      <c r="N165" t="str">
        <f t="shared" ca="1" si="30"/>
        <v>Employee Referrals</v>
      </c>
      <c r="O165">
        <f t="shared" ca="1" si="31"/>
        <v>2</v>
      </c>
      <c r="P165" t="str">
        <f t="shared" ca="1" si="32"/>
        <v>Yes</v>
      </c>
      <c r="Q165" t="str" cm="1">
        <f t="array" aca="1" ref="Q165" ca="1">INDEX(sheet2!$C$2:$C$6, RANDBETWEEN(1, 5))</f>
        <v>Ethics and Responsibilities</v>
      </c>
      <c r="R165" t="str">
        <f t="shared" ca="1" si="25"/>
        <v>Completed</v>
      </c>
      <c r="S165">
        <f ca="1">Table1[[#This Row],[Hire Date]]-Table1[[#This Row],[Job Posting Date]]</f>
        <v>90</v>
      </c>
    </row>
    <row r="166" spans="1:19" x14ac:dyDescent="0.2">
      <c r="A166" t="str">
        <f t="shared" si="26"/>
        <v>EMP165</v>
      </c>
      <c r="B166" t="str">
        <f t="shared" ca="1" si="27"/>
        <v>Male</v>
      </c>
      <c r="C166" t="str" cm="1">
        <f t="array" aca="1" ref="C166" ca="1">INDEX(sheet2!$A$2:$A$6, RANDBETWEEN(1, 5))</f>
        <v>Finance</v>
      </c>
      <c r="D166" t="str">
        <f ca="1">_xlfn.XLOOKUP(Table1[[#This Row],[Department]],sheet2!$A$2:$A$6,sheet2!$B$2:$B$6,_xleta.NA,0)</f>
        <v>Finance Manager</v>
      </c>
      <c r="E166" s="1">
        <f t="shared" ref="E166:E229" ca="1" si="33">DATE(RANDBETWEEN(2018, 2022), RANDBETWEEN(1, 12), RANDBETWEEN(1, 28))</f>
        <v>43932</v>
      </c>
      <c r="F166" s="1">
        <f ca="1">Table1[[#This Row],[Job Posting Date]]+ RANDBETWEEN(15, 90)</f>
        <v>43975</v>
      </c>
      <c r="G166" s="1">
        <f ca="1">Table1[[#This Row],[Hire Date]]+ RANDBETWEEN(1, 15)</f>
        <v>43981</v>
      </c>
      <c r="H166" s="1">
        <f ca="1">IF(RAND() &lt; 0.5,  Table1[[#This Row],[Join Date]]+ RANDBETWEEN(30, TODAY()- Table1[[#This Row],[Join Date]]), "-")</f>
        <v>44501</v>
      </c>
      <c r="I166" t="str">
        <f ca="1">IF(Table1[[#This Row],[Exit Date]]= "-", "Active", "Exited")</f>
        <v>Exited</v>
      </c>
      <c r="J166" s="5">
        <f t="shared" ref="J166:J229" ca="1" si="34">RANDBETWEEN(1500, 5000)</f>
        <v>4569</v>
      </c>
      <c r="K166">
        <f ca="1">Table1[[#This Row],[Offers Made]]*2</f>
        <v>16</v>
      </c>
      <c r="L166">
        <f t="shared" ca="1" si="28"/>
        <v>8</v>
      </c>
      <c r="M166">
        <f t="shared" ca="1" si="29"/>
        <v>4</v>
      </c>
      <c r="N166" t="str">
        <f t="shared" ca="1" si="30"/>
        <v>Job Portals</v>
      </c>
      <c r="O166">
        <f t="shared" ca="1" si="31"/>
        <v>2</v>
      </c>
      <c r="P166" t="str">
        <f t="shared" ca="1" si="32"/>
        <v>Yes</v>
      </c>
      <c r="Q166" t="str" cm="1">
        <f t="array" aca="1" ref="Q166" ca="1">INDEX(sheet2!$C$2:$C$6, RANDBETWEEN(1, 5))</f>
        <v>Conflict Resolution</v>
      </c>
      <c r="R166" t="str">
        <f t="shared" ref="R166:R229" ca="1" si="35">IF(RAND() &lt; 0.7, "Completed", "Not Completed")</f>
        <v>Completed</v>
      </c>
      <c r="S166">
        <f ca="1">Table1[[#This Row],[Hire Date]]-Table1[[#This Row],[Job Posting Date]]</f>
        <v>43</v>
      </c>
    </row>
    <row r="167" spans="1:19" x14ac:dyDescent="0.2">
      <c r="A167" t="str">
        <f t="shared" si="26"/>
        <v>EMP166</v>
      </c>
      <c r="B167" t="str">
        <f t="shared" ca="1" si="27"/>
        <v>Male</v>
      </c>
      <c r="C167" t="str" cm="1">
        <f t="array" aca="1" ref="C167" ca="1">INDEX(sheet2!$A$2:$A$6, RANDBETWEEN(1, 5))</f>
        <v>Sales</v>
      </c>
      <c r="D167" t="str">
        <f ca="1">_xlfn.XLOOKUP(Table1[[#This Row],[Department]],sheet2!$A$2:$A$6,sheet2!$B$2:$B$6,_xleta.NA,0)</f>
        <v>Marketing Manager</v>
      </c>
      <c r="E167" s="1">
        <f t="shared" ca="1" si="33"/>
        <v>44210</v>
      </c>
      <c r="F167" s="1">
        <f ca="1">Table1[[#This Row],[Job Posting Date]]+ RANDBETWEEN(15, 90)</f>
        <v>44266</v>
      </c>
      <c r="G167" s="1">
        <f ca="1">Table1[[#This Row],[Hire Date]]+ RANDBETWEEN(1, 15)</f>
        <v>44275</v>
      </c>
      <c r="H167" s="1" t="str">
        <f ca="1">IF(RAND() &lt; 0.5,  Table1[[#This Row],[Join Date]]+ RANDBETWEEN(30, TODAY()- Table1[[#This Row],[Join Date]]), "-")</f>
        <v>-</v>
      </c>
      <c r="I167" t="str">
        <f ca="1">IF(Table1[[#This Row],[Exit Date]]= "-", "Active", "Exited")</f>
        <v>Active</v>
      </c>
      <c r="J167" s="5">
        <f t="shared" ca="1" si="34"/>
        <v>4764</v>
      </c>
      <c r="K167">
        <f ca="1">Table1[[#This Row],[Offers Made]]*2</f>
        <v>12</v>
      </c>
      <c r="L167">
        <f t="shared" ca="1" si="28"/>
        <v>6</v>
      </c>
      <c r="M167">
        <f t="shared" ca="1" si="29"/>
        <v>4</v>
      </c>
      <c r="N167" t="str">
        <f t="shared" ca="1" si="30"/>
        <v>Direct Hiring</v>
      </c>
      <c r="O167">
        <f t="shared" ca="1" si="31"/>
        <v>2</v>
      </c>
      <c r="P167" t="str">
        <f t="shared" ca="1" si="32"/>
        <v>Yes</v>
      </c>
      <c r="Q167" t="str" cm="1">
        <f t="array" aca="1" ref="Q167" ca="1">INDEX(sheet2!$C$2:$C$6, RANDBETWEEN(1, 5))</f>
        <v>Advanced Excel Skills </v>
      </c>
      <c r="R167" t="str">
        <f t="shared" ca="1" si="35"/>
        <v>Completed</v>
      </c>
      <c r="S167">
        <f ca="1">Table1[[#This Row],[Hire Date]]-Table1[[#This Row],[Job Posting Date]]</f>
        <v>56</v>
      </c>
    </row>
    <row r="168" spans="1:19" x14ac:dyDescent="0.2">
      <c r="A168" t="str">
        <f t="shared" si="26"/>
        <v>EMP167</v>
      </c>
      <c r="B168" t="str">
        <f t="shared" ca="1" si="27"/>
        <v>Female</v>
      </c>
      <c r="C168" t="str" cm="1">
        <f t="array" aca="1" ref="C168" ca="1">INDEX(sheet2!$A$2:$A$6, RANDBETWEEN(1, 5))</f>
        <v>Finance</v>
      </c>
      <c r="D168" t="str">
        <f ca="1">_xlfn.XLOOKUP(Table1[[#This Row],[Department]],sheet2!$A$2:$A$6,sheet2!$B$2:$B$6,_xleta.NA,0)</f>
        <v>Finance Manager</v>
      </c>
      <c r="E168" s="1">
        <f t="shared" ca="1" si="33"/>
        <v>43182</v>
      </c>
      <c r="F168" s="1">
        <f ca="1">Table1[[#This Row],[Job Posting Date]]+ RANDBETWEEN(15, 90)</f>
        <v>43216</v>
      </c>
      <c r="G168" s="1">
        <f ca="1">Table1[[#This Row],[Hire Date]]+ RANDBETWEEN(1, 15)</f>
        <v>43228</v>
      </c>
      <c r="H168" s="1" t="str">
        <f ca="1">IF(RAND() &lt; 0.5,  Table1[[#This Row],[Join Date]]+ RANDBETWEEN(30, TODAY()- Table1[[#This Row],[Join Date]]), "-")</f>
        <v>-</v>
      </c>
      <c r="I168" t="str">
        <f ca="1">IF(Table1[[#This Row],[Exit Date]]= "-", "Active", "Exited")</f>
        <v>Active</v>
      </c>
      <c r="J168" s="5">
        <f t="shared" ca="1" si="34"/>
        <v>3785</v>
      </c>
      <c r="K168">
        <f ca="1">Table1[[#This Row],[Offers Made]]*2</f>
        <v>14</v>
      </c>
      <c r="L168">
        <f t="shared" ca="1" si="28"/>
        <v>7</v>
      </c>
      <c r="M168">
        <f t="shared" ca="1" si="29"/>
        <v>1</v>
      </c>
      <c r="N168" t="str">
        <f t="shared" ca="1" si="30"/>
        <v>Job Portals</v>
      </c>
      <c r="O168">
        <f t="shared" ca="1" si="31"/>
        <v>4</v>
      </c>
      <c r="P168" t="str">
        <f t="shared" ca="1" si="32"/>
        <v>No</v>
      </c>
      <c r="Q168" t="str" cm="1">
        <f t="array" aca="1" ref="Q168" ca="1">INDEX(sheet2!$C$2:$C$6, RANDBETWEEN(1, 5))</f>
        <v>Communication Skills</v>
      </c>
      <c r="R168" t="str">
        <f t="shared" ca="1" si="35"/>
        <v>Completed</v>
      </c>
      <c r="S168">
        <f ca="1">Table1[[#This Row],[Hire Date]]-Table1[[#This Row],[Job Posting Date]]</f>
        <v>34</v>
      </c>
    </row>
    <row r="169" spans="1:19" x14ac:dyDescent="0.2">
      <c r="A169" t="str">
        <f t="shared" si="26"/>
        <v>EMP168</v>
      </c>
      <c r="B169" t="str">
        <f t="shared" ca="1" si="27"/>
        <v>Female</v>
      </c>
      <c r="C169" t="str" cm="1">
        <f t="array" aca="1" ref="C169" ca="1">INDEX(sheet2!$A$2:$A$6, RANDBETWEEN(1, 5))</f>
        <v>IT</v>
      </c>
      <c r="D169" t="str">
        <f ca="1">_xlfn.XLOOKUP(Table1[[#This Row],[Department]],sheet2!$A$2:$A$6,sheet2!$B$2:$B$6,_xleta.NA,0)</f>
        <v>Software Engineer</v>
      </c>
      <c r="E169" s="1">
        <f t="shared" ca="1" si="33"/>
        <v>43452</v>
      </c>
      <c r="F169" s="1">
        <f ca="1">Table1[[#This Row],[Job Posting Date]]+ RANDBETWEEN(15, 90)</f>
        <v>43538</v>
      </c>
      <c r="G169" s="1">
        <f ca="1">Table1[[#This Row],[Hire Date]]+ RANDBETWEEN(1, 15)</f>
        <v>43549</v>
      </c>
      <c r="H169" s="1">
        <f ca="1">IF(RAND() &lt; 0.5,  Table1[[#This Row],[Join Date]]+ RANDBETWEEN(30, TODAY()- Table1[[#This Row],[Join Date]]), "-")</f>
        <v>44961</v>
      </c>
      <c r="I169" t="str">
        <f ca="1">IF(Table1[[#This Row],[Exit Date]]= "-", "Active", "Exited")</f>
        <v>Exited</v>
      </c>
      <c r="J169" s="5">
        <f t="shared" ca="1" si="34"/>
        <v>3523</v>
      </c>
      <c r="K169">
        <f ca="1">Table1[[#This Row],[Offers Made]]*2</f>
        <v>12</v>
      </c>
      <c r="L169">
        <f t="shared" ca="1" si="28"/>
        <v>6</v>
      </c>
      <c r="M169">
        <f t="shared" ca="1" si="29"/>
        <v>5</v>
      </c>
      <c r="N169" t="str">
        <f t="shared" ca="1" si="30"/>
        <v>Job Portals</v>
      </c>
      <c r="O169">
        <f t="shared" ca="1" si="31"/>
        <v>4</v>
      </c>
      <c r="P169" t="str">
        <f t="shared" ca="1" si="32"/>
        <v>Yes</v>
      </c>
      <c r="Q169" t="str" cm="1">
        <f t="array" aca="1" ref="Q169" ca="1">INDEX(sheet2!$C$2:$C$6, RANDBETWEEN(1, 5))</f>
        <v>Leadership Development</v>
      </c>
      <c r="R169" t="str">
        <f t="shared" ca="1" si="35"/>
        <v>Completed</v>
      </c>
      <c r="S169">
        <f ca="1">Table1[[#This Row],[Hire Date]]-Table1[[#This Row],[Job Posting Date]]</f>
        <v>86</v>
      </c>
    </row>
    <row r="170" spans="1:19" x14ac:dyDescent="0.2">
      <c r="A170" t="str">
        <f t="shared" si="26"/>
        <v>EMP169</v>
      </c>
      <c r="B170" t="str">
        <f t="shared" ca="1" si="27"/>
        <v>Male</v>
      </c>
      <c r="C170" t="str" cm="1">
        <f t="array" aca="1" ref="C170" ca="1">INDEX(sheet2!$A$2:$A$6, RANDBETWEEN(1, 5))</f>
        <v>Sales</v>
      </c>
      <c r="D170" t="str">
        <f ca="1">_xlfn.XLOOKUP(Table1[[#This Row],[Department]],sheet2!$A$2:$A$6,sheet2!$B$2:$B$6,_xleta.NA,0)</f>
        <v>Marketing Manager</v>
      </c>
      <c r="E170" s="1">
        <f t="shared" ca="1" si="33"/>
        <v>43862</v>
      </c>
      <c r="F170" s="1">
        <f ca="1">Table1[[#This Row],[Job Posting Date]]+ RANDBETWEEN(15, 90)</f>
        <v>43922</v>
      </c>
      <c r="G170" s="1">
        <f ca="1">Table1[[#This Row],[Hire Date]]+ RANDBETWEEN(1, 15)</f>
        <v>43929</v>
      </c>
      <c r="H170" s="1" t="str">
        <f ca="1">IF(RAND() &lt; 0.5,  Table1[[#This Row],[Join Date]]+ RANDBETWEEN(30, TODAY()- Table1[[#This Row],[Join Date]]), "-")</f>
        <v>-</v>
      </c>
      <c r="I170" t="str">
        <f ca="1">IF(Table1[[#This Row],[Exit Date]]= "-", "Active", "Exited")</f>
        <v>Active</v>
      </c>
      <c r="J170" s="5">
        <f t="shared" ca="1" si="34"/>
        <v>1945</v>
      </c>
      <c r="K170">
        <f ca="1">Table1[[#This Row],[Offers Made]]*2</f>
        <v>16</v>
      </c>
      <c r="L170">
        <f t="shared" ca="1" si="28"/>
        <v>8</v>
      </c>
      <c r="M170">
        <f t="shared" ca="1" si="29"/>
        <v>2</v>
      </c>
      <c r="N170" t="str">
        <f t="shared" ca="1" si="30"/>
        <v>Job Portals</v>
      </c>
      <c r="O170">
        <f t="shared" ca="1" si="31"/>
        <v>3</v>
      </c>
      <c r="P170" t="str">
        <f t="shared" ca="1" si="32"/>
        <v>No</v>
      </c>
      <c r="Q170" t="str" cm="1">
        <f t="array" aca="1" ref="Q170" ca="1">INDEX(sheet2!$C$2:$C$6, RANDBETWEEN(1, 5))</f>
        <v>Leadership Development</v>
      </c>
      <c r="R170" t="str">
        <f t="shared" ca="1" si="35"/>
        <v>Completed</v>
      </c>
      <c r="S170">
        <f ca="1">Table1[[#This Row],[Hire Date]]-Table1[[#This Row],[Job Posting Date]]</f>
        <v>60</v>
      </c>
    </row>
    <row r="171" spans="1:19" x14ac:dyDescent="0.2">
      <c r="A171" t="str">
        <f t="shared" si="26"/>
        <v>EMP170</v>
      </c>
      <c r="B171" t="str">
        <f t="shared" ca="1" si="27"/>
        <v>Female</v>
      </c>
      <c r="C171" t="str" cm="1">
        <f t="array" aca="1" ref="C171" ca="1">INDEX(sheet2!$A$2:$A$6, RANDBETWEEN(1, 5))</f>
        <v>Analytics</v>
      </c>
      <c r="D171" t="str">
        <f ca="1">_xlfn.XLOOKUP(Table1[[#This Row],[Department]],sheet2!$A$2:$A$6,sheet2!$B$2:$B$6,_xleta.NA,0)</f>
        <v>Data Analyst</v>
      </c>
      <c r="E171" s="1">
        <f t="shared" ca="1" si="33"/>
        <v>43517</v>
      </c>
      <c r="F171" s="1">
        <f ca="1">Table1[[#This Row],[Job Posting Date]]+ RANDBETWEEN(15, 90)</f>
        <v>43566</v>
      </c>
      <c r="G171" s="1">
        <f ca="1">Table1[[#This Row],[Hire Date]]+ RANDBETWEEN(1, 15)</f>
        <v>43571</v>
      </c>
      <c r="H171" s="1" t="str">
        <f ca="1">IF(RAND() &lt; 0.5,  Table1[[#This Row],[Join Date]]+ RANDBETWEEN(30, TODAY()- Table1[[#This Row],[Join Date]]), "-")</f>
        <v>-</v>
      </c>
      <c r="I171" t="str">
        <f ca="1">IF(Table1[[#This Row],[Exit Date]]= "-", "Active", "Exited")</f>
        <v>Active</v>
      </c>
      <c r="J171" s="5">
        <f t="shared" ca="1" si="34"/>
        <v>2114</v>
      </c>
      <c r="K171">
        <f ca="1">Table1[[#This Row],[Offers Made]]*2</f>
        <v>12</v>
      </c>
      <c r="L171">
        <f t="shared" ca="1" si="28"/>
        <v>6</v>
      </c>
      <c r="M171">
        <f t="shared" ca="1" si="29"/>
        <v>4</v>
      </c>
      <c r="N171" t="str">
        <f t="shared" ca="1" si="30"/>
        <v>Job Portals</v>
      </c>
      <c r="O171">
        <f t="shared" ca="1" si="31"/>
        <v>3</v>
      </c>
      <c r="P171" t="str">
        <f t="shared" ca="1" si="32"/>
        <v>No</v>
      </c>
      <c r="Q171" t="str" cm="1">
        <f t="array" aca="1" ref="Q171" ca="1">INDEX(sheet2!$C$2:$C$6, RANDBETWEEN(1, 5))</f>
        <v>Conflict Resolution</v>
      </c>
      <c r="R171" t="str">
        <f t="shared" ca="1" si="35"/>
        <v>Not Completed</v>
      </c>
      <c r="S171">
        <f ca="1">Table1[[#This Row],[Hire Date]]-Table1[[#This Row],[Job Posting Date]]</f>
        <v>49</v>
      </c>
    </row>
    <row r="172" spans="1:19" x14ac:dyDescent="0.2">
      <c r="A172" t="str">
        <f t="shared" si="26"/>
        <v>EMP171</v>
      </c>
      <c r="B172" t="str">
        <f t="shared" ca="1" si="27"/>
        <v>Female</v>
      </c>
      <c r="C172" t="str" cm="1">
        <f t="array" aca="1" ref="C172" ca="1">INDEX(sheet2!$A$2:$A$6, RANDBETWEEN(1, 5))</f>
        <v>HR</v>
      </c>
      <c r="D172" t="str">
        <f ca="1">_xlfn.XLOOKUP(Table1[[#This Row],[Department]],sheet2!$A$2:$A$6,sheet2!$B$2:$B$6,_xleta.NA,0)</f>
        <v>HR Manager</v>
      </c>
      <c r="E172" s="1">
        <f t="shared" ca="1" si="33"/>
        <v>43303</v>
      </c>
      <c r="F172" s="1">
        <f ca="1">Table1[[#This Row],[Job Posting Date]]+ RANDBETWEEN(15, 90)</f>
        <v>43321</v>
      </c>
      <c r="G172" s="1">
        <f ca="1">Table1[[#This Row],[Hire Date]]+ RANDBETWEEN(1, 15)</f>
        <v>43330</v>
      </c>
      <c r="H172" s="1">
        <f ca="1">IF(RAND() &lt; 0.5,  Table1[[#This Row],[Join Date]]+ RANDBETWEEN(30, TODAY()- Table1[[#This Row],[Join Date]]), "-")</f>
        <v>45634</v>
      </c>
      <c r="I172" t="str">
        <f ca="1">IF(Table1[[#This Row],[Exit Date]]= "-", "Active", "Exited")</f>
        <v>Exited</v>
      </c>
      <c r="J172" s="5">
        <f t="shared" ca="1" si="34"/>
        <v>4565</v>
      </c>
      <c r="K172">
        <f ca="1">Table1[[#This Row],[Offers Made]]*2</f>
        <v>14</v>
      </c>
      <c r="L172">
        <f t="shared" ca="1" si="28"/>
        <v>7</v>
      </c>
      <c r="M172">
        <f t="shared" ca="1" si="29"/>
        <v>5</v>
      </c>
      <c r="N172" t="str">
        <f t="shared" ca="1" si="30"/>
        <v>Direct Hiring</v>
      </c>
      <c r="O172">
        <f t="shared" ca="1" si="31"/>
        <v>4</v>
      </c>
      <c r="P172" t="str">
        <f t="shared" ca="1" si="32"/>
        <v>No</v>
      </c>
      <c r="Q172" t="str" cm="1">
        <f t="array" aca="1" ref="Q172" ca="1">INDEX(sheet2!$C$2:$C$6, RANDBETWEEN(1, 5))</f>
        <v>Leadership Development</v>
      </c>
      <c r="R172" t="str">
        <f t="shared" ca="1" si="35"/>
        <v>Completed</v>
      </c>
      <c r="S172">
        <f ca="1">Table1[[#This Row],[Hire Date]]-Table1[[#This Row],[Job Posting Date]]</f>
        <v>18</v>
      </c>
    </row>
    <row r="173" spans="1:19" x14ac:dyDescent="0.2">
      <c r="A173" t="str">
        <f t="shared" si="26"/>
        <v>EMP172</v>
      </c>
      <c r="B173" t="str">
        <f t="shared" ca="1" si="27"/>
        <v>Male</v>
      </c>
      <c r="C173" t="str" cm="1">
        <f t="array" aca="1" ref="C173" ca="1">INDEX(sheet2!$A$2:$A$6, RANDBETWEEN(1, 5))</f>
        <v>Analytics</v>
      </c>
      <c r="D173" t="str">
        <f ca="1">_xlfn.XLOOKUP(Table1[[#This Row],[Department]],sheet2!$A$2:$A$6,sheet2!$B$2:$B$6,_xleta.NA,0)</f>
        <v>Data Analyst</v>
      </c>
      <c r="E173" s="1">
        <f t="shared" ca="1" si="33"/>
        <v>44409</v>
      </c>
      <c r="F173" s="1">
        <f ca="1">Table1[[#This Row],[Job Posting Date]]+ RANDBETWEEN(15, 90)</f>
        <v>44465</v>
      </c>
      <c r="G173" s="1">
        <f ca="1">Table1[[#This Row],[Hire Date]]+ RANDBETWEEN(1, 15)</f>
        <v>44478</v>
      </c>
      <c r="H173" s="1" t="str">
        <f ca="1">IF(RAND() &lt; 0.5,  Table1[[#This Row],[Join Date]]+ RANDBETWEEN(30, TODAY()- Table1[[#This Row],[Join Date]]), "-")</f>
        <v>-</v>
      </c>
      <c r="I173" t="str">
        <f ca="1">IF(Table1[[#This Row],[Exit Date]]= "-", "Active", "Exited")</f>
        <v>Active</v>
      </c>
      <c r="J173" s="5">
        <f t="shared" ca="1" si="34"/>
        <v>3540</v>
      </c>
      <c r="K173">
        <f ca="1">Table1[[#This Row],[Offers Made]]*2</f>
        <v>10</v>
      </c>
      <c r="L173">
        <f t="shared" ca="1" si="28"/>
        <v>5</v>
      </c>
      <c r="M173">
        <f t="shared" ca="1" si="29"/>
        <v>1</v>
      </c>
      <c r="N173" t="str">
        <f t="shared" ca="1" si="30"/>
        <v>Direct Hiring</v>
      </c>
      <c r="O173">
        <f t="shared" ca="1" si="31"/>
        <v>4</v>
      </c>
      <c r="P173" t="str">
        <f t="shared" ca="1" si="32"/>
        <v>Yes</v>
      </c>
      <c r="Q173" t="str" cm="1">
        <f t="array" aca="1" ref="Q173" ca="1">INDEX(sheet2!$C$2:$C$6, RANDBETWEEN(1, 5))</f>
        <v>Advanced Excel Skills </v>
      </c>
      <c r="R173" t="str">
        <f t="shared" ca="1" si="35"/>
        <v>Not Completed</v>
      </c>
      <c r="S173">
        <f ca="1">Table1[[#This Row],[Hire Date]]-Table1[[#This Row],[Job Posting Date]]</f>
        <v>56</v>
      </c>
    </row>
    <row r="174" spans="1:19" x14ac:dyDescent="0.2">
      <c r="A174" t="str">
        <f t="shared" si="26"/>
        <v>EMP173</v>
      </c>
      <c r="B174" t="str">
        <f t="shared" ca="1" si="27"/>
        <v>Male</v>
      </c>
      <c r="C174" t="str" cm="1">
        <f t="array" aca="1" ref="C174" ca="1">INDEX(sheet2!$A$2:$A$6, RANDBETWEEN(1, 5))</f>
        <v>IT</v>
      </c>
      <c r="D174" t="str">
        <f ca="1">_xlfn.XLOOKUP(Table1[[#This Row],[Department]],sheet2!$A$2:$A$6,sheet2!$B$2:$B$6,_xleta.NA,0)</f>
        <v>Software Engineer</v>
      </c>
      <c r="E174" s="1">
        <f t="shared" ca="1" si="33"/>
        <v>43993</v>
      </c>
      <c r="F174" s="1">
        <f ca="1">Table1[[#This Row],[Job Posting Date]]+ RANDBETWEEN(15, 90)</f>
        <v>44030</v>
      </c>
      <c r="G174" s="1">
        <f ca="1">Table1[[#This Row],[Hire Date]]+ RANDBETWEEN(1, 15)</f>
        <v>44034</v>
      </c>
      <c r="H174" s="1">
        <f ca="1">IF(RAND() &lt; 0.5,  Table1[[#This Row],[Join Date]]+ RANDBETWEEN(30, TODAY()- Table1[[#This Row],[Join Date]]), "-")</f>
        <v>45222</v>
      </c>
      <c r="I174" t="str">
        <f ca="1">IF(Table1[[#This Row],[Exit Date]]= "-", "Active", "Exited")</f>
        <v>Exited</v>
      </c>
      <c r="J174" s="5">
        <f t="shared" ca="1" si="34"/>
        <v>4009</v>
      </c>
      <c r="K174">
        <f ca="1">Table1[[#This Row],[Offers Made]]*2</f>
        <v>8</v>
      </c>
      <c r="L174">
        <f t="shared" ca="1" si="28"/>
        <v>4</v>
      </c>
      <c r="M174">
        <f t="shared" ca="1" si="29"/>
        <v>3</v>
      </c>
      <c r="N174" t="str">
        <f t="shared" ca="1" si="30"/>
        <v>Campus Placements</v>
      </c>
      <c r="O174">
        <f t="shared" ca="1" si="31"/>
        <v>4</v>
      </c>
      <c r="P174" t="str">
        <f t="shared" ca="1" si="32"/>
        <v>No</v>
      </c>
      <c r="Q174" t="str" cm="1">
        <f t="array" aca="1" ref="Q174" ca="1">INDEX(sheet2!$C$2:$C$6, RANDBETWEEN(1, 5))</f>
        <v>Advanced Excel Skills </v>
      </c>
      <c r="R174" t="str">
        <f t="shared" ca="1" si="35"/>
        <v>Not Completed</v>
      </c>
      <c r="S174">
        <f ca="1">Table1[[#This Row],[Hire Date]]-Table1[[#This Row],[Job Posting Date]]</f>
        <v>37</v>
      </c>
    </row>
    <row r="175" spans="1:19" x14ac:dyDescent="0.2">
      <c r="A175" t="str">
        <f t="shared" si="26"/>
        <v>EMP174</v>
      </c>
      <c r="B175" t="str">
        <f t="shared" ca="1" si="27"/>
        <v>Female</v>
      </c>
      <c r="C175" t="str" cm="1">
        <f t="array" aca="1" ref="C175" ca="1">INDEX(sheet2!$A$2:$A$6, RANDBETWEEN(1, 5))</f>
        <v>IT</v>
      </c>
      <c r="D175" t="str">
        <f ca="1">_xlfn.XLOOKUP(Table1[[#This Row],[Department]],sheet2!$A$2:$A$6,sheet2!$B$2:$B$6,_xleta.NA,0)</f>
        <v>Software Engineer</v>
      </c>
      <c r="E175" s="1">
        <f t="shared" ca="1" si="33"/>
        <v>44069</v>
      </c>
      <c r="F175" s="1">
        <f ca="1">Table1[[#This Row],[Job Posting Date]]+ RANDBETWEEN(15, 90)</f>
        <v>44127</v>
      </c>
      <c r="G175" s="1">
        <f ca="1">Table1[[#This Row],[Hire Date]]+ RANDBETWEEN(1, 15)</f>
        <v>44135</v>
      </c>
      <c r="H175" s="1" t="str">
        <f ca="1">IF(RAND() &lt; 0.5,  Table1[[#This Row],[Join Date]]+ RANDBETWEEN(30, TODAY()- Table1[[#This Row],[Join Date]]), "-")</f>
        <v>-</v>
      </c>
      <c r="I175" t="str">
        <f ca="1">IF(Table1[[#This Row],[Exit Date]]= "-", "Active", "Exited")</f>
        <v>Active</v>
      </c>
      <c r="J175" s="5">
        <f t="shared" ca="1" si="34"/>
        <v>3494</v>
      </c>
      <c r="K175">
        <f ca="1">Table1[[#This Row],[Offers Made]]*2</f>
        <v>6</v>
      </c>
      <c r="L175">
        <f t="shared" ca="1" si="28"/>
        <v>3</v>
      </c>
      <c r="M175">
        <f t="shared" ca="1" si="29"/>
        <v>2</v>
      </c>
      <c r="N175" t="str">
        <f t="shared" ca="1" si="30"/>
        <v>Campus Placements</v>
      </c>
      <c r="O175">
        <f t="shared" ca="1" si="31"/>
        <v>1</v>
      </c>
      <c r="P175" t="str">
        <f t="shared" ca="1" si="32"/>
        <v>No</v>
      </c>
      <c r="Q175" t="str" cm="1">
        <f t="array" aca="1" ref="Q175" ca="1">INDEX(sheet2!$C$2:$C$6, RANDBETWEEN(1, 5))</f>
        <v>Communication Skills</v>
      </c>
      <c r="R175" t="str">
        <f t="shared" ca="1" si="35"/>
        <v>Completed</v>
      </c>
      <c r="S175">
        <f ca="1">Table1[[#This Row],[Hire Date]]-Table1[[#This Row],[Job Posting Date]]</f>
        <v>58</v>
      </c>
    </row>
    <row r="176" spans="1:19" x14ac:dyDescent="0.2">
      <c r="A176" t="str">
        <f t="shared" si="26"/>
        <v>EMP175</v>
      </c>
      <c r="B176" t="str">
        <f t="shared" ca="1" si="27"/>
        <v>Female</v>
      </c>
      <c r="C176" t="str" cm="1">
        <f t="array" aca="1" ref="C176" ca="1">INDEX(sheet2!$A$2:$A$6, RANDBETWEEN(1, 5))</f>
        <v>Sales</v>
      </c>
      <c r="D176" t="str">
        <f ca="1">_xlfn.XLOOKUP(Table1[[#This Row],[Department]],sheet2!$A$2:$A$6,sheet2!$B$2:$B$6,_xleta.NA,0)</f>
        <v>Marketing Manager</v>
      </c>
      <c r="E176" s="1">
        <f t="shared" ca="1" si="33"/>
        <v>43637</v>
      </c>
      <c r="F176" s="1">
        <f ca="1">Table1[[#This Row],[Job Posting Date]]+ RANDBETWEEN(15, 90)</f>
        <v>43666</v>
      </c>
      <c r="G176" s="1">
        <f ca="1">Table1[[#This Row],[Hire Date]]+ RANDBETWEEN(1, 15)</f>
        <v>43673</v>
      </c>
      <c r="H176" s="1">
        <f ca="1">IF(RAND() &lt; 0.5,  Table1[[#This Row],[Join Date]]+ RANDBETWEEN(30, TODAY()- Table1[[#This Row],[Join Date]]), "-")</f>
        <v>44184</v>
      </c>
      <c r="I176" t="str">
        <f ca="1">IF(Table1[[#This Row],[Exit Date]]= "-", "Active", "Exited")</f>
        <v>Exited</v>
      </c>
      <c r="J176" s="5">
        <f t="shared" ca="1" si="34"/>
        <v>4206</v>
      </c>
      <c r="K176">
        <f ca="1">Table1[[#This Row],[Offers Made]]*2</f>
        <v>6</v>
      </c>
      <c r="L176">
        <f t="shared" ca="1" si="28"/>
        <v>3</v>
      </c>
      <c r="M176">
        <f t="shared" ca="1" si="29"/>
        <v>2</v>
      </c>
      <c r="N176" t="str">
        <f t="shared" ca="1" si="30"/>
        <v>Job Portals</v>
      </c>
      <c r="O176">
        <f t="shared" ca="1" si="31"/>
        <v>5</v>
      </c>
      <c r="P176" t="str">
        <f t="shared" ca="1" si="32"/>
        <v>No</v>
      </c>
      <c r="Q176" t="str" cm="1">
        <f t="array" aca="1" ref="Q176" ca="1">INDEX(sheet2!$C$2:$C$6, RANDBETWEEN(1, 5))</f>
        <v>Conflict Resolution</v>
      </c>
      <c r="R176" t="str">
        <f t="shared" ca="1" si="35"/>
        <v>Not Completed</v>
      </c>
      <c r="S176">
        <f ca="1">Table1[[#This Row],[Hire Date]]-Table1[[#This Row],[Job Posting Date]]</f>
        <v>29</v>
      </c>
    </row>
    <row r="177" spans="1:19" x14ac:dyDescent="0.2">
      <c r="A177" t="str">
        <f t="shared" si="26"/>
        <v>EMP176</v>
      </c>
      <c r="B177" t="str">
        <f t="shared" ca="1" si="27"/>
        <v>Male</v>
      </c>
      <c r="C177" t="str" cm="1">
        <f t="array" aca="1" ref="C177" ca="1">INDEX(sheet2!$A$2:$A$6, RANDBETWEEN(1, 5))</f>
        <v>Finance</v>
      </c>
      <c r="D177" t="str">
        <f ca="1">_xlfn.XLOOKUP(Table1[[#This Row],[Department]],sheet2!$A$2:$A$6,sheet2!$B$2:$B$6,_xleta.NA,0)</f>
        <v>Finance Manager</v>
      </c>
      <c r="E177" s="1">
        <f t="shared" ca="1" si="33"/>
        <v>43101</v>
      </c>
      <c r="F177" s="1">
        <f ca="1">Table1[[#This Row],[Job Posting Date]]+ RANDBETWEEN(15, 90)</f>
        <v>43125</v>
      </c>
      <c r="G177" s="1">
        <f ca="1">Table1[[#This Row],[Hire Date]]+ RANDBETWEEN(1, 15)</f>
        <v>43134</v>
      </c>
      <c r="H177" s="1">
        <f ca="1">IF(RAND() &lt; 0.5,  Table1[[#This Row],[Join Date]]+ RANDBETWEEN(30, TODAY()- Table1[[#This Row],[Join Date]]), "-")</f>
        <v>44948</v>
      </c>
      <c r="I177" t="str">
        <f ca="1">IF(Table1[[#This Row],[Exit Date]]= "-", "Active", "Exited")</f>
        <v>Exited</v>
      </c>
      <c r="J177" s="5">
        <f t="shared" ca="1" si="34"/>
        <v>2346</v>
      </c>
      <c r="K177">
        <f ca="1">Table1[[#This Row],[Offers Made]]*2</f>
        <v>12</v>
      </c>
      <c r="L177">
        <f t="shared" ca="1" si="28"/>
        <v>6</v>
      </c>
      <c r="M177">
        <f t="shared" ca="1" si="29"/>
        <v>2</v>
      </c>
      <c r="N177" t="str">
        <f t="shared" ca="1" si="30"/>
        <v>Job Portals</v>
      </c>
      <c r="O177">
        <f t="shared" ca="1" si="31"/>
        <v>4</v>
      </c>
      <c r="P177" t="str">
        <f t="shared" ca="1" si="32"/>
        <v>Yes</v>
      </c>
      <c r="Q177" t="str" cm="1">
        <f t="array" aca="1" ref="Q177" ca="1">INDEX(sheet2!$C$2:$C$6, RANDBETWEEN(1, 5))</f>
        <v>Leadership Development</v>
      </c>
      <c r="R177" t="str">
        <f t="shared" ca="1" si="35"/>
        <v>Completed</v>
      </c>
      <c r="S177">
        <f ca="1">Table1[[#This Row],[Hire Date]]-Table1[[#This Row],[Job Posting Date]]</f>
        <v>24</v>
      </c>
    </row>
    <row r="178" spans="1:19" x14ac:dyDescent="0.2">
      <c r="A178" t="str">
        <f t="shared" si="26"/>
        <v>EMP177</v>
      </c>
      <c r="B178" t="str">
        <f t="shared" ca="1" si="27"/>
        <v>Female</v>
      </c>
      <c r="C178" t="str" cm="1">
        <f t="array" aca="1" ref="C178" ca="1">INDEX(sheet2!$A$2:$A$6, RANDBETWEEN(1, 5))</f>
        <v>HR</v>
      </c>
      <c r="D178" t="str">
        <f ca="1">_xlfn.XLOOKUP(Table1[[#This Row],[Department]],sheet2!$A$2:$A$6,sheet2!$B$2:$B$6,_xleta.NA,0)</f>
        <v>HR Manager</v>
      </c>
      <c r="E178" s="1">
        <f t="shared" ca="1" si="33"/>
        <v>43242</v>
      </c>
      <c r="F178" s="1">
        <f ca="1">Table1[[#This Row],[Job Posting Date]]+ RANDBETWEEN(15, 90)</f>
        <v>43260</v>
      </c>
      <c r="G178" s="1">
        <f ca="1">Table1[[#This Row],[Hire Date]]+ RANDBETWEEN(1, 15)</f>
        <v>43265</v>
      </c>
      <c r="H178" s="1" t="str">
        <f ca="1">IF(RAND() &lt; 0.5,  Table1[[#This Row],[Join Date]]+ RANDBETWEEN(30, TODAY()- Table1[[#This Row],[Join Date]]), "-")</f>
        <v>-</v>
      </c>
      <c r="I178" t="str">
        <f ca="1">IF(Table1[[#This Row],[Exit Date]]= "-", "Active", "Exited")</f>
        <v>Active</v>
      </c>
      <c r="J178" s="5">
        <f t="shared" ca="1" si="34"/>
        <v>1563</v>
      </c>
      <c r="K178">
        <f ca="1">Table1[[#This Row],[Offers Made]]*2</f>
        <v>10</v>
      </c>
      <c r="L178">
        <f t="shared" ca="1" si="28"/>
        <v>5</v>
      </c>
      <c r="M178">
        <f t="shared" ca="1" si="29"/>
        <v>3</v>
      </c>
      <c r="N178" t="str">
        <f t="shared" ca="1" si="30"/>
        <v>Direct Hiring</v>
      </c>
      <c r="O178">
        <f t="shared" ca="1" si="31"/>
        <v>3</v>
      </c>
      <c r="P178" t="str">
        <f t="shared" ca="1" si="32"/>
        <v>Yes</v>
      </c>
      <c r="Q178" t="str" cm="1">
        <f t="array" aca="1" ref="Q178" ca="1">INDEX(sheet2!$C$2:$C$6, RANDBETWEEN(1, 5))</f>
        <v>Ethics and Responsibilities</v>
      </c>
      <c r="R178" t="str">
        <f t="shared" ca="1" si="35"/>
        <v>Completed</v>
      </c>
      <c r="S178">
        <f ca="1">Table1[[#This Row],[Hire Date]]-Table1[[#This Row],[Job Posting Date]]</f>
        <v>18</v>
      </c>
    </row>
    <row r="179" spans="1:19" x14ac:dyDescent="0.2">
      <c r="A179" t="str">
        <f t="shared" si="26"/>
        <v>EMP178</v>
      </c>
      <c r="B179" t="str">
        <f t="shared" ca="1" si="27"/>
        <v>Male</v>
      </c>
      <c r="C179" t="str" cm="1">
        <f t="array" aca="1" ref="C179" ca="1">INDEX(sheet2!$A$2:$A$6, RANDBETWEEN(1, 5))</f>
        <v>Finance</v>
      </c>
      <c r="D179" t="str">
        <f ca="1">_xlfn.XLOOKUP(Table1[[#This Row],[Department]],sheet2!$A$2:$A$6,sheet2!$B$2:$B$6,_xleta.NA,0)</f>
        <v>Finance Manager</v>
      </c>
      <c r="E179" s="1">
        <f t="shared" ca="1" si="33"/>
        <v>43526</v>
      </c>
      <c r="F179" s="1">
        <f ca="1">Table1[[#This Row],[Job Posting Date]]+ RANDBETWEEN(15, 90)</f>
        <v>43549</v>
      </c>
      <c r="G179" s="1">
        <f ca="1">Table1[[#This Row],[Hire Date]]+ RANDBETWEEN(1, 15)</f>
        <v>43551</v>
      </c>
      <c r="H179" s="1">
        <f ca="1">IF(RAND() &lt; 0.5,  Table1[[#This Row],[Join Date]]+ RANDBETWEEN(30, TODAY()- Table1[[#This Row],[Join Date]]), "-")</f>
        <v>45654</v>
      </c>
      <c r="I179" t="str">
        <f ca="1">IF(Table1[[#This Row],[Exit Date]]= "-", "Active", "Exited")</f>
        <v>Exited</v>
      </c>
      <c r="J179" s="5">
        <f t="shared" ca="1" si="34"/>
        <v>4469</v>
      </c>
      <c r="K179">
        <f ca="1">Table1[[#This Row],[Offers Made]]*2</f>
        <v>14</v>
      </c>
      <c r="L179">
        <f t="shared" ca="1" si="28"/>
        <v>7</v>
      </c>
      <c r="M179">
        <f t="shared" ca="1" si="29"/>
        <v>6</v>
      </c>
      <c r="N179" t="str">
        <f t="shared" ca="1" si="30"/>
        <v>Direct Hiring</v>
      </c>
      <c r="O179">
        <f t="shared" ca="1" si="31"/>
        <v>1</v>
      </c>
      <c r="P179" t="str">
        <f t="shared" ca="1" si="32"/>
        <v>No</v>
      </c>
      <c r="Q179" t="str" cm="1">
        <f t="array" aca="1" ref="Q179" ca="1">INDEX(sheet2!$C$2:$C$6, RANDBETWEEN(1, 5))</f>
        <v>Communication Skills</v>
      </c>
      <c r="R179" t="str">
        <f t="shared" ca="1" si="35"/>
        <v>Completed</v>
      </c>
      <c r="S179">
        <f ca="1">Table1[[#This Row],[Hire Date]]-Table1[[#This Row],[Job Posting Date]]</f>
        <v>23</v>
      </c>
    </row>
    <row r="180" spans="1:19" x14ac:dyDescent="0.2">
      <c r="A180" t="str">
        <f t="shared" si="26"/>
        <v>EMP179</v>
      </c>
      <c r="B180" t="str">
        <f t="shared" ca="1" si="27"/>
        <v>Male</v>
      </c>
      <c r="C180" t="str" cm="1">
        <f t="array" aca="1" ref="C180" ca="1">INDEX(sheet2!$A$2:$A$6, RANDBETWEEN(1, 5))</f>
        <v>IT</v>
      </c>
      <c r="D180" t="str">
        <f ca="1">_xlfn.XLOOKUP(Table1[[#This Row],[Department]],sheet2!$A$2:$A$6,sheet2!$B$2:$B$6,_xleta.NA,0)</f>
        <v>Software Engineer</v>
      </c>
      <c r="E180" s="1">
        <f t="shared" ca="1" si="33"/>
        <v>44337</v>
      </c>
      <c r="F180" s="1">
        <f ca="1">Table1[[#This Row],[Job Posting Date]]+ RANDBETWEEN(15, 90)</f>
        <v>44372</v>
      </c>
      <c r="G180" s="1">
        <f ca="1">Table1[[#This Row],[Hire Date]]+ RANDBETWEEN(1, 15)</f>
        <v>44373</v>
      </c>
      <c r="H180" s="1">
        <f ca="1">IF(RAND() &lt; 0.5,  Table1[[#This Row],[Join Date]]+ RANDBETWEEN(30, TODAY()- Table1[[#This Row],[Join Date]]), "-")</f>
        <v>44609</v>
      </c>
      <c r="I180" t="str">
        <f ca="1">IF(Table1[[#This Row],[Exit Date]]= "-", "Active", "Exited")</f>
        <v>Exited</v>
      </c>
      <c r="J180" s="5">
        <f t="shared" ca="1" si="34"/>
        <v>1651</v>
      </c>
      <c r="K180">
        <f ca="1">Table1[[#This Row],[Offers Made]]*2</f>
        <v>14</v>
      </c>
      <c r="L180">
        <f t="shared" ca="1" si="28"/>
        <v>7</v>
      </c>
      <c r="M180">
        <f t="shared" ca="1" si="29"/>
        <v>1</v>
      </c>
      <c r="N180" t="str">
        <f t="shared" ca="1" si="30"/>
        <v>Direct Hiring</v>
      </c>
      <c r="O180">
        <f t="shared" ca="1" si="31"/>
        <v>5</v>
      </c>
      <c r="P180" t="str">
        <f t="shared" ca="1" si="32"/>
        <v>Yes</v>
      </c>
      <c r="Q180" t="str" cm="1">
        <f t="array" aca="1" ref="Q180" ca="1">INDEX(sheet2!$C$2:$C$6, RANDBETWEEN(1, 5))</f>
        <v>Communication Skills</v>
      </c>
      <c r="R180" t="str">
        <f t="shared" ca="1" si="35"/>
        <v>Completed</v>
      </c>
      <c r="S180">
        <f ca="1">Table1[[#This Row],[Hire Date]]-Table1[[#This Row],[Job Posting Date]]</f>
        <v>35</v>
      </c>
    </row>
    <row r="181" spans="1:19" x14ac:dyDescent="0.2">
      <c r="A181" t="str">
        <f t="shared" si="26"/>
        <v>EMP180</v>
      </c>
      <c r="B181" t="str">
        <f t="shared" ca="1" si="27"/>
        <v>Female</v>
      </c>
      <c r="C181" t="str" cm="1">
        <f t="array" aca="1" ref="C181" ca="1">INDEX(sheet2!$A$2:$A$6, RANDBETWEEN(1, 5))</f>
        <v>IT</v>
      </c>
      <c r="D181" t="str">
        <f ca="1">_xlfn.XLOOKUP(Table1[[#This Row],[Department]],sheet2!$A$2:$A$6,sheet2!$B$2:$B$6,_xleta.NA,0)</f>
        <v>Software Engineer</v>
      </c>
      <c r="E181" s="1">
        <f t="shared" ca="1" si="33"/>
        <v>44411</v>
      </c>
      <c r="F181" s="1">
        <f ca="1">Table1[[#This Row],[Job Posting Date]]+ RANDBETWEEN(15, 90)</f>
        <v>44475</v>
      </c>
      <c r="G181" s="1">
        <f ca="1">Table1[[#This Row],[Hire Date]]+ RANDBETWEEN(1, 15)</f>
        <v>44483</v>
      </c>
      <c r="H181" s="1" t="str">
        <f ca="1">IF(RAND() &lt; 0.5,  Table1[[#This Row],[Join Date]]+ RANDBETWEEN(30, TODAY()- Table1[[#This Row],[Join Date]]), "-")</f>
        <v>-</v>
      </c>
      <c r="I181" t="str">
        <f ca="1">IF(Table1[[#This Row],[Exit Date]]= "-", "Active", "Exited")</f>
        <v>Active</v>
      </c>
      <c r="J181" s="5">
        <f t="shared" ca="1" si="34"/>
        <v>4837</v>
      </c>
      <c r="K181">
        <f ca="1">Table1[[#This Row],[Offers Made]]*2</f>
        <v>16</v>
      </c>
      <c r="L181">
        <f t="shared" ca="1" si="28"/>
        <v>8</v>
      </c>
      <c r="M181">
        <f t="shared" ca="1" si="29"/>
        <v>4</v>
      </c>
      <c r="N181" t="str">
        <f t="shared" ca="1" si="30"/>
        <v>Campus Placements</v>
      </c>
      <c r="O181">
        <f t="shared" ca="1" si="31"/>
        <v>4</v>
      </c>
      <c r="P181" t="str">
        <f t="shared" ca="1" si="32"/>
        <v>No</v>
      </c>
      <c r="Q181" t="str" cm="1">
        <f t="array" aca="1" ref="Q181" ca="1">INDEX(sheet2!$C$2:$C$6, RANDBETWEEN(1, 5))</f>
        <v>Conflict Resolution</v>
      </c>
      <c r="R181" t="str">
        <f t="shared" ca="1" si="35"/>
        <v>Not Completed</v>
      </c>
      <c r="S181">
        <f ca="1">Table1[[#This Row],[Hire Date]]-Table1[[#This Row],[Job Posting Date]]</f>
        <v>64</v>
      </c>
    </row>
    <row r="182" spans="1:19" x14ac:dyDescent="0.2">
      <c r="A182" t="str">
        <f t="shared" si="26"/>
        <v>EMP181</v>
      </c>
      <c r="B182" t="str">
        <f t="shared" ca="1" si="27"/>
        <v>Female</v>
      </c>
      <c r="C182" t="str" cm="1">
        <f t="array" aca="1" ref="C182" ca="1">INDEX(sheet2!$A$2:$A$6, RANDBETWEEN(1, 5))</f>
        <v>Sales</v>
      </c>
      <c r="D182" t="str">
        <f ca="1">_xlfn.XLOOKUP(Table1[[#This Row],[Department]],sheet2!$A$2:$A$6,sheet2!$B$2:$B$6,_xleta.NA,0)</f>
        <v>Marketing Manager</v>
      </c>
      <c r="E182" s="1">
        <f t="shared" ca="1" si="33"/>
        <v>44083</v>
      </c>
      <c r="F182" s="1">
        <f ca="1">Table1[[#This Row],[Job Posting Date]]+ RANDBETWEEN(15, 90)</f>
        <v>44142</v>
      </c>
      <c r="G182" s="1">
        <f ca="1">Table1[[#This Row],[Hire Date]]+ RANDBETWEEN(1, 15)</f>
        <v>44150</v>
      </c>
      <c r="H182" s="1">
        <f ca="1">IF(RAND() &lt; 0.5,  Table1[[#This Row],[Join Date]]+ RANDBETWEEN(30, TODAY()- Table1[[#This Row],[Join Date]]), "-")</f>
        <v>44836</v>
      </c>
      <c r="I182" t="str">
        <f ca="1">IF(Table1[[#This Row],[Exit Date]]= "-", "Active", "Exited")</f>
        <v>Exited</v>
      </c>
      <c r="J182" s="5">
        <f t="shared" ca="1" si="34"/>
        <v>2615</v>
      </c>
      <c r="K182">
        <f ca="1">Table1[[#This Row],[Offers Made]]*2</f>
        <v>8</v>
      </c>
      <c r="L182">
        <f t="shared" ca="1" si="28"/>
        <v>4</v>
      </c>
      <c r="M182">
        <f t="shared" ca="1" si="29"/>
        <v>3</v>
      </c>
      <c r="N182" t="str">
        <f t="shared" ca="1" si="30"/>
        <v>Job Portals</v>
      </c>
      <c r="O182">
        <f t="shared" ca="1" si="31"/>
        <v>5</v>
      </c>
      <c r="P182" t="str">
        <f t="shared" ca="1" si="32"/>
        <v>Yes</v>
      </c>
      <c r="Q182" t="str" cm="1">
        <f t="array" aca="1" ref="Q182" ca="1">INDEX(sheet2!$C$2:$C$6, RANDBETWEEN(1, 5))</f>
        <v>Ethics and Responsibilities</v>
      </c>
      <c r="R182" t="str">
        <f t="shared" ca="1" si="35"/>
        <v>Not Completed</v>
      </c>
      <c r="S182">
        <f ca="1">Table1[[#This Row],[Hire Date]]-Table1[[#This Row],[Job Posting Date]]</f>
        <v>59</v>
      </c>
    </row>
    <row r="183" spans="1:19" x14ac:dyDescent="0.2">
      <c r="A183" t="str">
        <f t="shared" si="26"/>
        <v>EMP182</v>
      </c>
      <c r="B183" t="str">
        <f t="shared" ca="1" si="27"/>
        <v>Female</v>
      </c>
      <c r="C183" t="str" cm="1">
        <f t="array" aca="1" ref="C183" ca="1">INDEX(sheet2!$A$2:$A$6, RANDBETWEEN(1, 5))</f>
        <v>Sales</v>
      </c>
      <c r="D183" t="str">
        <f ca="1">_xlfn.XLOOKUP(Table1[[#This Row],[Department]],sheet2!$A$2:$A$6,sheet2!$B$2:$B$6,_xleta.NA,0)</f>
        <v>Marketing Manager</v>
      </c>
      <c r="E183" s="1">
        <f t="shared" ca="1" si="33"/>
        <v>43942</v>
      </c>
      <c r="F183" s="1">
        <f ca="1">Table1[[#This Row],[Job Posting Date]]+ RANDBETWEEN(15, 90)</f>
        <v>43997</v>
      </c>
      <c r="G183" s="1">
        <f ca="1">Table1[[#This Row],[Hire Date]]+ RANDBETWEEN(1, 15)</f>
        <v>44003</v>
      </c>
      <c r="H183" s="1">
        <f ca="1">IF(RAND() &lt; 0.5,  Table1[[#This Row],[Join Date]]+ RANDBETWEEN(30, TODAY()- Table1[[#This Row],[Join Date]]), "-")</f>
        <v>44989</v>
      </c>
      <c r="I183" t="str">
        <f ca="1">IF(Table1[[#This Row],[Exit Date]]= "-", "Active", "Exited")</f>
        <v>Exited</v>
      </c>
      <c r="J183" s="5">
        <f t="shared" ca="1" si="34"/>
        <v>1733</v>
      </c>
      <c r="K183">
        <f ca="1">Table1[[#This Row],[Offers Made]]*2</f>
        <v>8</v>
      </c>
      <c r="L183">
        <f t="shared" ca="1" si="28"/>
        <v>4</v>
      </c>
      <c r="M183">
        <f t="shared" ca="1" si="29"/>
        <v>2</v>
      </c>
      <c r="N183" t="str">
        <f t="shared" ca="1" si="30"/>
        <v>Employee Referrals</v>
      </c>
      <c r="O183">
        <f t="shared" ca="1" si="31"/>
        <v>1</v>
      </c>
      <c r="P183" t="str">
        <f t="shared" ca="1" si="32"/>
        <v>Yes</v>
      </c>
      <c r="Q183" t="str" cm="1">
        <f t="array" aca="1" ref="Q183" ca="1">INDEX(sheet2!$C$2:$C$6, RANDBETWEEN(1, 5))</f>
        <v>Ethics and Responsibilities</v>
      </c>
      <c r="R183" t="str">
        <f t="shared" ca="1" si="35"/>
        <v>Completed</v>
      </c>
      <c r="S183">
        <f ca="1">Table1[[#This Row],[Hire Date]]-Table1[[#This Row],[Job Posting Date]]</f>
        <v>55</v>
      </c>
    </row>
    <row r="184" spans="1:19" x14ac:dyDescent="0.2">
      <c r="A184" t="str">
        <f t="shared" si="26"/>
        <v>EMP183</v>
      </c>
      <c r="B184" t="str">
        <f t="shared" ca="1" si="27"/>
        <v>Female</v>
      </c>
      <c r="C184" t="str" cm="1">
        <f t="array" aca="1" ref="C184" ca="1">INDEX(sheet2!$A$2:$A$6, RANDBETWEEN(1, 5))</f>
        <v>IT</v>
      </c>
      <c r="D184" t="str">
        <f ca="1">_xlfn.XLOOKUP(Table1[[#This Row],[Department]],sheet2!$A$2:$A$6,sheet2!$B$2:$B$6,_xleta.NA,0)</f>
        <v>Software Engineer</v>
      </c>
      <c r="E184" s="1">
        <f t="shared" ca="1" si="33"/>
        <v>44670</v>
      </c>
      <c r="F184" s="1">
        <f ca="1">Table1[[#This Row],[Job Posting Date]]+ RANDBETWEEN(15, 90)</f>
        <v>44692</v>
      </c>
      <c r="G184" s="1">
        <f ca="1">Table1[[#This Row],[Hire Date]]+ RANDBETWEEN(1, 15)</f>
        <v>44701</v>
      </c>
      <c r="H184" s="1" t="str">
        <f ca="1">IF(RAND() &lt; 0.5,  Table1[[#This Row],[Join Date]]+ RANDBETWEEN(30, TODAY()- Table1[[#This Row],[Join Date]]), "-")</f>
        <v>-</v>
      </c>
      <c r="I184" t="str">
        <f ca="1">IF(Table1[[#This Row],[Exit Date]]= "-", "Active", "Exited")</f>
        <v>Active</v>
      </c>
      <c r="J184" s="5">
        <f t="shared" ca="1" si="34"/>
        <v>4246</v>
      </c>
      <c r="K184">
        <f ca="1">Table1[[#This Row],[Offers Made]]*2</f>
        <v>12</v>
      </c>
      <c r="L184">
        <f t="shared" ca="1" si="28"/>
        <v>6</v>
      </c>
      <c r="M184">
        <f t="shared" ca="1" si="29"/>
        <v>3</v>
      </c>
      <c r="N184" t="str">
        <f t="shared" ca="1" si="30"/>
        <v>Campus Placements</v>
      </c>
      <c r="O184">
        <f t="shared" ca="1" si="31"/>
        <v>1</v>
      </c>
      <c r="P184" t="str">
        <f t="shared" ca="1" si="32"/>
        <v>Yes</v>
      </c>
      <c r="Q184" t="str" cm="1">
        <f t="array" aca="1" ref="Q184" ca="1">INDEX(sheet2!$C$2:$C$6, RANDBETWEEN(1, 5))</f>
        <v>Advanced Excel Skills </v>
      </c>
      <c r="R184" t="str">
        <f t="shared" ca="1" si="35"/>
        <v>Completed</v>
      </c>
      <c r="S184">
        <f ca="1">Table1[[#This Row],[Hire Date]]-Table1[[#This Row],[Job Posting Date]]</f>
        <v>22</v>
      </c>
    </row>
    <row r="185" spans="1:19" x14ac:dyDescent="0.2">
      <c r="A185" t="str">
        <f t="shared" si="26"/>
        <v>EMP184</v>
      </c>
      <c r="B185" t="str">
        <f t="shared" ca="1" si="27"/>
        <v>Male</v>
      </c>
      <c r="C185" t="str" cm="1">
        <f t="array" aca="1" ref="C185" ca="1">INDEX(sheet2!$A$2:$A$6, RANDBETWEEN(1, 5))</f>
        <v>Sales</v>
      </c>
      <c r="D185" t="str">
        <f ca="1">_xlfn.XLOOKUP(Table1[[#This Row],[Department]],sheet2!$A$2:$A$6,sheet2!$B$2:$B$6,_xleta.NA,0)</f>
        <v>Marketing Manager</v>
      </c>
      <c r="E185" s="1">
        <f t="shared" ca="1" si="33"/>
        <v>43944</v>
      </c>
      <c r="F185" s="1">
        <f ca="1">Table1[[#This Row],[Job Posting Date]]+ RANDBETWEEN(15, 90)</f>
        <v>44010</v>
      </c>
      <c r="G185" s="1">
        <f ca="1">Table1[[#This Row],[Hire Date]]+ RANDBETWEEN(1, 15)</f>
        <v>44015</v>
      </c>
      <c r="H185" s="1">
        <f ca="1">IF(RAND() &lt; 0.5,  Table1[[#This Row],[Join Date]]+ RANDBETWEEN(30, TODAY()- Table1[[#This Row],[Join Date]]), "-")</f>
        <v>44801</v>
      </c>
      <c r="I185" t="str">
        <f ca="1">IF(Table1[[#This Row],[Exit Date]]= "-", "Active", "Exited")</f>
        <v>Exited</v>
      </c>
      <c r="J185" s="5">
        <f t="shared" ca="1" si="34"/>
        <v>4760</v>
      </c>
      <c r="K185">
        <f ca="1">Table1[[#This Row],[Offers Made]]*2</f>
        <v>14</v>
      </c>
      <c r="L185">
        <f t="shared" ca="1" si="28"/>
        <v>7</v>
      </c>
      <c r="M185">
        <f t="shared" ca="1" si="29"/>
        <v>2</v>
      </c>
      <c r="N185" t="str">
        <f t="shared" ca="1" si="30"/>
        <v>Employee Referrals</v>
      </c>
      <c r="O185">
        <f t="shared" ca="1" si="31"/>
        <v>5</v>
      </c>
      <c r="P185" t="str">
        <f t="shared" ca="1" si="32"/>
        <v>Yes</v>
      </c>
      <c r="Q185" t="str" cm="1">
        <f t="array" aca="1" ref="Q185" ca="1">INDEX(sheet2!$C$2:$C$6, RANDBETWEEN(1, 5))</f>
        <v>Conflict Resolution</v>
      </c>
      <c r="R185" t="str">
        <f t="shared" ca="1" si="35"/>
        <v>Completed</v>
      </c>
      <c r="S185">
        <f ca="1">Table1[[#This Row],[Hire Date]]-Table1[[#This Row],[Job Posting Date]]</f>
        <v>66</v>
      </c>
    </row>
    <row r="186" spans="1:19" x14ac:dyDescent="0.2">
      <c r="A186" t="str">
        <f t="shared" si="26"/>
        <v>EMP185</v>
      </c>
      <c r="B186" t="str">
        <f t="shared" ca="1" si="27"/>
        <v>Male</v>
      </c>
      <c r="C186" t="str" cm="1">
        <f t="array" aca="1" ref="C186" ca="1">INDEX(sheet2!$A$2:$A$6, RANDBETWEEN(1, 5))</f>
        <v>Analytics</v>
      </c>
      <c r="D186" t="str">
        <f ca="1">_xlfn.XLOOKUP(Table1[[#This Row],[Department]],sheet2!$A$2:$A$6,sheet2!$B$2:$B$6,_xleta.NA,0)</f>
        <v>Data Analyst</v>
      </c>
      <c r="E186" s="1">
        <f t="shared" ca="1" si="33"/>
        <v>43672</v>
      </c>
      <c r="F186" s="1">
        <f ca="1">Table1[[#This Row],[Job Posting Date]]+ RANDBETWEEN(15, 90)</f>
        <v>43735</v>
      </c>
      <c r="G186" s="1">
        <f ca="1">Table1[[#This Row],[Hire Date]]+ RANDBETWEEN(1, 15)</f>
        <v>43741</v>
      </c>
      <c r="H186" s="1">
        <f ca="1">IF(RAND() &lt; 0.5,  Table1[[#This Row],[Join Date]]+ RANDBETWEEN(30, TODAY()- Table1[[#This Row],[Join Date]]), "-")</f>
        <v>44575</v>
      </c>
      <c r="I186" t="str">
        <f ca="1">IF(Table1[[#This Row],[Exit Date]]= "-", "Active", "Exited")</f>
        <v>Exited</v>
      </c>
      <c r="J186" s="5">
        <f t="shared" ca="1" si="34"/>
        <v>3949</v>
      </c>
      <c r="K186">
        <f ca="1">Table1[[#This Row],[Offers Made]]*2</f>
        <v>10</v>
      </c>
      <c r="L186">
        <f t="shared" ca="1" si="28"/>
        <v>5</v>
      </c>
      <c r="M186">
        <f t="shared" ca="1" si="29"/>
        <v>2</v>
      </c>
      <c r="N186" t="str">
        <f t="shared" ca="1" si="30"/>
        <v>Job Portals</v>
      </c>
      <c r="O186">
        <f t="shared" ca="1" si="31"/>
        <v>1</v>
      </c>
      <c r="P186" t="str">
        <f t="shared" ca="1" si="32"/>
        <v>No</v>
      </c>
      <c r="Q186" t="str" cm="1">
        <f t="array" aca="1" ref="Q186" ca="1">INDEX(sheet2!$C$2:$C$6, RANDBETWEEN(1, 5))</f>
        <v>Leadership Development</v>
      </c>
      <c r="R186" t="str">
        <f t="shared" ca="1" si="35"/>
        <v>Completed</v>
      </c>
      <c r="S186">
        <f ca="1">Table1[[#This Row],[Hire Date]]-Table1[[#This Row],[Job Posting Date]]</f>
        <v>63</v>
      </c>
    </row>
    <row r="187" spans="1:19" x14ac:dyDescent="0.2">
      <c r="A187" t="str">
        <f t="shared" si="26"/>
        <v>EMP186</v>
      </c>
      <c r="B187" t="str">
        <f t="shared" ca="1" si="27"/>
        <v>Female</v>
      </c>
      <c r="C187" t="str" cm="1">
        <f t="array" aca="1" ref="C187" ca="1">INDEX(sheet2!$A$2:$A$6, RANDBETWEEN(1, 5))</f>
        <v>Analytics</v>
      </c>
      <c r="D187" t="str">
        <f ca="1">_xlfn.XLOOKUP(Table1[[#This Row],[Department]],sheet2!$A$2:$A$6,sheet2!$B$2:$B$6,_xleta.NA,0)</f>
        <v>Data Analyst</v>
      </c>
      <c r="E187" s="1">
        <f t="shared" ca="1" si="33"/>
        <v>43198</v>
      </c>
      <c r="F187" s="1">
        <f ca="1">Table1[[#This Row],[Job Posting Date]]+ RANDBETWEEN(15, 90)</f>
        <v>43259</v>
      </c>
      <c r="G187" s="1">
        <f ca="1">Table1[[#This Row],[Hire Date]]+ RANDBETWEEN(1, 15)</f>
        <v>43264</v>
      </c>
      <c r="H187" s="1" t="str">
        <f ca="1">IF(RAND() &lt; 0.5,  Table1[[#This Row],[Join Date]]+ RANDBETWEEN(30, TODAY()- Table1[[#This Row],[Join Date]]), "-")</f>
        <v>-</v>
      </c>
      <c r="I187" t="str">
        <f ca="1">IF(Table1[[#This Row],[Exit Date]]= "-", "Active", "Exited")</f>
        <v>Active</v>
      </c>
      <c r="J187" s="5">
        <f t="shared" ca="1" si="34"/>
        <v>4164</v>
      </c>
      <c r="K187">
        <f ca="1">Table1[[#This Row],[Offers Made]]*2</f>
        <v>16</v>
      </c>
      <c r="L187">
        <f t="shared" ca="1" si="28"/>
        <v>8</v>
      </c>
      <c r="M187">
        <f t="shared" ca="1" si="29"/>
        <v>2</v>
      </c>
      <c r="N187" t="str">
        <f t="shared" ca="1" si="30"/>
        <v>Job Portals</v>
      </c>
      <c r="O187">
        <f t="shared" ca="1" si="31"/>
        <v>5</v>
      </c>
      <c r="P187" t="str">
        <f t="shared" ca="1" si="32"/>
        <v>Yes</v>
      </c>
      <c r="Q187" t="str" cm="1">
        <f t="array" aca="1" ref="Q187" ca="1">INDEX(sheet2!$C$2:$C$6, RANDBETWEEN(1, 5))</f>
        <v>Leadership Development</v>
      </c>
      <c r="R187" t="str">
        <f t="shared" ca="1" si="35"/>
        <v>Not Completed</v>
      </c>
      <c r="S187">
        <f ca="1">Table1[[#This Row],[Hire Date]]-Table1[[#This Row],[Job Posting Date]]</f>
        <v>61</v>
      </c>
    </row>
    <row r="188" spans="1:19" x14ac:dyDescent="0.2">
      <c r="A188" t="str">
        <f t="shared" si="26"/>
        <v>EMP187</v>
      </c>
      <c r="B188" t="str">
        <f t="shared" ca="1" si="27"/>
        <v>Male</v>
      </c>
      <c r="C188" t="str" cm="1">
        <f t="array" aca="1" ref="C188" ca="1">INDEX(sheet2!$A$2:$A$6, RANDBETWEEN(1, 5))</f>
        <v>Finance</v>
      </c>
      <c r="D188" t="str">
        <f ca="1">_xlfn.XLOOKUP(Table1[[#This Row],[Department]],sheet2!$A$2:$A$6,sheet2!$B$2:$B$6,_xleta.NA,0)</f>
        <v>Finance Manager</v>
      </c>
      <c r="E188" s="1">
        <f t="shared" ca="1" si="33"/>
        <v>43302</v>
      </c>
      <c r="F188" s="1">
        <f ca="1">Table1[[#This Row],[Job Posting Date]]+ RANDBETWEEN(15, 90)</f>
        <v>43329</v>
      </c>
      <c r="G188" s="1">
        <f ca="1">Table1[[#This Row],[Hire Date]]+ RANDBETWEEN(1, 15)</f>
        <v>43331</v>
      </c>
      <c r="H188" s="1" t="str">
        <f ca="1">IF(RAND() &lt; 0.5,  Table1[[#This Row],[Join Date]]+ RANDBETWEEN(30, TODAY()- Table1[[#This Row],[Join Date]]), "-")</f>
        <v>-</v>
      </c>
      <c r="I188" t="str">
        <f ca="1">IF(Table1[[#This Row],[Exit Date]]= "-", "Active", "Exited")</f>
        <v>Active</v>
      </c>
      <c r="J188" s="5">
        <f t="shared" ca="1" si="34"/>
        <v>3374</v>
      </c>
      <c r="K188">
        <f ca="1">Table1[[#This Row],[Offers Made]]*2</f>
        <v>8</v>
      </c>
      <c r="L188">
        <f t="shared" ca="1" si="28"/>
        <v>4</v>
      </c>
      <c r="M188">
        <f t="shared" ca="1" si="29"/>
        <v>2</v>
      </c>
      <c r="N188" t="str">
        <f t="shared" ca="1" si="30"/>
        <v>Direct Hiring</v>
      </c>
      <c r="O188">
        <f t="shared" ca="1" si="31"/>
        <v>1</v>
      </c>
      <c r="P188" t="str">
        <f t="shared" ca="1" si="32"/>
        <v>No</v>
      </c>
      <c r="Q188" t="str" cm="1">
        <f t="array" aca="1" ref="Q188" ca="1">INDEX(sheet2!$C$2:$C$6, RANDBETWEEN(1, 5))</f>
        <v>Advanced Excel Skills </v>
      </c>
      <c r="R188" t="str">
        <f t="shared" ca="1" si="35"/>
        <v>Not Completed</v>
      </c>
      <c r="S188">
        <f ca="1">Table1[[#This Row],[Hire Date]]-Table1[[#This Row],[Job Posting Date]]</f>
        <v>27</v>
      </c>
    </row>
    <row r="189" spans="1:19" x14ac:dyDescent="0.2">
      <c r="A189" t="str">
        <f t="shared" si="26"/>
        <v>EMP188</v>
      </c>
      <c r="B189" t="str">
        <f t="shared" ca="1" si="27"/>
        <v>Male</v>
      </c>
      <c r="C189" t="str" cm="1">
        <f t="array" aca="1" ref="C189" ca="1">INDEX(sheet2!$A$2:$A$6, RANDBETWEEN(1, 5))</f>
        <v>Analytics</v>
      </c>
      <c r="D189" t="str">
        <f ca="1">_xlfn.XLOOKUP(Table1[[#This Row],[Department]],sheet2!$A$2:$A$6,sheet2!$B$2:$B$6,_xleta.NA,0)</f>
        <v>Data Analyst</v>
      </c>
      <c r="E189" s="1">
        <f t="shared" ca="1" si="33"/>
        <v>44783</v>
      </c>
      <c r="F189" s="1">
        <f ca="1">Table1[[#This Row],[Job Posting Date]]+ RANDBETWEEN(15, 90)</f>
        <v>44810</v>
      </c>
      <c r="G189" s="1">
        <f ca="1">Table1[[#This Row],[Hire Date]]+ RANDBETWEEN(1, 15)</f>
        <v>44820</v>
      </c>
      <c r="H189" s="1" t="str">
        <f ca="1">IF(RAND() &lt; 0.5,  Table1[[#This Row],[Join Date]]+ RANDBETWEEN(30, TODAY()- Table1[[#This Row],[Join Date]]), "-")</f>
        <v>-</v>
      </c>
      <c r="I189" t="str">
        <f ca="1">IF(Table1[[#This Row],[Exit Date]]= "-", "Active", "Exited")</f>
        <v>Active</v>
      </c>
      <c r="J189" s="5">
        <f t="shared" ca="1" si="34"/>
        <v>2428</v>
      </c>
      <c r="K189">
        <f ca="1">Table1[[#This Row],[Offers Made]]*2</f>
        <v>8</v>
      </c>
      <c r="L189">
        <f t="shared" ca="1" si="28"/>
        <v>4</v>
      </c>
      <c r="M189">
        <f t="shared" ca="1" si="29"/>
        <v>3</v>
      </c>
      <c r="N189" t="str">
        <f t="shared" ca="1" si="30"/>
        <v>Campus Placements</v>
      </c>
      <c r="O189">
        <f t="shared" ca="1" si="31"/>
        <v>1</v>
      </c>
      <c r="P189" t="str">
        <f t="shared" ca="1" si="32"/>
        <v>No</v>
      </c>
      <c r="Q189" t="str" cm="1">
        <f t="array" aca="1" ref="Q189" ca="1">INDEX(sheet2!$C$2:$C$6, RANDBETWEEN(1, 5))</f>
        <v>Conflict Resolution</v>
      </c>
      <c r="R189" t="str">
        <f t="shared" ca="1" si="35"/>
        <v>Completed</v>
      </c>
      <c r="S189">
        <f ca="1">Table1[[#This Row],[Hire Date]]-Table1[[#This Row],[Job Posting Date]]</f>
        <v>27</v>
      </c>
    </row>
    <row r="190" spans="1:19" x14ac:dyDescent="0.2">
      <c r="A190" t="str">
        <f t="shared" si="26"/>
        <v>EMP189</v>
      </c>
      <c r="B190" t="str">
        <f t="shared" ca="1" si="27"/>
        <v>Female</v>
      </c>
      <c r="C190" t="str" cm="1">
        <f t="array" aca="1" ref="C190" ca="1">INDEX(sheet2!$A$2:$A$6, RANDBETWEEN(1, 5))</f>
        <v>IT</v>
      </c>
      <c r="D190" t="str">
        <f ca="1">_xlfn.XLOOKUP(Table1[[#This Row],[Department]],sheet2!$A$2:$A$6,sheet2!$B$2:$B$6,_xleta.NA,0)</f>
        <v>Software Engineer</v>
      </c>
      <c r="E190" s="1">
        <f t="shared" ca="1" si="33"/>
        <v>43204</v>
      </c>
      <c r="F190" s="1">
        <f ca="1">Table1[[#This Row],[Job Posting Date]]+ RANDBETWEEN(15, 90)</f>
        <v>43255</v>
      </c>
      <c r="G190" s="1">
        <f ca="1">Table1[[#This Row],[Hire Date]]+ RANDBETWEEN(1, 15)</f>
        <v>43261</v>
      </c>
      <c r="H190" s="1">
        <f ca="1">IF(RAND() &lt; 0.5,  Table1[[#This Row],[Join Date]]+ RANDBETWEEN(30, TODAY()- Table1[[#This Row],[Join Date]]), "-")</f>
        <v>44823</v>
      </c>
      <c r="I190" t="str">
        <f ca="1">IF(Table1[[#This Row],[Exit Date]]= "-", "Active", "Exited")</f>
        <v>Exited</v>
      </c>
      <c r="J190" s="5">
        <f t="shared" ca="1" si="34"/>
        <v>2924</v>
      </c>
      <c r="K190">
        <f ca="1">Table1[[#This Row],[Offers Made]]*2</f>
        <v>8</v>
      </c>
      <c r="L190">
        <f t="shared" ca="1" si="28"/>
        <v>4</v>
      </c>
      <c r="M190">
        <f t="shared" ca="1" si="29"/>
        <v>3</v>
      </c>
      <c r="N190" t="str">
        <f t="shared" ca="1" si="30"/>
        <v>Job Portals</v>
      </c>
      <c r="O190">
        <f t="shared" ca="1" si="31"/>
        <v>1</v>
      </c>
      <c r="P190" t="str">
        <f t="shared" ca="1" si="32"/>
        <v>Yes</v>
      </c>
      <c r="Q190" t="str" cm="1">
        <f t="array" aca="1" ref="Q190" ca="1">INDEX(sheet2!$C$2:$C$6, RANDBETWEEN(1, 5))</f>
        <v>Ethics and Responsibilities</v>
      </c>
      <c r="R190" t="str">
        <f t="shared" ca="1" si="35"/>
        <v>Completed</v>
      </c>
      <c r="S190">
        <f ca="1">Table1[[#This Row],[Hire Date]]-Table1[[#This Row],[Job Posting Date]]</f>
        <v>51</v>
      </c>
    </row>
    <row r="191" spans="1:19" x14ac:dyDescent="0.2">
      <c r="A191" t="str">
        <f t="shared" si="26"/>
        <v>EMP190</v>
      </c>
      <c r="B191" t="str">
        <f t="shared" ca="1" si="27"/>
        <v>Male</v>
      </c>
      <c r="C191" t="str" cm="1">
        <f t="array" aca="1" ref="C191" ca="1">INDEX(sheet2!$A$2:$A$6, RANDBETWEEN(1, 5))</f>
        <v>IT</v>
      </c>
      <c r="D191" t="str">
        <f ca="1">_xlfn.XLOOKUP(Table1[[#This Row],[Department]],sheet2!$A$2:$A$6,sheet2!$B$2:$B$6,_xleta.NA,0)</f>
        <v>Software Engineer</v>
      </c>
      <c r="E191" s="1">
        <f t="shared" ca="1" si="33"/>
        <v>43887</v>
      </c>
      <c r="F191" s="1">
        <f ca="1">Table1[[#This Row],[Job Posting Date]]+ RANDBETWEEN(15, 90)</f>
        <v>43918</v>
      </c>
      <c r="G191" s="1">
        <f ca="1">Table1[[#This Row],[Hire Date]]+ RANDBETWEEN(1, 15)</f>
        <v>43933</v>
      </c>
      <c r="H191" s="1" t="str">
        <f ca="1">IF(RAND() &lt; 0.5,  Table1[[#This Row],[Join Date]]+ RANDBETWEEN(30, TODAY()- Table1[[#This Row],[Join Date]]), "-")</f>
        <v>-</v>
      </c>
      <c r="I191" t="str">
        <f ca="1">IF(Table1[[#This Row],[Exit Date]]= "-", "Active", "Exited")</f>
        <v>Active</v>
      </c>
      <c r="J191" s="5">
        <f t="shared" ca="1" si="34"/>
        <v>4361</v>
      </c>
      <c r="K191">
        <f ca="1">Table1[[#This Row],[Offers Made]]*2</f>
        <v>10</v>
      </c>
      <c r="L191">
        <f t="shared" ca="1" si="28"/>
        <v>5</v>
      </c>
      <c r="M191">
        <f t="shared" ca="1" si="29"/>
        <v>3</v>
      </c>
      <c r="N191" t="str">
        <f t="shared" ca="1" si="30"/>
        <v>Job Portals</v>
      </c>
      <c r="O191">
        <f t="shared" ca="1" si="31"/>
        <v>5</v>
      </c>
      <c r="P191" t="str">
        <f t="shared" ca="1" si="32"/>
        <v>No</v>
      </c>
      <c r="Q191" t="str" cm="1">
        <f t="array" aca="1" ref="Q191" ca="1">INDEX(sheet2!$C$2:$C$6, RANDBETWEEN(1, 5))</f>
        <v>Communication Skills</v>
      </c>
      <c r="R191" t="str">
        <f t="shared" ca="1" si="35"/>
        <v>Completed</v>
      </c>
      <c r="S191">
        <f ca="1">Table1[[#This Row],[Hire Date]]-Table1[[#This Row],[Job Posting Date]]</f>
        <v>31</v>
      </c>
    </row>
    <row r="192" spans="1:19" x14ac:dyDescent="0.2">
      <c r="A192" t="str">
        <f t="shared" si="26"/>
        <v>EMP191</v>
      </c>
      <c r="B192" t="str">
        <f t="shared" ca="1" si="27"/>
        <v>Male</v>
      </c>
      <c r="C192" t="str" cm="1">
        <f t="array" aca="1" ref="C192" ca="1">INDEX(sheet2!$A$2:$A$6, RANDBETWEEN(1, 5))</f>
        <v>Sales</v>
      </c>
      <c r="D192" t="str">
        <f ca="1">_xlfn.XLOOKUP(Table1[[#This Row],[Department]],sheet2!$A$2:$A$6,sheet2!$B$2:$B$6,_xleta.NA,0)</f>
        <v>Marketing Manager</v>
      </c>
      <c r="E192" s="1">
        <f t="shared" ca="1" si="33"/>
        <v>44341</v>
      </c>
      <c r="F192" s="1">
        <f ca="1">Table1[[#This Row],[Job Posting Date]]+ RANDBETWEEN(15, 90)</f>
        <v>44366</v>
      </c>
      <c r="G192" s="1">
        <f ca="1">Table1[[#This Row],[Hire Date]]+ RANDBETWEEN(1, 15)</f>
        <v>44374</v>
      </c>
      <c r="H192" s="1" t="str">
        <f ca="1">IF(RAND() &lt; 0.5,  Table1[[#This Row],[Join Date]]+ RANDBETWEEN(30, TODAY()- Table1[[#This Row],[Join Date]]), "-")</f>
        <v>-</v>
      </c>
      <c r="I192" t="str">
        <f ca="1">IF(Table1[[#This Row],[Exit Date]]= "-", "Active", "Exited")</f>
        <v>Active</v>
      </c>
      <c r="J192" s="5">
        <f t="shared" ca="1" si="34"/>
        <v>4608</v>
      </c>
      <c r="K192">
        <f ca="1">Table1[[#This Row],[Offers Made]]*2</f>
        <v>16</v>
      </c>
      <c r="L192">
        <f t="shared" ca="1" si="28"/>
        <v>8</v>
      </c>
      <c r="M192">
        <f t="shared" ca="1" si="29"/>
        <v>6</v>
      </c>
      <c r="N192" t="str">
        <f t="shared" ca="1" si="30"/>
        <v>Campus Placements</v>
      </c>
      <c r="O192">
        <f t="shared" ca="1" si="31"/>
        <v>4</v>
      </c>
      <c r="P192" t="str">
        <f t="shared" ca="1" si="32"/>
        <v>Yes</v>
      </c>
      <c r="Q192" t="str" cm="1">
        <f t="array" aca="1" ref="Q192" ca="1">INDEX(sheet2!$C$2:$C$6, RANDBETWEEN(1, 5))</f>
        <v>Conflict Resolution</v>
      </c>
      <c r="R192" t="str">
        <f t="shared" ca="1" si="35"/>
        <v>Completed</v>
      </c>
      <c r="S192">
        <f ca="1">Table1[[#This Row],[Hire Date]]-Table1[[#This Row],[Job Posting Date]]</f>
        <v>25</v>
      </c>
    </row>
    <row r="193" spans="1:19" x14ac:dyDescent="0.2">
      <c r="A193" t="str">
        <f t="shared" si="26"/>
        <v>EMP192</v>
      </c>
      <c r="B193" t="str">
        <f t="shared" ca="1" si="27"/>
        <v>Male</v>
      </c>
      <c r="C193" t="str" cm="1">
        <f t="array" aca="1" ref="C193" ca="1">INDEX(sheet2!$A$2:$A$6, RANDBETWEEN(1, 5))</f>
        <v>IT</v>
      </c>
      <c r="D193" t="str">
        <f ca="1">_xlfn.XLOOKUP(Table1[[#This Row],[Department]],sheet2!$A$2:$A$6,sheet2!$B$2:$B$6,_xleta.NA,0)</f>
        <v>Software Engineer</v>
      </c>
      <c r="E193" s="1">
        <f t="shared" ca="1" si="33"/>
        <v>43388</v>
      </c>
      <c r="F193" s="1">
        <f ca="1">Table1[[#This Row],[Job Posting Date]]+ RANDBETWEEN(15, 90)</f>
        <v>43461</v>
      </c>
      <c r="G193" s="1">
        <f ca="1">Table1[[#This Row],[Hire Date]]+ RANDBETWEEN(1, 15)</f>
        <v>43467</v>
      </c>
      <c r="H193" s="1" t="str">
        <f ca="1">IF(RAND() &lt; 0.5,  Table1[[#This Row],[Join Date]]+ RANDBETWEEN(30, TODAY()- Table1[[#This Row],[Join Date]]), "-")</f>
        <v>-</v>
      </c>
      <c r="I193" t="str">
        <f ca="1">IF(Table1[[#This Row],[Exit Date]]= "-", "Active", "Exited")</f>
        <v>Active</v>
      </c>
      <c r="J193" s="5">
        <f t="shared" ca="1" si="34"/>
        <v>2045</v>
      </c>
      <c r="K193">
        <f ca="1">Table1[[#This Row],[Offers Made]]*2</f>
        <v>10</v>
      </c>
      <c r="L193">
        <f t="shared" ca="1" si="28"/>
        <v>5</v>
      </c>
      <c r="M193">
        <f t="shared" ca="1" si="29"/>
        <v>2</v>
      </c>
      <c r="N193" t="str">
        <f t="shared" ca="1" si="30"/>
        <v>Employee Referrals</v>
      </c>
      <c r="O193">
        <f t="shared" ca="1" si="31"/>
        <v>5</v>
      </c>
      <c r="P193" t="str">
        <f t="shared" ca="1" si="32"/>
        <v>No</v>
      </c>
      <c r="Q193" t="str" cm="1">
        <f t="array" aca="1" ref="Q193" ca="1">INDEX(sheet2!$C$2:$C$6, RANDBETWEEN(1, 5))</f>
        <v>Leadership Development</v>
      </c>
      <c r="R193" t="str">
        <f t="shared" ca="1" si="35"/>
        <v>Completed</v>
      </c>
      <c r="S193">
        <f ca="1">Table1[[#This Row],[Hire Date]]-Table1[[#This Row],[Job Posting Date]]</f>
        <v>73</v>
      </c>
    </row>
    <row r="194" spans="1:19" x14ac:dyDescent="0.2">
      <c r="A194" t="str">
        <f t="shared" ref="A194:A257" si="36">"EMP" &amp; TEXT(ROW(A193), "000")</f>
        <v>EMP193</v>
      </c>
      <c r="B194" t="str">
        <f t="shared" ref="B194:B257" ca="1" si="37">CHOOSE(RANDBETWEEN(1, 2), "Male", "Female")</f>
        <v>Female</v>
      </c>
      <c r="C194" t="str" cm="1">
        <f t="array" aca="1" ref="C194" ca="1">INDEX(sheet2!$A$2:$A$6, RANDBETWEEN(1, 5))</f>
        <v>Analytics</v>
      </c>
      <c r="D194" t="str">
        <f ca="1">_xlfn.XLOOKUP(Table1[[#This Row],[Department]],sheet2!$A$2:$A$6,sheet2!$B$2:$B$6,_xleta.NA,0)</f>
        <v>Data Analyst</v>
      </c>
      <c r="E194" s="1">
        <f t="shared" ca="1" si="33"/>
        <v>44290</v>
      </c>
      <c r="F194" s="1">
        <f ca="1">Table1[[#This Row],[Job Posting Date]]+ RANDBETWEEN(15, 90)</f>
        <v>44341</v>
      </c>
      <c r="G194" s="1">
        <f ca="1">Table1[[#This Row],[Hire Date]]+ RANDBETWEEN(1, 15)</f>
        <v>44354</v>
      </c>
      <c r="H194" s="1" t="str">
        <f ca="1">IF(RAND() &lt; 0.5,  Table1[[#This Row],[Join Date]]+ RANDBETWEEN(30, TODAY()- Table1[[#This Row],[Join Date]]), "-")</f>
        <v>-</v>
      </c>
      <c r="I194" t="str">
        <f ca="1">IF(Table1[[#This Row],[Exit Date]]= "-", "Active", "Exited")</f>
        <v>Active</v>
      </c>
      <c r="J194" s="5">
        <f t="shared" ca="1" si="34"/>
        <v>2340</v>
      </c>
      <c r="K194">
        <f ca="1">Table1[[#This Row],[Offers Made]]*2</f>
        <v>8</v>
      </c>
      <c r="L194">
        <f t="shared" ref="L194:L257" ca="1" si="38">RANDBETWEEN(3, 8)</f>
        <v>4</v>
      </c>
      <c r="M194">
        <f t="shared" ref="M194:M257" ca="1" si="39">RANDBETWEEN(1, L194-1)</f>
        <v>2</v>
      </c>
      <c r="N194" t="str">
        <f t="shared" ref="N194:N257" ca="1" si="40">CHOOSE(RANDBETWEEN(1, 4), "Job Portals", "Campus Placements", "Employee Referrals", "Direct Hiring")</f>
        <v>Direct Hiring</v>
      </c>
      <c r="O194">
        <f t="shared" ref="O194:O257" ca="1" si="41">RANDBETWEEN(1,5)</f>
        <v>2</v>
      </c>
      <c r="P194" t="str">
        <f t="shared" ref="P194:P257" ca="1" si="42">CHOOSE(RANDBETWEEN(1, 2), "Yes", "No")</f>
        <v>Yes</v>
      </c>
      <c r="Q194" t="str" cm="1">
        <f t="array" aca="1" ref="Q194" ca="1">INDEX(sheet2!$C$2:$C$6, RANDBETWEEN(1, 5))</f>
        <v>Conflict Resolution</v>
      </c>
      <c r="R194" t="str">
        <f t="shared" ca="1" si="35"/>
        <v>Not Completed</v>
      </c>
      <c r="S194">
        <f ca="1">Table1[[#This Row],[Hire Date]]-Table1[[#This Row],[Job Posting Date]]</f>
        <v>51</v>
      </c>
    </row>
    <row r="195" spans="1:19" x14ac:dyDescent="0.2">
      <c r="A195" t="str">
        <f t="shared" si="36"/>
        <v>EMP194</v>
      </c>
      <c r="B195" t="str">
        <f t="shared" ca="1" si="37"/>
        <v>Male</v>
      </c>
      <c r="C195" t="str" cm="1">
        <f t="array" aca="1" ref="C195" ca="1">INDEX(sheet2!$A$2:$A$6, RANDBETWEEN(1, 5))</f>
        <v>Analytics</v>
      </c>
      <c r="D195" t="str">
        <f ca="1">_xlfn.XLOOKUP(Table1[[#This Row],[Department]],sheet2!$A$2:$A$6,sheet2!$B$2:$B$6,_xleta.NA,0)</f>
        <v>Data Analyst</v>
      </c>
      <c r="E195" s="1">
        <f t="shared" ca="1" si="33"/>
        <v>44421</v>
      </c>
      <c r="F195" s="1">
        <f ca="1">Table1[[#This Row],[Job Posting Date]]+ RANDBETWEEN(15, 90)</f>
        <v>44442</v>
      </c>
      <c r="G195" s="1">
        <f ca="1">Table1[[#This Row],[Hire Date]]+ RANDBETWEEN(1, 15)</f>
        <v>44450</v>
      </c>
      <c r="H195" s="1" t="str">
        <f ca="1">IF(RAND() &lt; 0.5,  Table1[[#This Row],[Join Date]]+ RANDBETWEEN(30, TODAY()- Table1[[#This Row],[Join Date]]), "-")</f>
        <v>-</v>
      </c>
      <c r="I195" t="str">
        <f ca="1">IF(Table1[[#This Row],[Exit Date]]= "-", "Active", "Exited")</f>
        <v>Active</v>
      </c>
      <c r="J195" s="5">
        <f t="shared" ca="1" si="34"/>
        <v>2424</v>
      </c>
      <c r="K195">
        <f ca="1">Table1[[#This Row],[Offers Made]]*2</f>
        <v>8</v>
      </c>
      <c r="L195">
        <f t="shared" ca="1" si="38"/>
        <v>4</v>
      </c>
      <c r="M195">
        <f t="shared" ca="1" si="39"/>
        <v>1</v>
      </c>
      <c r="N195" t="str">
        <f t="shared" ca="1" si="40"/>
        <v>Job Portals</v>
      </c>
      <c r="O195">
        <f t="shared" ca="1" si="41"/>
        <v>4</v>
      </c>
      <c r="P195" t="str">
        <f t="shared" ca="1" si="42"/>
        <v>Yes</v>
      </c>
      <c r="Q195" t="str" cm="1">
        <f t="array" aca="1" ref="Q195" ca="1">INDEX(sheet2!$C$2:$C$6, RANDBETWEEN(1, 5))</f>
        <v>Ethics and Responsibilities</v>
      </c>
      <c r="R195" t="str">
        <f t="shared" ca="1" si="35"/>
        <v>Completed</v>
      </c>
      <c r="S195">
        <f ca="1">Table1[[#This Row],[Hire Date]]-Table1[[#This Row],[Job Posting Date]]</f>
        <v>21</v>
      </c>
    </row>
    <row r="196" spans="1:19" x14ac:dyDescent="0.2">
      <c r="A196" t="str">
        <f t="shared" si="36"/>
        <v>EMP195</v>
      </c>
      <c r="B196" t="str">
        <f t="shared" ca="1" si="37"/>
        <v>Male</v>
      </c>
      <c r="C196" t="str" cm="1">
        <f t="array" aca="1" ref="C196" ca="1">INDEX(sheet2!$A$2:$A$6, RANDBETWEEN(1, 5))</f>
        <v>Sales</v>
      </c>
      <c r="D196" t="str">
        <f ca="1">_xlfn.XLOOKUP(Table1[[#This Row],[Department]],sheet2!$A$2:$A$6,sheet2!$B$2:$B$6,_xleta.NA,0)</f>
        <v>Marketing Manager</v>
      </c>
      <c r="E196" s="1">
        <f t="shared" ca="1" si="33"/>
        <v>44024</v>
      </c>
      <c r="F196" s="1">
        <f ca="1">Table1[[#This Row],[Job Posting Date]]+ RANDBETWEEN(15, 90)</f>
        <v>44091</v>
      </c>
      <c r="G196" s="1">
        <f ca="1">Table1[[#This Row],[Hire Date]]+ RANDBETWEEN(1, 15)</f>
        <v>44097</v>
      </c>
      <c r="H196" s="1" t="str">
        <f ca="1">IF(RAND() &lt; 0.5,  Table1[[#This Row],[Join Date]]+ RANDBETWEEN(30, TODAY()- Table1[[#This Row],[Join Date]]), "-")</f>
        <v>-</v>
      </c>
      <c r="I196" t="str">
        <f ca="1">IF(Table1[[#This Row],[Exit Date]]= "-", "Active", "Exited")</f>
        <v>Active</v>
      </c>
      <c r="J196" s="5">
        <f t="shared" ca="1" si="34"/>
        <v>3648</v>
      </c>
      <c r="K196">
        <f ca="1">Table1[[#This Row],[Offers Made]]*2</f>
        <v>6</v>
      </c>
      <c r="L196">
        <f t="shared" ca="1" si="38"/>
        <v>3</v>
      </c>
      <c r="M196">
        <f t="shared" ca="1" si="39"/>
        <v>1</v>
      </c>
      <c r="N196" t="str">
        <f t="shared" ca="1" si="40"/>
        <v>Campus Placements</v>
      </c>
      <c r="O196">
        <f t="shared" ca="1" si="41"/>
        <v>5</v>
      </c>
      <c r="P196" t="str">
        <f t="shared" ca="1" si="42"/>
        <v>Yes</v>
      </c>
      <c r="Q196" t="str" cm="1">
        <f t="array" aca="1" ref="Q196" ca="1">INDEX(sheet2!$C$2:$C$6, RANDBETWEEN(1, 5))</f>
        <v>Leadership Development</v>
      </c>
      <c r="R196" t="str">
        <f t="shared" ca="1" si="35"/>
        <v>Completed</v>
      </c>
      <c r="S196">
        <f ca="1">Table1[[#This Row],[Hire Date]]-Table1[[#This Row],[Job Posting Date]]</f>
        <v>67</v>
      </c>
    </row>
    <row r="197" spans="1:19" x14ac:dyDescent="0.2">
      <c r="A197" t="str">
        <f t="shared" si="36"/>
        <v>EMP196</v>
      </c>
      <c r="B197" t="str">
        <f t="shared" ca="1" si="37"/>
        <v>Male</v>
      </c>
      <c r="C197" t="str" cm="1">
        <f t="array" aca="1" ref="C197" ca="1">INDEX(sheet2!$A$2:$A$6, RANDBETWEEN(1, 5))</f>
        <v>Sales</v>
      </c>
      <c r="D197" t="str">
        <f ca="1">_xlfn.XLOOKUP(Table1[[#This Row],[Department]],sheet2!$A$2:$A$6,sheet2!$B$2:$B$6,_xleta.NA,0)</f>
        <v>Marketing Manager</v>
      </c>
      <c r="E197" s="1">
        <f t="shared" ca="1" si="33"/>
        <v>43363</v>
      </c>
      <c r="F197" s="1">
        <f ca="1">Table1[[#This Row],[Job Posting Date]]+ RANDBETWEEN(15, 90)</f>
        <v>43411</v>
      </c>
      <c r="G197" s="1">
        <f ca="1">Table1[[#This Row],[Hire Date]]+ RANDBETWEEN(1, 15)</f>
        <v>43416</v>
      </c>
      <c r="H197" s="1">
        <f ca="1">IF(RAND() &lt; 0.5,  Table1[[#This Row],[Join Date]]+ RANDBETWEEN(30, TODAY()- Table1[[#This Row],[Join Date]]), "-")</f>
        <v>44610</v>
      </c>
      <c r="I197" t="str">
        <f ca="1">IF(Table1[[#This Row],[Exit Date]]= "-", "Active", "Exited")</f>
        <v>Exited</v>
      </c>
      <c r="J197" s="5">
        <f t="shared" ca="1" si="34"/>
        <v>1910</v>
      </c>
      <c r="K197">
        <f ca="1">Table1[[#This Row],[Offers Made]]*2</f>
        <v>6</v>
      </c>
      <c r="L197">
        <f t="shared" ca="1" si="38"/>
        <v>3</v>
      </c>
      <c r="M197">
        <f t="shared" ca="1" si="39"/>
        <v>2</v>
      </c>
      <c r="N197" t="str">
        <f t="shared" ca="1" si="40"/>
        <v>Direct Hiring</v>
      </c>
      <c r="O197">
        <f t="shared" ca="1" si="41"/>
        <v>2</v>
      </c>
      <c r="P197" t="str">
        <f t="shared" ca="1" si="42"/>
        <v>Yes</v>
      </c>
      <c r="Q197" t="str" cm="1">
        <f t="array" aca="1" ref="Q197" ca="1">INDEX(sheet2!$C$2:$C$6, RANDBETWEEN(1, 5))</f>
        <v>Ethics and Responsibilities</v>
      </c>
      <c r="R197" t="str">
        <f t="shared" ca="1" si="35"/>
        <v>Not Completed</v>
      </c>
      <c r="S197">
        <f ca="1">Table1[[#This Row],[Hire Date]]-Table1[[#This Row],[Job Posting Date]]</f>
        <v>48</v>
      </c>
    </row>
    <row r="198" spans="1:19" x14ac:dyDescent="0.2">
      <c r="A198" t="str">
        <f t="shared" si="36"/>
        <v>EMP197</v>
      </c>
      <c r="B198" t="str">
        <f t="shared" ca="1" si="37"/>
        <v>Male</v>
      </c>
      <c r="C198" t="str" cm="1">
        <f t="array" aca="1" ref="C198" ca="1">INDEX(sheet2!$A$2:$A$6, RANDBETWEEN(1, 5))</f>
        <v>Finance</v>
      </c>
      <c r="D198" t="str">
        <f ca="1">_xlfn.XLOOKUP(Table1[[#This Row],[Department]],sheet2!$A$2:$A$6,sheet2!$B$2:$B$6,_xleta.NA,0)</f>
        <v>Finance Manager</v>
      </c>
      <c r="E198" s="1">
        <f t="shared" ca="1" si="33"/>
        <v>43407</v>
      </c>
      <c r="F198" s="1">
        <f ca="1">Table1[[#This Row],[Job Posting Date]]+ RANDBETWEEN(15, 90)</f>
        <v>43490</v>
      </c>
      <c r="G198" s="1">
        <f ca="1">Table1[[#This Row],[Hire Date]]+ RANDBETWEEN(1, 15)</f>
        <v>43497</v>
      </c>
      <c r="H198" s="1">
        <f ca="1">IF(RAND() &lt; 0.5,  Table1[[#This Row],[Join Date]]+ RANDBETWEEN(30, TODAY()- Table1[[#This Row],[Join Date]]), "-")</f>
        <v>44735</v>
      </c>
      <c r="I198" t="str">
        <f ca="1">IF(Table1[[#This Row],[Exit Date]]= "-", "Active", "Exited")</f>
        <v>Exited</v>
      </c>
      <c r="J198" s="5">
        <f t="shared" ca="1" si="34"/>
        <v>2946</v>
      </c>
      <c r="K198">
        <f ca="1">Table1[[#This Row],[Offers Made]]*2</f>
        <v>12</v>
      </c>
      <c r="L198">
        <f t="shared" ca="1" si="38"/>
        <v>6</v>
      </c>
      <c r="M198">
        <f t="shared" ca="1" si="39"/>
        <v>5</v>
      </c>
      <c r="N198" t="str">
        <f t="shared" ca="1" si="40"/>
        <v>Direct Hiring</v>
      </c>
      <c r="O198">
        <f t="shared" ca="1" si="41"/>
        <v>5</v>
      </c>
      <c r="P198" t="str">
        <f t="shared" ca="1" si="42"/>
        <v>No</v>
      </c>
      <c r="Q198" t="str" cm="1">
        <f t="array" aca="1" ref="Q198" ca="1">INDEX(sheet2!$C$2:$C$6, RANDBETWEEN(1, 5))</f>
        <v>Leadership Development</v>
      </c>
      <c r="R198" t="str">
        <f t="shared" ca="1" si="35"/>
        <v>Completed</v>
      </c>
      <c r="S198">
        <f ca="1">Table1[[#This Row],[Hire Date]]-Table1[[#This Row],[Job Posting Date]]</f>
        <v>83</v>
      </c>
    </row>
    <row r="199" spans="1:19" x14ac:dyDescent="0.2">
      <c r="A199" t="str">
        <f t="shared" si="36"/>
        <v>EMP198</v>
      </c>
      <c r="B199" t="str">
        <f t="shared" ca="1" si="37"/>
        <v>Female</v>
      </c>
      <c r="C199" t="str" cm="1">
        <f t="array" aca="1" ref="C199" ca="1">INDEX(sheet2!$A$2:$A$6, RANDBETWEEN(1, 5))</f>
        <v>Sales</v>
      </c>
      <c r="D199" t="str">
        <f ca="1">_xlfn.XLOOKUP(Table1[[#This Row],[Department]],sheet2!$A$2:$A$6,sheet2!$B$2:$B$6,_xleta.NA,0)</f>
        <v>Marketing Manager</v>
      </c>
      <c r="E199" s="1">
        <f t="shared" ca="1" si="33"/>
        <v>44470</v>
      </c>
      <c r="F199" s="1">
        <f ca="1">Table1[[#This Row],[Job Posting Date]]+ RANDBETWEEN(15, 90)</f>
        <v>44560</v>
      </c>
      <c r="G199" s="1">
        <f ca="1">Table1[[#This Row],[Hire Date]]+ RANDBETWEEN(1, 15)</f>
        <v>44565</v>
      </c>
      <c r="H199" s="1" t="str">
        <f ca="1">IF(RAND() &lt; 0.5,  Table1[[#This Row],[Join Date]]+ RANDBETWEEN(30, TODAY()- Table1[[#This Row],[Join Date]]), "-")</f>
        <v>-</v>
      </c>
      <c r="I199" t="str">
        <f ca="1">IF(Table1[[#This Row],[Exit Date]]= "-", "Active", "Exited")</f>
        <v>Active</v>
      </c>
      <c r="J199" s="5">
        <f t="shared" ca="1" si="34"/>
        <v>1624</v>
      </c>
      <c r="K199">
        <f ca="1">Table1[[#This Row],[Offers Made]]*2</f>
        <v>14</v>
      </c>
      <c r="L199">
        <f t="shared" ca="1" si="38"/>
        <v>7</v>
      </c>
      <c r="M199">
        <f t="shared" ca="1" si="39"/>
        <v>5</v>
      </c>
      <c r="N199" t="str">
        <f t="shared" ca="1" si="40"/>
        <v>Employee Referrals</v>
      </c>
      <c r="O199">
        <f t="shared" ca="1" si="41"/>
        <v>4</v>
      </c>
      <c r="P199" t="str">
        <f t="shared" ca="1" si="42"/>
        <v>No</v>
      </c>
      <c r="Q199" t="str" cm="1">
        <f t="array" aca="1" ref="Q199" ca="1">INDEX(sheet2!$C$2:$C$6, RANDBETWEEN(1, 5))</f>
        <v>Ethics and Responsibilities</v>
      </c>
      <c r="R199" t="str">
        <f t="shared" ca="1" si="35"/>
        <v>Completed</v>
      </c>
      <c r="S199">
        <f ca="1">Table1[[#This Row],[Hire Date]]-Table1[[#This Row],[Job Posting Date]]</f>
        <v>90</v>
      </c>
    </row>
    <row r="200" spans="1:19" x14ac:dyDescent="0.2">
      <c r="A200" t="str">
        <f t="shared" si="36"/>
        <v>EMP199</v>
      </c>
      <c r="B200" t="str">
        <f t="shared" ca="1" si="37"/>
        <v>Female</v>
      </c>
      <c r="C200" t="str" cm="1">
        <f t="array" aca="1" ref="C200" ca="1">INDEX(sheet2!$A$2:$A$6, RANDBETWEEN(1, 5))</f>
        <v>IT</v>
      </c>
      <c r="D200" t="str">
        <f ca="1">_xlfn.XLOOKUP(Table1[[#This Row],[Department]],sheet2!$A$2:$A$6,sheet2!$B$2:$B$6,_xleta.NA,0)</f>
        <v>Software Engineer</v>
      </c>
      <c r="E200" s="1">
        <f t="shared" ca="1" si="33"/>
        <v>44876</v>
      </c>
      <c r="F200" s="1">
        <f ca="1">Table1[[#This Row],[Job Posting Date]]+ RANDBETWEEN(15, 90)</f>
        <v>44956</v>
      </c>
      <c r="G200" s="1">
        <f ca="1">Table1[[#This Row],[Hire Date]]+ RANDBETWEEN(1, 15)</f>
        <v>44963</v>
      </c>
      <c r="H200" s="1">
        <f ca="1">IF(RAND() &lt; 0.5,  Table1[[#This Row],[Join Date]]+ RANDBETWEEN(30, TODAY()- Table1[[#This Row],[Join Date]]), "-")</f>
        <v>45145</v>
      </c>
      <c r="I200" t="str">
        <f ca="1">IF(Table1[[#This Row],[Exit Date]]= "-", "Active", "Exited")</f>
        <v>Exited</v>
      </c>
      <c r="J200" s="5">
        <f t="shared" ca="1" si="34"/>
        <v>3576</v>
      </c>
      <c r="K200">
        <f ca="1">Table1[[#This Row],[Offers Made]]*2</f>
        <v>6</v>
      </c>
      <c r="L200">
        <f t="shared" ca="1" si="38"/>
        <v>3</v>
      </c>
      <c r="M200">
        <f t="shared" ca="1" si="39"/>
        <v>1</v>
      </c>
      <c r="N200" t="str">
        <f t="shared" ca="1" si="40"/>
        <v>Campus Placements</v>
      </c>
      <c r="O200">
        <f t="shared" ca="1" si="41"/>
        <v>2</v>
      </c>
      <c r="P200" t="str">
        <f t="shared" ca="1" si="42"/>
        <v>Yes</v>
      </c>
      <c r="Q200" t="str" cm="1">
        <f t="array" aca="1" ref="Q200" ca="1">INDEX(sheet2!$C$2:$C$6, RANDBETWEEN(1, 5))</f>
        <v>Conflict Resolution</v>
      </c>
      <c r="R200" t="str">
        <f t="shared" ca="1" si="35"/>
        <v>Completed</v>
      </c>
      <c r="S200">
        <f ca="1">Table1[[#This Row],[Hire Date]]-Table1[[#This Row],[Job Posting Date]]</f>
        <v>80</v>
      </c>
    </row>
    <row r="201" spans="1:19" x14ac:dyDescent="0.2">
      <c r="A201" t="str">
        <f t="shared" si="36"/>
        <v>EMP200</v>
      </c>
      <c r="B201" t="str">
        <f t="shared" ca="1" si="37"/>
        <v>Female</v>
      </c>
      <c r="C201" t="str" cm="1">
        <f t="array" aca="1" ref="C201" ca="1">INDEX(sheet2!$A$2:$A$6, RANDBETWEEN(1, 5))</f>
        <v>Finance</v>
      </c>
      <c r="D201" t="str">
        <f ca="1">_xlfn.XLOOKUP(Table1[[#This Row],[Department]],sheet2!$A$2:$A$6,sheet2!$B$2:$B$6,_xleta.NA,0)</f>
        <v>Finance Manager</v>
      </c>
      <c r="E201" s="1">
        <f t="shared" ca="1" si="33"/>
        <v>43563</v>
      </c>
      <c r="F201" s="1">
        <f ca="1">Table1[[#This Row],[Job Posting Date]]+ RANDBETWEEN(15, 90)</f>
        <v>43599</v>
      </c>
      <c r="G201" s="1">
        <f ca="1">Table1[[#This Row],[Hire Date]]+ RANDBETWEEN(1, 15)</f>
        <v>43610</v>
      </c>
      <c r="H201" s="1" t="str">
        <f ca="1">IF(RAND() &lt; 0.5,  Table1[[#This Row],[Join Date]]+ RANDBETWEEN(30, TODAY()- Table1[[#This Row],[Join Date]]), "-")</f>
        <v>-</v>
      </c>
      <c r="I201" t="str">
        <f ca="1">IF(Table1[[#This Row],[Exit Date]]= "-", "Active", "Exited")</f>
        <v>Active</v>
      </c>
      <c r="J201" s="5">
        <f t="shared" ca="1" si="34"/>
        <v>2383</v>
      </c>
      <c r="K201">
        <f ca="1">Table1[[#This Row],[Offers Made]]*2</f>
        <v>8</v>
      </c>
      <c r="L201">
        <f t="shared" ca="1" si="38"/>
        <v>4</v>
      </c>
      <c r="M201">
        <f t="shared" ca="1" si="39"/>
        <v>3</v>
      </c>
      <c r="N201" t="str">
        <f t="shared" ca="1" si="40"/>
        <v>Employee Referrals</v>
      </c>
      <c r="O201">
        <f t="shared" ca="1" si="41"/>
        <v>4</v>
      </c>
      <c r="P201" t="str">
        <f t="shared" ca="1" si="42"/>
        <v>Yes</v>
      </c>
      <c r="Q201" t="str" cm="1">
        <f t="array" aca="1" ref="Q201" ca="1">INDEX(sheet2!$C$2:$C$6, RANDBETWEEN(1, 5))</f>
        <v>Conflict Resolution</v>
      </c>
      <c r="R201" t="str">
        <f t="shared" ca="1" si="35"/>
        <v>Completed</v>
      </c>
      <c r="S201">
        <f ca="1">Table1[[#This Row],[Hire Date]]-Table1[[#This Row],[Job Posting Date]]</f>
        <v>36</v>
      </c>
    </row>
    <row r="202" spans="1:19" x14ac:dyDescent="0.2">
      <c r="A202" t="str">
        <f t="shared" si="36"/>
        <v>EMP201</v>
      </c>
      <c r="B202" t="str">
        <f t="shared" ca="1" si="37"/>
        <v>Female</v>
      </c>
      <c r="C202" t="str" cm="1">
        <f t="array" aca="1" ref="C202" ca="1">INDEX(sheet2!$A$2:$A$6, RANDBETWEEN(1, 5))</f>
        <v>IT</v>
      </c>
      <c r="D202" t="str">
        <f ca="1">_xlfn.XLOOKUP(Table1[[#This Row],[Department]],sheet2!$A$2:$A$6,sheet2!$B$2:$B$6,_xleta.NA,0)</f>
        <v>Software Engineer</v>
      </c>
      <c r="E202" s="1">
        <f t="shared" ca="1" si="33"/>
        <v>44463</v>
      </c>
      <c r="F202" s="1">
        <f ca="1">Table1[[#This Row],[Job Posting Date]]+ RANDBETWEEN(15, 90)</f>
        <v>44531</v>
      </c>
      <c r="G202" s="1">
        <f ca="1">Table1[[#This Row],[Hire Date]]+ RANDBETWEEN(1, 15)</f>
        <v>44541</v>
      </c>
      <c r="H202" s="1" t="str">
        <f ca="1">IF(RAND() &lt; 0.5,  Table1[[#This Row],[Join Date]]+ RANDBETWEEN(30, TODAY()- Table1[[#This Row],[Join Date]]), "-")</f>
        <v>-</v>
      </c>
      <c r="I202" t="str">
        <f ca="1">IF(Table1[[#This Row],[Exit Date]]= "-", "Active", "Exited")</f>
        <v>Active</v>
      </c>
      <c r="J202" s="5">
        <f t="shared" ca="1" si="34"/>
        <v>1945</v>
      </c>
      <c r="K202">
        <f ca="1">Table1[[#This Row],[Offers Made]]*2</f>
        <v>10</v>
      </c>
      <c r="L202">
        <f t="shared" ca="1" si="38"/>
        <v>5</v>
      </c>
      <c r="M202">
        <f t="shared" ca="1" si="39"/>
        <v>4</v>
      </c>
      <c r="N202" t="str">
        <f t="shared" ca="1" si="40"/>
        <v>Job Portals</v>
      </c>
      <c r="O202">
        <f t="shared" ca="1" si="41"/>
        <v>3</v>
      </c>
      <c r="P202" t="str">
        <f t="shared" ca="1" si="42"/>
        <v>Yes</v>
      </c>
      <c r="Q202" t="str" cm="1">
        <f t="array" aca="1" ref="Q202" ca="1">INDEX(sheet2!$C$2:$C$6, RANDBETWEEN(1, 5))</f>
        <v>Leadership Development</v>
      </c>
      <c r="R202" t="str">
        <f t="shared" ca="1" si="35"/>
        <v>Completed</v>
      </c>
      <c r="S202">
        <f ca="1">Table1[[#This Row],[Hire Date]]-Table1[[#This Row],[Job Posting Date]]</f>
        <v>68</v>
      </c>
    </row>
    <row r="203" spans="1:19" x14ac:dyDescent="0.2">
      <c r="A203" t="str">
        <f t="shared" si="36"/>
        <v>EMP202</v>
      </c>
      <c r="B203" t="str">
        <f t="shared" ca="1" si="37"/>
        <v>Female</v>
      </c>
      <c r="C203" t="str" cm="1">
        <f t="array" aca="1" ref="C203" ca="1">INDEX(sheet2!$A$2:$A$6, RANDBETWEEN(1, 5))</f>
        <v>Finance</v>
      </c>
      <c r="D203" t="str">
        <f ca="1">_xlfn.XLOOKUP(Table1[[#This Row],[Department]],sheet2!$A$2:$A$6,sheet2!$B$2:$B$6,_xleta.NA,0)</f>
        <v>Finance Manager</v>
      </c>
      <c r="E203" s="1">
        <f t="shared" ca="1" si="33"/>
        <v>44433</v>
      </c>
      <c r="F203" s="1">
        <f ca="1">Table1[[#This Row],[Job Posting Date]]+ RANDBETWEEN(15, 90)</f>
        <v>44517</v>
      </c>
      <c r="G203" s="1">
        <f ca="1">Table1[[#This Row],[Hire Date]]+ RANDBETWEEN(1, 15)</f>
        <v>44532</v>
      </c>
      <c r="H203" s="1" t="str">
        <f ca="1">IF(RAND() &lt; 0.5,  Table1[[#This Row],[Join Date]]+ RANDBETWEEN(30, TODAY()- Table1[[#This Row],[Join Date]]), "-")</f>
        <v>-</v>
      </c>
      <c r="I203" t="str">
        <f ca="1">IF(Table1[[#This Row],[Exit Date]]= "-", "Active", "Exited")</f>
        <v>Active</v>
      </c>
      <c r="J203" s="5">
        <f t="shared" ca="1" si="34"/>
        <v>3860</v>
      </c>
      <c r="K203">
        <f ca="1">Table1[[#This Row],[Offers Made]]*2</f>
        <v>6</v>
      </c>
      <c r="L203">
        <f t="shared" ca="1" si="38"/>
        <v>3</v>
      </c>
      <c r="M203">
        <f t="shared" ca="1" si="39"/>
        <v>1</v>
      </c>
      <c r="N203" t="str">
        <f t="shared" ca="1" si="40"/>
        <v>Job Portals</v>
      </c>
      <c r="O203">
        <f t="shared" ca="1" si="41"/>
        <v>2</v>
      </c>
      <c r="P203" t="str">
        <f t="shared" ca="1" si="42"/>
        <v>No</v>
      </c>
      <c r="Q203" t="str" cm="1">
        <f t="array" aca="1" ref="Q203" ca="1">INDEX(sheet2!$C$2:$C$6, RANDBETWEEN(1, 5))</f>
        <v>Conflict Resolution</v>
      </c>
      <c r="R203" t="str">
        <f t="shared" ca="1" si="35"/>
        <v>Completed</v>
      </c>
      <c r="S203">
        <f ca="1">Table1[[#This Row],[Hire Date]]-Table1[[#This Row],[Job Posting Date]]</f>
        <v>84</v>
      </c>
    </row>
    <row r="204" spans="1:19" x14ac:dyDescent="0.2">
      <c r="A204" t="str">
        <f t="shared" si="36"/>
        <v>EMP203</v>
      </c>
      <c r="B204" t="str">
        <f t="shared" ca="1" si="37"/>
        <v>Male</v>
      </c>
      <c r="C204" t="str" cm="1">
        <f t="array" aca="1" ref="C204" ca="1">INDEX(sheet2!$A$2:$A$6, RANDBETWEEN(1, 5))</f>
        <v>Analytics</v>
      </c>
      <c r="D204" t="str">
        <f ca="1">_xlfn.XLOOKUP(Table1[[#This Row],[Department]],sheet2!$A$2:$A$6,sheet2!$B$2:$B$6,_xleta.NA,0)</f>
        <v>Data Analyst</v>
      </c>
      <c r="E204" s="1">
        <f t="shared" ca="1" si="33"/>
        <v>44707</v>
      </c>
      <c r="F204" s="1">
        <f ca="1">Table1[[#This Row],[Job Posting Date]]+ RANDBETWEEN(15, 90)</f>
        <v>44767</v>
      </c>
      <c r="G204" s="1">
        <f ca="1">Table1[[#This Row],[Hire Date]]+ RANDBETWEEN(1, 15)</f>
        <v>44780</v>
      </c>
      <c r="H204" s="1" t="str">
        <f ca="1">IF(RAND() &lt; 0.5,  Table1[[#This Row],[Join Date]]+ RANDBETWEEN(30, TODAY()- Table1[[#This Row],[Join Date]]), "-")</f>
        <v>-</v>
      </c>
      <c r="I204" t="str">
        <f ca="1">IF(Table1[[#This Row],[Exit Date]]= "-", "Active", "Exited")</f>
        <v>Active</v>
      </c>
      <c r="J204" s="5">
        <f t="shared" ca="1" si="34"/>
        <v>1873</v>
      </c>
      <c r="K204">
        <f ca="1">Table1[[#This Row],[Offers Made]]*2</f>
        <v>6</v>
      </c>
      <c r="L204">
        <f t="shared" ca="1" si="38"/>
        <v>3</v>
      </c>
      <c r="M204">
        <f t="shared" ca="1" si="39"/>
        <v>2</v>
      </c>
      <c r="N204" t="str">
        <f t="shared" ca="1" si="40"/>
        <v>Employee Referrals</v>
      </c>
      <c r="O204">
        <f t="shared" ca="1" si="41"/>
        <v>3</v>
      </c>
      <c r="P204" t="str">
        <f t="shared" ca="1" si="42"/>
        <v>No</v>
      </c>
      <c r="Q204" t="str" cm="1">
        <f t="array" aca="1" ref="Q204" ca="1">INDEX(sheet2!$C$2:$C$6, RANDBETWEEN(1, 5))</f>
        <v>Ethics and Responsibilities</v>
      </c>
      <c r="R204" t="str">
        <f t="shared" ca="1" si="35"/>
        <v>Completed</v>
      </c>
      <c r="S204">
        <f ca="1">Table1[[#This Row],[Hire Date]]-Table1[[#This Row],[Job Posting Date]]</f>
        <v>60</v>
      </c>
    </row>
    <row r="205" spans="1:19" x14ac:dyDescent="0.2">
      <c r="A205" t="str">
        <f t="shared" si="36"/>
        <v>EMP204</v>
      </c>
      <c r="B205" t="str">
        <f t="shared" ca="1" si="37"/>
        <v>Female</v>
      </c>
      <c r="C205" t="str" cm="1">
        <f t="array" aca="1" ref="C205" ca="1">INDEX(sheet2!$A$2:$A$6, RANDBETWEEN(1, 5))</f>
        <v>HR</v>
      </c>
      <c r="D205" t="str">
        <f ca="1">_xlfn.XLOOKUP(Table1[[#This Row],[Department]],sheet2!$A$2:$A$6,sheet2!$B$2:$B$6,_xleta.NA,0)</f>
        <v>HR Manager</v>
      </c>
      <c r="E205" s="1">
        <f t="shared" ca="1" si="33"/>
        <v>44701</v>
      </c>
      <c r="F205" s="1">
        <f ca="1">Table1[[#This Row],[Job Posting Date]]+ RANDBETWEEN(15, 90)</f>
        <v>44757</v>
      </c>
      <c r="G205" s="1">
        <f ca="1">Table1[[#This Row],[Hire Date]]+ RANDBETWEEN(1, 15)</f>
        <v>44764</v>
      </c>
      <c r="H205" s="1" t="str">
        <f ca="1">IF(RAND() &lt; 0.5,  Table1[[#This Row],[Join Date]]+ RANDBETWEEN(30, TODAY()- Table1[[#This Row],[Join Date]]), "-")</f>
        <v>-</v>
      </c>
      <c r="I205" t="str">
        <f ca="1">IF(Table1[[#This Row],[Exit Date]]= "-", "Active", "Exited")</f>
        <v>Active</v>
      </c>
      <c r="J205" s="5">
        <f t="shared" ca="1" si="34"/>
        <v>4506</v>
      </c>
      <c r="K205">
        <f ca="1">Table1[[#This Row],[Offers Made]]*2</f>
        <v>16</v>
      </c>
      <c r="L205">
        <f t="shared" ca="1" si="38"/>
        <v>8</v>
      </c>
      <c r="M205">
        <f t="shared" ca="1" si="39"/>
        <v>5</v>
      </c>
      <c r="N205" t="str">
        <f t="shared" ca="1" si="40"/>
        <v>Employee Referrals</v>
      </c>
      <c r="O205">
        <f t="shared" ca="1" si="41"/>
        <v>3</v>
      </c>
      <c r="P205" t="str">
        <f t="shared" ca="1" si="42"/>
        <v>No</v>
      </c>
      <c r="Q205" t="str" cm="1">
        <f t="array" aca="1" ref="Q205" ca="1">INDEX(sheet2!$C$2:$C$6, RANDBETWEEN(1, 5))</f>
        <v>Ethics and Responsibilities</v>
      </c>
      <c r="R205" t="str">
        <f t="shared" ca="1" si="35"/>
        <v>Not Completed</v>
      </c>
      <c r="S205">
        <f ca="1">Table1[[#This Row],[Hire Date]]-Table1[[#This Row],[Job Posting Date]]</f>
        <v>56</v>
      </c>
    </row>
    <row r="206" spans="1:19" x14ac:dyDescent="0.2">
      <c r="A206" t="str">
        <f t="shared" si="36"/>
        <v>EMP205</v>
      </c>
      <c r="B206" t="str">
        <f t="shared" ca="1" si="37"/>
        <v>Male</v>
      </c>
      <c r="C206" t="str" cm="1">
        <f t="array" aca="1" ref="C206" ca="1">INDEX(sheet2!$A$2:$A$6, RANDBETWEEN(1, 5))</f>
        <v>HR</v>
      </c>
      <c r="D206" t="str">
        <f ca="1">_xlfn.XLOOKUP(Table1[[#This Row],[Department]],sheet2!$A$2:$A$6,sheet2!$B$2:$B$6,_xleta.NA,0)</f>
        <v>HR Manager</v>
      </c>
      <c r="E206" s="1">
        <f t="shared" ca="1" si="33"/>
        <v>44683</v>
      </c>
      <c r="F206" s="1">
        <f ca="1">Table1[[#This Row],[Job Posting Date]]+ RANDBETWEEN(15, 90)</f>
        <v>44708</v>
      </c>
      <c r="G206" s="1">
        <f ca="1">Table1[[#This Row],[Hire Date]]+ RANDBETWEEN(1, 15)</f>
        <v>44711</v>
      </c>
      <c r="H206" s="1">
        <f ca="1">IF(RAND() &lt; 0.5,  Table1[[#This Row],[Join Date]]+ RANDBETWEEN(30, TODAY()- Table1[[#This Row],[Join Date]]), "-")</f>
        <v>44799</v>
      </c>
      <c r="I206" t="str">
        <f ca="1">IF(Table1[[#This Row],[Exit Date]]= "-", "Active", "Exited")</f>
        <v>Exited</v>
      </c>
      <c r="J206" s="5">
        <f t="shared" ca="1" si="34"/>
        <v>1829</v>
      </c>
      <c r="K206">
        <f ca="1">Table1[[#This Row],[Offers Made]]*2</f>
        <v>10</v>
      </c>
      <c r="L206">
        <f t="shared" ca="1" si="38"/>
        <v>5</v>
      </c>
      <c r="M206">
        <f t="shared" ca="1" si="39"/>
        <v>4</v>
      </c>
      <c r="N206" t="str">
        <f t="shared" ca="1" si="40"/>
        <v>Employee Referrals</v>
      </c>
      <c r="O206">
        <f t="shared" ca="1" si="41"/>
        <v>5</v>
      </c>
      <c r="P206" t="str">
        <f t="shared" ca="1" si="42"/>
        <v>No</v>
      </c>
      <c r="Q206" t="str" cm="1">
        <f t="array" aca="1" ref="Q206" ca="1">INDEX(sheet2!$C$2:$C$6, RANDBETWEEN(1, 5))</f>
        <v>Communication Skills</v>
      </c>
      <c r="R206" t="str">
        <f t="shared" ca="1" si="35"/>
        <v>Completed</v>
      </c>
      <c r="S206">
        <f ca="1">Table1[[#This Row],[Hire Date]]-Table1[[#This Row],[Job Posting Date]]</f>
        <v>25</v>
      </c>
    </row>
    <row r="207" spans="1:19" x14ac:dyDescent="0.2">
      <c r="A207" t="str">
        <f t="shared" si="36"/>
        <v>EMP206</v>
      </c>
      <c r="B207" t="str">
        <f t="shared" ca="1" si="37"/>
        <v>Male</v>
      </c>
      <c r="C207" t="str" cm="1">
        <f t="array" aca="1" ref="C207" ca="1">INDEX(sheet2!$A$2:$A$6, RANDBETWEEN(1, 5))</f>
        <v>HR</v>
      </c>
      <c r="D207" t="str">
        <f ca="1">_xlfn.XLOOKUP(Table1[[#This Row],[Department]],sheet2!$A$2:$A$6,sheet2!$B$2:$B$6,_xleta.NA,0)</f>
        <v>HR Manager</v>
      </c>
      <c r="E207" s="1">
        <f t="shared" ca="1" si="33"/>
        <v>43504</v>
      </c>
      <c r="F207" s="1">
        <f ca="1">Table1[[#This Row],[Job Posting Date]]+ RANDBETWEEN(15, 90)</f>
        <v>43584</v>
      </c>
      <c r="G207" s="1">
        <f ca="1">Table1[[#This Row],[Hire Date]]+ RANDBETWEEN(1, 15)</f>
        <v>43586</v>
      </c>
      <c r="H207" s="1">
        <f ca="1">IF(RAND() &lt; 0.5,  Table1[[#This Row],[Join Date]]+ RANDBETWEEN(30, TODAY()- Table1[[#This Row],[Join Date]]), "-")</f>
        <v>44108</v>
      </c>
      <c r="I207" t="str">
        <f ca="1">IF(Table1[[#This Row],[Exit Date]]= "-", "Active", "Exited")</f>
        <v>Exited</v>
      </c>
      <c r="J207" s="5">
        <f t="shared" ca="1" si="34"/>
        <v>3097</v>
      </c>
      <c r="K207">
        <f ca="1">Table1[[#This Row],[Offers Made]]*2</f>
        <v>12</v>
      </c>
      <c r="L207">
        <f t="shared" ca="1" si="38"/>
        <v>6</v>
      </c>
      <c r="M207">
        <f t="shared" ca="1" si="39"/>
        <v>1</v>
      </c>
      <c r="N207" t="str">
        <f t="shared" ca="1" si="40"/>
        <v>Employee Referrals</v>
      </c>
      <c r="O207">
        <f t="shared" ca="1" si="41"/>
        <v>3</v>
      </c>
      <c r="P207" t="str">
        <f t="shared" ca="1" si="42"/>
        <v>Yes</v>
      </c>
      <c r="Q207" t="str" cm="1">
        <f t="array" aca="1" ref="Q207" ca="1">INDEX(sheet2!$C$2:$C$6, RANDBETWEEN(1, 5))</f>
        <v>Communication Skills</v>
      </c>
      <c r="R207" t="str">
        <f t="shared" ca="1" si="35"/>
        <v>Not Completed</v>
      </c>
      <c r="S207">
        <f ca="1">Table1[[#This Row],[Hire Date]]-Table1[[#This Row],[Job Posting Date]]</f>
        <v>80</v>
      </c>
    </row>
    <row r="208" spans="1:19" x14ac:dyDescent="0.2">
      <c r="A208" t="str">
        <f t="shared" si="36"/>
        <v>EMP207</v>
      </c>
      <c r="B208" t="str">
        <f t="shared" ca="1" si="37"/>
        <v>Male</v>
      </c>
      <c r="C208" t="str" cm="1">
        <f t="array" aca="1" ref="C208" ca="1">INDEX(sheet2!$A$2:$A$6, RANDBETWEEN(1, 5))</f>
        <v>HR</v>
      </c>
      <c r="D208" t="str">
        <f ca="1">_xlfn.XLOOKUP(Table1[[#This Row],[Department]],sheet2!$A$2:$A$6,sheet2!$B$2:$B$6,_xleta.NA,0)</f>
        <v>HR Manager</v>
      </c>
      <c r="E208" s="1">
        <f t="shared" ca="1" si="33"/>
        <v>43221</v>
      </c>
      <c r="F208" s="1">
        <f ca="1">Table1[[#This Row],[Job Posting Date]]+ RANDBETWEEN(15, 90)</f>
        <v>43304</v>
      </c>
      <c r="G208" s="1">
        <f ca="1">Table1[[#This Row],[Hire Date]]+ RANDBETWEEN(1, 15)</f>
        <v>43319</v>
      </c>
      <c r="H208" s="1" t="str">
        <f ca="1">IF(RAND() &lt; 0.5,  Table1[[#This Row],[Join Date]]+ RANDBETWEEN(30, TODAY()- Table1[[#This Row],[Join Date]]), "-")</f>
        <v>-</v>
      </c>
      <c r="I208" t="str">
        <f ca="1">IF(Table1[[#This Row],[Exit Date]]= "-", "Active", "Exited")</f>
        <v>Active</v>
      </c>
      <c r="J208" s="5">
        <f t="shared" ca="1" si="34"/>
        <v>2677</v>
      </c>
      <c r="K208">
        <f ca="1">Table1[[#This Row],[Offers Made]]*2</f>
        <v>14</v>
      </c>
      <c r="L208">
        <f t="shared" ca="1" si="38"/>
        <v>7</v>
      </c>
      <c r="M208">
        <f t="shared" ca="1" si="39"/>
        <v>1</v>
      </c>
      <c r="N208" t="str">
        <f t="shared" ca="1" si="40"/>
        <v>Employee Referrals</v>
      </c>
      <c r="O208">
        <f t="shared" ca="1" si="41"/>
        <v>5</v>
      </c>
      <c r="P208" t="str">
        <f t="shared" ca="1" si="42"/>
        <v>No</v>
      </c>
      <c r="Q208" t="str" cm="1">
        <f t="array" aca="1" ref="Q208" ca="1">INDEX(sheet2!$C$2:$C$6, RANDBETWEEN(1, 5))</f>
        <v>Leadership Development</v>
      </c>
      <c r="R208" t="str">
        <f t="shared" ca="1" si="35"/>
        <v>Not Completed</v>
      </c>
      <c r="S208">
        <f ca="1">Table1[[#This Row],[Hire Date]]-Table1[[#This Row],[Job Posting Date]]</f>
        <v>83</v>
      </c>
    </row>
    <row r="209" spans="1:19" x14ac:dyDescent="0.2">
      <c r="A209" t="str">
        <f t="shared" si="36"/>
        <v>EMP208</v>
      </c>
      <c r="B209" t="str">
        <f t="shared" ca="1" si="37"/>
        <v>Male</v>
      </c>
      <c r="C209" t="str" cm="1">
        <f t="array" aca="1" ref="C209" ca="1">INDEX(sheet2!$A$2:$A$6, RANDBETWEEN(1, 5))</f>
        <v>Finance</v>
      </c>
      <c r="D209" t="str">
        <f ca="1">_xlfn.XLOOKUP(Table1[[#This Row],[Department]],sheet2!$A$2:$A$6,sheet2!$B$2:$B$6,_xleta.NA,0)</f>
        <v>Finance Manager</v>
      </c>
      <c r="E209" s="1">
        <f t="shared" ca="1" si="33"/>
        <v>44174</v>
      </c>
      <c r="F209" s="1">
        <f ca="1">Table1[[#This Row],[Job Posting Date]]+ RANDBETWEEN(15, 90)</f>
        <v>44254</v>
      </c>
      <c r="G209" s="1">
        <f ca="1">Table1[[#This Row],[Hire Date]]+ RANDBETWEEN(1, 15)</f>
        <v>44258</v>
      </c>
      <c r="H209" s="1" t="str">
        <f ca="1">IF(RAND() &lt; 0.5,  Table1[[#This Row],[Join Date]]+ RANDBETWEEN(30, TODAY()- Table1[[#This Row],[Join Date]]), "-")</f>
        <v>-</v>
      </c>
      <c r="I209" t="str">
        <f ca="1">IF(Table1[[#This Row],[Exit Date]]= "-", "Active", "Exited")</f>
        <v>Active</v>
      </c>
      <c r="J209" s="5">
        <f t="shared" ca="1" si="34"/>
        <v>1901</v>
      </c>
      <c r="K209">
        <f ca="1">Table1[[#This Row],[Offers Made]]*2</f>
        <v>10</v>
      </c>
      <c r="L209">
        <f t="shared" ca="1" si="38"/>
        <v>5</v>
      </c>
      <c r="M209">
        <f t="shared" ca="1" si="39"/>
        <v>1</v>
      </c>
      <c r="N209" t="str">
        <f t="shared" ca="1" si="40"/>
        <v>Job Portals</v>
      </c>
      <c r="O209">
        <f t="shared" ca="1" si="41"/>
        <v>5</v>
      </c>
      <c r="P209" t="str">
        <f t="shared" ca="1" si="42"/>
        <v>No</v>
      </c>
      <c r="Q209" t="str" cm="1">
        <f t="array" aca="1" ref="Q209" ca="1">INDEX(sheet2!$C$2:$C$6, RANDBETWEEN(1, 5))</f>
        <v>Ethics and Responsibilities</v>
      </c>
      <c r="R209" t="str">
        <f t="shared" ca="1" si="35"/>
        <v>Completed</v>
      </c>
      <c r="S209">
        <f ca="1">Table1[[#This Row],[Hire Date]]-Table1[[#This Row],[Job Posting Date]]</f>
        <v>80</v>
      </c>
    </row>
    <row r="210" spans="1:19" x14ac:dyDescent="0.2">
      <c r="A210" t="str">
        <f t="shared" si="36"/>
        <v>EMP209</v>
      </c>
      <c r="B210" t="str">
        <f t="shared" ca="1" si="37"/>
        <v>Male</v>
      </c>
      <c r="C210" t="str" cm="1">
        <f t="array" aca="1" ref="C210" ca="1">INDEX(sheet2!$A$2:$A$6, RANDBETWEEN(1, 5))</f>
        <v>IT</v>
      </c>
      <c r="D210" t="str">
        <f ca="1">_xlfn.XLOOKUP(Table1[[#This Row],[Department]],sheet2!$A$2:$A$6,sheet2!$B$2:$B$6,_xleta.NA,0)</f>
        <v>Software Engineer</v>
      </c>
      <c r="E210" s="1">
        <f t="shared" ca="1" si="33"/>
        <v>44198</v>
      </c>
      <c r="F210" s="1">
        <f ca="1">Table1[[#This Row],[Job Posting Date]]+ RANDBETWEEN(15, 90)</f>
        <v>44268</v>
      </c>
      <c r="G210" s="1">
        <f ca="1">Table1[[#This Row],[Hire Date]]+ RANDBETWEEN(1, 15)</f>
        <v>44276</v>
      </c>
      <c r="H210" s="1" t="str">
        <f ca="1">IF(RAND() &lt; 0.5,  Table1[[#This Row],[Join Date]]+ RANDBETWEEN(30, TODAY()- Table1[[#This Row],[Join Date]]), "-")</f>
        <v>-</v>
      </c>
      <c r="I210" t="str">
        <f ca="1">IF(Table1[[#This Row],[Exit Date]]= "-", "Active", "Exited")</f>
        <v>Active</v>
      </c>
      <c r="J210" s="5">
        <f t="shared" ca="1" si="34"/>
        <v>4716</v>
      </c>
      <c r="K210">
        <f ca="1">Table1[[#This Row],[Offers Made]]*2</f>
        <v>6</v>
      </c>
      <c r="L210">
        <f t="shared" ca="1" si="38"/>
        <v>3</v>
      </c>
      <c r="M210">
        <f t="shared" ca="1" si="39"/>
        <v>2</v>
      </c>
      <c r="N210" t="str">
        <f t="shared" ca="1" si="40"/>
        <v>Direct Hiring</v>
      </c>
      <c r="O210">
        <f t="shared" ca="1" si="41"/>
        <v>5</v>
      </c>
      <c r="P210" t="str">
        <f t="shared" ca="1" si="42"/>
        <v>No</v>
      </c>
      <c r="Q210" t="str" cm="1">
        <f t="array" aca="1" ref="Q210" ca="1">INDEX(sheet2!$C$2:$C$6, RANDBETWEEN(1, 5))</f>
        <v>Leadership Development</v>
      </c>
      <c r="R210" t="str">
        <f t="shared" ca="1" si="35"/>
        <v>Completed</v>
      </c>
      <c r="S210">
        <f ca="1">Table1[[#This Row],[Hire Date]]-Table1[[#This Row],[Job Posting Date]]</f>
        <v>70</v>
      </c>
    </row>
    <row r="211" spans="1:19" x14ac:dyDescent="0.2">
      <c r="A211" t="str">
        <f t="shared" si="36"/>
        <v>EMP210</v>
      </c>
      <c r="B211" t="str">
        <f t="shared" ca="1" si="37"/>
        <v>Female</v>
      </c>
      <c r="C211" t="str" cm="1">
        <f t="array" aca="1" ref="C211" ca="1">INDEX(sheet2!$A$2:$A$6, RANDBETWEEN(1, 5))</f>
        <v>Finance</v>
      </c>
      <c r="D211" t="str">
        <f ca="1">_xlfn.XLOOKUP(Table1[[#This Row],[Department]],sheet2!$A$2:$A$6,sheet2!$B$2:$B$6,_xleta.NA,0)</f>
        <v>Finance Manager</v>
      </c>
      <c r="E211" s="1">
        <f t="shared" ca="1" si="33"/>
        <v>44204</v>
      </c>
      <c r="F211" s="1">
        <f ca="1">Table1[[#This Row],[Job Posting Date]]+ RANDBETWEEN(15, 90)</f>
        <v>44248</v>
      </c>
      <c r="G211" s="1">
        <f ca="1">Table1[[#This Row],[Hire Date]]+ RANDBETWEEN(1, 15)</f>
        <v>44260</v>
      </c>
      <c r="H211" s="1">
        <f ca="1">IF(RAND() &lt; 0.5,  Table1[[#This Row],[Join Date]]+ RANDBETWEEN(30, TODAY()- Table1[[#This Row],[Join Date]]), "-")</f>
        <v>44642</v>
      </c>
      <c r="I211" t="str">
        <f ca="1">IF(Table1[[#This Row],[Exit Date]]= "-", "Active", "Exited")</f>
        <v>Exited</v>
      </c>
      <c r="J211" s="5">
        <f t="shared" ca="1" si="34"/>
        <v>4507</v>
      </c>
      <c r="K211">
        <f ca="1">Table1[[#This Row],[Offers Made]]*2</f>
        <v>8</v>
      </c>
      <c r="L211">
        <f t="shared" ca="1" si="38"/>
        <v>4</v>
      </c>
      <c r="M211">
        <f t="shared" ca="1" si="39"/>
        <v>1</v>
      </c>
      <c r="N211" t="str">
        <f t="shared" ca="1" si="40"/>
        <v>Campus Placements</v>
      </c>
      <c r="O211">
        <f t="shared" ca="1" si="41"/>
        <v>3</v>
      </c>
      <c r="P211" t="str">
        <f t="shared" ca="1" si="42"/>
        <v>No</v>
      </c>
      <c r="Q211" t="str" cm="1">
        <f t="array" aca="1" ref="Q211" ca="1">INDEX(sheet2!$C$2:$C$6, RANDBETWEEN(1, 5))</f>
        <v>Leadership Development</v>
      </c>
      <c r="R211" t="str">
        <f t="shared" ca="1" si="35"/>
        <v>Completed</v>
      </c>
      <c r="S211">
        <f ca="1">Table1[[#This Row],[Hire Date]]-Table1[[#This Row],[Job Posting Date]]</f>
        <v>44</v>
      </c>
    </row>
    <row r="212" spans="1:19" x14ac:dyDescent="0.2">
      <c r="A212" t="str">
        <f t="shared" si="36"/>
        <v>EMP211</v>
      </c>
      <c r="B212" t="str">
        <f t="shared" ca="1" si="37"/>
        <v>Male</v>
      </c>
      <c r="C212" t="str" cm="1">
        <f t="array" aca="1" ref="C212" ca="1">INDEX(sheet2!$A$2:$A$6, RANDBETWEEN(1, 5))</f>
        <v>HR</v>
      </c>
      <c r="D212" t="str">
        <f ca="1">_xlfn.XLOOKUP(Table1[[#This Row],[Department]],sheet2!$A$2:$A$6,sheet2!$B$2:$B$6,_xleta.NA,0)</f>
        <v>HR Manager</v>
      </c>
      <c r="E212" s="1">
        <f t="shared" ca="1" si="33"/>
        <v>43374</v>
      </c>
      <c r="F212" s="1">
        <f ca="1">Table1[[#This Row],[Job Posting Date]]+ RANDBETWEEN(15, 90)</f>
        <v>43422</v>
      </c>
      <c r="G212" s="1">
        <f ca="1">Table1[[#This Row],[Hire Date]]+ RANDBETWEEN(1, 15)</f>
        <v>43431</v>
      </c>
      <c r="H212" s="1">
        <f ca="1">IF(RAND() &lt; 0.5,  Table1[[#This Row],[Join Date]]+ RANDBETWEEN(30, TODAY()- Table1[[#This Row],[Join Date]]), "-")</f>
        <v>45248</v>
      </c>
      <c r="I212" t="str">
        <f ca="1">IF(Table1[[#This Row],[Exit Date]]= "-", "Active", "Exited")</f>
        <v>Exited</v>
      </c>
      <c r="J212" s="5">
        <f t="shared" ca="1" si="34"/>
        <v>2408</v>
      </c>
      <c r="K212">
        <f ca="1">Table1[[#This Row],[Offers Made]]*2</f>
        <v>8</v>
      </c>
      <c r="L212">
        <f t="shared" ca="1" si="38"/>
        <v>4</v>
      </c>
      <c r="M212">
        <f t="shared" ca="1" si="39"/>
        <v>1</v>
      </c>
      <c r="N212" t="str">
        <f t="shared" ca="1" si="40"/>
        <v>Employee Referrals</v>
      </c>
      <c r="O212">
        <f t="shared" ca="1" si="41"/>
        <v>2</v>
      </c>
      <c r="P212" t="str">
        <f t="shared" ca="1" si="42"/>
        <v>Yes</v>
      </c>
      <c r="Q212" t="str" cm="1">
        <f t="array" aca="1" ref="Q212" ca="1">INDEX(sheet2!$C$2:$C$6, RANDBETWEEN(1, 5))</f>
        <v>Conflict Resolution</v>
      </c>
      <c r="R212" t="str">
        <f t="shared" ca="1" si="35"/>
        <v>Not Completed</v>
      </c>
      <c r="S212">
        <f ca="1">Table1[[#This Row],[Hire Date]]-Table1[[#This Row],[Job Posting Date]]</f>
        <v>48</v>
      </c>
    </row>
    <row r="213" spans="1:19" x14ac:dyDescent="0.2">
      <c r="A213" t="str">
        <f t="shared" si="36"/>
        <v>EMP212</v>
      </c>
      <c r="B213" t="str">
        <f t="shared" ca="1" si="37"/>
        <v>Male</v>
      </c>
      <c r="C213" t="str" cm="1">
        <f t="array" aca="1" ref="C213" ca="1">INDEX(sheet2!$A$2:$A$6, RANDBETWEEN(1, 5))</f>
        <v>Analytics</v>
      </c>
      <c r="D213" t="str">
        <f ca="1">_xlfn.XLOOKUP(Table1[[#This Row],[Department]],sheet2!$A$2:$A$6,sheet2!$B$2:$B$6,_xleta.NA,0)</f>
        <v>Data Analyst</v>
      </c>
      <c r="E213" s="1">
        <f t="shared" ca="1" si="33"/>
        <v>43749</v>
      </c>
      <c r="F213" s="1">
        <f ca="1">Table1[[#This Row],[Job Posting Date]]+ RANDBETWEEN(15, 90)</f>
        <v>43817</v>
      </c>
      <c r="G213" s="1">
        <f ca="1">Table1[[#This Row],[Hire Date]]+ RANDBETWEEN(1, 15)</f>
        <v>43829</v>
      </c>
      <c r="H213" s="1" t="str">
        <f ca="1">IF(RAND() &lt; 0.5,  Table1[[#This Row],[Join Date]]+ RANDBETWEEN(30, TODAY()- Table1[[#This Row],[Join Date]]), "-")</f>
        <v>-</v>
      </c>
      <c r="I213" t="str">
        <f ca="1">IF(Table1[[#This Row],[Exit Date]]= "-", "Active", "Exited")</f>
        <v>Active</v>
      </c>
      <c r="J213" s="5">
        <f t="shared" ca="1" si="34"/>
        <v>2227</v>
      </c>
      <c r="K213">
        <f ca="1">Table1[[#This Row],[Offers Made]]*2</f>
        <v>16</v>
      </c>
      <c r="L213">
        <f t="shared" ca="1" si="38"/>
        <v>8</v>
      </c>
      <c r="M213">
        <f t="shared" ca="1" si="39"/>
        <v>2</v>
      </c>
      <c r="N213" t="str">
        <f t="shared" ca="1" si="40"/>
        <v>Direct Hiring</v>
      </c>
      <c r="O213">
        <f t="shared" ca="1" si="41"/>
        <v>2</v>
      </c>
      <c r="P213" t="str">
        <f t="shared" ca="1" si="42"/>
        <v>No</v>
      </c>
      <c r="Q213" t="str" cm="1">
        <f t="array" aca="1" ref="Q213" ca="1">INDEX(sheet2!$C$2:$C$6, RANDBETWEEN(1, 5))</f>
        <v>Advanced Excel Skills </v>
      </c>
      <c r="R213" t="str">
        <f t="shared" ca="1" si="35"/>
        <v>Completed</v>
      </c>
      <c r="S213">
        <f ca="1">Table1[[#This Row],[Hire Date]]-Table1[[#This Row],[Job Posting Date]]</f>
        <v>68</v>
      </c>
    </row>
    <row r="214" spans="1:19" x14ac:dyDescent="0.2">
      <c r="A214" t="str">
        <f t="shared" si="36"/>
        <v>EMP213</v>
      </c>
      <c r="B214" t="str">
        <f t="shared" ca="1" si="37"/>
        <v>Male</v>
      </c>
      <c r="C214" t="str" cm="1">
        <f t="array" aca="1" ref="C214" ca="1">INDEX(sheet2!$A$2:$A$6, RANDBETWEEN(1, 5))</f>
        <v>Analytics</v>
      </c>
      <c r="D214" t="str">
        <f ca="1">_xlfn.XLOOKUP(Table1[[#This Row],[Department]],sheet2!$A$2:$A$6,sheet2!$B$2:$B$6,_xleta.NA,0)</f>
        <v>Data Analyst</v>
      </c>
      <c r="E214" s="1">
        <f t="shared" ca="1" si="33"/>
        <v>44046</v>
      </c>
      <c r="F214" s="1">
        <f ca="1">Table1[[#This Row],[Job Posting Date]]+ RANDBETWEEN(15, 90)</f>
        <v>44070</v>
      </c>
      <c r="G214" s="1">
        <f ca="1">Table1[[#This Row],[Hire Date]]+ RANDBETWEEN(1, 15)</f>
        <v>44081</v>
      </c>
      <c r="H214" s="1">
        <f ca="1">IF(RAND() &lt; 0.5,  Table1[[#This Row],[Join Date]]+ RANDBETWEEN(30, TODAY()- Table1[[#This Row],[Join Date]]), "-")</f>
        <v>44628</v>
      </c>
      <c r="I214" t="str">
        <f ca="1">IF(Table1[[#This Row],[Exit Date]]= "-", "Active", "Exited")</f>
        <v>Exited</v>
      </c>
      <c r="J214" s="5">
        <f t="shared" ca="1" si="34"/>
        <v>3559</v>
      </c>
      <c r="K214">
        <f ca="1">Table1[[#This Row],[Offers Made]]*2</f>
        <v>14</v>
      </c>
      <c r="L214">
        <f t="shared" ca="1" si="38"/>
        <v>7</v>
      </c>
      <c r="M214">
        <f t="shared" ca="1" si="39"/>
        <v>5</v>
      </c>
      <c r="N214" t="str">
        <f t="shared" ca="1" si="40"/>
        <v>Employee Referrals</v>
      </c>
      <c r="O214">
        <f t="shared" ca="1" si="41"/>
        <v>4</v>
      </c>
      <c r="P214" t="str">
        <f t="shared" ca="1" si="42"/>
        <v>Yes</v>
      </c>
      <c r="Q214" t="str" cm="1">
        <f t="array" aca="1" ref="Q214" ca="1">INDEX(sheet2!$C$2:$C$6, RANDBETWEEN(1, 5))</f>
        <v>Conflict Resolution</v>
      </c>
      <c r="R214" t="str">
        <f t="shared" ca="1" si="35"/>
        <v>Completed</v>
      </c>
      <c r="S214">
        <f ca="1">Table1[[#This Row],[Hire Date]]-Table1[[#This Row],[Job Posting Date]]</f>
        <v>24</v>
      </c>
    </row>
    <row r="215" spans="1:19" x14ac:dyDescent="0.2">
      <c r="A215" t="str">
        <f t="shared" si="36"/>
        <v>EMP214</v>
      </c>
      <c r="B215" t="str">
        <f t="shared" ca="1" si="37"/>
        <v>Male</v>
      </c>
      <c r="C215" t="str" cm="1">
        <f t="array" aca="1" ref="C215" ca="1">INDEX(sheet2!$A$2:$A$6, RANDBETWEEN(1, 5))</f>
        <v>Sales</v>
      </c>
      <c r="D215" t="str">
        <f ca="1">_xlfn.XLOOKUP(Table1[[#This Row],[Department]],sheet2!$A$2:$A$6,sheet2!$B$2:$B$6,_xleta.NA,0)</f>
        <v>Marketing Manager</v>
      </c>
      <c r="E215" s="1">
        <f t="shared" ca="1" si="33"/>
        <v>43112</v>
      </c>
      <c r="F215" s="1">
        <f ca="1">Table1[[#This Row],[Job Posting Date]]+ RANDBETWEEN(15, 90)</f>
        <v>43189</v>
      </c>
      <c r="G215" s="1">
        <f ca="1">Table1[[#This Row],[Hire Date]]+ RANDBETWEEN(1, 15)</f>
        <v>43195</v>
      </c>
      <c r="H215" s="1" t="str">
        <f ca="1">IF(RAND() &lt; 0.5,  Table1[[#This Row],[Join Date]]+ RANDBETWEEN(30, TODAY()- Table1[[#This Row],[Join Date]]), "-")</f>
        <v>-</v>
      </c>
      <c r="I215" t="str">
        <f ca="1">IF(Table1[[#This Row],[Exit Date]]= "-", "Active", "Exited")</f>
        <v>Active</v>
      </c>
      <c r="J215" s="5">
        <f t="shared" ca="1" si="34"/>
        <v>4347</v>
      </c>
      <c r="K215">
        <f ca="1">Table1[[#This Row],[Offers Made]]*2</f>
        <v>12</v>
      </c>
      <c r="L215">
        <f t="shared" ca="1" si="38"/>
        <v>6</v>
      </c>
      <c r="M215">
        <f t="shared" ca="1" si="39"/>
        <v>3</v>
      </c>
      <c r="N215" t="str">
        <f t="shared" ca="1" si="40"/>
        <v>Direct Hiring</v>
      </c>
      <c r="O215">
        <f t="shared" ca="1" si="41"/>
        <v>1</v>
      </c>
      <c r="P215" t="str">
        <f t="shared" ca="1" si="42"/>
        <v>No</v>
      </c>
      <c r="Q215" t="str" cm="1">
        <f t="array" aca="1" ref="Q215" ca="1">INDEX(sheet2!$C$2:$C$6, RANDBETWEEN(1, 5))</f>
        <v>Ethics and Responsibilities</v>
      </c>
      <c r="R215" t="str">
        <f t="shared" ca="1" si="35"/>
        <v>Completed</v>
      </c>
      <c r="S215">
        <f ca="1">Table1[[#This Row],[Hire Date]]-Table1[[#This Row],[Job Posting Date]]</f>
        <v>77</v>
      </c>
    </row>
    <row r="216" spans="1:19" x14ac:dyDescent="0.2">
      <c r="A216" t="str">
        <f t="shared" si="36"/>
        <v>EMP215</v>
      </c>
      <c r="B216" t="str">
        <f t="shared" ca="1" si="37"/>
        <v>Female</v>
      </c>
      <c r="C216" t="str" cm="1">
        <f t="array" aca="1" ref="C216" ca="1">INDEX(sheet2!$A$2:$A$6, RANDBETWEEN(1, 5))</f>
        <v>HR</v>
      </c>
      <c r="D216" t="str">
        <f ca="1">_xlfn.XLOOKUP(Table1[[#This Row],[Department]],sheet2!$A$2:$A$6,sheet2!$B$2:$B$6,_xleta.NA,0)</f>
        <v>HR Manager</v>
      </c>
      <c r="E216" s="1">
        <f t="shared" ca="1" si="33"/>
        <v>43527</v>
      </c>
      <c r="F216" s="1">
        <f ca="1">Table1[[#This Row],[Job Posting Date]]+ RANDBETWEEN(15, 90)</f>
        <v>43606</v>
      </c>
      <c r="G216" s="1">
        <f ca="1">Table1[[#This Row],[Hire Date]]+ RANDBETWEEN(1, 15)</f>
        <v>43615</v>
      </c>
      <c r="H216" s="1" t="str">
        <f ca="1">IF(RAND() &lt; 0.5,  Table1[[#This Row],[Join Date]]+ RANDBETWEEN(30, TODAY()- Table1[[#This Row],[Join Date]]), "-")</f>
        <v>-</v>
      </c>
      <c r="I216" t="str">
        <f ca="1">IF(Table1[[#This Row],[Exit Date]]= "-", "Active", "Exited")</f>
        <v>Active</v>
      </c>
      <c r="J216" s="5">
        <f t="shared" ca="1" si="34"/>
        <v>3044</v>
      </c>
      <c r="K216">
        <f ca="1">Table1[[#This Row],[Offers Made]]*2</f>
        <v>10</v>
      </c>
      <c r="L216">
        <f t="shared" ca="1" si="38"/>
        <v>5</v>
      </c>
      <c r="M216">
        <f t="shared" ca="1" si="39"/>
        <v>1</v>
      </c>
      <c r="N216" t="str">
        <f t="shared" ca="1" si="40"/>
        <v>Campus Placements</v>
      </c>
      <c r="O216">
        <f t="shared" ca="1" si="41"/>
        <v>1</v>
      </c>
      <c r="P216" t="str">
        <f t="shared" ca="1" si="42"/>
        <v>Yes</v>
      </c>
      <c r="Q216" t="str" cm="1">
        <f t="array" aca="1" ref="Q216" ca="1">INDEX(sheet2!$C$2:$C$6, RANDBETWEEN(1, 5))</f>
        <v>Conflict Resolution</v>
      </c>
      <c r="R216" t="str">
        <f t="shared" ca="1" si="35"/>
        <v>Not Completed</v>
      </c>
      <c r="S216">
        <f ca="1">Table1[[#This Row],[Hire Date]]-Table1[[#This Row],[Job Posting Date]]</f>
        <v>79</v>
      </c>
    </row>
    <row r="217" spans="1:19" x14ac:dyDescent="0.2">
      <c r="A217" t="str">
        <f t="shared" si="36"/>
        <v>EMP216</v>
      </c>
      <c r="B217" t="str">
        <f t="shared" ca="1" si="37"/>
        <v>Male</v>
      </c>
      <c r="C217" t="str" cm="1">
        <f t="array" aca="1" ref="C217" ca="1">INDEX(sheet2!$A$2:$A$6, RANDBETWEEN(1, 5))</f>
        <v>IT</v>
      </c>
      <c r="D217" t="str">
        <f ca="1">_xlfn.XLOOKUP(Table1[[#This Row],[Department]],sheet2!$A$2:$A$6,sheet2!$B$2:$B$6,_xleta.NA,0)</f>
        <v>Software Engineer</v>
      </c>
      <c r="E217" s="1">
        <f t="shared" ca="1" si="33"/>
        <v>44124</v>
      </c>
      <c r="F217" s="1">
        <f ca="1">Table1[[#This Row],[Job Posting Date]]+ RANDBETWEEN(15, 90)</f>
        <v>44154</v>
      </c>
      <c r="G217" s="1">
        <f ca="1">Table1[[#This Row],[Hire Date]]+ RANDBETWEEN(1, 15)</f>
        <v>44162</v>
      </c>
      <c r="H217" s="1" t="str">
        <f ca="1">IF(RAND() &lt; 0.5,  Table1[[#This Row],[Join Date]]+ RANDBETWEEN(30, TODAY()- Table1[[#This Row],[Join Date]]), "-")</f>
        <v>-</v>
      </c>
      <c r="I217" t="str">
        <f ca="1">IF(Table1[[#This Row],[Exit Date]]= "-", "Active", "Exited")</f>
        <v>Active</v>
      </c>
      <c r="J217" s="5">
        <f t="shared" ca="1" si="34"/>
        <v>3302</v>
      </c>
      <c r="K217">
        <f ca="1">Table1[[#This Row],[Offers Made]]*2</f>
        <v>10</v>
      </c>
      <c r="L217">
        <f t="shared" ca="1" si="38"/>
        <v>5</v>
      </c>
      <c r="M217">
        <f t="shared" ca="1" si="39"/>
        <v>3</v>
      </c>
      <c r="N217" t="str">
        <f t="shared" ca="1" si="40"/>
        <v>Job Portals</v>
      </c>
      <c r="O217">
        <f t="shared" ca="1" si="41"/>
        <v>5</v>
      </c>
      <c r="P217" t="str">
        <f t="shared" ca="1" si="42"/>
        <v>No</v>
      </c>
      <c r="Q217" t="str" cm="1">
        <f t="array" aca="1" ref="Q217" ca="1">INDEX(sheet2!$C$2:$C$6, RANDBETWEEN(1, 5))</f>
        <v>Ethics and Responsibilities</v>
      </c>
      <c r="R217" t="str">
        <f t="shared" ca="1" si="35"/>
        <v>Completed</v>
      </c>
      <c r="S217">
        <f ca="1">Table1[[#This Row],[Hire Date]]-Table1[[#This Row],[Job Posting Date]]</f>
        <v>30</v>
      </c>
    </row>
    <row r="218" spans="1:19" x14ac:dyDescent="0.2">
      <c r="A218" t="str">
        <f t="shared" si="36"/>
        <v>EMP217</v>
      </c>
      <c r="B218" t="str">
        <f t="shared" ca="1" si="37"/>
        <v>Female</v>
      </c>
      <c r="C218" t="str" cm="1">
        <f t="array" aca="1" ref="C218" ca="1">INDEX(sheet2!$A$2:$A$6, RANDBETWEEN(1, 5))</f>
        <v>Finance</v>
      </c>
      <c r="D218" t="str">
        <f ca="1">_xlfn.XLOOKUP(Table1[[#This Row],[Department]],sheet2!$A$2:$A$6,sheet2!$B$2:$B$6,_xleta.NA,0)</f>
        <v>Finance Manager</v>
      </c>
      <c r="E218" s="1">
        <f t="shared" ca="1" si="33"/>
        <v>43232</v>
      </c>
      <c r="F218" s="1">
        <f ca="1">Table1[[#This Row],[Job Posting Date]]+ RANDBETWEEN(15, 90)</f>
        <v>43265</v>
      </c>
      <c r="G218" s="1">
        <f ca="1">Table1[[#This Row],[Hire Date]]+ RANDBETWEEN(1, 15)</f>
        <v>43278</v>
      </c>
      <c r="H218" s="1" t="str">
        <f ca="1">IF(RAND() &lt; 0.5,  Table1[[#This Row],[Join Date]]+ RANDBETWEEN(30, TODAY()- Table1[[#This Row],[Join Date]]), "-")</f>
        <v>-</v>
      </c>
      <c r="I218" t="str">
        <f ca="1">IF(Table1[[#This Row],[Exit Date]]= "-", "Active", "Exited")</f>
        <v>Active</v>
      </c>
      <c r="J218" s="5">
        <f t="shared" ca="1" si="34"/>
        <v>3718</v>
      </c>
      <c r="K218">
        <f ca="1">Table1[[#This Row],[Offers Made]]*2</f>
        <v>14</v>
      </c>
      <c r="L218">
        <f t="shared" ca="1" si="38"/>
        <v>7</v>
      </c>
      <c r="M218">
        <f t="shared" ca="1" si="39"/>
        <v>5</v>
      </c>
      <c r="N218" t="str">
        <f t="shared" ca="1" si="40"/>
        <v>Job Portals</v>
      </c>
      <c r="O218">
        <f t="shared" ca="1" si="41"/>
        <v>1</v>
      </c>
      <c r="P218" t="str">
        <f t="shared" ca="1" si="42"/>
        <v>No</v>
      </c>
      <c r="Q218" t="str" cm="1">
        <f t="array" aca="1" ref="Q218" ca="1">INDEX(sheet2!$C$2:$C$6, RANDBETWEEN(1, 5))</f>
        <v>Communication Skills</v>
      </c>
      <c r="R218" t="str">
        <f t="shared" ca="1" si="35"/>
        <v>Completed</v>
      </c>
      <c r="S218">
        <f ca="1">Table1[[#This Row],[Hire Date]]-Table1[[#This Row],[Job Posting Date]]</f>
        <v>33</v>
      </c>
    </row>
    <row r="219" spans="1:19" x14ac:dyDescent="0.2">
      <c r="A219" t="str">
        <f t="shared" si="36"/>
        <v>EMP218</v>
      </c>
      <c r="B219" t="str">
        <f t="shared" ca="1" si="37"/>
        <v>Female</v>
      </c>
      <c r="C219" t="str" cm="1">
        <f t="array" aca="1" ref="C219" ca="1">INDEX(sheet2!$A$2:$A$6, RANDBETWEEN(1, 5))</f>
        <v>Sales</v>
      </c>
      <c r="D219" t="str">
        <f ca="1">_xlfn.XLOOKUP(Table1[[#This Row],[Department]],sheet2!$A$2:$A$6,sheet2!$B$2:$B$6,_xleta.NA,0)</f>
        <v>Marketing Manager</v>
      </c>
      <c r="E219" s="1">
        <f t="shared" ca="1" si="33"/>
        <v>44058</v>
      </c>
      <c r="F219" s="1">
        <f ca="1">Table1[[#This Row],[Job Posting Date]]+ RANDBETWEEN(15, 90)</f>
        <v>44124</v>
      </c>
      <c r="G219" s="1">
        <f ca="1">Table1[[#This Row],[Hire Date]]+ RANDBETWEEN(1, 15)</f>
        <v>44134</v>
      </c>
      <c r="H219" s="1" t="str">
        <f ca="1">IF(RAND() &lt; 0.5,  Table1[[#This Row],[Join Date]]+ RANDBETWEEN(30, TODAY()- Table1[[#This Row],[Join Date]]), "-")</f>
        <v>-</v>
      </c>
      <c r="I219" t="str">
        <f ca="1">IF(Table1[[#This Row],[Exit Date]]= "-", "Active", "Exited")</f>
        <v>Active</v>
      </c>
      <c r="J219" s="5">
        <f t="shared" ca="1" si="34"/>
        <v>4713</v>
      </c>
      <c r="K219">
        <f ca="1">Table1[[#This Row],[Offers Made]]*2</f>
        <v>14</v>
      </c>
      <c r="L219">
        <f t="shared" ca="1" si="38"/>
        <v>7</v>
      </c>
      <c r="M219">
        <f t="shared" ca="1" si="39"/>
        <v>2</v>
      </c>
      <c r="N219" t="str">
        <f t="shared" ca="1" si="40"/>
        <v>Employee Referrals</v>
      </c>
      <c r="O219">
        <f t="shared" ca="1" si="41"/>
        <v>5</v>
      </c>
      <c r="P219" t="str">
        <f t="shared" ca="1" si="42"/>
        <v>Yes</v>
      </c>
      <c r="Q219" t="str" cm="1">
        <f t="array" aca="1" ref="Q219" ca="1">INDEX(sheet2!$C$2:$C$6, RANDBETWEEN(1, 5))</f>
        <v>Advanced Excel Skills </v>
      </c>
      <c r="R219" t="str">
        <f t="shared" ca="1" si="35"/>
        <v>Completed</v>
      </c>
      <c r="S219">
        <f ca="1">Table1[[#This Row],[Hire Date]]-Table1[[#This Row],[Job Posting Date]]</f>
        <v>66</v>
      </c>
    </row>
    <row r="220" spans="1:19" x14ac:dyDescent="0.2">
      <c r="A220" t="str">
        <f t="shared" si="36"/>
        <v>EMP219</v>
      </c>
      <c r="B220" t="str">
        <f t="shared" ca="1" si="37"/>
        <v>Female</v>
      </c>
      <c r="C220" t="str" cm="1">
        <f t="array" aca="1" ref="C220" ca="1">INDEX(sheet2!$A$2:$A$6, RANDBETWEEN(1, 5))</f>
        <v>Analytics</v>
      </c>
      <c r="D220" t="str">
        <f ca="1">_xlfn.XLOOKUP(Table1[[#This Row],[Department]],sheet2!$A$2:$A$6,sheet2!$B$2:$B$6,_xleta.NA,0)</f>
        <v>Data Analyst</v>
      </c>
      <c r="E220" s="1">
        <f t="shared" ca="1" si="33"/>
        <v>43735</v>
      </c>
      <c r="F220" s="1">
        <f ca="1">Table1[[#This Row],[Job Posting Date]]+ RANDBETWEEN(15, 90)</f>
        <v>43755</v>
      </c>
      <c r="G220" s="1">
        <f ca="1">Table1[[#This Row],[Hire Date]]+ RANDBETWEEN(1, 15)</f>
        <v>43768</v>
      </c>
      <c r="H220" s="1">
        <f ca="1">IF(RAND() &lt; 0.5,  Table1[[#This Row],[Join Date]]+ RANDBETWEEN(30, TODAY()- Table1[[#This Row],[Join Date]]), "-")</f>
        <v>45352</v>
      </c>
      <c r="I220" t="str">
        <f ca="1">IF(Table1[[#This Row],[Exit Date]]= "-", "Active", "Exited")</f>
        <v>Exited</v>
      </c>
      <c r="J220" s="5">
        <f t="shared" ca="1" si="34"/>
        <v>3706</v>
      </c>
      <c r="K220">
        <f ca="1">Table1[[#This Row],[Offers Made]]*2</f>
        <v>16</v>
      </c>
      <c r="L220">
        <f t="shared" ca="1" si="38"/>
        <v>8</v>
      </c>
      <c r="M220">
        <f t="shared" ca="1" si="39"/>
        <v>2</v>
      </c>
      <c r="N220" t="str">
        <f t="shared" ca="1" si="40"/>
        <v>Job Portals</v>
      </c>
      <c r="O220">
        <f t="shared" ca="1" si="41"/>
        <v>2</v>
      </c>
      <c r="P220" t="str">
        <f t="shared" ca="1" si="42"/>
        <v>No</v>
      </c>
      <c r="Q220" t="str" cm="1">
        <f t="array" aca="1" ref="Q220" ca="1">INDEX(sheet2!$C$2:$C$6, RANDBETWEEN(1, 5))</f>
        <v>Advanced Excel Skills </v>
      </c>
      <c r="R220" t="str">
        <f t="shared" ca="1" si="35"/>
        <v>Completed</v>
      </c>
      <c r="S220">
        <f ca="1">Table1[[#This Row],[Hire Date]]-Table1[[#This Row],[Job Posting Date]]</f>
        <v>20</v>
      </c>
    </row>
    <row r="221" spans="1:19" x14ac:dyDescent="0.2">
      <c r="A221" t="str">
        <f t="shared" si="36"/>
        <v>EMP220</v>
      </c>
      <c r="B221" t="str">
        <f t="shared" ca="1" si="37"/>
        <v>Male</v>
      </c>
      <c r="C221" t="str" cm="1">
        <f t="array" aca="1" ref="C221" ca="1">INDEX(sheet2!$A$2:$A$6, RANDBETWEEN(1, 5))</f>
        <v>IT</v>
      </c>
      <c r="D221" t="str">
        <f ca="1">_xlfn.XLOOKUP(Table1[[#This Row],[Department]],sheet2!$A$2:$A$6,sheet2!$B$2:$B$6,_xleta.NA,0)</f>
        <v>Software Engineer</v>
      </c>
      <c r="E221" s="1">
        <f t="shared" ca="1" si="33"/>
        <v>44207</v>
      </c>
      <c r="F221" s="1">
        <f ca="1">Table1[[#This Row],[Job Posting Date]]+ RANDBETWEEN(15, 90)</f>
        <v>44269</v>
      </c>
      <c r="G221" s="1">
        <f ca="1">Table1[[#This Row],[Hire Date]]+ RANDBETWEEN(1, 15)</f>
        <v>44272</v>
      </c>
      <c r="H221" s="1" t="str">
        <f ca="1">IF(RAND() &lt; 0.5,  Table1[[#This Row],[Join Date]]+ RANDBETWEEN(30, TODAY()- Table1[[#This Row],[Join Date]]), "-")</f>
        <v>-</v>
      </c>
      <c r="I221" t="str">
        <f ca="1">IF(Table1[[#This Row],[Exit Date]]= "-", "Active", "Exited")</f>
        <v>Active</v>
      </c>
      <c r="J221" s="5">
        <f t="shared" ca="1" si="34"/>
        <v>3882</v>
      </c>
      <c r="K221">
        <f ca="1">Table1[[#This Row],[Offers Made]]*2</f>
        <v>14</v>
      </c>
      <c r="L221">
        <f t="shared" ca="1" si="38"/>
        <v>7</v>
      </c>
      <c r="M221">
        <f t="shared" ca="1" si="39"/>
        <v>1</v>
      </c>
      <c r="N221" t="str">
        <f t="shared" ca="1" si="40"/>
        <v>Job Portals</v>
      </c>
      <c r="O221">
        <f t="shared" ca="1" si="41"/>
        <v>1</v>
      </c>
      <c r="P221" t="str">
        <f t="shared" ca="1" si="42"/>
        <v>No</v>
      </c>
      <c r="Q221" t="str" cm="1">
        <f t="array" aca="1" ref="Q221" ca="1">INDEX(sheet2!$C$2:$C$6, RANDBETWEEN(1, 5))</f>
        <v>Conflict Resolution</v>
      </c>
      <c r="R221" t="str">
        <f t="shared" ca="1" si="35"/>
        <v>Completed</v>
      </c>
      <c r="S221">
        <f ca="1">Table1[[#This Row],[Hire Date]]-Table1[[#This Row],[Job Posting Date]]</f>
        <v>62</v>
      </c>
    </row>
    <row r="222" spans="1:19" x14ac:dyDescent="0.2">
      <c r="A222" t="str">
        <f t="shared" si="36"/>
        <v>EMP221</v>
      </c>
      <c r="B222" t="str">
        <f t="shared" ca="1" si="37"/>
        <v>Female</v>
      </c>
      <c r="C222" t="str" cm="1">
        <f t="array" aca="1" ref="C222" ca="1">INDEX(sheet2!$A$2:$A$6, RANDBETWEEN(1, 5))</f>
        <v>Sales</v>
      </c>
      <c r="D222" t="str">
        <f ca="1">_xlfn.XLOOKUP(Table1[[#This Row],[Department]],sheet2!$A$2:$A$6,sheet2!$B$2:$B$6,_xleta.NA,0)</f>
        <v>Marketing Manager</v>
      </c>
      <c r="E222" s="1">
        <f t="shared" ca="1" si="33"/>
        <v>43106</v>
      </c>
      <c r="F222" s="1">
        <f ca="1">Table1[[#This Row],[Job Posting Date]]+ RANDBETWEEN(15, 90)</f>
        <v>43193</v>
      </c>
      <c r="G222" s="1">
        <f ca="1">Table1[[#This Row],[Hire Date]]+ RANDBETWEEN(1, 15)</f>
        <v>43195</v>
      </c>
      <c r="H222" s="1" t="str">
        <f ca="1">IF(RAND() &lt; 0.5,  Table1[[#This Row],[Join Date]]+ RANDBETWEEN(30, TODAY()- Table1[[#This Row],[Join Date]]), "-")</f>
        <v>-</v>
      </c>
      <c r="I222" t="str">
        <f ca="1">IF(Table1[[#This Row],[Exit Date]]= "-", "Active", "Exited")</f>
        <v>Active</v>
      </c>
      <c r="J222" s="5">
        <f t="shared" ca="1" si="34"/>
        <v>4327</v>
      </c>
      <c r="K222">
        <f ca="1">Table1[[#This Row],[Offers Made]]*2</f>
        <v>6</v>
      </c>
      <c r="L222">
        <f t="shared" ca="1" si="38"/>
        <v>3</v>
      </c>
      <c r="M222">
        <f t="shared" ca="1" si="39"/>
        <v>1</v>
      </c>
      <c r="N222" t="str">
        <f t="shared" ca="1" si="40"/>
        <v>Employee Referrals</v>
      </c>
      <c r="O222">
        <f t="shared" ca="1" si="41"/>
        <v>5</v>
      </c>
      <c r="P222" t="str">
        <f t="shared" ca="1" si="42"/>
        <v>No</v>
      </c>
      <c r="Q222" t="str" cm="1">
        <f t="array" aca="1" ref="Q222" ca="1">INDEX(sheet2!$C$2:$C$6, RANDBETWEEN(1, 5))</f>
        <v>Leadership Development</v>
      </c>
      <c r="R222" t="str">
        <f t="shared" ca="1" si="35"/>
        <v>Completed</v>
      </c>
      <c r="S222">
        <f ca="1">Table1[[#This Row],[Hire Date]]-Table1[[#This Row],[Job Posting Date]]</f>
        <v>87</v>
      </c>
    </row>
    <row r="223" spans="1:19" x14ac:dyDescent="0.2">
      <c r="A223" t="str">
        <f t="shared" si="36"/>
        <v>EMP222</v>
      </c>
      <c r="B223" t="str">
        <f t="shared" ca="1" si="37"/>
        <v>Male</v>
      </c>
      <c r="C223" t="str" cm="1">
        <f t="array" aca="1" ref="C223" ca="1">INDEX(sheet2!$A$2:$A$6, RANDBETWEEN(1, 5))</f>
        <v>HR</v>
      </c>
      <c r="D223" t="str">
        <f ca="1">_xlfn.XLOOKUP(Table1[[#This Row],[Department]],sheet2!$A$2:$A$6,sheet2!$B$2:$B$6,_xleta.NA,0)</f>
        <v>HR Manager</v>
      </c>
      <c r="E223" s="1">
        <f t="shared" ca="1" si="33"/>
        <v>43525</v>
      </c>
      <c r="F223" s="1">
        <f ca="1">Table1[[#This Row],[Job Posting Date]]+ RANDBETWEEN(15, 90)</f>
        <v>43572</v>
      </c>
      <c r="G223" s="1">
        <f ca="1">Table1[[#This Row],[Hire Date]]+ RANDBETWEEN(1, 15)</f>
        <v>43581</v>
      </c>
      <c r="H223" s="1">
        <f ca="1">IF(RAND() &lt; 0.5,  Table1[[#This Row],[Join Date]]+ RANDBETWEEN(30, TODAY()- Table1[[#This Row],[Join Date]]), "-")</f>
        <v>44642</v>
      </c>
      <c r="I223" t="str">
        <f ca="1">IF(Table1[[#This Row],[Exit Date]]= "-", "Active", "Exited")</f>
        <v>Exited</v>
      </c>
      <c r="J223" s="5">
        <f t="shared" ca="1" si="34"/>
        <v>1915</v>
      </c>
      <c r="K223">
        <f ca="1">Table1[[#This Row],[Offers Made]]*2</f>
        <v>12</v>
      </c>
      <c r="L223">
        <f t="shared" ca="1" si="38"/>
        <v>6</v>
      </c>
      <c r="M223">
        <f t="shared" ca="1" si="39"/>
        <v>4</v>
      </c>
      <c r="N223" t="str">
        <f t="shared" ca="1" si="40"/>
        <v>Employee Referrals</v>
      </c>
      <c r="O223">
        <f t="shared" ca="1" si="41"/>
        <v>4</v>
      </c>
      <c r="P223" t="str">
        <f t="shared" ca="1" si="42"/>
        <v>Yes</v>
      </c>
      <c r="Q223" t="str" cm="1">
        <f t="array" aca="1" ref="Q223" ca="1">INDEX(sheet2!$C$2:$C$6, RANDBETWEEN(1, 5))</f>
        <v>Communication Skills</v>
      </c>
      <c r="R223" t="str">
        <f t="shared" ca="1" si="35"/>
        <v>Not Completed</v>
      </c>
      <c r="S223">
        <f ca="1">Table1[[#This Row],[Hire Date]]-Table1[[#This Row],[Job Posting Date]]</f>
        <v>47</v>
      </c>
    </row>
    <row r="224" spans="1:19" x14ac:dyDescent="0.2">
      <c r="A224" t="str">
        <f t="shared" si="36"/>
        <v>EMP223</v>
      </c>
      <c r="B224" t="str">
        <f t="shared" ca="1" si="37"/>
        <v>Male</v>
      </c>
      <c r="C224" t="str" cm="1">
        <f t="array" aca="1" ref="C224" ca="1">INDEX(sheet2!$A$2:$A$6, RANDBETWEEN(1, 5))</f>
        <v>IT</v>
      </c>
      <c r="D224" t="str">
        <f ca="1">_xlfn.XLOOKUP(Table1[[#This Row],[Department]],sheet2!$A$2:$A$6,sheet2!$B$2:$B$6,_xleta.NA,0)</f>
        <v>Software Engineer</v>
      </c>
      <c r="E224" s="1">
        <f t="shared" ca="1" si="33"/>
        <v>44131</v>
      </c>
      <c r="F224" s="1">
        <f ca="1">Table1[[#This Row],[Job Posting Date]]+ RANDBETWEEN(15, 90)</f>
        <v>44196</v>
      </c>
      <c r="G224" s="1">
        <f ca="1">Table1[[#This Row],[Hire Date]]+ RANDBETWEEN(1, 15)</f>
        <v>44203</v>
      </c>
      <c r="H224" s="1">
        <f ca="1">IF(RAND() &lt; 0.5,  Table1[[#This Row],[Join Date]]+ RANDBETWEEN(30, TODAY()- Table1[[#This Row],[Join Date]]), "-")</f>
        <v>44713</v>
      </c>
      <c r="I224" t="str">
        <f ca="1">IF(Table1[[#This Row],[Exit Date]]= "-", "Active", "Exited")</f>
        <v>Exited</v>
      </c>
      <c r="J224" s="5">
        <f t="shared" ca="1" si="34"/>
        <v>1756</v>
      </c>
      <c r="K224">
        <f ca="1">Table1[[#This Row],[Offers Made]]*2</f>
        <v>16</v>
      </c>
      <c r="L224">
        <f t="shared" ca="1" si="38"/>
        <v>8</v>
      </c>
      <c r="M224">
        <f t="shared" ca="1" si="39"/>
        <v>2</v>
      </c>
      <c r="N224" t="str">
        <f t="shared" ca="1" si="40"/>
        <v>Employee Referrals</v>
      </c>
      <c r="O224">
        <f t="shared" ca="1" si="41"/>
        <v>4</v>
      </c>
      <c r="P224" t="str">
        <f t="shared" ca="1" si="42"/>
        <v>No</v>
      </c>
      <c r="Q224" t="str" cm="1">
        <f t="array" aca="1" ref="Q224" ca="1">INDEX(sheet2!$C$2:$C$6, RANDBETWEEN(1, 5))</f>
        <v>Communication Skills</v>
      </c>
      <c r="R224" t="str">
        <f t="shared" ca="1" si="35"/>
        <v>Completed</v>
      </c>
      <c r="S224">
        <f ca="1">Table1[[#This Row],[Hire Date]]-Table1[[#This Row],[Job Posting Date]]</f>
        <v>65</v>
      </c>
    </row>
    <row r="225" spans="1:19" x14ac:dyDescent="0.2">
      <c r="A225" t="str">
        <f t="shared" si="36"/>
        <v>EMP224</v>
      </c>
      <c r="B225" t="str">
        <f t="shared" ca="1" si="37"/>
        <v>Female</v>
      </c>
      <c r="C225" t="str" cm="1">
        <f t="array" aca="1" ref="C225" ca="1">INDEX(sheet2!$A$2:$A$6, RANDBETWEEN(1, 5))</f>
        <v>Finance</v>
      </c>
      <c r="D225" t="str">
        <f ca="1">_xlfn.XLOOKUP(Table1[[#This Row],[Department]],sheet2!$A$2:$A$6,sheet2!$B$2:$B$6,_xleta.NA,0)</f>
        <v>Finance Manager</v>
      </c>
      <c r="E225" s="1">
        <f t="shared" ca="1" si="33"/>
        <v>43365</v>
      </c>
      <c r="F225" s="1">
        <f ca="1">Table1[[#This Row],[Job Posting Date]]+ RANDBETWEEN(15, 90)</f>
        <v>43444</v>
      </c>
      <c r="G225" s="1">
        <f ca="1">Table1[[#This Row],[Hire Date]]+ RANDBETWEEN(1, 15)</f>
        <v>43452</v>
      </c>
      <c r="H225" s="1" t="str">
        <f ca="1">IF(RAND() &lt; 0.5,  Table1[[#This Row],[Join Date]]+ RANDBETWEEN(30, TODAY()- Table1[[#This Row],[Join Date]]), "-")</f>
        <v>-</v>
      </c>
      <c r="I225" t="str">
        <f ca="1">IF(Table1[[#This Row],[Exit Date]]= "-", "Active", "Exited")</f>
        <v>Active</v>
      </c>
      <c r="J225" s="5">
        <f t="shared" ca="1" si="34"/>
        <v>2359</v>
      </c>
      <c r="K225">
        <f ca="1">Table1[[#This Row],[Offers Made]]*2</f>
        <v>14</v>
      </c>
      <c r="L225">
        <f t="shared" ca="1" si="38"/>
        <v>7</v>
      </c>
      <c r="M225">
        <f t="shared" ca="1" si="39"/>
        <v>1</v>
      </c>
      <c r="N225" t="str">
        <f t="shared" ca="1" si="40"/>
        <v>Employee Referrals</v>
      </c>
      <c r="O225">
        <f t="shared" ca="1" si="41"/>
        <v>4</v>
      </c>
      <c r="P225" t="str">
        <f t="shared" ca="1" si="42"/>
        <v>Yes</v>
      </c>
      <c r="Q225" t="str" cm="1">
        <f t="array" aca="1" ref="Q225" ca="1">INDEX(sheet2!$C$2:$C$6, RANDBETWEEN(1, 5))</f>
        <v>Conflict Resolution</v>
      </c>
      <c r="R225" t="str">
        <f t="shared" ca="1" si="35"/>
        <v>Completed</v>
      </c>
      <c r="S225">
        <f ca="1">Table1[[#This Row],[Hire Date]]-Table1[[#This Row],[Job Posting Date]]</f>
        <v>79</v>
      </c>
    </row>
    <row r="226" spans="1:19" x14ac:dyDescent="0.2">
      <c r="A226" t="str">
        <f t="shared" si="36"/>
        <v>EMP225</v>
      </c>
      <c r="B226" t="str">
        <f t="shared" ca="1" si="37"/>
        <v>Female</v>
      </c>
      <c r="C226" t="str" cm="1">
        <f t="array" aca="1" ref="C226" ca="1">INDEX(sheet2!$A$2:$A$6, RANDBETWEEN(1, 5))</f>
        <v>Sales</v>
      </c>
      <c r="D226" t="str">
        <f ca="1">_xlfn.XLOOKUP(Table1[[#This Row],[Department]],sheet2!$A$2:$A$6,sheet2!$B$2:$B$6,_xleta.NA,0)</f>
        <v>Marketing Manager</v>
      </c>
      <c r="E226" s="1">
        <f t="shared" ca="1" si="33"/>
        <v>43682</v>
      </c>
      <c r="F226" s="1">
        <f ca="1">Table1[[#This Row],[Job Posting Date]]+ RANDBETWEEN(15, 90)</f>
        <v>43748</v>
      </c>
      <c r="G226" s="1">
        <f ca="1">Table1[[#This Row],[Hire Date]]+ RANDBETWEEN(1, 15)</f>
        <v>43759</v>
      </c>
      <c r="H226" s="1">
        <f ca="1">IF(RAND() &lt; 0.5,  Table1[[#This Row],[Join Date]]+ RANDBETWEEN(30, TODAY()- Table1[[#This Row],[Join Date]]), "-")</f>
        <v>45369</v>
      </c>
      <c r="I226" t="str">
        <f ca="1">IF(Table1[[#This Row],[Exit Date]]= "-", "Active", "Exited")</f>
        <v>Exited</v>
      </c>
      <c r="J226" s="5">
        <f t="shared" ca="1" si="34"/>
        <v>1571</v>
      </c>
      <c r="K226">
        <f ca="1">Table1[[#This Row],[Offers Made]]*2</f>
        <v>12</v>
      </c>
      <c r="L226">
        <f t="shared" ca="1" si="38"/>
        <v>6</v>
      </c>
      <c r="M226">
        <f t="shared" ca="1" si="39"/>
        <v>3</v>
      </c>
      <c r="N226" t="str">
        <f t="shared" ca="1" si="40"/>
        <v>Direct Hiring</v>
      </c>
      <c r="O226">
        <f t="shared" ca="1" si="41"/>
        <v>3</v>
      </c>
      <c r="P226" t="str">
        <f t="shared" ca="1" si="42"/>
        <v>Yes</v>
      </c>
      <c r="Q226" t="str" cm="1">
        <f t="array" aca="1" ref="Q226" ca="1">INDEX(sheet2!$C$2:$C$6, RANDBETWEEN(1, 5))</f>
        <v>Ethics and Responsibilities</v>
      </c>
      <c r="R226" t="str">
        <f t="shared" ca="1" si="35"/>
        <v>Completed</v>
      </c>
      <c r="S226">
        <f ca="1">Table1[[#This Row],[Hire Date]]-Table1[[#This Row],[Job Posting Date]]</f>
        <v>66</v>
      </c>
    </row>
    <row r="227" spans="1:19" x14ac:dyDescent="0.2">
      <c r="A227" t="str">
        <f t="shared" si="36"/>
        <v>EMP226</v>
      </c>
      <c r="B227" t="str">
        <f t="shared" ca="1" si="37"/>
        <v>Female</v>
      </c>
      <c r="C227" t="str" cm="1">
        <f t="array" aca="1" ref="C227" ca="1">INDEX(sheet2!$A$2:$A$6, RANDBETWEEN(1, 5))</f>
        <v>Analytics</v>
      </c>
      <c r="D227" t="str">
        <f ca="1">_xlfn.XLOOKUP(Table1[[#This Row],[Department]],sheet2!$A$2:$A$6,sheet2!$B$2:$B$6,_xleta.NA,0)</f>
        <v>Data Analyst</v>
      </c>
      <c r="E227" s="1">
        <f t="shared" ca="1" si="33"/>
        <v>43278</v>
      </c>
      <c r="F227" s="1">
        <f ca="1">Table1[[#This Row],[Job Posting Date]]+ RANDBETWEEN(15, 90)</f>
        <v>43331</v>
      </c>
      <c r="G227" s="1">
        <f ca="1">Table1[[#This Row],[Hire Date]]+ RANDBETWEEN(1, 15)</f>
        <v>43333</v>
      </c>
      <c r="H227" s="1" t="str">
        <f ca="1">IF(RAND() &lt; 0.5,  Table1[[#This Row],[Join Date]]+ RANDBETWEEN(30, TODAY()- Table1[[#This Row],[Join Date]]), "-")</f>
        <v>-</v>
      </c>
      <c r="I227" t="str">
        <f ca="1">IF(Table1[[#This Row],[Exit Date]]= "-", "Active", "Exited")</f>
        <v>Active</v>
      </c>
      <c r="J227" s="5">
        <f t="shared" ca="1" si="34"/>
        <v>3506</v>
      </c>
      <c r="K227">
        <f ca="1">Table1[[#This Row],[Offers Made]]*2</f>
        <v>12</v>
      </c>
      <c r="L227">
        <f t="shared" ca="1" si="38"/>
        <v>6</v>
      </c>
      <c r="M227">
        <f t="shared" ca="1" si="39"/>
        <v>1</v>
      </c>
      <c r="N227" t="str">
        <f t="shared" ca="1" si="40"/>
        <v>Job Portals</v>
      </c>
      <c r="O227">
        <f t="shared" ca="1" si="41"/>
        <v>1</v>
      </c>
      <c r="P227" t="str">
        <f t="shared" ca="1" si="42"/>
        <v>Yes</v>
      </c>
      <c r="Q227" t="str" cm="1">
        <f t="array" aca="1" ref="Q227" ca="1">INDEX(sheet2!$C$2:$C$6, RANDBETWEEN(1, 5))</f>
        <v>Conflict Resolution</v>
      </c>
      <c r="R227" t="str">
        <f t="shared" ca="1" si="35"/>
        <v>Completed</v>
      </c>
      <c r="S227">
        <f ca="1">Table1[[#This Row],[Hire Date]]-Table1[[#This Row],[Job Posting Date]]</f>
        <v>53</v>
      </c>
    </row>
    <row r="228" spans="1:19" x14ac:dyDescent="0.2">
      <c r="A228" t="str">
        <f t="shared" si="36"/>
        <v>EMP227</v>
      </c>
      <c r="B228" t="str">
        <f t="shared" ca="1" si="37"/>
        <v>Male</v>
      </c>
      <c r="C228" t="str" cm="1">
        <f t="array" aca="1" ref="C228" ca="1">INDEX(sheet2!$A$2:$A$6, RANDBETWEEN(1, 5))</f>
        <v>HR</v>
      </c>
      <c r="D228" t="str">
        <f ca="1">_xlfn.XLOOKUP(Table1[[#This Row],[Department]],sheet2!$A$2:$A$6,sheet2!$B$2:$B$6,_xleta.NA,0)</f>
        <v>HR Manager</v>
      </c>
      <c r="E228" s="1">
        <f t="shared" ca="1" si="33"/>
        <v>44118</v>
      </c>
      <c r="F228" s="1">
        <f ca="1">Table1[[#This Row],[Job Posting Date]]+ RANDBETWEEN(15, 90)</f>
        <v>44202</v>
      </c>
      <c r="G228" s="1">
        <f ca="1">Table1[[#This Row],[Hire Date]]+ RANDBETWEEN(1, 15)</f>
        <v>44204</v>
      </c>
      <c r="H228" s="1" t="str">
        <f ca="1">IF(RAND() &lt; 0.5,  Table1[[#This Row],[Join Date]]+ RANDBETWEEN(30, TODAY()- Table1[[#This Row],[Join Date]]), "-")</f>
        <v>-</v>
      </c>
      <c r="I228" t="str">
        <f ca="1">IF(Table1[[#This Row],[Exit Date]]= "-", "Active", "Exited")</f>
        <v>Active</v>
      </c>
      <c r="J228" s="5">
        <f t="shared" ca="1" si="34"/>
        <v>2708</v>
      </c>
      <c r="K228">
        <f ca="1">Table1[[#This Row],[Offers Made]]*2</f>
        <v>6</v>
      </c>
      <c r="L228">
        <f t="shared" ca="1" si="38"/>
        <v>3</v>
      </c>
      <c r="M228">
        <f t="shared" ca="1" si="39"/>
        <v>1</v>
      </c>
      <c r="N228" t="str">
        <f t="shared" ca="1" si="40"/>
        <v>Employee Referrals</v>
      </c>
      <c r="O228">
        <f t="shared" ca="1" si="41"/>
        <v>2</v>
      </c>
      <c r="P228" t="str">
        <f t="shared" ca="1" si="42"/>
        <v>Yes</v>
      </c>
      <c r="Q228" t="str" cm="1">
        <f t="array" aca="1" ref="Q228" ca="1">INDEX(sheet2!$C$2:$C$6, RANDBETWEEN(1, 5))</f>
        <v>Ethics and Responsibilities</v>
      </c>
      <c r="R228" t="str">
        <f t="shared" ca="1" si="35"/>
        <v>Completed</v>
      </c>
      <c r="S228">
        <f ca="1">Table1[[#This Row],[Hire Date]]-Table1[[#This Row],[Job Posting Date]]</f>
        <v>84</v>
      </c>
    </row>
    <row r="229" spans="1:19" x14ac:dyDescent="0.2">
      <c r="A229" t="str">
        <f t="shared" si="36"/>
        <v>EMP228</v>
      </c>
      <c r="B229" t="str">
        <f t="shared" ca="1" si="37"/>
        <v>Male</v>
      </c>
      <c r="C229" t="str" cm="1">
        <f t="array" aca="1" ref="C229" ca="1">INDEX(sheet2!$A$2:$A$6, RANDBETWEEN(1, 5))</f>
        <v>Analytics</v>
      </c>
      <c r="D229" t="str">
        <f ca="1">_xlfn.XLOOKUP(Table1[[#This Row],[Department]],sheet2!$A$2:$A$6,sheet2!$B$2:$B$6,_xleta.NA,0)</f>
        <v>Data Analyst</v>
      </c>
      <c r="E229" s="1">
        <f t="shared" ca="1" si="33"/>
        <v>44330</v>
      </c>
      <c r="F229" s="1">
        <f ca="1">Table1[[#This Row],[Job Posting Date]]+ RANDBETWEEN(15, 90)</f>
        <v>44359</v>
      </c>
      <c r="G229" s="1">
        <f ca="1">Table1[[#This Row],[Hire Date]]+ RANDBETWEEN(1, 15)</f>
        <v>44367</v>
      </c>
      <c r="H229" s="1" t="str">
        <f ca="1">IF(RAND() &lt; 0.5,  Table1[[#This Row],[Join Date]]+ RANDBETWEEN(30, TODAY()- Table1[[#This Row],[Join Date]]), "-")</f>
        <v>-</v>
      </c>
      <c r="I229" t="str">
        <f ca="1">IF(Table1[[#This Row],[Exit Date]]= "-", "Active", "Exited")</f>
        <v>Active</v>
      </c>
      <c r="J229" s="5">
        <f t="shared" ca="1" si="34"/>
        <v>2862</v>
      </c>
      <c r="K229">
        <f ca="1">Table1[[#This Row],[Offers Made]]*2</f>
        <v>12</v>
      </c>
      <c r="L229">
        <f t="shared" ca="1" si="38"/>
        <v>6</v>
      </c>
      <c r="M229">
        <f t="shared" ca="1" si="39"/>
        <v>3</v>
      </c>
      <c r="N229" t="str">
        <f t="shared" ca="1" si="40"/>
        <v>Employee Referrals</v>
      </c>
      <c r="O229">
        <f t="shared" ca="1" si="41"/>
        <v>5</v>
      </c>
      <c r="P229" t="str">
        <f t="shared" ca="1" si="42"/>
        <v>No</v>
      </c>
      <c r="Q229" t="str" cm="1">
        <f t="array" aca="1" ref="Q229" ca="1">INDEX(sheet2!$C$2:$C$6, RANDBETWEEN(1, 5))</f>
        <v>Communication Skills</v>
      </c>
      <c r="R229" t="str">
        <f t="shared" ca="1" si="35"/>
        <v>Completed</v>
      </c>
      <c r="S229">
        <f ca="1">Table1[[#This Row],[Hire Date]]-Table1[[#This Row],[Job Posting Date]]</f>
        <v>29</v>
      </c>
    </row>
    <row r="230" spans="1:19" x14ac:dyDescent="0.2">
      <c r="A230" t="str">
        <f t="shared" si="36"/>
        <v>EMP229</v>
      </c>
      <c r="B230" t="str">
        <f t="shared" ca="1" si="37"/>
        <v>Male</v>
      </c>
      <c r="C230" t="str" cm="1">
        <f t="array" aca="1" ref="C230" ca="1">INDEX(sheet2!$A$2:$A$6, RANDBETWEEN(1, 5))</f>
        <v>Sales</v>
      </c>
      <c r="D230" t="str">
        <f ca="1">_xlfn.XLOOKUP(Table1[[#This Row],[Department]],sheet2!$A$2:$A$6,sheet2!$B$2:$B$6,_xleta.NA,0)</f>
        <v>Marketing Manager</v>
      </c>
      <c r="E230" s="1">
        <f t="shared" ref="E230:E293" ca="1" si="43">DATE(RANDBETWEEN(2018, 2022), RANDBETWEEN(1, 12), RANDBETWEEN(1, 28))</f>
        <v>44672</v>
      </c>
      <c r="F230" s="1">
        <f ca="1">Table1[[#This Row],[Job Posting Date]]+ RANDBETWEEN(15, 90)</f>
        <v>44741</v>
      </c>
      <c r="G230" s="1">
        <f ca="1">Table1[[#This Row],[Hire Date]]+ RANDBETWEEN(1, 15)</f>
        <v>44744</v>
      </c>
      <c r="H230" s="1" t="str">
        <f ca="1">IF(RAND() &lt; 0.5,  Table1[[#This Row],[Join Date]]+ RANDBETWEEN(30, TODAY()- Table1[[#This Row],[Join Date]]), "-")</f>
        <v>-</v>
      </c>
      <c r="I230" t="str">
        <f ca="1">IF(Table1[[#This Row],[Exit Date]]= "-", "Active", "Exited")</f>
        <v>Active</v>
      </c>
      <c r="J230" s="5">
        <f t="shared" ref="J230:J293" ca="1" si="44">RANDBETWEEN(1500, 5000)</f>
        <v>4415</v>
      </c>
      <c r="K230">
        <f ca="1">Table1[[#This Row],[Offers Made]]*2</f>
        <v>14</v>
      </c>
      <c r="L230">
        <f t="shared" ca="1" si="38"/>
        <v>7</v>
      </c>
      <c r="M230">
        <f t="shared" ca="1" si="39"/>
        <v>6</v>
      </c>
      <c r="N230" t="str">
        <f t="shared" ca="1" si="40"/>
        <v>Employee Referrals</v>
      </c>
      <c r="O230">
        <f t="shared" ca="1" si="41"/>
        <v>5</v>
      </c>
      <c r="P230" t="str">
        <f t="shared" ca="1" si="42"/>
        <v>Yes</v>
      </c>
      <c r="Q230" t="str" cm="1">
        <f t="array" aca="1" ref="Q230" ca="1">INDEX(sheet2!$C$2:$C$6, RANDBETWEEN(1, 5))</f>
        <v>Leadership Development</v>
      </c>
      <c r="R230" t="str">
        <f t="shared" ref="R230:R293" ca="1" si="45">IF(RAND() &lt; 0.7, "Completed", "Not Completed")</f>
        <v>Not Completed</v>
      </c>
      <c r="S230">
        <f ca="1">Table1[[#This Row],[Hire Date]]-Table1[[#This Row],[Job Posting Date]]</f>
        <v>69</v>
      </c>
    </row>
    <row r="231" spans="1:19" x14ac:dyDescent="0.2">
      <c r="A231" t="str">
        <f t="shared" si="36"/>
        <v>EMP230</v>
      </c>
      <c r="B231" t="str">
        <f t="shared" ca="1" si="37"/>
        <v>Female</v>
      </c>
      <c r="C231" t="str" cm="1">
        <f t="array" aca="1" ref="C231" ca="1">INDEX(sheet2!$A$2:$A$6, RANDBETWEEN(1, 5))</f>
        <v>Finance</v>
      </c>
      <c r="D231" t="str">
        <f ca="1">_xlfn.XLOOKUP(Table1[[#This Row],[Department]],sheet2!$A$2:$A$6,sheet2!$B$2:$B$6,_xleta.NA,0)</f>
        <v>Finance Manager</v>
      </c>
      <c r="E231" s="1">
        <f t="shared" ca="1" si="43"/>
        <v>44070</v>
      </c>
      <c r="F231" s="1">
        <f ca="1">Table1[[#This Row],[Job Posting Date]]+ RANDBETWEEN(15, 90)</f>
        <v>44136</v>
      </c>
      <c r="G231" s="1">
        <f ca="1">Table1[[#This Row],[Hire Date]]+ RANDBETWEEN(1, 15)</f>
        <v>44143</v>
      </c>
      <c r="H231" s="1">
        <f ca="1">IF(RAND() &lt; 0.5,  Table1[[#This Row],[Join Date]]+ RANDBETWEEN(30, TODAY()- Table1[[#This Row],[Join Date]]), "-")</f>
        <v>45284</v>
      </c>
      <c r="I231" t="str">
        <f ca="1">IF(Table1[[#This Row],[Exit Date]]= "-", "Active", "Exited")</f>
        <v>Exited</v>
      </c>
      <c r="J231" s="5">
        <f t="shared" ca="1" si="44"/>
        <v>2724</v>
      </c>
      <c r="K231">
        <f ca="1">Table1[[#This Row],[Offers Made]]*2</f>
        <v>14</v>
      </c>
      <c r="L231">
        <f t="shared" ca="1" si="38"/>
        <v>7</v>
      </c>
      <c r="M231">
        <f t="shared" ca="1" si="39"/>
        <v>5</v>
      </c>
      <c r="N231" t="str">
        <f t="shared" ca="1" si="40"/>
        <v>Direct Hiring</v>
      </c>
      <c r="O231">
        <f t="shared" ca="1" si="41"/>
        <v>3</v>
      </c>
      <c r="P231" t="str">
        <f t="shared" ca="1" si="42"/>
        <v>No</v>
      </c>
      <c r="Q231" t="str" cm="1">
        <f t="array" aca="1" ref="Q231" ca="1">INDEX(sheet2!$C$2:$C$6, RANDBETWEEN(1, 5))</f>
        <v>Advanced Excel Skills </v>
      </c>
      <c r="R231" t="str">
        <f t="shared" ca="1" si="45"/>
        <v>Completed</v>
      </c>
      <c r="S231">
        <f ca="1">Table1[[#This Row],[Hire Date]]-Table1[[#This Row],[Job Posting Date]]</f>
        <v>66</v>
      </c>
    </row>
    <row r="232" spans="1:19" x14ac:dyDescent="0.2">
      <c r="A232" t="str">
        <f t="shared" si="36"/>
        <v>EMP231</v>
      </c>
      <c r="B232" t="str">
        <f t="shared" ca="1" si="37"/>
        <v>Male</v>
      </c>
      <c r="C232" t="str" cm="1">
        <f t="array" aca="1" ref="C232" ca="1">INDEX(sheet2!$A$2:$A$6, RANDBETWEEN(1, 5))</f>
        <v>Finance</v>
      </c>
      <c r="D232" t="str">
        <f ca="1">_xlfn.XLOOKUP(Table1[[#This Row],[Department]],sheet2!$A$2:$A$6,sheet2!$B$2:$B$6,_xleta.NA,0)</f>
        <v>Finance Manager</v>
      </c>
      <c r="E232" s="1">
        <f t="shared" ca="1" si="43"/>
        <v>43354</v>
      </c>
      <c r="F232" s="1">
        <f ca="1">Table1[[#This Row],[Job Posting Date]]+ RANDBETWEEN(15, 90)</f>
        <v>43426</v>
      </c>
      <c r="G232" s="1">
        <f ca="1">Table1[[#This Row],[Hire Date]]+ RANDBETWEEN(1, 15)</f>
        <v>43439</v>
      </c>
      <c r="H232" s="1">
        <f ca="1">IF(RAND() &lt; 0.5,  Table1[[#This Row],[Join Date]]+ RANDBETWEEN(30, TODAY()- Table1[[#This Row],[Join Date]]), "-")</f>
        <v>44229</v>
      </c>
      <c r="I232" t="str">
        <f ca="1">IF(Table1[[#This Row],[Exit Date]]= "-", "Active", "Exited")</f>
        <v>Exited</v>
      </c>
      <c r="J232" s="5">
        <f t="shared" ca="1" si="44"/>
        <v>2261</v>
      </c>
      <c r="K232">
        <f ca="1">Table1[[#This Row],[Offers Made]]*2</f>
        <v>10</v>
      </c>
      <c r="L232">
        <f t="shared" ca="1" si="38"/>
        <v>5</v>
      </c>
      <c r="M232">
        <f t="shared" ca="1" si="39"/>
        <v>2</v>
      </c>
      <c r="N232" t="str">
        <f t="shared" ca="1" si="40"/>
        <v>Job Portals</v>
      </c>
      <c r="O232">
        <f t="shared" ca="1" si="41"/>
        <v>5</v>
      </c>
      <c r="P232" t="str">
        <f t="shared" ca="1" si="42"/>
        <v>Yes</v>
      </c>
      <c r="Q232" t="str" cm="1">
        <f t="array" aca="1" ref="Q232" ca="1">INDEX(sheet2!$C$2:$C$6, RANDBETWEEN(1, 5))</f>
        <v>Communication Skills</v>
      </c>
      <c r="R232" t="str">
        <f t="shared" ca="1" si="45"/>
        <v>Completed</v>
      </c>
      <c r="S232">
        <f ca="1">Table1[[#This Row],[Hire Date]]-Table1[[#This Row],[Job Posting Date]]</f>
        <v>72</v>
      </c>
    </row>
    <row r="233" spans="1:19" x14ac:dyDescent="0.2">
      <c r="A233" t="str">
        <f t="shared" si="36"/>
        <v>EMP232</v>
      </c>
      <c r="B233" t="str">
        <f t="shared" ca="1" si="37"/>
        <v>Male</v>
      </c>
      <c r="C233" t="str" cm="1">
        <f t="array" aca="1" ref="C233" ca="1">INDEX(sheet2!$A$2:$A$6, RANDBETWEEN(1, 5))</f>
        <v>Sales</v>
      </c>
      <c r="D233" t="str">
        <f ca="1">_xlfn.XLOOKUP(Table1[[#This Row],[Department]],sheet2!$A$2:$A$6,sheet2!$B$2:$B$6,_xleta.NA,0)</f>
        <v>Marketing Manager</v>
      </c>
      <c r="E233" s="1">
        <f t="shared" ca="1" si="43"/>
        <v>44522</v>
      </c>
      <c r="F233" s="1">
        <f ca="1">Table1[[#This Row],[Job Posting Date]]+ RANDBETWEEN(15, 90)</f>
        <v>44545</v>
      </c>
      <c r="G233" s="1">
        <f ca="1">Table1[[#This Row],[Hire Date]]+ RANDBETWEEN(1, 15)</f>
        <v>44547</v>
      </c>
      <c r="H233" s="1">
        <f ca="1">IF(RAND() &lt; 0.5,  Table1[[#This Row],[Join Date]]+ RANDBETWEEN(30, TODAY()- Table1[[#This Row],[Join Date]]), "-")</f>
        <v>45411</v>
      </c>
      <c r="I233" t="str">
        <f ca="1">IF(Table1[[#This Row],[Exit Date]]= "-", "Active", "Exited")</f>
        <v>Exited</v>
      </c>
      <c r="J233" s="5">
        <f t="shared" ca="1" si="44"/>
        <v>4167</v>
      </c>
      <c r="K233">
        <f ca="1">Table1[[#This Row],[Offers Made]]*2</f>
        <v>16</v>
      </c>
      <c r="L233">
        <f t="shared" ca="1" si="38"/>
        <v>8</v>
      </c>
      <c r="M233">
        <f t="shared" ca="1" si="39"/>
        <v>2</v>
      </c>
      <c r="N233" t="str">
        <f t="shared" ca="1" si="40"/>
        <v>Campus Placements</v>
      </c>
      <c r="O233">
        <f t="shared" ca="1" si="41"/>
        <v>4</v>
      </c>
      <c r="P233" t="str">
        <f t="shared" ca="1" si="42"/>
        <v>No</v>
      </c>
      <c r="Q233" t="str" cm="1">
        <f t="array" aca="1" ref="Q233" ca="1">INDEX(sheet2!$C$2:$C$6, RANDBETWEEN(1, 5))</f>
        <v>Conflict Resolution</v>
      </c>
      <c r="R233" t="str">
        <f t="shared" ca="1" si="45"/>
        <v>Not Completed</v>
      </c>
      <c r="S233">
        <f ca="1">Table1[[#This Row],[Hire Date]]-Table1[[#This Row],[Job Posting Date]]</f>
        <v>23</v>
      </c>
    </row>
    <row r="234" spans="1:19" x14ac:dyDescent="0.2">
      <c r="A234" t="str">
        <f t="shared" si="36"/>
        <v>EMP233</v>
      </c>
      <c r="B234" t="str">
        <f t="shared" ca="1" si="37"/>
        <v>Female</v>
      </c>
      <c r="C234" t="str" cm="1">
        <f t="array" aca="1" ref="C234" ca="1">INDEX(sheet2!$A$2:$A$6, RANDBETWEEN(1, 5))</f>
        <v>Analytics</v>
      </c>
      <c r="D234" t="str">
        <f ca="1">_xlfn.XLOOKUP(Table1[[#This Row],[Department]],sheet2!$A$2:$A$6,sheet2!$B$2:$B$6,_xleta.NA,0)</f>
        <v>Data Analyst</v>
      </c>
      <c r="E234" s="1">
        <f t="shared" ca="1" si="43"/>
        <v>43344</v>
      </c>
      <c r="F234" s="1">
        <f ca="1">Table1[[#This Row],[Job Posting Date]]+ RANDBETWEEN(15, 90)</f>
        <v>43417</v>
      </c>
      <c r="G234" s="1">
        <f ca="1">Table1[[#This Row],[Hire Date]]+ RANDBETWEEN(1, 15)</f>
        <v>43428</v>
      </c>
      <c r="H234" s="1" t="str">
        <f ca="1">IF(RAND() &lt; 0.5,  Table1[[#This Row],[Join Date]]+ RANDBETWEEN(30, TODAY()- Table1[[#This Row],[Join Date]]), "-")</f>
        <v>-</v>
      </c>
      <c r="I234" t="str">
        <f ca="1">IF(Table1[[#This Row],[Exit Date]]= "-", "Active", "Exited")</f>
        <v>Active</v>
      </c>
      <c r="J234" s="5">
        <f t="shared" ca="1" si="44"/>
        <v>2540</v>
      </c>
      <c r="K234">
        <f ca="1">Table1[[#This Row],[Offers Made]]*2</f>
        <v>12</v>
      </c>
      <c r="L234">
        <f t="shared" ca="1" si="38"/>
        <v>6</v>
      </c>
      <c r="M234">
        <f t="shared" ca="1" si="39"/>
        <v>1</v>
      </c>
      <c r="N234" t="str">
        <f t="shared" ca="1" si="40"/>
        <v>Employee Referrals</v>
      </c>
      <c r="O234">
        <f t="shared" ca="1" si="41"/>
        <v>2</v>
      </c>
      <c r="P234" t="str">
        <f t="shared" ca="1" si="42"/>
        <v>Yes</v>
      </c>
      <c r="Q234" t="str" cm="1">
        <f t="array" aca="1" ref="Q234" ca="1">INDEX(sheet2!$C$2:$C$6, RANDBETWEEN(1, 5))</f>
        <v>Advanced Excel Skills </v>
      </c>
      <c r="R234" t="str">
        <f t="shared" ca="1" si="45"/>
        <v>Completed</v>
      </c>
      <c r="S234">
        <f ca="1">Table1[[#This Row],[Hire Date]]-Table1[[#This Row],[Job Posting Date]]</f>
        <v>73</v>
      </c>
    </row>
    <row r="235" spans="1:19" x14ac:dyDescent="0.2">
      <c r="A235" t="str">
        <f t="shared" si="36"/>
        <v>EMP234</v>
      </c>
      <c r="B235" t="str">
        <f t="shared" ca="1" si="37"/>
        <v>Male</v>
      </c>
      <c r="C235" t="str" cm="1">
        <f t="array" aca="1" ref="C235" ca="1">INDEX(sheet2!$A$2:$A$6, RANDBETWEEN(1, 5))</f>
        <v>Analytics</v>
      </c>
      <c r="D235" t="str">
        <f ca="1">_xlfn.XLOOKUP(Table1[[#This Row],[Department]],sheet2!$A$2:$A$6,sheet2!$B$2:$B$6,_xleta.NA,0)</f>
        <v>Data Analyst</v>
      </c>
      <c r="E235" s="1">
        <f t="shared" ca="1" si="43"/>
        <v>44020</v>
      </c>
      <c r="F235" s="1">
        <f ca="1">Table1[[#This Row],[Job Posting Date]]+ RANDBETWEEN(15, 90)</f>
        <v>44068</v>
      </c>
      <c r="G235" s="1">
        <f ca="1">Table1[[#This Row],[Hire Date]]+ RANDBETWEEN(1, 15)</f>
        <v>44079</v>
      </c>
      <c r="H235" s="1" t="str">
        <f ca="1">IF(RAND() &lt; 0.5,  Table1[[#This Row],[Join Date]]+ RANDBETWEEN(30, TODAY()- Table1[[#This Row],[Join Date]]), "-")</f>
        <v>-</v>
      </c>
      <c r="I235" t="str">
        <f ca="1">IF(Table1[[#This Row],[Exit Date]]= "-", "Active", "Exited")</f>
        <v>Active</v>
      </c>
      <c r="J235" s="5">
        <f t="shared" ca="1" si="44"/>
        <v>2628</v>
      </c>
      <c r="K235">
        <f ca="1">Table1[[#This Row],[Offers Made]]*2</f>
        <v>8</v>
      </c>
      <c r="L235">
        <f t="shared" ca="1" si="38"/>
        <v>4</v>
      </c>
      <c r="M235">
        <f t="shared" ca="1" si="39"/>
        <v>1</v>
      </c>
      <c r="N235" t="str">
        <f t="shared" ca="1" si="40"/>
        <v>Direct Hiring</v>
      </c>
      <c r="O235">
        <f t="shared" ca="1" si="41"/>
        <v>3</v>
      </c>
      <c r="P235" t="str">
        <f t="shared" ca="1" si="42"/>
        <v>Yes</v>
      </c>
      <c r="Q235" t="str" cm="1">
        <f t="array" aca="1" ref="Q235" ca="1">INDEX(sheet2!$C$2:$C$6, RANDBETWEEN(1, 5))</f>
        <v>Advanced Excel Skills </v>
      </c>
      <c r="R235" t="str">
        <f t="shared" ca="1" si="45"/>
        <v>Completed</v>
      </c>
      <c r="S235">
        <f ca="1">Table1[[#This Row],[Hire Date]]-Table1[[#This Row],[Job Posting Date]]</f>
        <v>48</v>
      </c>
    </row>
    <row r="236" spans="1:19" x14ac:dyDescent="0.2">
      <c r="A236" t="str">
        <f t="shared" si="36"/>
        <v>EMP235</v>
      </c>
      <c r="B236" t="str">
        <f t="shared" ca="1" si="37"/>
        <v>Male</v>
      </c>
      <c r="C236" t="str" cm="1">
        <f t="array" aca="1" ref="C236" ca="1">INDEX(sheet2!$A$2:$A$6, RANDBETWEEN(1, 5))</f>
        <v>Finance</v>
      </c>
      <c r="D236" t="str">
        <f ca="1">_xlfn.XLOOKUP(Table1[[#This Row],[Department]],sheet2!$A$2:$A$6,sheet2!$B$2:$B$6,_xleta.NA,0)</f>
        <v>Finance Manager</v>
      </c>
      <c r="E236" s="1">
        <f t="shared" ca="1" si="43"/>
        <v>43987</v>
      </c>
      <c r="F236" s="1">
        <f ca="1">Table1[[#This Row],[Job Posting Date]]+ RANDBETWEEN(15, 90)</f>
        <v>44061</v>
      </c>
      <c r="G236" s="1">
        <f ca="1">Table1[[#This Row],[Hire Date]]+ RANDBETWEEN(1, 15)</f>
        <v>44066</v>
      </c>
      <c r="H236" s="1">
        <f ca="1">IF(RAND() &lt; 0.5,  Table1[[#This Row],[Join Date]]+ RANDBETWEEN(30, TODAY()- Table1[[#This Row],[Join Date]]), "-")</f>
        <v>45244</v>
      </c>
      <c r="I236" t="str">
        <f ca="1">IF(Table1[[#This Row],[Exit Date]]= "-", "Active", "Exited")</f>
        <v>Exited</v>
      </c>
      <c r="J236" s="5">
        <f t="shared" ca="1" si="44"/>
        <v>4309</v>
      </c>
      <c r="K236">
        <f ca="1">Table1[[#This Row],[Offers Made]]*2</f>
        <v>12</v>
      </c>
      <c r="L236">
        <f t="shared" ca="1" si="38"/>
        <v>6</v>
      </c>
      <c r="M236">
        <f t="shared" ca="1" si="39"/>
        <v>3</v>
      </c>
      <c r="N236" t="str">
        <f t="shared" ca="1" si="40"/>
        <v>Employee Referrals</v>
      </c>
      <c r="O236">
        <f t="shared" ca="1" si="41"/>
        <v>1</v>
      </c>
      <c r="P236" t="str">
        <f t="shared" ca="1" si="42"/>
        <v>No</v>
      </c>
      <c r="Q236" t="str" cm="1">
        <f t="array" aca="1" ref="Q236" ca="1">INDEX(sheet2!$C$2:$C$6, RANDBETWEEN(1, 5))</f>
        <v>Ethics and Responsibilities</v>
      </c>
      <c r="R236" t="str">
        <f t="shared" ca="1" si="45"/>
        <v>Not Completed</v>
      </c>
      <c r="S236">
        <f ca="1">Table1[[#This Row],[Hire Date]]-Table1[[#This Row],[Job Posting Date]]</f>
        <v>74</v>
      </c>
    </row>
    <row r="237" spans="1:19" x14ac:dyDescent="0.2">
      <c r="A237" t="str">
        <f t="shared" si="36"/>
        <v>EMP236</v>
      </c>
      <c r="B237" t="str">
        <f t="shared" ca="1" si="37"/>
        <v>Male</v>
      </c>
      <c r="C237" t="str" cm="1">
        <f t="array" aca="1" ref="C237" ca="1">INDEX(sheet2!$A$2:$A$6, RANDBETWEEN(1, 5))</f>
        <v>Finance</v>
      </c>
      <c r="D237" t="str">
        <f ca="1">_xlfn.XLOOKUP(Table1[[#This Row],[Department]],sheet2!$A$2:$A$6,sheet2!$B$2:$B$6,_xleta.NA,0)</f>
        <v>Finance Manager</v>
      </c>
      <c r="E237" s="1">
        <f t="shared" ca="1" si="43"/>
        <v>43956</v>
      </c>
      <c r="F237" s="1">
        <f ca="1">Table1[[#This Row],[Job Posting Date]]+ RANDBETWEEN(15, 90)</f>
        <v>44007</v>
      </c>
      <c r="G237" s="1">
        <f ca="1">Table1[[#This Row],[Hire Date]]+ RANDBETWEEN(1, 15)</f>
        <v>44020</v>
      </c>
      <c r="H237" s="1">
        <f ca="1">IF(RAND() &lt; 0.5,  Table1[[#This Row],[Join Date]]+ RANDBETWEEN(30, TODAY()- Table1[[#This Row],[Join Date]]), "-")</f>
        <v>45443</v>
      </c>
      <c r="I237" t="str">
        <f ca="1">IF(Table1[[#This Row],[Exit Date]]= "-", "Active", "Exited")</f>
        <v>Exited</v>
      </c>
      <c r="J237" s="5">
        <f t="shared" ca="1" si="44"/>
        <v>4599</v>
      </c>
      <c r="K237">
        <f ca="1">Table1[[#This Row],[Offers Made]]*2</f>
        <v>6</v>
      </c>
      <c r="L237">
        <f t="shared" ca="1" si="38"/>
        <v>3</v>
      </c>
      <c r="M237">
        <f t="shared" ca="1" si="39"/>
        <v>2</v>
      </c>
      <c r="N237" t="str">
        <f t="shared" ca="1" si="40"/>
        <v>Direct Hiring</v>
      </c>
      <c r="O237">
        <f t="shared" ca="1" si="41"/>
        <v>3</v>
      </c>
      <c r="P237" t="str">
        <f t="shared" ca="1" si="42"/>
        <v>No</v>
      </c>
      <c r="Q237" t="str" cm="1">
        <f t="array" aca="1" ref="Q237" ca="1">INDEX(sheet2!$C$2:$C$6, RANDBETWEEN(1, 5))</f>
        <v>Communication Skills</v>
      </c>
      <c r="R237" t="str">
        <f t="shared" ca="1" si="45"/>
        <v>Completed</v>
      </c>
      <c r="S237">
        <f ca="1">Table1[[#This Row],[Hire Date]]-Table1[[#This Row],[Job Posting Date]]</f>
        <v>51</v>
      </c>
    </row>
    <row r="238" spans="1:19" x14ac:dyDescent="0.2">
      <c r="A238" t="str">
        <f t="shared" si="36"/>
        <v>EMP237</v>
      </c>
      <c r="B238" t="str">
        <f t="shared" ca="1" si="37"/>
        <v>Female</v>
      </c>
      <c r="C238" t="str" cm="1">
        <f t="array" aca="1" ref="C238" ca="1">INDEX(sheet2!$A$2:$A$6, RANDBETWEEN(1, 5))</f>
        <v>IT</v>
      </c>
      <c r="D238" t="str">
        <f ca="1">_xlfn.XLOOKUP(Table1[[#This Row],[Department]],sheet2!$A$2:$A$6,sheet2!$B$2:$B$6,_xleta.NA,0)</f>
        <v>Software Engineer</v>
      </c>
      <c r="E238" s="1">
        <f t="shared" ca="1" si="43"/>
        <v>44625</v>
      </c>
      <c r="F238" s="1">
        <f ca="1">Table1[[#This Row],[Job Posting Date]]+ RANDBETWEEN(15, 90)</f>
        <v>44642</v>
      </c>
      <c r="G238" s="1">
        <f ca="1">Table1[[#This Row],[Hire Date]]+ RANDBETWEEN(1, 15)</f>
        <v>44656</v>
      </c>
      <c r="H238" s="1" t="str">
        <f ca="1">IF(RAND() &lt; 0.5,  Table1[[#This Row],[Join Date]]+ RANDBETWEEN(30, TODAY()- Table1[[#This Row],[Join Date]]), "-")</f>
        <v>-</v>
      </c>
      <c r="I238" t="str">
        <f ca="1">IF(Table1[[#This Row],[Exit Date]]= "-", "Active", "Exited")</f>
        <v>Active</v>
      </c>
      <c r="J238" s="5">
        <f t="shared" ca="1" si="44"/>
        <v>4242</v>
      </c>
      <c r="K238">
        <f ca="1">Table1[[#This Row],[Offers Made]]*2</f>
        <v>8</v>
      </c>
      <c r="L238">
        <f t="shared" ca="1" si="38"/>
        <v>4</v>
      </c>
      <c r="M238">
        <f t="shared" ca="1" si="39"/>
        <v>3</v>
      </c>
      <c r="N238" t="str">
        <f t="shared" ca="1" si="40"/>
        <v>Employee Referrals</v>
      </c>
      <c r="O238">
        <f t="shared" ca="1" si="41"/>
        <v>1</v>
      </c>
      <c r="P238" t="str">
        <f t="shared" ca="1" si="42"/>
        <v>No</v>
      </c>
      <c r="Q238" t="str" cm="1">
        <f t="array" aca="1" ref="Q238" ca="1">INDEX(sheet2!$C$2:$C$6, RANDBETWEEN(1, 5))</f>
        <v>Ethics and Responsibilities</v>
      </c>
      <c r="R238" t="str">
        <f t="shared" ca="1" si="45"/>
        <v>Completed</v>
      </c>
      <c r="S238">
        <f ca="1">Table1[[#This Row],[Hire Date]]-Table1[[#This Row],[Job Posting Date]]</f>
        <v>17</v>
      </c>
    </row>
    <row r="239" spans="1:19" x14ac:dyDescent="0.2">
      <c r="A239" t="str">
        <f t="shared" si="36"/>
        <v>EMP238</v>
      </c>
      <c r="B239" t="str">
        <f t="shared" ca="1" si="37"/>
        <v>Male</v>
      </c>
      <c r="C239" t="str" cm="1">
        <f t="array" aca="1" ref="C239" ca="1">INDEX(sheet2!$A$2:$A$6, RANDBETWEEN(1, 5))</f>
        <v>IT</v>
      </c>
      <c r="D239" t="str">
        <f ca="1">_xlfn.XLOOKUP(Table1[[#This Row],[Department]],sheet2!$A$2:$A$6,sheet2!$B$2:$B$6,_xleta.NA,0)</f>
        <v>Software Engineer</v>
      </c>
      <c r="E239" s="1">
        <f t="shared" ca="1" si="43"/>
        <v>43407</v>
      </c>
      <c r="F239" s="1">
        <f ca="1">Table1[[#This Row],[Job Posting Date]]+ RANDBETWEEN(15, 90)</f>
        <v>43422</v>
      </c>
      <c r="G239" s="1">
        <f ca="1">Table1[[#This Row],[Hire Date]]+ RANDBETWEEN(1, 15)</f>
        <v>43435</v>
      </c>
      <c r="H239" s="1">
        <f ca="1">IF(RAND() &lt; 0.5,  Table1[[#This Row],[Join Date]]+ RANDBETWEEN(30, TODAY()- Table1[[#This Row],[Join Date]]), "-")</f>
        <v>44453</v>
      </c>
      <c r="I239" t="str">
        <f ca="1">IF(Table1[[#This Row],[Exit Date]]= "-", "Active", "Exited")</f>
        <v>Exited</v>
      </c>
      <c r="J239" s="5">
        <f t="shared" ca="1" si="44"/>
        <v>3820</v>
      </c>
      <c r="K239">
        <f ca="1">Table1[[#This Row],[Offers Made]]*2</f>
        <v>10</v>
      </c>
      <c r="L239">
        <f t="shared" ca="1" si="38"/>
        <v>5</v>
      </c>
      <c r="M239">
        <f t="shared" ca="1" si="39"/>
        <v>3</v>
      </c>
      <c r="N239" t="str">
        <f t="shared" ca="1" si="40"/>
        <v>Direct Hiring</v>
      </c>
      <c r="O239">
        <f t="shared" ca="1" si="41"/>
        <v>4</v>
      </c>
      <c r="P239" t="str">
        <f t="shared" ca="1" si="42"/>
        <v>Yes</v>
      </c>
      <c r="Q239" t="str" cm="1">
        <f t="array" aca="1" ref="Q239" ca="1">INDEX(sheet2!$C$2:$C$6, RANDBETWEEN(1, 5))</f>
        <v>Leadership Development</v>
      </c>
      <c r="R239" t="str">
        <f t="shared" ca="1" si="45"/>
        <v>Completed</v>
      </c>
      <c r="S239">
        <f ca="1">Table1[[#This Row],[Hire Date]]-Table1[[#This Row],[Job Posting Date]]</f>
        <v>15</v>
      </c>
    </row>
    <row r="240" spans="1:19" x14ac:dyDescent="0.2">
      <c r="A240" t="str">
        <f t="shared" si="36"/>
        <v>EMP239</v>
      </c>
      <c r="B240" t="str">
        <f t="shared" ca="1" si="37"/>
        <v>Female</v>
      </c>
      <c r="C240" t="str" cm="1">
        <f t="array" aca="1" ref="C240" ca="1">INDEX(sheet2!$A$2:$A$6, RANDBETWEEN(1, 5))</f>
        <v>Analytics</v>
      </c>
      <c r="D240" t="str">
        <f ca="1">_xlfn.XLOOKUP(Table1[[#This Row],[Department]],sheet2!$A$2:$A$6,sheet2!$B$2:$B$6,_xleta.NA,0)</f>
        <v>Data Analyst</v>
      </c>
      <c r="E240" s="1">
        <f t="shared" ca="1" si="43"/>
        <v>44002</v>
      </c>
      <c r="F240" s="1">
        <f ca="1">Table1[[#This Row],[Job Posting Date]]+ RANDBETWEEN(15, 90)</f>
        <v>44054</v>
      </c>
      <c r="G240" s="1">
        <f ca="1">Table1[[#This Row],[Hire Date]]+ RANDBETWEEN(1, 15)</f>
        <v>44067</v>
      </c>
      <c r="H240" s="1" t="str">
        <f ca="1">IF(RAND() &lt; 0.5,  Table1[[#This Row],[Join Date]]+ RANDBETWEEN(30, TODAY()- Table1[[#This Row],[Join Date]]), "-")</f>
        <v>-</v>
      </c>
      <c r="I240" t="str">
        <f ca="1">IF(Table1[[#This Row],[Exit Date]]= "-", "Active", "Exited")</f>
        <v>Active</v>
      </c>
      <c r="J240" s="5">
        <f t="shared" ca="1" si="44"/>
        <v>3094</v>
      </c>
      <c r="K240">
        <f ca="1">Table1[[#This Row],[Offers Made]]*2</f>
        <v>14</v>
      </c>
      <c r="L240">
        <f t="shared" ca="1" si="38"/>
        <v>7</v>
      </c>
      <c r="M240">
        <f t="shared" ca="1" si="39"/>
        <v>4</v>
      </c>
      <c r="N240" t="str">
        <f t="shared" ca="1" si="40"/>
        <v>Employee Referrals</v>
      </c>
      <c r="O240">
        <f t="shared" ca="1" si="41"/>
        <v>3</v>
      </c>
      <c r="P240" t="str">
        <f t="shared" ca="1" si="42"/>
        <v>No</v>
      </c>
      <c r="Q240" t="str" cm="1">
        <f t="array" aca="1" ref="Q240" ca="1">INDEX(sheet2!$C$2:$C$6, RANDBETWEEN(1, 5))</f>
        <v>Advanced Excel Skills </v>
      </c>
      <c r="R240" t="str">
        <f t="shared" ca="1" si="45"/>
        <v>Not Completed</v>
      </c>
      <c r="S240">
        <f ca="1">Table1[[#This Row],[Hire Date]]-Table1[[#This Row],[Job Posting Date]]</f>
        <v>52</v>
      </c>
    </row>
    <row r="241" spans="1:19" x14ac:dyDescent="0.2">
      <c r="A241" t="str">
        <f t="shared" si="36"/>
        <v>EMP240</v>
      </c>
      <c r="B241" t="str">
        <f t="shared" ca="1" si="37"/>
        <v>Female</v>
      </c>
      <c r="C241" t="str" cm="1">
        <f t="array" aca="1" ref="C241" ca="1">INDEX(sheet2!$A$2:$A$6, RANDBETWEEN(1, 5))</f>
        <v>Sales</v>
      </c>
      <c r="D241" t="str">
        <f ca="1">_xlfn.XLOOKUP(Table1[[#This Row],[Department]],sheet2!$A$2:$A$6,sheet2!$B$2:$B$6,_xleta.NA,0)</f>
        <v>Marketing Manager</v>
      </c>
      <c r="E241" s="1">
        <f t="shared" ca="1" si="43"/>
        <v>44887</v>
      </c>
      <c r="F241" s="1">
        <f ca="1">Table1[[#This Row],[Job Posting Date]]+ RANDBETWEEN(15, 90)</f>
        <v>44961</v>
      </c>
      <c r="G241" s="1">
        <f ca="1">Table1[[#This Row],[Hire Date]]+ RANDBETWEEN(1, 15)</f>
        <v>44976</v>
      </c>
      <c r="H241" s="1">
        <f ca="1">IF(RAND() &lt; 0.5,  Table1[[#This Row],[Join Date]]+ RANDBETWEEN(30, TODAY()- Table1[[#This Row],[Join Date]]), "-")</f>
        <v>45173</v>
      </c>
      <c r="I241" t="str">
        <f ca="1">IF(Table1[[#This Row],[Exit Date]]= "-", "Active", "Exited")</f>
        <v>Exited</v>
      </c>
      <c r="J241" s="5">
        <f t="shared" ca="1" si="44"/>
        <v>2611</v>
      </c>
      <c r="K241">
        <f ca="1">Table1[[#This Row],[Offers Made]]*2</f>
        <v>12</v>
      </c>
      <c r="L241">
        <f t="shared" ca="1" si="38"/>
        <v>6</v>
      </c>
      <c r="M241">
        <f t="shared" ca="1" si="39"/>
        <v>1</v>
      </c>
      <c r="N241" t="str">
        <f t="shared" ca="1" si="40"/>
        <v>Direct Hiring</v>
      </c>
      <c r="O241">
        <f t="shared" ca="1" si="41"/>
        <v>1</v>
      </c>
      <c r="P241" t="str">
        <f t="shared" ca="1" si="42"/>
        <v>Yes</v>
      </c>
      <c r="Q241" t="str" cm="1">
        <f t="array" aca="1" ref="Q241" ca="1">INDEX(sheet2!$C$2:$C$6, RANDBETWEEN(1, 5))</f>
        <v>Communication Skills</v>
      </c>
      <c r="R241" t="str">
        <f t="shared" ca="1" si="45"/>
        <v>Completed</v>
      </c>
      <c r="S241">
        <f ca="1">Table1[[#This Row],[Hire Date]]-Table1[[#This Row],[Job Posting Date]]</f>
        <v>74</v>
      </c>
    </row>
    <row r="242" spans="1:19" x14ac:dyDescent="0.2">
      <c r="A242" t="str">
        <f t="shared" si="36"/>
        <v>EMP241</v>
      </c>
      <c r="B242" t="str">
        <f t="shared" ca="1" si="37"/>
        <v>Female</v>
      </c>
      <c r="C242" t="str" cm="1">
        <f t="array" aca="1" ref="C242" ca="1">INDEX(sheet2!$A$2:$A$6, RANDBETWEEN(1, 5))</f>
        <v>Analytics</v>
      </c>
      <c r="D242" t="str">
        <f ca="1">_xlfn.XLOOKUP(Table1[[#This Row],[Department]],sheet2!$A$2:$A$6,sheet2!$B$2:$B$6,_xleta.NA,0)</f>
        <v>Data Analyst</v>
      </c>
      <c r="E242" s="1">
        <f t="shared" ca="1" si="43"/>
        <v>44086</v>
      </c>
      <c r="F242" s="1">
        <f ca="1">Table1[[#This Row],[Job Posting Date]]+ RANDBETWEEN(15, 90)</f>
        <v>44138</v>
      </c>
      <c r="G242" s="1">
        <f ca="1">Table1[[#This Row],[Hire Date]]+ RANDBETWEEN(1, 15)</f>
        <v>44150</v>
      </c>
      <c r="H242" s="1" t="str">
        <f ca="1">IF(RAND() &lt; 0.5,  Table1[[#This Row],[Join Date]]+ RANDBETWEEN(30, TODAY()- Table1[[#This Row],[Join Date]]), "-")</f>
        <v>-</v>
      </c>
      <c r="I242" t="str">
        <f ca="1">IF(Table1[[#This Row],[Exit Date]]= "-", "Active", "Exited")</f>
        <v>Active</v>
      </c>
      <c r="J242" s="5">
        <f t="shared" ca="1" si="44"/>
        <v>4501</v>
      </c>
      <c r="K242">
        <f ca="1">Table1[[#This Row],[Offers Made]]*2</f>
        <v>12</v>
      </c>
      <c r="L242">
        <f t="shared" ca="1" si="38"/>
        <v>6</v>
      </c>
      <c r="M242">
        <f t="shared" ca="1" si="39"/>
        <v>3</v>
      </c>
      <c r="N242" t="str">
        <f t="shared" ca="1" si="40"/>
        <v>Employee Referrals</v>
      </c>
      <c r="O242">
        <f t="shared" ca="1" si="41"/>
        <v>4</v>
      </c>
      <c r="P242" t="str">
        <f t="shared" ca="1" si="42"/>
        <v>Yes</v>
      </c>
      <c r="Q242" t="str" cm="1">
        <f t="array" aca="1" ref="Q242" ca="1">INDEX(sheet2!$C$2:$C$6, RANDBETWEEN(1, 5))</f>
        <v>Leadership Development</v>
      </c>
      <c r="R242" t="str">
        <f t="shared" ca="1" si="45"/>
        <v>Not Completed</v>
      </c>
      <c r="S242">
        <f ca="1">Table1[[#This Row],[Hire Date]]-Table1[[#This Row],[Job Posting Date]]</f>
        <v>52</v>
      </c>
    </row>
    <row r="243" spans="1:19" x14ac:dyDescent="0.2">
      <c r="A243" t="str">
        <f t="shared" si="36"/>
        <v>EMP242</v>
      </c>
      <c r="B243" t="str">
        <f t="shared" ca="1" si="37"/>
        <v>Female</v>
      </c>
      <c r="C243" t="str" cm="1">
        <f t="array" aca="1" ref="C243" ca="1">INDEX(sheet2!$A$2:$A$6, RANDBETWEEN(1, 5))</f>
        <v>IT</v>
      </c>
      <c r="D243" t="str">
        <f ca="1">_xlfn.XLOOKUP(Table1[[#This Row],[Department]],sheet2!$A$2:$A$6,sheet2!$B$2:$B$6,_xleta.NA,0)</f>
        <v>Software Engineer</v>
      </c>
      <c r="E243" s="1">
        <f t="shared" ca="1" si="43"/>
        <v>44544</v>
      </c>
      <c r="F243" s="1">
        <f ca="1">Table1[[#This Row],[Job Posting Date]]+ RANDBETWEEN(15, 90)</f>
        <v>44613</v>
      </c>
      <c r="G243" s="1">
        <f ca="1">Table1[[#This Row],[Hire Date]]+ RANDBETWEEN(1, 15)</f>
        <v>44627</v>
      </c>
      <c r="H243" s="1">
        <f ca="1">IF(RAND() &lt; 0.5,  Table1[[#This Row],[Join Date]]+ RANDBETWEEN(30, TODAY()- Table1[[#This Row],[Join Date]]), "-")</f>
        <v>45245</v>
      </c>
      <c r="I243" t="str">
        <f ca="1">IF(Table1[[#This Row],[Exit Date]]= "-", "Active", "Exited")</f>
        <v>Exited</v>
      </c>
      <c r="J243" s="5">
        <f t="shared" ca="1" si="44"/>
        <v>2680</v>
      </c>
      <c r="K243">
        <f ca="1">Table1[[#This Row],[Offers Made]]*2</f>
        <v>12</v>
      </c>
      <c r="L243">
        <f t="shared" ca="1" si="38"/>
        <v>6</v>
      </c>
      <c r="M243">
        <f t="shared" ca="1" si="39"/>
        <v>4</v>
      </c>
      <c r="N243" t="str">
        <f t="shared" ca="1" si="40"/>
        <v>Job Portals</v>
      </c>
      <c r="O243">
        <f t="shared" ca="1" si="41"/>
        <v>2</v>
      </c>
      <c r="P243" t="str">
        <f t="shared" ca="1" si="42"/>
        <v>Yes</v>
      </c>
      <c r="Q243" t="str" cm="1">
        <f t="array" aca="1" ref="Q243" ca="1">INDEX(sheet2!$C$2:$C$6, RANDBETWEEN(1, 5))</f>
        <v>Advanced Excel Skills </v>
      </c>
      <c r="R243" t="str">
        <f t="shared" ca="1" si="45"/>
        <v>Completed</v>
      </c>
      <c r="S243">
        <f ca="1">Table1[[#This Row],[Hire Date]]-Table1[[#This Row],[Job Posting Date]]</f>
        <v>69</v>
      </c>
    </row>
    <row r="244" spans="1:19" x14ac:dyDescent="0.2">
      <c r="A244" t="str">
        <f t="shared" si="36"/>
        <v>EMP243</v>
      </c>
      <c r="B244" t="str">
        <f t="shared" ca="1" si="37"/>
        <v>Female</v>
      </c>
      <c r="C244" t="str" cm="1">
        <f t="array" aca="1" ref="C244" ca="1">INDEX(sheet2!$A$2:$A$6, RANDBETWEEN(1, 5))</f>
        <v>Finance</v>
      </c>
      <c r="D244" t="str">
        <f ca="1">_xlfn.XLOOKUP(Table1[[#This Row],[Department]],sheet2!$A$2:$A$6,sheet2!$B$2:$B$6,_xleta.NA,0)</f>
        <v>Finance Manager</v>
      </c>
      <c r="E244" s="1">
        <f t="shared" ca="1" si="43"/>
        <v>44889</v>
      </c>
      <c r="F244" s="1">
        <f ca="1">Table1[[#This Row],[Job Posting Date]]+ RANDBETWEEN(15, 90)</f>
        <v>44943</v>
      </c>
      <c r="G244" s="1">
        <f ca="1">Table1[[#This Row],[Hire Date]]+ RANDBETWEEN(1, 15)</f>
        <v>44957</v>
      </c>
      <c r="H244" s="1">
        <f ca="1">IF(RAND() &lt; 0.5,  Table1[[#This Row],[Join Date]]+ RANDBETWEEN(30, TODAY()- Table1[[#This Row],[Join Date]]), "-")</f>
        <v>45557</v>
      </c>
      <c r="I244" t="str">
        <f ca="1">IF(Table1[[#This Row],[Exit Date]]= "-", "Active", "Exited")</f>
        <v>Exited</v>
      </c>
      <c r="J244" s="5">
        <f t="shared" ca="1" si="44"/>
        <v>2976</v>
      </c>
      <c r="K244">
        <f ca="1">Table1[[#This Row],[Offers Made]]*2</f>
        <v>10</v>
      </c>
      <c r="L244">
        <f t="shared" ca="1" si="38"/>
        <v>5</v>
      </c>
      <c r="M244">
        <f t="shared" ca="1" si="39"/>
        <v>2</v>
      </c>
      <c r="N244" t="str">
        <f t="shared" ca="1" si="40"/>
        <v>Employee Referrals</v>
      </c>
      <c r="O244">
        <f t="shared" ca="1" si="41"/>
        <v>1</v>
      </c>
      <c r="P244" t="str">
        <f t="shared" ca="1" si="42"/>
        <v>No</v>
      </c>
      <c r="Q244" t="str" cm="1">
        <f t="array" aca="1" ref="Q244" ca="1">INDEX(sheet2!$C$2:$C$6, RANDBETWEEN(1, 5))</f>
        <v>Conflict Resolution</v>
      </c>
      <c r="R244" t="str">
        <f t="shared" ca="1" si="45"/>
        <v>Completed</v>
      </c>
      <c r="S244">
        <f ca="1">Table1[[#This Row],[Hire Date]]-Table1[[#This Row],[Job Posting Date]]</f>
        <v>54</v>
      </c>
    </row>
    <row r="245" spans="1:19" x14ac:dyDescent="0.2">
      <c r="A245" t="str">
        <f t="shared" si="36"/>
        <v>EMP244</v>
      </c>
      <c r="B245" t="str">
        <f t="shared" ca="1" si="37"/>
        <v>Male</v>
      </c>
      <c r="C245" t="str" cm="1">
        <f t="array" aca="1" ref="C245" ca="1">INDEX(sheet2!$A$2:$A$6, RANDBETWEEN(1, 5))</f>
        <v>Finance</v>
      </c>
      <c r="D245" t="str">
        <f ca="1">_xlfn.XLOOKUP(Table1[[#This Row],[Department]],sheet2!$A$2:$A$6,sheet2!$B$2:$B$6,_xleta.NA,0)</f>
        <v>Finance Manager</v>
      </c>
      <c r="E245" s="1">
        <f t="shared" ca="1" si="43"/>
        <v>43923</v>
      </c>
      <c r="F245" s="1">
        <f ca="1">Table1[[#This Row],[Job Posting Date]]+ RANDBETWEEN(15, 90)</f>
        <v>43982</v>
      </c>
      <c r="G245" s="1">
        <f ca="1">Table1[[#This Row],[Hire Date]]+ RANDBETWEEN(1, 15)</f>
        <v>43983</v>
      </c>
      <c r="H245" s="1" t="str">
        <f ca="1">IF(RAND() &lt; 0.5,  Table1[[#This Row],[Join Date]]+ RANDBETWEEN(30, TODAY()- Table1[[#This Row],[Join Date]]), "-")</f>
        <v>-</v>
      </c>
      <c r="I245" t="str">
        <f ca="1">IF(Table1[[#This Row],[Exit Date]]= "-", "Active", "Exited")</f>
        <v>Active</v>
      </c>
      <c r="J245" s="5">
        <f t="shared" ca="1" si="44"/>
        <v>2166</v>
      </c>
      <c r="K245">
        <f ca="1">Table1[[#This Row],[Offers Made]]*2</f>
        <v>10</v>
      </c>
      <c r="L245">
        <f t="shared" ca="1" si="38"/>
        <v>5</v>
      </c>
      <c r="M245">
        <f t="shared" ca="1" si="39"/>
        <v>4</v>
      </c>
      <c r="N245" t="str">
        <f t="shared" ca="1" si="40"/>
        <v>Employee Referrals</v>
      </c>
      <c r="O245">
        <f t="shared" ca="1" si="41"/>
        <v>1</v>
      </c>
      <c r="P245" t="str">
        <f t="shared" ca="1" si="42"/>
        <v>No</v>
      </c>
      <c r="Q245" t="str" cm="1">
        <f t="array" aca="1" ref="Q245" ca="1">INDEX(sheet2!$C$2:$C$6, RANDBETWEEN(1, 5))</f>
        <v>Ethics and Responsibilities</v>
      </c>
      <c r="R245" t="str">
        <f t="shared" ca="1" si="45"/>
        <v>Completed</v>
      </c>
      <c r="S245">
        <f ca="1">Table1[[#This Row],[Hire Date]]-Table1[[#This Row],[Job Posting Date]]</f>
        <v>59</v>
      </c>
    </row>
    <row r="246" spans="1:19" x14ac:dyDescent="0.2">
      <c r="A246" t="str">
        <f t="shared" si="36"/>
        <v>EMP245</v>
      </c>
      <c r="B246" t="str">
        <f t="shared" ca="1" si="37"/>
        <v>Male</v>
      </c>
      <c r="C246" t="str" cm="1">
        <f t="array" aca="1" ref="C246" ca="1">INDEX(sheet2!$A$2:$A$6, RANDBETWEEN(1, 5))</f>
        <v>Finance</v>
      </c>
      <c r="D246" t="str">
        <f ca="1">_xlfn.XLOOKUP(Table1[[#This Row],[Department]],sheet2!$A$2:$A$6,sheet2!$B$2:$B$6,_xleta.NA,0)</f>
        <v>Finance Manager</v>
      </c>
      <c r="E246" s="1">
        <f t="shared" ca="1" si="43"/>
        <v>43841</v>
      </c>
      <c r="F246" s="1">
        <f ca="1">Table1[[#This Row],[Job Posting Date]]+ RANDBETWEEN(15, 90)</f>
        <v>43891</v>
      </c>
      <c r="G246" s="1">
        <f ca="1">Table1[[#This Row],[Hire Date]]+ RANDBETWEEN(1, 15)</f>
        <v>43902</v>
      </c>
      <c r="H246" s="1" t="str">
        <f ca="1">IF(RAND() &lt; 0.5,  Table1[[#This Row],[Join Date]]+ RANDBETWEEN(30, TODAY()- Table1[[#This Row],[Join Date]]), "-")</f>
        <v>-</v>
      </c>
      <c r="I246" t="str">
        <f ca="1">IF(Table1[[#This Row],[Exit Date]]= "-", "Active", "Exited")</f>
        <v>Active</v>
      </c>
      <c r="J246" s="5">
        <f t="shared" ca="1" si="44"/>
        <v>4657</v>
      </c>
      <c r="K246">
        <f ca="1">Table1[[#This Row],[Offers Made]]*2</f>
        <v>8</v>
      </c>
      <c r="L246">
        <f t="shared" ca="1" si="38"/>
        <v>4</v>
      </c>
      <c r="M246">
        <f t="shared" ca="1" si="39"/>
        <v>3</v>
      </c>
      <c r="N246" t="str">
        <f t="shared" ca="1" si="40"/>
        <v>Campus Placements</v>
      </c>
      <c r="O246">
        <f t="shared" ca="1" si="41"/>
        <v>1</v>
      </c>
      <c r="P246" t="str">
        <f t="shared" ca="1" si="42"/>
        <v>Yes</v>
      </c>
      <c r="Q246" t="str" cm="1">
        <f t="array" aca="1" ref="Q246" ca="1">INDEX(sheet2!$C$2:$C$6, RANDBETWEEN(1, 5))</f>
        <v>Leadership Development</v>
      </c>
      <c r="R246" t="str">
        <f t="shared" ca="1" si="45"/>
        <v>Completed</v>
      </c>
      <c r="S246">
        <f ca="1">Table1[[#This Row],[Hire Date]]-Table1[[#This Row],[Job Posting Date]]</f>
        <v>50</v>
      </c>
    </row>
    <row r="247" spans="1:19" x14ac:dyDescent="0.2">
      <c r="A247" t="str">
        <f t="shared" si="36"/>
        <v>EMP246</v>
      </c>
      <c r="B247" t="str">
        <f t="shared" ca="1" si="37"/>
        <v>Female</v>
      </c>
      <c r="C247" t="str" cm="1">
        <f t="array" aca="1" ref="C247" ca="1">INDEX(sheet2!$A$2:$A$6, RANDBETWEEN(1, 5))</f>
        <v>Analytics</v>
      </c>
      <c r="D247" t="str">
        <f ca="1">_xlfn.XLOOKUP(Table1[[#This Row],[Department]],sheet2!$A$2:$A$6,sheet2!$B$2:$B$6,_xleta.NA,0)</f>
        <v>Data Analyst</v>
      </c>
      <c r="E247" s="1">
        <f t="shared" ca="1" si="43"/>
        <v>44084</v>
      </c>
      <c r="F247" s="1">
        <f ca="1">Table1[[#This Row],[Job Posting Date]]+ RANDBETWEEN(15, 90)</f>
        <v>44173</v>
      </c>
      <c r="G247" s="1">
        <f ca="1">Table1[[#This Row],[Hire Date]]+ RANDBETWEEN(1, 15)</f>
        <v>44185</v>
      </c>
      <c r="H247" s="1">
        <f ca="1">IF(RAND() &lt; 0.5,  Table1[[#This Row],[Join Date]]+ RANDBETWEEN(30, TODAY()- Table1[[#This Row],[Join Date]]), "-")</f>
        <v>45562</v>
      </c>
      <c r="I247" t="str">
        <f ca="1">IF(Table1[[#This Row],[Exit Date]]= "-", "Active", "Exited")</f>
        <v>Exited</v>
      </c>
      <c r="J247" s="5">
        <f t="shared" ca="1" si="44"/>
        <v>4667</v>
      </c>
      <c r="K247">
        <f ca="1">Table1[[#This Row],[Offers Made]]*2</f>
        <v>16</v>
      </c>
      <c r="L247">
        <f t="shared" ca="1" si="38"/>
        <v>8</v>
      </c>
      <c r="M247">
        <f t="shared" ca="1" si="39"/>
        <v>5</v>
      </c>
      <c r="N247" t="str">
        <f t="shared" ca="1" si="40"/>
        <v>Job Portals</v>
      </c>
      <c r="O247">
        <f t="shared" ca="1" si="41"/>
        <v>2</v>
      </c>
      <c r="P247" t="str">
        <f t="shared" ca="1" si="42"/>
        <v>Yes</v>
      </c>
      <c r="Q247" t="str" cm="1">
        <f t="array" aca="1" ref="Q247" ca="1">INDEX(sheet2!$C$2:$C$6, RANDBETWEEN(1, 5))</f>
        <v>Advanced Excel Skills </v>
      </c>
      <c r="R247" t="str">
        <f t="shared" ca="1" si="45"/>
        <v>Completed</v>
      </c>
      <c r="S247">
        <f ca="1">Table1[[#This Row],[Hire Date]]-Table1[[#This Row],[Job Posting Date]]</f>
        <v>89</v>
      </c>
    </row>
    <row r="248" spans="1:19" x14ac:dyDescent="0.2">
      <c r="A248" t="str">
        <f t="shared" si="36"/>
        <v>EMP247</v>
      </c>
      <c r="B248" t="str">
        <f t="shared" ca="1" si="37"/>
        <v>Female</v>
      </c>
      <c r="C248" t="str" cm="1">
        <f t="array" aca="1" ref="C248" ca="1">INDEX(sheet2!$A$2:$A$6, RANDBETWEEN(1, 5))</f>
        <v>HR</v>
      </c>
      <c r="D248" t="str">
        <f ca="1">_xlfn.XLOOKUP(Table1[[#This Row],[Department]],sheet2!$A$2:$A$6,sheet2!$B$2:$B$6,_xleta.NA,0)</f>
        <v>HR Manager</v>
      </c>
      <c r="E248" s="1">
        <f t="shared" ca="1" si="43"/>
        <v>44663</v>
      </c>
      <c r="F248" s="1">
        <f ca="1">Table1[[#This Row],[Job Posting Date]]+ RANDBETWEEN(15, 90)</f>
        <v>44678</v>
      </c>
      <c r="G248" s="1">
        <f ca="1">Table1[[#This Row],[Hire Date]]+ RANDBETWEEN(1, 15)</f>
        <v>44682</v>
      </c>
      <c r="H248" s="1" t="str">
        <f ca="1">IF(RAND() &lt; 0.5,  Table1[[#This Row],[Join Date]]+ RANDBETWEEN(30, TODAY()- Table1[[#This Row],[Join Date]]), "-")</f>
        <v>-</v>
      </c>
      <c r="I248" t="str">
        <f ca="1">IF(Table1[[#This Row],[Exit Date]]= "-", "Active", "Exited")</f>
        <v>Active</v>
      </c>
      <c r="J248" s="5">
        <f t="shared" ca="1" si="44"/>
        <v>3688</v>
      </c>
      <c r="K248">
        <f ca="1">Table1[[#This Row],[Offers Made]]*2</f>
        <v>8</v>
      </c>
      <c r="L248">
        <f t="shared" ca="1" si="38"/>
        <v>4</v>
      </c>
      <c r="M248">
        <f t="shared" ca="1" si="39"/>
        <v>3</v>
      </c>
      <c r="N248" t="str">
        <f t="shared" ca="1" si="40"/>
        <v>Campus Placements</v>
      </c>
      <c r="O248">
        <f t="shared" ca="1" si="41"/>
        <v>3</v>
      </c>
      <c r="P248" t="str">
        <f t="shared" ca="1" si="42"/>
        <v>No</v>
      </c>
      <c r="Q248" t="str" cm="1">
        <f t="array" aca="1" ref="Q248" ca="1">INDEX(sheet2!$C$2:$C$6, RANDBETWEEN(1, 5))</f>
        <v>Ethics and Responsibilities</v>
      </c>
      <c r="R248" t="str">
        <f t="shared" ca="1" si="45"/>
        <v>Completed</v>
      </c>
      <c r="S248">
        <f ca="1">Table1[[#This Row],[Hire Date]]-Table1[[#This Row],[Job Posting Date]]</f>
        <v>15</v>
      </c>
    </row>
    <row r="249" spans="1:19" x14ac:dyDescent="0.2">
      <c r="A249" t="str">
        <f t="shared" si="36"/>
        <v>EMP248</v>
      </c>
      <c r="B249" t="str">
        <f t="shared" ca="1" si="37"/>
        <v>Male</v>
      </c>
      <c r="C249" t="str" cm="1">
        <f t="array" aca="1" ref="C249" ca="1">INDEX(sheet2!$A$2:$A$6, RANDBETWEEN(1, 5))</f>
        <v>Analytics</v>
      </c>
      <c r="D249" t="str">
        <f ca="1">_xlfn.XLOOKUP(Table1[[#This Row],[Department]],sheet2!$A$2:$A$6,sheet2!$B$2:$B$6,_xleta.NA,0)</f>
        <v>Data Analyst</v>
      </c>
      <c r="E249" s="1">
        <f t="shared" ca="1" si="43"/>
        <v>43315</v>
      </c>
      <c r="F249" s="1">
        <f ca="1">Table1[[#This Row],[Job Posting Date]]+ RANDBETWEEN(15, 90)</f>
        <v>43380</v>
      </c>
      <c r="G249" s="1">
        <f ca="1">Table1[[#This Row],[Hire Date]]+ RANDBETWEEN(1, 15)</f>
        <v>43395</v>
      </c>
      <c r="H249" s="1" t="str">
        <f ca="1">IF(RAND() &lt; 0.5,  Table1[[#This Row],[Join Date]]+ RANDBETWEEN(30, TODAY()- Table1[[#This Row],[Join Date]]), "-")</f>
        <v>-</v>
      </c>
      <c r="I249" t="str">
        <f ca="1">IF(Table1[[#This Row],[Exit Date]]= "-", "Active", "Exited")</f>
        <v>Active</v>
      </c>
      <c r="J249" s="5">
        <f t="shared" ca="1" si="44"/>
        <v>2835</v>
      </c>
      <c r="K249">
        <f ca="1">Table1[[#This Row],[Offers Made]]*2</f>
        <v>14</v>
      </c>
      <c r="L249">
        <f t="shared" ca="1" si="38"/>
        <v>7</v>
      </c>
      <c r="M249">
        <f t="shared" ca="1" si="39"/>
        <v>5</v>
      </c>
      <c r="N249" t="str">
        <f t="shared" ca="1" si="40"/>
        <v>Employee Referrals</v>
      </c>
      <c r="O249">
        <f t="shared" ca="1" si="41"/>
        <v>1</v>
      </c>
      <c r="P249" t="str">
        <f t="shared" ca="1" si="42"/>
        <v>Yes</v>
      </c>
      <c r="Q249" t="str" cm="1">
        <f t="array" aca="1" ref="Q249" ca="1">INDEX(sheet2!$C$2:$C$6, RANDBETWEEN(1, 5))</f>
        <v>Leadership Development</v>
      </c>
      <c r="R249" t="str">
        <f t="shared" ca="1" si="45"/>
        <v>Not Completed</v>
      </c>
      <c r="S249">
        <f ca="1">Table1[[#This Row],[Hire Date]]-Table1[[#This Row],[Job Posting Date]]</f>
        <v>65</v>
      </c>
    </row>
    <row r="250" spans="1:19" x14ac:dyDescent="0.2">
      <c r="A250" t="str">
        <f t="shared" si="36"/>
        <v>EMP249</v>
      </c>
      <c r="B250" t="str">
        <f t="shared" ca="1" si="37"/>
        <v>Male</v>
      </c>
      <c r="C250" t="str" cm="1">
        <f t="array" aca="1" ref="C250" ca="1">INDEX(sheet2!$A$2:$A$6, RANDBETWEEN(1, 5))</f>
        <v>Sales</v>
      </c>
      <c r="D250" t="str">
        <f ca="1">_xlfn.XLOOKUP(Table1[[#This Row],[Department]],sheet2!$A$2:$A$6,sheet2!$B$2:$B$6,_xleta.NA,0)</f>
        <v>Marketing Manager</v>
      </c>
      <c r="E250" s="1">
        <f t="shared" ca="1" si="43"/>
        <v>43800</v>
      </c>
      <c r="F250" s="1">
        <f ca="1">Table1[[#This Row],[Job Posting Date]]+ RANDBETWEEN(15, 90)</f>
        <v>43882</v>
      </c>
      <c r="G250" s="1">
        <f ca="1">Table1[[#This Row],[Hire Date]]+ RANDBETWEEN(1, 15)</f>
        <v>43897</v>
      </c>
      <c r="H250" s="1">
        <f ca="1">IF(RAND() &lt; 0.5,  Table1[[#This Row],[Join Date]]+ RANDBETWEEN(30, TODAY()- Table1[[#This Row],[Join Date]]), "-")</f>
        <v>44134</v>
      </c>
      <c r="I250" t="str">
        <f ca="1">IF(Table1[[#This Row],[Exit Date]]= "-", "Active", "Exited")</f>
        <v>Exited</v>
      </c>
      <c r="J250" s="5">
        <f t="shared" ca="1" si="44"/>
        <v>3226</v>
      </c>
      <c r="K250">
        <f ca="1">Table1[[#This Row],[Offers Made]]*2</f>
        <v>12</v>
      </c>
      <c r="L250">
        <f t="shared" ca="1" si="38"/>
        <v>6</v>
      </c>
      <c r="M250">
        <f t="shared" ca="1" si="39"/>
        <v>1</v>
      </c>
      <c r="N250" t="str">
        <f t="shared" ca="1" si="40"/>
        <v>Employee Referrals</v>
      </c>
      <c r="O250">
        <f t="shared" ca="1" si="41"/>
        <v>2</v>
      </c>
      <c r="P250" t="str">
        <f t="shared" ca="1" si="42"/>
        <v>Yes</v>
      </c>
      <c r="Q250" t="str" cm="1">
        <f t="array" aca="1" ref="Q250" ca="1">INDEX(sheet2!$C$2:$C$6, RANDBETWEEN(1, 5))</f>
        <v>Conflict Resolution</v>
      </c>
      <c r="R250" t="str">
        <f t="shared" ca="1" si="45"/>
        <v>Completed</v>
      </c>
      <c r="S250">
        <f ca="1">Table1[[#This Row],[Hire Date]]-Table1[[#This Row],[Job Posting Date]]</f>
        <v>82</v>
      </c>
    </row>
    <row r="251" spans="1:19" x14ac:dyDescent="0.2">
      <c r="A251" t="str">
        <f t="shared" si="36"/>
        <v>EMP250</v>
      </c>
      <c r="B251" t="str">
        <f t="shared" ca="1" si="37"/>
        <v>Male</v>
      </c>
      <c r="C251" t="str" cm="1">
        <f t="array" aca="1" ref="C251" ca="1">INDEX(sheet2!$A$2:$A$6, RANDBETWEEN(1, 5))</f>
        <v>Sales</v>
      </c>
      <c r="D251" t="str">
        <f ca="1">_xlfn.XLOOKUP(Table1[[#This Row],[Department]],sheet2!$A$2:$A$6,sheet2!$B$2:$B$6,_xleta.NA,0)</f>
        <v>Marketing Manager</v>
      </c>
      <c r="E251" s="1">
        <f t="shared" ca="1" si="43"/>
        <v>43429</v>
      </c>
      <c r="F251" s="1">
        <f ca="1">Table1[[#This Row],[Job Posting Date]]+ RANDBETWEEN(15, 90)</f>
        <v>43490</v>
      </c>
      <c r="G251" s="1">
        <f ca="1">Table1[[#This Row],[Hire Date]]+ RANDBETWEEN(1, 15)</f>
        <v>43495</v>
      </c>
      <c r="H251" s="1">
        <f ca="1">IF(RAND() &lt; 0.5,  Table1[[#This Row],[Join Date]]+ RANDBETWEEN(30, TODAY()- Table1[[#This Row],[Join Date]]), "-")</f>
        <v>45181</v>
      </c>
      <c r="I251" t="str">
        <f ca="1">IF(Table1[[#This Row],[Exit Date]]= "-", "Active", "Exited")</f>
        <v>Exited</v>
      </c>
      <c r="J251" s="5">
        <f t="shared" ca="1" si="44"/>
        <v>2996</v>
      </c>
      <c r="K251">
        <f ca="1">Table1[[#This Row],[Offers Made]]*2</f>
        <v>10</v>
      </c>
      <c r="L251">
        <f t="shared" ca="1" si="38"/>
        <v>5</v>
      </c>
      <c r="M251">
        <f t="shared" ca="1" si="39"/>
        <v>3</v>
      </c>
      <c r="N251" t="str">
        <f t="shared" ca="1" si="40"/>
        <v>Campus Placements</v>
      </c>
      <c r="O251">
        <f t="shared" ca="1" si="41"/>
        <v>2</v>
      </c>
      <c r="P251" t="str">
        <f t="shared" ca="1" si="42"/>
        <v>No</v>
      </c>
      <c r="Q251" t="str" cm="1">
        <f t="array" aca="1" ref="Q251" ca="1">INDEX(sheet2!$C$2:$C$6, RANDBETWEEN(1, 5))</f>
        <v>Ethics and Responsibilities</v>
      </c>
      <c r="R251" t="str">
        <f t="shared" ca="1" si="45"/>
        <v>Completed</v>
      </c>
      <c r="S251">
        <f ca="1">Table1[[#This Row],[Hire Date]]-Table1[[#This Row],[Job Posting Date]]</f>
        <v>61</v>
      </c>
    </row>
    <row r="252" spans="1:19" x14ac:dyDescent="0.2">
      <c r="A252" t="str">
        <f t="shared" si="36"/>
        <v>EMP251</v>
      </c>
      <c r="B252" t="str">
        <f t="shared" ca="1" si="37"/>
        <v>Male</v>
      </c>
      <c r="C252" t="str" cm="1">
        <f t="array" aca="1" ref="C252" ca="1">INDEX(sheet2!$A$2:$A$6, RANDBETWEEN(1, 5))</f>
        <v>Analytics</v>
      </c>
      <c r="D252" t="str">
        <f ca="1">_xlfn.XLOOKUP(Table1[[#This Row],[Department]],sheet2!$A$2:$A$6,sheet2!$B$2:$B$6,_xleta.NA,0)</f>
        <v>Data Analyst</v>
      </c>
      <c r="E252" s="1">
        <f t="shared" ca="1" si="43"/>
        <v>44796</v>
      </c>
      <c r="F252" s="1">
        <f ca="1">Table1[[#This Row],[Job Posting Date]]+ RANDBETWEEN(15, 90)</f>
        <v>44818</v>
      </c>
      <c r="G252" s="1">
        <f ca="1">Table1[[#This Row],[Hire Date]]+ RANDBETWEEN(1, 15)</f>
        <v>44819</v>
      </c>
      <c r="H252" s="1" t="str">
        <f ca="1">IF(RAND() &lt; 0.5,  Table1[[#This Row],[Join Date]]+ RANDBETWEEN(30, TODAY()- Table1[[#This Row],[Join Date]]), "-")</f>
        <v>-</v>
      </c>
      <c r="I252" t="str">
        <f ca="1">IF(Table1[[#This Row],[Exit Date]]= "-", "Active", "Exited")</f>
        <v>Active</v>
      </c>
      <c r="J252" s="5">
        <f t="shared" ca="1" si="44"/>
        <v>2296</v>
      </c>
      <c r="K252">
        <f ca="1">Table1[[#This Row],[Offers Made]]*2</f>
        <v>14</v>
      </c>
      <c r="L252">
        <f t="shared" ca="1" si="38"/>
        <v>7</v>
      </c>
      <c r="M252">
        <f t="shared" ca="1" si="39"/>
        <v>2</v>
      </c>
      <c r="N252" t="str">
        <f t="shared" ca="1" si="40"/>
        <v>Job Portals</v>
      </c>
      <c r="O252">
        <f t="shared" ca="1" si="41"/>
        <v>4</v>
      </c>
      <c r="P252" t="str">
        <f t="shared" ca="1" si="42"/>
        <v>No</v>
      </c>
      <c r="Q252" t="str" cm="1">
        <f t="array" aca="1" ref="Q252" ca="1">INDEX(sheet2!$C$2:$C$6, RANDBETWEEN(1, 5))</f>
        <v>Ethics and Responsibilities</v>
      </c>
      <c r="R252" t="str">
        <f t="shared" ca="1" si="45"/>
        <v>Completed</v>
      </c>
      <c r="S252">
        <f ca="1">Table1[[#This Row],[Hire Date]]-Table1[[#This Row],[Job Posting Date]]</f>
        <v>22</v>
      </c>
    </row>
    <row r="253" spans="1:19" x14ac:dyDescent="0.2">
      <c r="A253" t="str">
        <f t="shared" si="36"/>
        <v>EMP252</v>
      </c>
      <c r="B253" t="str">
        <f t="shared" ca="1" si="37"/>
        <v>Male</v>
      </c>
      <c r="C253" t="str" cm="1">
        <f t="array" aca="1" ref="C253" ca="1">INDEX(sheet2!$A$2:$A$6, RANDBETWEEN(1, 5))</f>
        <v>Finance</v>
      </c>
      <c r="D253" t="str">
        <f ca="1">_xlfn.XLOOKUP(Table1[[#This Row],[Department]],sheet2!$A$2:$A$6,sheet2!$B$2:$B$6,_xleta.NA,0)</f>
        <v>Finance Manager</v>
      </c>
      <c r="E253" s="1">
        <f t="shared" ca="1" si="43"/>
        <v>44812</v>
      </c>
      <c r="F253" s="1">
        <f ca="1">Table1[[#This Row],[Job Posting Date]]+ RANDBETWEEN(15, 90)</f>
        <v>44895</v>
      </c>
      <c r="G253" s="1">
        <f ca="1">Table1[[#This Row],[Hire Date]]+ RANDBETWEEN(1, 15)</f>
        <v>44896</v>
      </c>
      <c r="H253" s="1" t="str">
        <f ca="1">IF(RAND() &lt; 0.5,  Table1[[#This Row],[Join Date]]+ RANDBETWEEN(30, TODAY()- Table1[[#This Row],[Join Date]]), "-")</f>
        <v>-</v>
      </c>
      <c r="I253" t="str">
        <f ca="1">IF(Table1[[#This Row],[Exit Date]]= "-", "Active", "Exited")</f>
        <v>Active</v>
      </c>
      <c r="J253" s="5">
        <f t="shared" ca="1" si="44"/>
        <v>4261</v>
      </c>
      <c r="K253">
        <f ca="1">Table1[[#This Row],[Offers Made]]*2</f>
        <v>10</v>
      </c>
      <c r="L253">
        <f t="shared" ca="1" si="38"/>
        <v>5</v>
      </c>
      <c r="M253">
        <f t="shared" ca="1" si="39"/>
        <v>2</v>
      </c>
      <c r="N253" t="str">
        <f t="shared" ca="1" si="40"/>
        <v>Employee Referrals</v>
      </c>
      <c r="O253">
        <f t="shared" ca="1" si="41"/>
        <v>2</v>
      </c>
      <c r="P253" t="str">
        <f t="shared" ca="1" si="42"/>
        <v>No</v>
      </c>
      <c r="Q253" t="str" cm="1">
        <f t="array" aca="1" ref="Q253" ca="1">INDEX(sheet2!$C$2:$C$6, RANDBETWEEN(1, 5))</f>
        <v>Communication Skills</v>
      </c>
      <c r="R253" t="str">
        <f t="shared" ca="1" si="45"/>
        <v>Completed</v>
      </c>
      <c r="S253">
        <f ca="1">Table1[[#This Row],[Hire Date]]-Table1[[#This Row],[Job Posting Date]]</f>
        <v>83</v>
      </c>
    </row>
    <row r="254" spans="1:19" x14ac:dyDescent="0.2">
      <c r="A254" t="str">
        <f t="shared" si="36"/>
        <v>EMP253</v>
      </c>
      <c r="B254" t="str">
        <f t="shared" ca="1" si="37"/>
        <v>Male</v>
      </c>
      <c r="C254" t="str" cm="1">
        <f t="array" aca="1" ref="C254" ca="1">INDEX(sheet2!$A$2:$A$6, RANDBETWEEN(1, 5))</f>
        <v>HR</v>
      </c>
      <c r="D254" t="str">
        <f ca="1">_xlfn.XLOOKUP(Table1[[#This Row],[Department]],sheet2!$A$2:$A$6,sheet2!$B$2:$B$6,_xleta.NA,0)</f>
        <v>HR Manager</v>
      </c>
      <c r="E254" s="1">
        <f t="shared" ca="1" si="43"/>
        <v>44673</v>
      </c>
      <c r="F254" s="1">
        <f ca="1">Table1[[#This Row],[Job Posting Date]]+ RANDBETWEEN(15, 90)</f>
        <v>44693</v>
      </c>
      <c r="G254" s="1">
        <f ca="1">Table1[[#This Row],[Hire Date]]+ RANDBETWEEN(1, 15)</f>
        <v>44705</v>
      </c>
      <c r="H254" s="1" t="str">
        <f ca="1">IF(RAND() &lt; 0.5,  Table1[[#This Row],[Join Date]]+ RANDBETWEEN(30, TODAY()- Table1[[#This Row],[Join Date]]), "-")</f>
        <v>-</v>
      </c>
      <c r="I254" t="str">
        <f ca="1">IF(Table1[[#This Row],[Exit Date]]= "-", "Active", "Exited")</f>
        <v>Active</v>
      </c>
      <c r="J254" s="5">
        <f t="shared" ca="1" si="44"/>
        <v>1555</v>
      </c>
      <c r="K254">
        <f ca="1">Table1[[#This Row],[Offers Made]]*2</f>
        <v>14</v>
      </c>
      <c r="L254">
        <f t="shared" ca="1" si="38"/>
        <v>7</v>
      </c>
      <c r="M254">
        <f t="shared" ca="1" si="39"/>
        <v>2</v>
      </c>
      <c r="N254" t="str">
        <f t="shared" ca="1" si="40"/>
        <v>Job Portals</v>
      </c>
      <c r="O254">
        <f t="shared" ca="1" si="41"/>
        <v>3</v>
      </c>
      <c r="P254" t="str">
        <f t="shared" ca="1" si="42"/>
        <v>Yes</v>
      </c>
      <c r="Q254" t="str" cm="1">
        <f t="array" aca="1" ref="Q254" ca="1">INDEX(sheet2!$C$2:$C$6, RANDBETWEEN(1, 5))</f>
        <v>Communication Skills</v>
      </c>
      <c r="R254" t="str">
        <f t="shared" ca="1" si="45"/>
        <v>Completed</v>
      </c>
      <c r="S254">
        <f ca="1">Table1[[#This Row],[Hire Date]]-Table1[[#This Row],[Job Posting Date]]</f>
        <v>20</v>
      </c>
    </row>
    <row r="255" spans="1:19" x14ac:dyDescent="0.2">
      <c r="A255" t="str">
        <f t="shared" si="36"/>
        <v>EMP254</v>
      </c>
      <c r="B255" t="str">
        <f t="shared" ca="1" si="37"/>
        <v>Male</v>
      </c>
      <c r="C255" t="str" cm="1">
        <f t="array" aca="1" ref="C255" ca="1">INDEX(sheet2!$A$2:$A$6, RANDBETWEEN(1, 5))</f>
        <v>Analytics</v>
      </c>
      <c r="D255" t="str">
        <f ca="1">_xlfn.XLOOKUP(Table1[[#This Row],[Department]],sheet2!$A$2:$A$6,sheet2!$B$2:$B$6,_xleta.NA,0)</f>
        <v>Data Analyst</v>
      </c>
      <c r="E255" s="1">
        <f t="shared" ca="1" si="43"/>
        <v>43412</v>
      </c>
      <c r="F255" s="1">
        <f ca="1">Table1[[#This Row],[Job Posting Date]]+ RANDBETWEEN(15, 90)</f>
        <v>43455</v>
      </c>
      <c r="G255" s="1">
        <f ca="1">Table1[[#This Row],[Hire Date]]+ RANDBETWEEN(1, 15)</f>
        <v>43460</v>
      </c>
      <c r="H255" s="1">
        <f ca="1">IF(RAND() &lt; 0.5,  Table1[[#This Row],[Join Date]]+ RANDBETWEEN(30, TODAY()- Table1[[#This Row],[Join Date]]), "-")</f>
        <v>43786</v>
      </c>
      <c r="I255" t="str">
        <f ca="1">IF(Table1[[#This Row],[Exit Date]]= "-", "Active", "Exited")</f>
        <v>Exited</v>
      </c>
      <c r="J255" s="5">
        <f t="shared" ca="1" si="44"/>
        <v>3601</v>
      </c>
      <c r="K255">
        <f ca="1">Table1[[#This Row],[Offers Made]]*2</f>
        <v>12</v>
      </c>
      <c r="L255">
        <f t="shared" ca="1" si="38"/>
        <v>6</v>
      </c>
      <c r="M255">
        <f t="shared" ca="1" si="39"/>
        <v>1</v>
      </c>
      <c r="N255" t="str">
        <f t="shared" ca="1" si="40"/>
        <v>Campus Placements</v>
      </c>
      <c r="O255">
        <f t="shared" ca="1" si="41"/>
        <v>2</v>
      </c>
      <c r="P255" t="str">
        <f t="shared" ca="1" si="42"/>
        <v>No</v>
      </c>
      <c r="Q255" t="str" cm="1">
        <f t="array" aca="1" ref="Q255" ca="1">INDEX(sheet2!$C$2:$C$6, RANDBETWEEN(1, 5))</f>
        <v>Advanced Excel Skills </v>
      </c>
      <c r="R255" t="str">
        <f t="shared" ca="1" si="45"/>
        <v>Completed</v>
      </c>
      <c r="S255">
        <f ca="1">Table1[[#This Row],[Hire Date]]-Table1[[#This Row],[Job Posting Date]]</f>
        <v>43</v>
      </c>
    </row>
    <row r="256" spans="1:19" x14ac:dyDescent="0.2">
      <c r="A256" t="str">
        <f t="shared" si="36"/>
        <v>EMP255</v>
      </c>
      <c r="B256" t="str">
        <f t="shared" ca="1" si="37"/>
        <v>Male</v>
      </c>
      <c r="C256" t="str" cm="1">
        <f t="array" aca="1" ref="C256" ca="1">INDEX(sheet2!$A$2:$A$6, RANDBETWEEN(1, 5))</f>
        <v>HR</v>
      </c>
      <c r="D256" t="str">
        <f ca="1">_xlfn.XLOOKUP(Table1[[#This Row],[Department]],sheet2!$A$2:$A$6,sheet2!$B$2:$B$6,_xleta.NA,0)</f>
        <v>HR Manager</v>
      </c>
      <c r="E256" s="1">
        <f t="shared" ca="1" si="43"/>
        <v>43667</v>
      </c>
      <c r="F256" s="1">
        <f ca="1">Table1[[#This Row],[Job Posting Date]]+ RANDBETWEEN(15, 90)</f>
        <v>43711</v>
      </c>
      <c r="G256" s="1">
        <f ca="1">Table1[[#This Row],[Hire Date]]+ RANDBETWEEN(1, 15)</f>
        <v>43721</v>
      </c>
      <c r="H256" s="1" t="str">
        <f ca="1">IF(RAND() &lt; 0.5,  Table1[[#This Row],[Join Date]]+ RANDBETWEEN(30, TODAY()- Table1[[#This Row],[Join Date]]), "-")</f>
        <v>-</v>
      </c>
      <c r="I256" t="str">
        <f ca="1">IF(Table1[[#This Row],[Exit Date]]= "-", "Active", "Exited")</f>
        <v>Active</v>
      </c>
      <c r="J256" s="5">
        <f t="shared" ca="1" si="44"/>
        <v>2932</v>
      </c>
      <c r="K256">
        <f ca="1">Table1[[#This Row],[Offers Made]]*2</f>
        <v>14</v>
      </c>
      <c r="L256">
        <f t="shared" ca="1" si="38"/>
        <v>7</v>
      </c>
      <c r="M256">
        <f t="shared" ca="1" si="39"/>
        <v>1</v>
      </c>
      <c r="N256" t="str">
        <f t="shared" ca="1" si="40"/>
        <v>Employee Referrals</v>
      </c>
      <c r="O256">
        <f t="shared" ca="1" si="41"/>
        <v>1</v>
      </c>
      <c r="P256" t="str">
        <f t="shared" ca="1" si="42"/>
        <v>Yes</v>
      </c>
      <c r="Q256" t="str" cm="1">
        <f t="array" aca="1" ref="Q256" ca="1">INDEX(sheet2!$C$2:$C$6, RANDBETWEEN(1, 5))</f>
        <v>Communication Skills</v>
      </c>
      <c r="R256" t="str">
        <f t="shared" ca="1" si="45"/>
        <v>Completed</v>
      </c>
      <c r="S256">
        <f ca="1">Table1[[#This Row],[Hire Date]]-Table1[[#This Row],[Job Posting Date]]</f>
        <v>44</v>
      </c>
    </row>
    <row r="257" spans="1:19" x14ac:dyDescent="0.2">
      <c r="A257" t="str">
        <f t="shared" si="36"/>
        <v>EMP256</v>
      </c>
      <c r="B257" t="str">
        <f t="shared" ca="1" si="37"/>
        <v>Male</v>
      </c>
      <c r="C257" t="str" cm="1">
        <f t="array" aca="1" ref="C257" ca="1">INDEX(sheet2!$A$2:$A$6, RANDBETWEEN(1, 5))</f>
        <v>Sales</v>
      </c>
      <c r="D257" t="str">
        <f ca="1">_xlfn.XLOOKUP(Table1[[#This Row],[Department]],sheet2!$A$2:$A$6,sheet2!$B$2:$B$6,_xleta.NA,0)</f>
        <v>Marketing Manager</v>
      </c>
      <c r="E257" s="1">
        <f t="shared" ca="1" si="43"/>
        <v>44464</v>
      </c>
      <c r="F257" s="1">
        <f ca="1">Table1[[#This Row],[Job Posting Date]]+ RANDBETWEEN(15, 90)</f>
        <v>44529</v>
      </c>
      <c r="G257" s="1">
        <f ca="1">Table1[[#This Row],[Hire Date]]+ RANDBETWEEN(1, 15)</f>
        <v>44543</v>
      </c>
      <c r="H257" s="1">
        <f ca="1">IF(RAND() &lt; 0.5,  Table1[[#This Row],[Join Date]]+ RANDBETWEEN(30, TODAY()- Table1[[#This Row],[Join Date]]), "-")</f>
        <v>45121</v>
      </c>
      <c r="I257" t="str">
        <f ca="1">IF(Table1[[#This Row],[Exit Date]]= "-", "Active", "Exited")</f>
        <v>Exited</v>
      </c>
      <c r="J257" s="5">
        <f t="shared" ca="1" si="44"/>
        <v>2767</v>
      </c>
      <c r="K257">
        <f ca="1">Table1[[#This Row],[Offers Made]]*2</f>
        <v>8</v>
      </c>
      <c r="L257">
        <f t="shared" ca="1" si="38"/>
        <v>4</v>
      </c>
      <c r="M257">
        <f t="shared" ca="1" si="39"/>
        <v>2</v>
      </c>
      <c r="N257" t="str">
        <f t="shared" ca="1" si="40"/>
        <v>Employee Referrals</v>
      </c>
      <c r="O257">
        <f t="shared" ca="1" si="41"/>
        <v>5</v>
      </c>
      <c r="P257" t="str">
        <f t="shared" ca="1" si="42"/>
        <v>Yes</v>
      </c>
      <c r="Q257" t="str" cm="1">
        <f t="array" aca="1" ref="Q257" ca="1">INDEX(sheet2!$C$2:$C$6, RANDBETWEEN(1, 5))</f>
        <v>Leadership Development</v>
      </c>
      <c r="R257" t="str">
        <f t="shared" ca="1" si="45"/>
        <v>Completed</v>
      </c>
      <c r="S257">
        <f ca="1">Table1[[#This Row],[Hire Date]]-Table1[[#This Row],[Job Posting Date]]</f>
        <v>65</v>
      </c>
    </row>
    <row r="258" spans="1:19" x14ac:dyDescent="0.2">
      <c r="A258" t="str">
        <f t="shared" ref="A258:A321" si="46">"EMP" &amp; TEXT(ROW(A257), "000")</f>
        <v>EMP257</v>
      </c>
      <c r="B258" t="str">
        <f t="shared" ref="B258:B321" ca="1" si="47">CHOOSE(RANDBETWEEN(1, 2), "Male", "Female")</f>
        <v>Male</v>
      </c>
      <c r="C258" t="str" cm="1">
        <f t="array" aca="1" ref="C258" ca="1">INDEX(sheet2!$A$2:$A$6, RANDBETWEEN(1, 5))</f>
        <v>Analytics</v>
      </c>
      <c r="D258" t="str">
        <f ca="1">_xlfn.XLOOKUP(Table1[[#This Row],[Department]],sheet2!$A$2:$A$6,sheet2!$B$2:$B$6,_xleta.NA,0)</f>
        <v>Data Analyst</v>
      </c>
      <c r="E258" s="1">
        <f t="shared" ca="1" si="43"/>
        <v>44854</v>
      </c>
      <c r="F258" s="1">
        <f ca="1">Table1[[#This Row],[Job Posting Date]]+ RANDBETWEEN(15, 90)</f>
        <v>44927</v>
      </c>
      <c r="G258" s="1">
        <f ca="1">Table1[[#This Row],[Hire Date]]+ RANDBETWEEN(1, 15)</f>
        <v>44929</v>
      </c>
      <c r="H258" s="1" t="str">
        <f ca="1">IF(RAND() &lt; 0.5,  Table1[[#This Row],[Join Date]]+ RANDBETWEEN(30, TODAY()- Table1[[#This Row],[Join Date]]), "-")</f>
        <v>-</v>
      </c>
      <c r="I258" t="str">
        <f ca="1">IF(Table1[[#This Row],[Exit Date]]= "-", "Active", "Exited")</f>
        <v>Active</v>
      </c>
      <c r="J258" s="5">
        <f t="shared" ca="1" si="44"/>
        <v>2430</v>
      </c>
      <c r="K258">
        <f ca="1">Table1[[#This Row],[Offers Made]]*2</f>
        <v>6</v>
      </c>
      <c r="L258">
        <f t="shared" ref="L258:L321" ca="1" si="48">RANDBETWEEN(3, 8)</f>
        <v>3</v>
      </c>
      <c r="M258">
        <f t="shared" ref="M258:M321" ca="1" si="49">RANDBETWEEN(1, L258-1)</f>
        <v>2</v>
      </c>
      <c r="N258" t="str">
        <f t="shared" ref="N258:N321" ca="1" si="50">CHOOSE(RANDBETWEEN(1, 4), "Job Portals", "Campus Placements", "Employee Referrals", "Direct Hiring")</f>
        <v>Direct Hiring</v>
      </c>
      <c r="O258">
        <f t="shared" ref="O258:O321" ca="1" si="51">RANDBETWEEN(1,5)</f>
        <v>4</v>
      </c>
      <c r="P258" t="str">
        <f t="shared" ref="P258:P321" ca="1" si="52">CHOOSE(RANDBETWEEN(1, 2), "Yes", "No")</f>
        <v>Yes</v>
      </c>
      <c r="Q258" t="str" cm="1">
        <f t="array" aca="1" ref="Q258" ca="1">INDEX(sheet2!$C$2:$C$6, RANDBETWEEN(1, 5))</f>
        <v>Conflict Resolution</v>
      </c>
      <c r="R258" t="str">
        <f t="shared" ca="1" si="45"/>
        <v>Not Completed</v>
      </c>
      <c r="S258">
        <f ca="1">Table1[[#This Row],[Hire Date]]-Table1[[#This Row],[Job Posting Date]]</f>
        <v>73</v>
      </c>
    </row>
    <row r="259" spans="1:19" x14ac:dyDescent="0.2">
      <c r="A259" t="str">
        <f t="shared" si="46"/>
        <v>EMP258</v>
      </c>
      <c r="B259" t="str">
        <f t="shared" ca="1" si="47"/>
        <v>Female</v>
      </c>
      <c r="C259" t="str" cm="1">
        <f t="array" aca="1" ref="C259" ca="1">INDEX(sheet2!$A$2:$A$6, RANDBETWEEN(1, 5))</f>
        <v>IT</v>
      </c>
      <c r="D259" t="str">
        <f ca="1">_xlfn.XLOOKUP(Table1[[#This Row],[Department]],sheet2!$A$2:$A$6,sheet2!$B$2:$B$6,_xleta.NA,0)</f>
        <v>Software Engineer</v>
      </c>
      <c r="E259" s="1">
        <f t="shared" ca="1" si="43"/>
        <v>44628</v>
      </c>
      <c r="F259" s="1">
        <f ca="1">Table1[[#This Row],[Job Posting Date]]+ RANDBETWEEN(15, 90)</f>
        <v>44679</v>
      </c>
      <c r="G259" s="1">
        <f ca="1">Table1[[#This Row],[Hire Date]]+ RANDBETWEEN(1, 15)</f>
        <v>44693</v>
      </c>
      <c r="H259" s="1">
        <f ca="1">IF(RAND() &lt; 0.5,  Table1[[#This Row],[Join Date]]+ RANDBETWEEN(30, TODAY()- Table1[[#This Row],[Join Date]]), "-")</f>
        <v>45216</v>
      </c>
      <c r="I259" t="str">
        <f ca="1">IF(Table1[[#This Row],[Exit Date]]= "-", "Active", "Exited")</f>
        <v>Exited</v>
      </c>
      <c r="J259" s="5">
        <f t="shared" ca="1" si="44"/>
        <v>4212</v>
      </c>
      <c r="K259">
        <f ca="1">Table1[[#This Row],[Offers Made]]*2</f>
        <v>14</v>
      </c>
      <c r="L259">
        <f t="shared" ca="1" si="48"/>
        <v>7</v>
      </c>
      <c r="M259">
        <f t="shared" ca="1" si="49"/>
        <v>5</v>
      </c>
      <c r="N259" t="str">
        <f t="shared" ca="1" si="50"/>
        <v>Direct Hiring</v>
      </c>
      <c r="O259">
        <f t="shared" ca="1" si="51"/>
        <v>5</v>
      </c>
      <c r="P259" t="str">
        <f t="shared" ca="1" si="52"/>
        <v>No</v>
      </c>
      <c r="Q259" t="str" cm="1">
        <f t="array" aca="1" ref="Q259" ca="1">INDEX(sheet2!$C$2:$C$6, RANDBETWEEN(1, 5))</f>
        <v>Conflict Resolution</v>
      </c>
      <c r="R259" t="str">
        <f t="shared" ca="1" si="45"/>
        <v>Completed</v>
      </c>
      <c r="S259">
        <f ca="1">Table1[[#This Row],[Hire Date]]-Table1[[#This Row],[Job Posting Date]]</f>
        <v>51</v>
      </c>
    </row>
    <row r="260" spans="1:19" x14ac:dyDescent="0.2">
      <c r="A260" t="str">
        <f t="shared" si="46"/>
        <v>EMP259</v>
      </c>
      <c r="B260" t="str">
        <f t="shared" ca="1" si="47"/>
        <v>Male</v>
      </c>
      <c r="C260" t="str" cm="1">
        <f t="array" aca="1" ref="C260" ca="1">INDEX(sheet2!$A$2:$A$6, RANDBETWEEN(1, 5))</f>
        <v>Analytics</v>
      </c>
      <c r="D260" t="str">
        <f ca="1">_xlfn.XLOOKUP(Table1[[#This Row],[Department]],sheet2!$A$2:$A$6,sheet2!$B$2:$B$6,_xleta.NA,0)</f>
        <v>Data Analyst</v>
      </c>
      <c r="E260" s="1">
        <f t="shared" ca="1" si="43"/>
        <v>44475</v>
      </c>
      <c r="F260" s="1">
        <f ca="1">Table1[[#This Row],[Job Posting Date]]+ RANDBETWEEN(15, 90)</f>
        <v>44558</v>
      </c>
      <c r="G260" s="1">
        <f ca="1">Table1[[#This Row],[Hire Date]]+ RANDBETWEEN(1, 15)</f>
        <v>44570</v>
      </c>
      <c r="H260" s="1">
        <f ca="1">IF(RAND() &lt; 0.5,  Table1[[#This Row],[Join Date]]+ RANDBETWEEN(30, TODAY()- Table1[[#This Row],[Join Date]]), "-")</f>
        <v>45514</v>
      </c>
      <c r="I260" t="str">
        <f ca="1">IF(Table1[[#This Row],[Exit Date]]= "-", "Active", "Exited")</f>
        <v>Exited</v>
      </c>
      <c r="J260" s="5">
        <f t="shared" ca="1" si="44"/>
        <v>3353</v>
      </c>
      <c r="K260">
        <f ca="1">Table1[[#This Row],[Offers Made]]*2</f>
        <v>12</v>
      </c>
      <c r="L260">
        <f t="shared" ca="1" si="48"/>
        <v>6</v>
      </c>
      <c r="M260">
        <f t="shared" ca="1" si="49"/>
        <v>3</v>
      </c>
      <c r="N260" t="str">
        <f t="shared" ca="1" si="50"/>
        <v>Direct Hiring</v>
      </c>
      <c r="O260">
        <f t="shared" ca="1" si="51"/>
        <v>5</v>
      </c>
      <c r="P260" t="str">
        <f t="shared" ca="1" si="52"/>
        <v>No</v>
      </c>
      <c r="Q260" t="str" cm="1">
        <f t="array" aca="1" ref="Q260" ca="1">INDEX(sheet2!$C$2:$C$6, RANDBETWEEN(1, 5))</f>
        <v>Leadership Development</v>
      </c>
      <c r="R260" t="str">
        <f t="shared" ca="1" si="45"/>
        <v>Not Completed</v>
      </c>
      <c r="S260">
        <f ca="1">Table1[[#This Row],[Hire Date]]-Table1[[#This Row],[Job Posting Date]]</f>
        <v>83</v>
      </c>
    </row>
    <row r="261" spans="1:19" x14ac:dyDescent="0.2">
      <c r="A261" t="str">
        <f t="shared" si="46"/>
        <v>EMP260</v>
      </c>
      <c r="B261" t="str">
        <f t="shared" ca="1" si="47"/>
        <v>Male</v>
      </c>
      <c r="C261" t="str" cm="1">
        <f t="array" aca="1" ref="C261" ca="1">INDEX(sheet2!$A$2:$A$6, RANDBETWEEN(1, 5))</f>
        <v>HR</v>
      </c>
      <c r="D261" t="str">
        <f ca="1">_xlfn.XLOOKUP(Table1[[#This Row],[Department]],sheet2!$A$2:$A$6,sheet2!$B$2:$B$6,_xleta.NA,0)</f>
        <v>HR Manager</v>
      </c>
      <c r="E261" s="1">
        <f t="shared" ca="1" si="43"/>
        <v>44199</v>
      </c>
      <c r="F261" s="1">
        <f ca="1">Table1[[#This Row],[Job Posting Date]]+ RANDBETWEEN(15, 90)</f>
        <v>44278</v>
      </c>
      <c r="G261" s="1">
        <f ca="1">Table1[[#This Row],[Hire Date]]+ RANDBETWEEN(1, 15)</f>
        <v>44293</v>
      </c>
      <c r="H261" s="1" t="str">
        <f ca="1">IF(RAND() &lt; 0.5,  Table1[[#This Row],[Join Date]]+ RANDBETWEEN(30, TODAY()- Table1[[#This Row],[Join Date]]), "-")</f>
        <v>-</v>
      </c>
      <c r="I261" t="str">
        <f ca="1">IF(Table1[[#This Row],[Exit Date]]= "-", "Active", "Exited")</f>
        <v>Active</v>
      </c>
      <c r="J261" s="5">
        <f t="shared" ca="1" si="44"/>
        <v>1707</v>
      </c>
      <c r="K261">
        <f ca="1">Table1[[#This Row],[Offers Made]]*2</f>
        <v>12</v>
      </c>
      <c r="L261">
        <f t="shared" ca="1" si="48"/>
        <v>6</v>
      </c>
      <c r="M261">
        <f t="shared" ca="1" si="49"/>
        <v>3</v>
      </c>
      <c r="N261" t="str">
        <f t="shared" ca="1" si="50"/>
        <v>Employee Referrals</v>
      </c>
      <c r="O261">
        <f t="shared" ca="1" si="51"/>
        <v>1</v>
      </c>
      <c r="P261" t="str">
        <f t="shared" ca="1" si="52"/>
        <v>Yes</v>
      </c>
      <c r="Q261" t="str" cm="1">
        <f t="array" aca="1" ref="Q261" ca="1">INDEX(sheet2!$C$2:$C$6, RANDBETWEEN(1, 5))</f>
        <v>Advanced Excel Skills </v>
      </c>
      <c r="R261" t="str">
        <f t="shared" ca="1" si="45"/>
        <v>Completed</v>
      </c>
      <c r="S261">
        <f ca="1">Table1[[#This Row],[Hire Date]]-Table1[[#This Row],[Job Posting Date]]</f>
        <v>79</v>
      </c>
    </row>
    <row r="262" spans="1:19" x14ac:dyDescent="0.2">
      <c r="A262" t="str">
        <f t="shared" si="46"/>
        <v>EMP261</v>
      </c>
      <c r="B262" t="str">
        <f t="shared" ca="1" si="47"/>
        <v>Female</v>
      </c>
      <c r="C262" t="str" cm="1">
        <f t="array" aca="1" ref="C262" ca="1">INDEX(sheet2!$A$2:$A$6, RANDBETWEEN(1, 5))</f>
        <v>Sales</v>
      </c>
      <c r="D262" t="str">
        <f ca="1">_xlfn.XLOOKUP(Table1[[#This Row],[Department]],sheet2!$A$2:$A$6,sheet2!$B$2:$B$6,_xleta.NA,0)</f>
        <v>Marketing Manager</v>
      </c>
      <c r="E262" s="1">
        <f t="shared" ca="1" si="43"/>
        <v>44565</v>
      </c>
      <c r="F262" s="1">
        <f ca="1">Table1[[#This Row],[Job Posting Date]]+ RANDBETWEEN(15, 90)</f>
        <v>44642</v>
      </c>
      <c r="G262" s="1">
        <f ca="1">Table1[[#This Row],[Hire Date]]+ RANDBETWEEN(1, 15)</f>
        <v>44647</v>
      </c>
      <c r="H262" s="1">
        <f ca="1">IF(RAND() &lt; 0.5,  Table1[[#This Row],[Join Date]]+ RANDBETWEEN(30, TODAY()- Table1[[#This Row],[Join Date]]), "-")</f>
        <v>45048</v>
      </c>
      <c r="I262" t="str">
        <f ca="1">IF(Table1[[#This Row],[Exit Date]]= "-", "Active", "Exited")</f>
        <v>Exited</v>
      </c>
      <c r="J262" s="5">
        <f t="shared" ca="1" si="44"/>
        <v>4942</v>
      </c>
      <c r="K262">
        <f ca="1">Table1[[#This Row],[Offers Made]]*2</f>
        <v>14</v>
      </c>
      <c r="L262">
        <f t="shared" ca="1" si="48"/>
        <v>7</v>
      </c>
      <c r="M262">
        <f t="shared" ca="1" si="49"/>
        <v>3</v>
      </c>
      <c r="N262" t="str">
        <f t="shared" ca="1" si="50"/>
        <v>Employee Referrals</v>
      </c>
      <c r="O262">
        <f t="shared" ca="1" si="51"/>
        <v>3</v>
      </c>
      <c r="P262" t="str">
        <f t="shared" ca="1" si="52"/>
        <v>No</v>
      </c>
      <c r="Q262" t="str" cm="1">
        <f t="array" aca="1" ref="Q262" ca="1">INDEX(sheet2!$C$2:$C$6, RANDBETWEEN(1, 5))</f>
        <v>Leadership Development</v>
      </c>
      <c r="R262" t="str">
        <f t="shared" ca="1" si="45"/>
        <v>Completed</v>
      </c>
      <c r="S262">
        <f ca="1">Table1[[#This Row],[Hire Date]]-Table1[[#This Row],[Job Posting Date]]</f>
        <v>77</v>
      </c>
    </row>
    <row r="263" spans="1:19" x14ac:dyDescent="0.2">
      <c r="A263" t="str">
        <f t="shared" si="46"/>
        <v>EMP262</v>
      </c>
      <c r="B263" t="str">
        <f t="shared" ca="1" si="47"/>
        <v>Male</v>
      </c>
      <c r="C263" t="str" cm="1">
        <f t="array" aca="1" ref="C263" ca="1">INDEX(sheet2!$A$2:$A$6, RANDBETWEEN(1, 5))</f>
        <v>Finance</v>
      </c>
      <c r="D263" t="str">
        <f ca="1">_xlfn.XLOOKUP(Table1[[#This Row],[Department]],sheet2!$A$2:$A$6,sheet2!$B$2:$B$6,_xleta.NA,0)</f>
        <v>Finance Manager</v>
      </c>
      <c r="E263" s="1">
        <f t="shared" ca="1" si="43"/>
        <v>43376</v>
      </c>
      <c r="F263" s="1">
        <f ca="1">Table1[[#This Row],[Job Posting Date]]+ RANDBETWEEN(15, 90)</f>
        <v>43392</v>
      </c>
      <c r="G263" s="1">
        <f ca="1">Table1[[#This Row],[Hire Date]]+ RANDBETWEEN(1, 15)</f>
        <v>43395</v>
      </c>
      <c r="H263" s="1" t="str">
        <f ca="1">IF(RAND() &lt; 0.5,  Table1[[#This Row],[Join Date]]+ RANDBETWEEN(30, TODAY()- Table1[[#This Row],[Join Date]]), "-")</f>
        <v>-</v>
      </c>
      <c r="I263" t="str">
        <f ca="1">IF(Table1[[#This Row],[Exit Date]]= "-", "Active", "Exited")</f>
        <v>Active</v>
      </c>
      <c r="J263" s="5">
        <f t="shared" ca="1" si="44"/>
        <v>2530</v>
      </c>
      <c r="K263">
        <f ca="1">Table1[[#This Row],[Offers Made]]*2</f>
        <v>8</v>
      </c>
      <c r="L263">
        <f t="shared" ca="1" si="48"/>
        <v>4</v>
      </c>
      <c r="M263">
        <f t="shared" ca="1" si="49"/>
        <v>3</v>
      </c>
      <c r="N263" t="str">
        <f t="shared" ca="1" si="50"/>
        <v>Direct Hiring</v>
      </c>
      <c r="O263">
        <f t="shared" ca="1" si="51"/>
        <v>1</v>
      </c>
      <c r="P263" t="str">
        <f t="shared" ca="1" si="52"/>
        <v>Yes</v>
      </c>
      <c r="Q263" t="str" cm="1">
        <f t="array" aca="1" ref="Q263" ca="1">INDEX(sheet2!$C$2:$C$6, RANDBETWEEN(1, 5))</f>
        <v>Ethics and Responsibilities</v>
      </c>
      <c r="R263" t="str">
        <f t="shared" ca="1" si="45"/>
        <v>Not Completed</v>
      </c>
      <c r="S263">
        <f ca="1">Table1[[#This Row],[Hire Date]]-Table1[[#This Row],[Job Posting Date]]</f>
        <v>16</v>
      </c>
    </row>
    <row r="264" spans="1:19" x14ac:dyDescent="0.2">
      <c r="A264" t="str">
        <f t="shared" si="46"/>
        <v>EMP263</v>
      </c>
      <c r="B264" t="str">
        <f t="shared" ca="1" si="47"/>
        <v>Female</v>
      </c>
      <c r="C264" t="str" cm="1">
        <f t="array" aca="1" ref="C264" ca="1">INDEX(sheet2!$A$2:$A$6, RANDBETWEEN(1, 5))</f>
        <v>Finance</v>
      </c>
      <c r="D264" t="str">
        <f ca="1">_xlfn.XLOOKUP(Table1[[#This Row],[Department]],sheet2!$A$2:$A$6,sheet2!$B$2:$B$6,_xleta.NA,0)</f>
        <v>Finance Manager</v>
      </c>
      <c r="E264" s="1">
        <f t="shared" ca="1" si="43"/>
        <v>44398</v>
      </c>
      <c r="F264" s="1">
        <f ca="1">Table1[[#This Row],[Job Posting Date]]+ RANDBETWEEN(15, 90)</f>
        <v>44420</v>
      </c>
      <c r="G264" s="1">
        <f ca="1">Table1[[#This Row],[Hire Date]]+ RANDBETWEEN(1, 15)</f>
        <v>44431</v>
      </c>
      <c r="H264" s="1">
        <f ca="1">IF(RAND() &lt; 0.5,  Table1[[#This Row],[Join Date]]+ RANDBETWEEN(30, TODAY()- Table1[[#This Row],[Join Date]]), "-")</f>
        <v>44472</v>
      </c>
      <c r="I264" t="str">
        <f ca="1">IF(Table1[[#This Row],[Exit Date]]= "-", "Active", "Exited")</f>
        <v>Exited</v>
      </c>
      <c r="J264" s="5">
        <f t="shared" ca="1" si="44"/>
        <v>4614</v>
      </c>
      <c r="K264">
        <f ca="1">Table1[[#This Row],[Offers Made]]*2</f>
        <v>6</v>
      </c>
      <c r="L264">
        <f t="shared" ca="1" si="48"/>
        <v>3</v>
      </c>
      <c r="M264">
        <f t="shared" ca="1" si="49"/>
        <v>1</v>
      </c>
      <c r="N264" t="str">
        <f t="shared" ca="1" si="50"/>
        <v>Job Portals</v>
      </c>
      <c r="O264">
        <f t="shared" ca="1" si="51"/>
        <v>1</v>
      </c>
      <c r="P264" t="str">
        <f t="shared" ca="1" si="52"/>
        <v>No</v>
      </c>
      <c r="Q264" t="str" cm="1">
        <f t="array" aca="1" ref="Q264" ca="1">INDEX(sheet2!$C$2:$C$6, RANDBETWEEN(1, 5))</f>
        <v>Communication Skills</v>
      </c>
      <c r="R264" t="str">
        <f t="shared" ca="1" si="45"/>
        <v>Completed</v>
      </c>
      <c r="S264">
        <f ca="1">Table1[[#This Row],[Hire Date]]-Table1[[#This Row],[Job Posting Date]]</f>
        <v>22</v>
      </c>
    </row>
    <row r="265" spans="1:19" x14ac:dyDescent="0.2">
      <c r="A265" t="str">
        <f t="shared" si="46"/>
        <v>EMP264</v>
      </c>
      <c r="B265" t="str">
        <f t="shared" ca="1" si="47"/>
        <v>Male</v>
      </c>
      <c r="C265" t="str" cm="1">
        <f t="array" aca="1" ref="C265" ca="1">INDEX(sheet2!$A$2:$A$6, RANDBETWEEN(1, 5))</f>
        <v>Finance</v>
      </c>
      <c r="D265" t="str">
        <f ca="1">_xlfn.XLOOKUP(Table1[[#This Row],[Department]],sheet2!$A$2:$A$6,sheet2!$B$2:$B$6,_xleta.NA,0)</f>
        <v>Finance Manager</v>
      </c>
      <c r="E265" s="1">
        <f t="shared" ca="1" si="43"/>
        <v>43812</v>
      </c>
      <c r="F265" s="1">
        <f ca="1">Table1[[#This Row],[Job Posting Date]]+ RANDBETWEEN(15, 90)</f>
        <v>43887</v>
      </c>
      <c r="G265" s="1">
        <f ca="1">Table1[[#This Row],[Hire Date]]+ RANDBETWEEN(1, 15)</f>
        <v>43891</v>
      </c>
      <c r="H265" s="1">
        <f ca="1">IF(RAND() &lt; 0.5,  Table1[[#This Row],[Join Date]]+ RANDBETWEEN(30, TODAY()- Table1[[#This Row],[Join Date]]), "-")</f>
        <v>44480</v>
      </c>
      <c r="I265" t="str">
        <f ca="1">IF(Table1[[#This Row],[Exit Date]]= "-", "Active", "Exited")</f>
        <v>Exited</v>
      </c>
      <c r="J265" s="5">
        <f t="shared" ca="1" si="44"/>
        <v>2803</v>
      </c>
      <c r="K265">
        <f ca="1">Table1[[#This Row],[Offers Made]]*2</f>
        <v>10</v>
      </c>
      <c r="L265">
        <f t="shared" ca="1" si="48"/>
        <v>5</v>
      </c>
      <c r="M265">
        <f t="shared" ca="1" si="49"/>
        <v>3</v>
      </c>
      <c r="N265" t="str">
        <f t="shared" ca="1" si="50"/>
        <v>Campus Placements</v>
      </c>
      <c r="O265">
        <f t="shared" ca="1" si="51"/>
        <v>4</v>
      </c>
      <c r="P265" t="str">
        <f t="shared" ca="1" si="52"/>
        <v>Yes</v>
      </c>
      <c r="Q265" t="str" cm="1">
        <f t="array" aca="1" ref="Q265" ca="1">INDEX(sheet2!$C$2:$C$6, RANDBETWEEN(1, 5))</f>
        <v>Communication Skills</v>
      </c>
      <c r="R265" t="str">
        <f t="shared" ca="1" si="45"/>
        <v>Not Completed</v>
      </c>
      <c r="S265">
        <f ca="1">Table1[[#This Row],[Hire Date]]-Table1[[#This Row],[Job Posting Date]]</f>
        <v>75</v>
      </c>
    </row>
    <row r="266" spans="1:19" x14ac:dyDescent="0.2">
      <c r="A266" t="str">
        <f t="shared" si="46"/>
        <v>EMP265</v>
      </c>
      <c r="B266" t="str">
        <f t="shared" ca="1" si="47"/>
        <v>Male</v>
      </c>
      <c r="C266" t="str" cm="1">
        <f t="array" aca="1" ref="C266" ca="1">INDEX(sheet2!$A$2:$A$6, RANDBETWEEN(1, 5))</f>
        <v>Finance</v>
      </c>
      <c r="D266" t="str">
        <f ca="1">_xlfn.XLOOKUP(Table1[[#This Row],[Department]],sheet2!$A$2:$A$6,sheet2!$B$2:$B$6,_xleta.NA,0)</f>
        <v>Finance Manager</v>
      </c>
      <c r="E266" s="1">
        <f t="shared" ca="1" si="43"/>
        <v>43709</v>
      </c>
      <c r="F266" s="1">
        <f ca="1">Table1[[#This Row],[Job Posting Date]]+ RANDBETWEEN(15, 90)</f>
        <v>43758</v>
      </c>
      <c r="G266" s="1">
        <f ca="1">Table1[[#This Row],[Hire Date]]+ RANDBETWEEN(1, 15)</f>
        <v>43770</v>
      </c>
      <c r="H266" s="1">
        <f ca="1">IF(RAND() &lt; 0.5,  Table1[[#This Row],[Join Date]]+ RANDBETWEEN(30, TODAY()- Table1[[#This Row],[Join Date]]), "-")</f>
        <v>44611</v>
      </c>
      <c r="I266" t="str">
        <f ca="1">IF(Table1[[#This Row],[Exit Date]]= "-", "Active", "Exited")</f>
        <v>Exited</v>
      </c>
      <c r="J266" s="5">
        <f t="shared" ca="1" si="44"/>
        <v>3776</v>
      </c>
      <c r="K266">
        <f ca="1">Table1[[#This Row],[Offers Made]]*2</f>
        <v>6</v>
      </c>
      <c r="L266">
        <f t="shared" ca="1" si="48"/>
        <v>3</v>
      </c>
      <c r="M266">
        <f t="shared" ca="1" si="49"/>
        <v>2</v>
      </c>
      <c r="N266" t="str">
        <f t="shared" ca="1" si="50"/>
        <v>Direct Hiring</v>
      </c>
      <c r="O266">
        <f t="shared" ca="1" si="51"/>
        <v>1</v>
      </c>
      <c r="P266" t="str">
        <f t="shared" ca="1" si="52"/>
        <v>No</v>
      </c>
      <c r="Q266" t="str" cm="1">
        <f t="array" aca="1" ref="Q266" ca="1">INDEX(sheet2!$C$2:$C$6, RANDBETWEEN(1, 5))</f>
        <v>Advanced Excel Skills </v>
      </c>
      <c r="R266" t="str">
        <f t="shared" ca="1" si="45"/>
        <v>Not Completed</v>
      </c>
      <c r="S266">
        <f ca="1">Table1[[#This Row],[Hire Date]]-Table1[[#This Row],[Job Posting Date]]</f>
        <v>49</v>
      </c>
    </row>
    <row r="267" spans="1:19" x14ac:dyDescent="0.2">
      <c r="A267" t="str">
        <f t="shared" si="46"/>
        <v>EMP266</v>
      </c>
      <c r="B267" t="str">
        <f t="shared" ca="1" si="47"/>
        <v>Female</v>
      </c>
      <c r="C267" t="str" cm="1">
        <f t="array" aca="1" ref="C267" ca="1">INDEX(sheet2!$A$2:$A$6, RANDBETWEEN(1, 5))</f>
        <v>Sales</v>
      </c>
      <c r="D267" t="str">
        <f ca="1">_xlfn.XLOOKUP(Table1[[#This Row],[Department]],sheet2!$A$2:$A$6,sheet2!$B$2:$B$6,_xleta.NA,0)</f>
        <v>Marketing Manager</v>
      </c>
      <c r="E267" s="1">
        <f t="shared" ca="1" si="43"/>
        <v>43141</v>
      </c>
      <c r="F267" s="1">
        <f ca="1">Table1[[#This Row],[Job Posting Date]]+ RANDBETWEEN(15, 90)</f>
        <v>43203</v>
      </c>
      <c r="G267" s="1">
        <f ca="1">Table1[[#This Row],[Hire Date]]+ RANDBETWEEN(1, 15)</f>
        <v>43216</v>
      </c>
      <c r="H267" s="1">
        <f ca="1">IF(RAND() &lt; 0.5,  Table1[[#This Row],[Join Date]]+ RANDBETWEEN(30, TODAY()- Table1[[#This Row],[Join Date]]), "-")</f>
        <v>45408</v>
      </c>
      <c r="I267" t="str">
        <f ca="1">IF(Table1[[#This Row],[Exit Date]]= "-", "Active", "Exited")</f>
        <v>Exited</v>
      </c>
      <c r="J267" s="5">
        <f t="shared" ca="1" si="44"/>
        <v>1970</v>
      </c>
      <c r="K267">
        <f ca="1">Table1[[#This Row],[Offers Made]]*2</f>
        <v>12</v>
      </c>
      <c r="L267">
        <f t="shared" ca="1" si="48"/>
        <v>6</v>
      </c>
      <c r="M267">
        <f t="shared" ca="1" si="49"/>
        <v>2</v>
      </c>
      <c r="N267" t="str">
        <f t="shared" ca="1" si="50"/>
        <v>Job Portals</v>
      </c>
      <c r="O267">
        <f t="shared" ca="1" si="51"/>
        <v>2</v>
      </c>
      <c r="P267" t="str">
        <f t="shared" ca="1" si="52"/>
        <v>No</v>
      </c>
      <c r="Q267" t="str" cm="1">
        <f t="array" aca="1" ref="Q267" ca="1">INDEX(sheet2!$C$2:$C$6, RANDBETWEEN(1, 5))</f>
        <v>Ethics and Responsibilities</v>
      </c>
      <c r="R267" t="str">
        <f t="shared" ca="1" si="45"/>
        <v>Not Completed</v>
      </c>
      <c r="S267">
        <f ca="1">Table1[[#This Row],[Hire Date]]-Table1[[#This Row],[Job Posting Date]]</f>
        <v>62</v>
      </c>
    </row>
    <row r="268" spans="1:19" x14ac:dyDescent="0.2">
      <c r="A268" t="str">
        <f t="shared" si="46"/>
        <v>EMP267</v>
      </c>
      <c r="B268" t="str">
        <f t="shared" ca="1" si="47"/>
        <v>Female</v>
      </c>
      <c r="C268" t="str" cm="1">
        <f t="array" aca="1" ref="C268" ca="1">INDEX(sheet2!$A$2:$A$6, RANDBETWEEN(1, 5))</f>
        <v>Finance</v>
      </c>
      <c r="D268" t="str">
        <f ca="1">_xlfn.XLOOKUP(Table1[[#This Row],[Department]],sheet2!$A$2:$A$6,sheet2!$B$2:$B$6,_xleta.NA,0)</f>
        <v>Finance Manager</v>
      </c>
      <c r="E268" s="1">
        <f t="shared" ca="1" si="43"/>
        <v>44784</v>
      </c>
      <c r="F268" s="1">
        <f ca="1">Table1[[#This Row],[Job Posting Date]]+ RANDBETWEEN(15, 90)</f>
        <v>44811</v>
      </c>
      <c r="G268" s="1">
        <f ca="1">Table1[[#This Row],[Hire Date]]+ RANDBETWEEN(1, 15)</f>
        <v>44823</v>
      </c>
      <c r="H268" s="1">
        <f ca="1">IF(RAND() &lt; 0.5,  Table1[[#This Row],[Join Date]]+ RANDBETWEEN(30, TODAY()- Table1[[#This Row],[Join Date]]), "-")</f>
        <v>45239</v>
      </c>
      <c r="I268" t="str">
        <f ca="1">IF(Table1[[#This Row],[Exit Date]]= "-", "Active", "Exited")</f>
        <v>Exited</v>
      </c>
      <c r="J268" s="5">
        <f t="shared" ca="1" si="44"/>
        <v>2737</v>
      </c>
      <c r="K268">
        <f ca="1">Table1[[#This Row],[Offers Made]]*2</f>
        <v>12</v>
      </c>
      <c r="L268">
        <f t="shared" ca="1" si="48"/>
        <v>6</v>
      </c>
      <c r="M268">
        <f t="shared" ca="1" si="49"/>
        <v>4</v>
      </c>
      <c r="N268" t="str">
        <f t="shared" ca="1" si="50"/>
        <v>Job Portals</v>
      </c>
      <c r="O268">
        <f t="shared" ca="1" si="51"/>
        <v>5</v>
      </c>
      <c r="P268" t="str">
        <f t="shared" ca="1" si="52"/>
        <v>No</v>
      </c>
      <c r="Q268" t="str" cm="1">
        <f t="array" aca="1" ref="Q268" ca="1">INDEX(sheet2!$C$2:$C$6, RANDBETWEEN(1, 5))</f>
        <v>Ethics and Responsibilities</v>
      </c>
      <c r="R268" t="str">
        <f t="shared" ca="1" si="45"/>
        <v>Not Completed</v>
      </c>
      <c r="S268">
        <f ca="1">Table1[[#This Row],[Hire Date]]-Table1[[#This Row],[Job Posting Date]]</f>
        <v>27</v>
      </c>
    </row>
    <row r="269" spans="1:19" x14ac:dyDescent="0.2">
      <c r="A269" t="str">
        <f t="shared" si="46"/>
        <v>EMP268</v>
      </c>
      <c r="B269" t="str">
        <f t="shared" ca="1" si="47"/>
        <v>Male</v>
      </c>
      <c r="C269" t="str" cm="1">
        <f t="array" aca="1" ref="C269" ca="1">INDEX(sheet2!$A$2:$A$6, RANDBETWEEN(1, 5))</f>
        <v>Finance</v>
      </c>
      <c r="D269" t="str">
        <f ca="1">_xlfn.XLOOKUP(Table1[[#This Row],[Department]],sheet2!$A$2:$A$6,sheet2!$B$2:$B$6,_xleta.NA,0)</f>
        <v>Finance Manager</v>
      </c>
      <c r="E269" s="1">
        <f t="shared" ca="1" si="43"/>
        <v>43401</v>
      </c>
      <c r="F269" s="1">
        <f ca="1">Table1[[#This Row],[Job Posting Date]]+ RANDBETWEEN(15, 90)</f>
        <v>43444</v>
      </c>
      <c r="G269" s="1">
        <f ca="1">Table1[[#This Row],[Hire Date]]+ RANDBETWEEN(1, 15)</f>
        <v>43449</v>
      </c>
      <c r="H269" s="1" t="str">
        <f ca="1">IF(RAND() &lt; 0.5,  Table1[[#This Row],[Join Date]]+ RANDBETWEEN(30, TODAY()- Table1[[#This Row],[Join Date]]), "-")</f>
        <v>-</v>
      </c>
      <c r="I269" t="str">
        <f ca="1">IF(Table1[[#This Row],[Exit Date]]= "-", "Active", "Exited")</f>
        <v>Active</v>
      </c>
      <c r="J269" s="5">
        <f t="shared" ca="1" si="44"/>
        <v>2285</v>
      </c>
      <c r="K269">
        <f ca="1">Table1[[#This Row],[Offers Made]]*2</f>
        <v>12</v>
      </c>
      <c r="L269">
        <f t="shared" ca="1" si="48"/>
        <v>6</v>
      </c>
      <c r="M269">
        <f t="shared" ca="1" si="49"/>
        <v>3</v>
      </c>
      <c r="N269" t="str">
        <f t="shared" ca="1" si="50"/>
        <v>Employee Referrals</v>
      </c>
      <c r="O269">
        <f t="shared" ca="1" si="51"/>
        <v>5</v>
      </c>
      <c r="P269" t="str">
        <f t="shared" ca="1" si="52"/>
        <v>Yes</v>
      </c>
      <c r="Q269" t="str" cm="1">
        <f t="array" aca="1" ref="Q269" ca="1">INDEX(sheet2!$C$2:$C$6, RANDBETWEEN(1, 5))</f>
        <v>Leadership Development</v>
      </c>
      <c r="R269" t="str">
        <f t="shared" ca="1" si="45"/>
        <v>Not Completed</v>
      </c>
      <c r="S269">
        <f ca="1">Table1[[#This Row],[Hire Date]]-Table1[[#This Row],[Job Posting Date]]</f>
        <v>43</v>
      </c>
    </row>
    <row r="270" spans="1:19" x14ac:dyDescent="0.2">
      <c r="A270" t="str">
        <f t="shared" si="46"/>
        <v>EMP269</v>
      </c>
      <c r="B270" t="str">
        <f t="shared" ca="1" si="47"/>
        <v>Female</v>
      </c>
      <c r="C270" t="str" cm="1">
        <f t="array" aca="1" ref="C270" ca="1">INDEX(sheet2!$A$2:$A$6, RANDBETWEEN(1, 5))</f>
        <v>Sales</v>
      </c>
      <c r="D270" t="str">
        <f ca="1">_xlfn.XLOOKUP(Table1[[#This Row],[Department]],sheet2!$A$2:$A$6,sheet2!$B$2:$B$6,_xleta.NA,0)</f>
        <v>Marketing Manager</v>
      </c>
      <c r="E270" s="1">
        <f t="shared" ca="1" si="43"/>
        <v>44425</v>
      </c>
      <c r="F270" s="1">
        <f ca="1">Table1[[#This Row],[Job Posting Date]]+ RANDBETWEEN(15, 90)</f>
        <v>44492</v>
      </c>
      <c r="G270" s="1">
        <f ca="1">Table1[[#This Row],[Hire Date]]+ RANDBETWEEN(1, 15)</f>
        <v>44505</v>
      </c>
      <c r="H270" s="1" t="str">
        <f ca="1">IF(RAND() &lt; 0.5,  Table1[[#This Row],[Join Date]]+ RANDBETWEEN(30, TODAY()- Table1[[#This Row],[Join Date]]), "-")</f>
        <v>-</v>
      </c>
      <c r="I270" t="str">
        <f ca="1">IF(Table1[[#This Row],[Exit Date]]= "-", "Active", "Exited")</f>
        <v>Active</v>
      </c>
      <c r="J270" s="5">
        <f t="shared" ca="1" si="44"/>
        <v>2060</v>
      </c>
      <c r="K270">
        <f ca="1">Table1[[#This Row],[Offers Made]]*2</f>
        <v>16</v>
      </c>
      <c r="L270">
        <f t="shared" ca="1" si="48"/>
        <v>8</v>
      </c>
      <c r="M270">
        <f t="shared" ca="1" si="49"/>
        <v>4</v>
      </c>
      <c r="N270" t="str">
        <f t="shared" ca="1" si="50"/>
        <v>Campus Placements</v>
      </c>
      <c r="O270">
        <f t="shared" ca="1" si="51"/>
        <v>5</v>
      </c>
      <c r="P270" t="str">
        <f t="shared" ca="1" si="52"/>
        <v>No</v>
      </c>
      <c r="Q270" t="str" cm="1">
        <f t="array" aca="1" ref="Q270" ca="1">INDEX(sheet2!$C$2:$C$6, RANDBETWEEN(1, 5))</f>
        <v>Conflict Resolution</v>
      </c>
      <c r="R270" t="str">
        <f t="shared" ca="1" si="45"/>
        <v>Completed</v>
      </c>
      <c r="S270">
        <f ca="1">Table1[[#This Row],[Hire Date]]-Table1[[#This Row],[Job Posting Date]]</f>
        <v>67</v>
      </c>
    </row>
    <row r="271" spans="1:19" x14ac:dyDescent="0.2">
      <c r="A271" t="str">
        <f t="shared" si="46"/>
        <v>EMP270</v>
      </c>
      <c r="B271" t="str">
        <f t="shared" ca="1" si="47"/>
        <v>Female</v>
      </c>
      <c r="C271" t="str" cm="1">
        <f t="array" aca="1" ref="C271" ca="1">INDEX(sheet2!$A$2:$A$6, RANDBETWEEN(1, 5))</f>
        <v>Finance</v>
      </c>
      <c r="D271" t="str">
        <f ca="1">_xlfn.XLOOKUP(Table1[[#This Row],[Department]],sheet2!$A$2:$A$6,sheet2!$B$2:$B$6,_xleta.NA,0)</f>
        <v>Finance Manager</v>
      </c>
      <c r="E271" s="1">
        <f t="shared" ca="1" si="43"/>
        <v>44367</v>
      </c>
      <c r="F271" s="1">
        <f ca="1">Table1[[#This Row],[Job Posting Date]]+ RANDBETWEEN(15, 90)</f>
        <v>44407</v>
      </c>
      <c r="G271" s="1">
        <f ca="1">Table1[[#This Row],[Hire Date]]+ RANDBETWEEN(1, 15)</f>
        <v>44419</v>
      </c>
      <c r="H271" s="1" t="str">
        <f ca="1">IF(RAND() &lt; 0.5,  Table1[[#This Row],[Join Date]]+ RANDBETWEEN(30, TODAY()- Table1[[#This Row],[Join Date]]), "-")</f>
        <v>-</v>
      </c>
      <c r="I271" t="str">
        <f ca="1">IF(Table1[[#This Row],[Exit Date]]= "-", "Active", "Exited")</f>
        <v>Active</v>
      </c>
      <c r="J271" s="5">
        <f t="shared" ca="1" si="44"/>
        <v>4910</v>
      </c>
      <c r="K271">
        <f ca="1">Table1[[#This Row],[Offers Made]]*2</f>
        <v>12</v>
      </c>
      <c r="L271">
        <f t="shared" ca="1" si="48"/>
        <v>6</v>
      </c>
      <c r="M271">
        <f t="shared" ca="1" si="49"/>
        <v>2</v>
      </c>
      <c r="N271" t="str">
        <f t="shared" ca="1" si="50"/>
        <v>Job Portals</v>
      </c>
      <c r="O271">
        <f t="shared" ca="1" si="51"/>
        <v>1</v>
      </c>
      <c r="P271" t="str">
        <f t="shared" ca="1" si="52"/>
        <v>Yes</v>
      </c>
      <c r="Q271" t="str" cm="1">
        <f t="array" aca="1" ref="Q271" ca="1">INDEX(sheet2!$C$2:$C$6, RANDBETWEEN(1, 5))</f>
        <v>Communication Skills</v>
      </c>
      <c r="R271" t="str">
        <f t="shared" ca="1" si="45"/>
        <v>Completed</v>
      </c>
      <c r="S271">
        <f ca="1">Table1[[#This Row],[Hire Date]]-Table1[[#This Row],[Job Posting Date]]</f>
        <v>40</v>
      </c>
    </row>
    <row r="272" spans="1:19" x14ac:dyDescent="0.2">
      <c r="A272" t="str">
        <f t="shared" si="46"/>
        <v>EMP271</v>
      </c>
      <c r="B272" t="str">
        <f t="shared" ca="1" si="47"/>
        <v>Male</v>
      </c>
      <c r="C272" t="str" cm="1">
        <f t="array" aca="1" ref="C272" ca="1">INDEX(sheet2!$A$2:$A$6, RANDBETWEEN(1, 5))</f>
        <v>Analytics</v>
      </c>
      <c r="D272" t="str">
        <f ca="1">_xlfn.XLOOKUP(Table1[[#This Row],[Department]],sheet2!$A$2:$A$6,sheet2!$B$2:$B$6,_xleta.NA,0)</f>
        <v>Data Analyst</v>
      </c>
      <c r="E272" s="1">
        <f t="shared" ca="1" si="43"/>
        <v>43267</v>
      </c>
      <c r="F272" s="1">
        <f ca="1">Table1[[#This Row],[Job Posting Date]]+ RANDBETWEEN(15, 90)</f>
        <v>43357</v>
      </c>
      <c r="G272" s="1">
        <f ca="1">Table1[[#This Row],[Hire Date]]+ RANDBETWEEN(1, 15)</f>
        <v>43370</v>
      </c>
      <c r="H272" s="1" t="str">
        <f ca="1">IF(RAND() &lt; 0.5,  Table1[[#This Row],[Join Date]]+ RANDBETWEEN(30, TODAY()- Table1[[#This Row],[Join Date]]), "-")</f>
        <v>-</v>
      </c>
      <c r="I272" t="str">
        <f ca="1">IF(Table1[[#This Row],[Exit Date]]= "-", "Active", "Exited")</f>
        <v>Active</v>
      </c>
      <c r="J272" s="5">
        <f t="shared" ca="1" si="44"/>
        <v>2010</v>
      </c>
      <c r="K272">
        <f ca="1">Table1[[#This Row],[Offers Made]]*2</f>
        <v>12</v>
      </c>
      <c r="L272">
        <f t="shared" ca="1" si="48"/>
        <v>6</v>
      </c>
      <c r="M272">
        <f t="shared" ca="1" si="49"/>
        <v>4</v>
      </c>
      <c r="N272" t="str">
        <f t="shared" ca="1" si="50"/>
        <v>Job Portals</v>
      </c>
      <c r="O272">
        <f t="shared" ca="1" si="51"/>
        <v>5</v>
      </c>
      <c r="P272" t="str">
        <f t="shared" ca="1" si="52"/>
        <v>Yes</v>
      </c>
      <c r="Q272" t="str" cm="1">
        <f t="array" aca="1" ref="Q272" ca="1">INDEX(sheet2!$C$2:$C$6, RANDBETWEEN(1, 5))</f>
        <v>Ethics and Responsibilities</v>
      </c>
      <c r="R272" t="str">
        <f t="shared" ca="1" si="45"/>
        <v>Not Completed</v>
      </c>
      <c r="S272">
        <f ca="1">Table1[[#This Row],[Hire Date]]-Table1[[#This Row],[Job Posting Date]]</f>
        <v>90</v>
      </c>
    </row>
    <row r="273" spans="1:19" x14ac:dyDescent="0.2">
      <c r="A273" t="str">
        <f t="shared" si="46"/>
        <v>EMP272</v>
      </c>
      <c r="B273" t="str">
        <f t="shared" ca="1" si="47"/>
        <v>Male</v>
      </c>
      <c r="C273" t="str" cm="1">
        <f t="array" aca="1" ref="C273" ca="1">INDEX(sheet2!$A$2:$A$6, RANDBETWEEN(1, 5))</f>
        <v>HR</v>
      </c>
      <c r="D273" t="str">
        <f ca="1">_xlfn.XLOOKUP(Table1[[#This Row],[Department]],sheet2!$A$2:$A$6,sheet2!$B$2:$B$6,_xleta.NA,0)</f>
        <v>HR Manager</v>
      </c>
      <c r="E273" s="1">
        <f t="shared" ca="1" si="43"/>
        <v>43988</v>
      </c>
      <c r="F273" s="1">
        <f ca="1">Table1[[#This Row],[Job Posting Date]]+ RANDBETWEEN(15, 90)</f>
        <v>44068</v>
      </c>
      <c r="G273" s="1">
        <f ca="1">Table1[[#This Row],[Hire Date]]+ RANDBETWEEN(1, 15)</f>
        <v>44070</v>
      </c>
      <c r="H273" s="1">
        <f ca="1">IF(RAND() &lt; 0.5,  Table1[[#This Row],[Join Date]]+ RANDBETWEEN(30, TODAY()- Table1[[#This Row],[Join Date]]), "-")</f>
        <v>44939</v>
      </c>
      <c r="I273" t="str">
        <f ca="1">IF(Table1[[#This Row],[Exit Date]]= "-", "Active", "Exited")</f>
        <v>Exited</v>
      </c>
      <c r="J273" s="5">
        <f t="shared" ca="1" si="44"/>
        <v>3767</v>
      </c>
      <c r="K273">
        <f ca="1">Table1[[#This Row],[Offers Made]]*2</f>
        <v>14</v>
      </c>
      <c r="L273">
        <f t="shared" ca="1" si="48"/>
        <v>7</v>
      </c>
      <c r="M273">
        <f t="shared" ca="1" si="49"/>
        <v>1</v>
      </c>
      <c r="N273" t="str">
        <f t="shared" ca="1" si="50"/>
        <v>Campus Placements</v>
      </c>
      <c r="O273">
        <f t="shared" ca="1" si="51"/>
        <v>4</v>
      </c>
      <c r="P273" t="str">
        <f t="shared" ca="1" si="52"/>
        <v>No</v>
      </c>
      <c r="Q273" t="str" cm="1">
        <f t="array" aca="1" ref="Q273" ca="1">INDEX(sheet2!$C$2:$C$6, RANDBETWEEN(1, 5))</f>
        <v>Conflict Resolution</v>
      </c>
      <c r="R273" t="str">
        <f t="shared" ca="1" si="45"/>
        <v>Completed</v>
      </c>
      <c r="S273">
        <f ca="1">Table1[[#This Row],[Hire Date]]-Table1[[#This Row],[Job Posting Date]]</f>
        <v>80</v>
      </c>
    </row>
    <row r="274" spans="1:19" x14ac:dyDescent="0.2">
      <c r="A274" t="str">
        <f t="shared" si="46"/>
        <v>EMP273</v>
      </c>
      <c r="B274" t="str">
        <f t="shared" ca="1" si="47"/>
        <v>Female</v>
      </c>
      <c r="C274" t="str" cm="1">
        <f t="array" aca="1" ref="C274" ca="1">INDEX(sheet2!$A$2:$A$6, RANDBETWEEN(1, 5))</f>
        <v>Sales</v>
      </c>
      <c r="D274" t="str">
        <f ca="1">_xlfn.XLOOKUP(Table1[[#This Row],[Department]],sheet2!$A$2:$A$6,sheet2!$B$2:$B$6,_xleta.NA,0)</f>
        <v>Marketing Manager</v>
      </c>
      <c r="E274" s="1">
        <f t="shared" ca="1" si="43"/>
        <v>44797</v>
      </c>
      <c r="F274" s="1">
        <f ca="1">Table1[[#This Row],[Job Posting Date]]+ RANDBETWEEN(15, 90)</f>
        <v>44881</v>
      </c>
      <c r="G274" s="1">
        <f ca="1">Table1[[#This Row],[Hire Date]]+ RANDBETWEEN(1, 15)</f>
        <v>44884</v>
      </c>
      <c r="H274" s="1" t="str">
        <f ca="1">IF(RAND() &lt; 0.5,  Table1[[#This Row],[Join Date]]+ RANDBETWEEN(30, TODAY()- Table1[[#This Row],[Join Date]]), "-")</f>
        <v>-</v>
      </c>
      <c r="I274" t="str">
        <f ca="1">IF(Table1[[#This Row],[Exit Date]]= "-", "Active", "Exited")</f>
        <v>Active</v>
      </c>
      <c r="J274" s="5">
        <f t="shared" ca="1" si="44"/>
        <v>1788</v>
      </c>
      <c r="K274">
        <f ca="1">Table1[[#This Row],[Offers Made]]*2</f>
        <v>12</v>
      </c>
      <c r="L274">
        <f t="shared" ca="1" si="48"/>
        <v>6</v>
      </c>
      <c r="M274">
        <f t="shared" ca="1" si="49"/>
        <v>3</v>
      </c>
      <c r="N274" t="str">
        <f t="shared" ca="1" si="50"/>
        <v>Direct Hiring</v>
      </c>
      <c r="O274">
        <f t="shared" ca="1" si="51"/>
        <v>5</v>
      </c>
      <c r="P274" t="str">
        <f t="shared" ca="1" si="52"/>
        <v>No</v>
      </c>
      <c r="Q274" t="str" cm="1">
        <f t="array" aca="1" ref="Q274" ca="1">INDEX(sheet2!$C$2:$C$6, RANDBETWEEN(1, 5))</f>
        <v>Leadership Development</v>
      </c>
      <c r="R274" t="str">
        <f t="shared" ca="1" si="45"/>
        <v>Completed</v>
      </c>
      <c r="S274">
        <f ca="1">Table1[[#This Row],[Hire Date]]-Table1[[#This Row],[Job Posting Date]]</f>
        <v>84</v>
      </c>
    </row>
    <row r="275" spans="1:19" x14ac:dyDescent="0.2">
      <c r="A275" t="str">
        <f t="shared" si="46"/>
        <v>EMP274</v>
      </c>
      <c r="B275" t="str">
        <f t="shared" ca="1" si="47"/>
        <v>Female</v>
      </c>
      <c r="C275" t="str" cm="1">
        <f t="array" aca="1" ref="C275" ca="1">INDEX(sheet2!$A$2:$A$6, RANDBETWEEN(1, 5))</f>
        <v>IT</v>
      </c>
      <c r="D275" t="str">
        <f ca="1">_xlfn.XLOOKUP(Table1[[#This Row],[Department]],sheet2!$A$2:$A$6,sheet2!$B$2:$B$6,_xleta.NA,0)</f>
        <v>Software Engineer</v>
      </c>
      <c r="E275" s="1">
        <f t="shared" ca="1" si="43"/>
        <v>44357</v>
      </c>
      <c r="F275" s="1">
        <f ca="1">Table1[[#This Row],[Job Posting Date]]+ RANDBETWEEN(15, 90)</f>
        <v>44406</v>
      </c>
      <c r="G275" s="1">
        <f ca="1">Table1[[#This Row],[Hire Date]]+ RANDBETWEEN(1, 15)</f>
        <v>44416</v>
      </c>
      <c r="H275" s="1" t="str">
        <f ca="1">IF(RAND() &lt; 0.5,  Table1[[#This Row],[Join Date]]+ RANDBETWEEN(30, TODAY()- Table1[[#This Row],[Join Date]]), "-")</f>
        <v>-</v>
      </c>
      <c r="I275" t="str">
        <f ca="1">IF(Table1[[#This Row],[Exit Date]]= "-", "Active", "Exited")</f>
        <v>Active</v>
      </c>
      <c r="J275" s="5">
        <f t="shared" ca="1" si="44"/>
        <v>4641</v>
      </c>
      <c r="K275">
        <f ca="1">Table1[[#This Row],[Offers Made]]*2</f>
        <v>10</v>
      </c>
      <c r="L275">
        <f t="shared" ca="1" si="48"/>
        <v>5</v>
      </c>
      <c r="M275">
        <f t="shared" ca="1" si="49"/>
        <v>3</v>
      </c>
      <c r="N275" t="str">
        <f t="shared" ca="1" si="50"/>
        <v>Job Portals</v>
      </c>
      <c r="O275">
        <f t="shared" ca="1" si="51"/>
        <v>5</v>
      </c>
      <c r="P275" t="str">
        <f t="shared" ca="1" si="52"/>
        <v>Yes</v>
      </c>
      <c r="Q275" t="str" cm="1">
        <f t="array" aca="1" ref="Q275" ca="1">INDEX(sheet2!$C$2:$C$6, RANDBETWEEN(1, 5))</f>
        <v>Ethics and Responsibilities</v>
      </c>
      <c r="R275" t="str">
        <f t="shared" ca="1" si="45"/>
        <v>Completed</v>
      </c>
      <c r="S275">
        <f ca="1">Table1[[#This Row],[Hire Date]]-Table1[[#This Row],[Job Posting Date]]</f>
        <v>49</v>
      </c>
    </row>
    <row r="276" spans="1:19" x14ac:dyDescent="0.2">
      <c r="A276" t="str">
        <f t="shared" si="46"/>
        <v>EMP275</v>
      </c>
      <c r="B276" t="str">
        <f t="shared" ca="1" si="47"/>
        <v>Female</v>
      </c>
      <c r="C276" t="str" cm="1">
        <f t="array" aca="1" ref="C276" ca="1">INDEX(sheet2!$A$2:$A$6, RANDBETWEEN(1, 5))</f>
        <v>Finance</v>
      </c>
      <c r="D276" t="str">
        <f ca="1">_xlfn.XLOOKUP(Table1[[#This Row],[Department]],sheet2!$A$2:$A$6,sheet2!$B$2:$B$6,_xleta.NA,0)</f>
        <v>Finance Manager</v>
      </c>
      <c r="E276" s="1">
        <f t="shared" ca="1" si="43"/>
        <v>43246</v>
      </c>
      <c r="F276" s="1">
        <f ca="1">Table1[[#This Row],[Job Posting Date]]+ RANDBETWEEN(15, 90)</f>
        <v>43263</v>
      </c>
      <c r="G276" s="1">
        <f ca="1">Table1[[#This Row],[Hire Date]]+ RANDBETWEEN(1, 15)</f>
        <v>43265</v>
      </c>
      <c r="H276" s="1" t="str">
        <f ca="1">IF(RAND() &lt; 0.5,  Table1[[#This Row],[Join Date]]+ RANDBETWEEN(30, TODAY()- Table1[[#This Row],[Join Date]]), "-")</f>
        <v>-</v>
      </c>
      <c r="I276" t="str">
        <f ca="1">IF(Table1[[#This Row],[Exit Date]]= "-", "Active", "Exited")</f>
        <v>Active</v>
      </c>
      <c r="J276" s="5">
        <f t="shared" ca="1" si="44"/>
        <v>4833</v>
      </c>
      <c r="K276">
        <f ca="1">Table1[[#This Row],[Offers Made]]*2</f>
        <v>16</v>
      </c>
      <c r="L276">
        <f t="shared" ca="1" si="48"/>
        <v>8</v>
      </c>
      <c r="M276">
        <f t="shared" ca="1" si="49"/>
        <v>4</v>
      </c>
      <c r="N276" t="str">
        <f t="shared" ca="1" si="50"/>
        <v>Employee Referrals</v>
      </c>
      <c r="O276">
        <f t="shared" ca="1" si="51"/>
        <v>1</v>
      </c>
      <c r="P276" t="str">
        <f t="shared" ca="1" si="52"/>
        <v>Yes</v>
      </c>
      <c r="Q276" t="str" cm="1">
        <f t="array" aca="1" ref="Q276" ca="1">INDEX(sheet2!$C$2:$C$6, RANDBETWEEN(1, 5))</f>
        <v>Leadership Development</v>
      </c>
      <c r="R276" t="str">
        <f t="shared" ca="1" si="45"/>
        <v>Not Completed</v>
      </c>
      <c r="S276">
        <f ca="1">Table1[[#This Row],[Hire Date]]-Table1[[#This Row],[Job Posting Date]]</f>
        <v>17</v>
      </c>
    </row>
    <row r="277" spans="1:19" x14ac:dyDescent="0.2">
      <c r="A277" t="str">
        <f t="shared" si="46"/>
        <v>EMP276</v>
      </c>
      <c r="B277" t="str">
        <f t="shared" ca="1" si="47"/>
        <v>Female</v>
      </c>
      <c r="C277" t="str" cm="1">
        <f t="array" aca="1" ref="C277" ca="1">INDEX(sheet2!$A$2:$A$6, RANDBETWEEN(1, 5))</f>
        <v>Sales</v>
      </c>
      <c r="D277" t="str">
        <f ca="1">_xlfn.XLOOKUP(Table1[[#This Row],[Department]],sheet2!$A$2:$A$6,sheet2!$B$2:$B$6,_xleta.NA,0)</f>
        <v>Marketing Manager</v>
      </c>
      <c r="E277" s="1">
        <f t="shared" ca="1" si="43"/>
        <v>43444</v>
      </c>
      <c r="F277" s="1">
        <f ca="1">Table1[[#This Row],[Job Posting Date]]+ RANDBETWEEN(15, 90)</f>
        <v>43471</v>
      </c>
      <c r="G277" s="1">
        <f ca="1">Table1[[#This Row],[Hire Date]]+ RANDBETWEEN(1, 15)</f>
        <v>43477</v>
      </c>
      <c r="H277" s="1" t="str">
        <f ca="1">IF(RAND() &lt; 0.5,  Table1[[#This Row],[Join Date]]+ RANDBETWEEN(30, TODAY()- Table1[[#This Row],[Join Date]]), "-")</f>
        <v>-</v>
      </c>
      <c r="I277" t="str">
        <f ca="1">IF(Table1[[#This Row],[Exit Date]]= "-", "Active", "Exited")</f>
        <v>Active</v>
      </c>
      <c r="J277" s="5">
        <f t="shared" ca="1" si="44"/>
        <v>1851</v>
      </c>
      <c r="K277">
        <f ca="1">Table1[[#This Row],[Offers Made]]*2</f>
        <v>14</v>
      </c>
      <c r="L277">
        <f t="shared" ca="1" si="48"/>
        <v>7</v>
      </c>
      <c r="M277">
        <f t="shared" ca="1" si="49"/>
        <v>3</v>
      </c>
      <c r="N277" t="str">
        <f t="shared" ca="1" si="50"/>
        <v>Campus Placements</v>
      </c>
      <c r="O277">
        <f t="shared" ca="1" si="51"/>
        <v>2</v>
      </c>
      <c r="P277" t="str">
        <f t="shared" ca="1" si="52"/>
        <v>Yes</v>
      </c>
      <c r="Q277" t="str" cm="1">
        <f t="array" aca="1" ref="Q277" ca="1">INDEX(sheet2!$C$2:$C$6, RANDBETWEEN(1, 5))</f>
        <v>Leadership Development</v>
      </c>
      <c r="R277" t="str">
        <f t="shared" ca="1" si="45"/>
        <v>Completed</v>
      </c>
      <c r="S277">
        <f ca="1">Table1[[#This Row],[Hire Date]]-Table1[[#This Row],[Job Posting Date]]</f>
        <v>27</v>
      </c>
    </row>
    <row r="278" spans="1:19" x14ac:dyDescent="0.2">
      <c r="A278" t="str">
        <f t="shared" si="46"/>
        <v>EMP277</v>
      </c>
      <c r="B278" t="str">
        <f t="shared" ca="1" si="47"/>
        <v>Female</v>
      </c>
      <c r="C278" t="str" cm="1">
        <f t="array" aca="1" ref="C278" ca="1">INDEX(sheet2!$A$2:$A$6, RANDBETWEEN(1, 5))</f>
        <v>Sales</v>
      </c>
      <c r="D278" t="str">
        <f ca="1">_xlfn.XLOOKUP(Table1[[#This Row],[Department]],sheet2!$A$2:$A$6,sheet2!$B$2:$B$6,_xleta.NA,0)</f>
        <v>Marketing Manager</v>
      </c>
      <c r="E278" s="1">
        <f t="shared" ca="1" si="43"/>
        <v>44549</v>
      </c>
      <c r="F278" s="1">
        <f ca="1">Table1[[#This Row],[Job Posting Date]]+ RANDBETWEEN(15, 90)</f>
        <v>44589</v>
      </c>
      <c r="G278" s="1">
        <f ca="1">Table1[[#This Row],[Hire Date]]+ RANDBETWEEN(1, 15)</f>
        <v>44593</v>
      </c>
      <c r="H278" s="1">
        <f ca="1">IF(RAND() &lt; 0.5,  Table1[[#This Row],[Join Date]]+ RANDBETWEEN(30, TODAY()- Table1[[#This Row],[Join Date]]), "-")</f>
        <v>45317</v>
      </c>
      <c r="I278" t="str">
        <f ca="1">IF(Table1[[#This Row],[Exit Date]]= "-", "Active", "Exited")</f>
        <v>Exited</v>
      </c>
      <c r="J278" s="5">
        <f t="shared" ca="1" si="44"/>
        <v>4129</v>
      </c>
      <c r="K278">
        <f ca="1">Table1[[#This Row],[Offers Made]]*2</f>
        <v>6</v>
      </c>
      <c r="L278">
        <f t="shared" ca="1" si="48"/>
        <v>3</v>
      </c>
      <c r="M278">
        <f t="shared" ca="1" si="49"/>
        <v>1</v>
      </c>
      <c r="N278" t="str">
        <f t="shared" ca="1" si="50"/>
        <v>Campus Placements</v>
      </c>
      <c r="O278">
        <f t="shared" ca="1" si="51"/>
        <v>4</v>
      </c>
      <c r="P278" t="str">
        <f t="shared" ca="1" si="52"/>
        <v>Yes</v>
      </c>
      <c r="Q278" t="str" cm="1">
        <f t="array" aca="1" ref="Q278" ca="1">INDEX(sheet2!$C$2:$C$6, RANDBETWEEN(1, 5))</f>
        <v>Advanced Excel Skills </v>
      </c>
      <c r="R278" t="str">
        <f t="shared" ca="1" si="45"/>
        <v>Not Completed</v>
      </c>
      <c r="S278">
        <f ca="1">Table1[[#This Row],[Hire Date]]-Table1[[#This Row],[Job Posting Date]]</f>
        <v>40</v>
      </c>
    </row>
    <row r="279" spans="1:19" x14ac:dyDescent="0.2">
      <c r="A279" t="str">
        <f t="shared" si="46"/>
        <v>EMP278</v>
      </c>
      <c r="B279" t="str">
        <f t="shared" ca="1" si="47"/>
        <v>Male</v>
      </c>
      <c r="C279" t="str" cm="1">
        <f t="array" aca="1" ref="C279" ca="1">INDEX(sheet2!$A$2:$A$6, RANDBETWEEN(1, 5))</f>
        <v>Analytics</v>
      </c>
      <c r="D279" t="str">
        <f ca="1">_xlfn.XLOOKUP(Table1[[#This Row],[Department]],sheet2!$A$2:$A$6,sheet2!$B$2:$B$6,_xleta.NA,0)</f>
        <v>Data Analyst</v>
      </c>
      <c r="E279" s="1">
        <f t="shared" ca="1" si="43"/>
        <v>43307</v>
      </c>
      <c r="F279" s="1">
        <f ca="1">Table1[[#This Row],[Job Posting Date]]+ RANDBETWEEN(15, 90)</f>
        <v>43327</v>
      </c>
      <c r="G279" s="1">
        <f ca="1">Table1[[#This Row],[Hire Date]]+ RANDBETWEEN(1, 15)</f>
        <v>43331</v>
      </c>
      <c r="H279" s="1" t="str">
        <f ca="1">IF(RAND() &lt; 0.5,  Table1[[#This Row],[Join Date]]+ RANDBETWEEN(30, TODAY()- Table1[[#This Row],[Join Date]]), "-")</f>
        <v>-</v>
      </c>
      <c r="I279" t="str">
        <f ca="1">IF(Table1[[#This Row],[Exit Date]]= "-", "Active", "Exited")</f>
        <v>Active</v>
      </c>
      <c r="J279" s="5">
        <f t="shared" ca="1" si="44"/>
        <v>1898</v>
      </c>
      <c r="K279">
        <f ca="1">Table1[[#This Row],[Offers Made]]*2</f>
        <v>6</v>
      </c>
      <c r="L279">
        <f t="shared" ca="1" si="48"/>
        <v>3</v>
      </c>
      <c r="M279">
        <f t="shared" ca="1" si="49"/>
        <v>2</v>
      </c>
      <c r="N279" t="str">
        <f t="shared" ca="1" si="50"/>
        <v>Employee Referrals</v>
      </c>
      <c r="O279">
        <f t="shared" ca="1" si="51"/>
        <v>2</v>
      </c>
      <c r="P279" t="str">
        <f t="shared" ca="1" si="52"/>
        <v>Yes</v>
      </c>
      <c r="Q279" t="str" cm="1">
        <f t="array" aca="1" ref="Q279" ca="1">INDEX(sheet2!$C$2:$C$6, RANDBETWEEN(1, 5))</f>
        <v>Leadership Development</v>
      </c>
      <c r="R279" t="str">
        <f t="shared" ca="1" si="45"/>
        <v>Completed</v>
      </c>
      <c r="S279">
        <f ca="1">Table1[[#This Row],[Hire Date]]-Table1[[#This Row],[Job Posting Date]]</f>
        <v>20</v>
      </c>
    </row>
    <row r="280" spans="1:19" x14ac:dyDescent="0.2">
      <c r="A280" t="str">
        <f t="shared" si="46"/>
        <v>EMP279</v>
      </c>
      <c r="B280" t="str">
        <f t="shared" ca="1" si="47"/>
        <v>Female</v>
      </c>
      <c r="C280" t="str" cm="1">
        <f t="array" aca="1" ref="C280" ca="1">INDEX(sheet2!$A$2:$A$6, RANDBETWEEN(1, 5))</f>
        <v>HR</v>
      </c>
      <c r="D280" t="str">
        <f ca="1">_xlfn.XLOOKUP(Table1[[#This Row],[Department]],sheet2!$A$2:$A$6,sheet2!$B$2:$B$6,_xleta.NA,0)</f>
        <v>HR Manager</v>
      </c>
      <c r="E280" s="1">
        <f t="shared" ca="1" si="43"/>
        <v>44322</v>
      </c>
      <c r="F280" s="1">
        <f ca="1">Table1[[#This Row],[Job Posting Date]]+ RANDBETWEEN(15, 90)</f>
        <v>44379</v>
      </c>
      <c r="G280" s="1">
        <f ca="1">Table1[[#This Row],[Hire Date]]+ RANDBETWEEN(1, 15)</f>
        <v>44389</v>
      </c>
      <c r="H280" s="1">
        <f ca="1">IF(RAND() &lt; 0.5,  Table1[[#This Row],[Join Date]]+ RANDBETWEEN(30, TODAY()- Table1[[#This Row],[Join Date]]), "-")</f>
        <v>45075</v>
      </c>
      <c r="I280" t="str">
        <f ca="1">IF(Table1[[#This Row],[Exit Date]]= "-", "Active", "Exited")</f>
        <v>Exited</v>
      </c>
      <c r="J280" s="5">
        <f t="shared" ca="1" si="44"/>
        <v>4513</v>
      </c>
      <c r="K280">
        <f ca="1">Table1[[#This Row],[Offers Made]]*2</f>
        <v>10</v>
      </c>
      <c r="L280">
        <f t="shared" ca="1" si="48"/>
        <v>5</v>
      </c>
      <c r="M280">
        <f t="shared" ca="1" si="49"/>
        <v>3</v>
      </c>
      <c r="N280" t="str">
        <f t="shared" ca="1" si="50"/>
        <v>Direct Hiring</v>
      </c>
      <c r="O280">
        <f t="shared" ca="1" si="51"/>
        <v>5</v>
      </c>
      <c r="P280" t="str">
        <f t="shared" ca="1" si="52"/>
        <v>Yes</v>
      </c>
      <c r="Q280" t="str" cm="1">
        <f t="array" aca="1" ref="Q280" ca="1">INDEX(sheet2!$C$2:$C$6, RANDBETWEEN(1, 5))</f>
        <v>Communication Skills</v>
      </c>
      <c r="R280" t="str">
        <f t="shared" ca="1" si="45"/>
        <v>Not Completed</v>
      </c>
      <c r="S280">
        <f ca="1">Table1[[#This Row],[Hire Date]]-Table1[[#This Row],[Job Posting Date]]</f>
        <v>57</v>
      </c>
    </row>
    <row r="281" spans="1:19" x14ac:dyDescent="0.2">
      <c r="A281" t="str">
        <f t="shared" si="46"/>
        <v>EMP280</v>
      </c>
      <c r="B281" t="str">
        <f t="shared" ca="1" si="47"/>
        <v>Male</v>
      </c>
      <c r="C281" t="str" cm="1">
        <f t="array" aca="1" ref="C281" ca="1">INDEX(sheet2!$A$2:$A$6, RANDBETWEEN(1, 5))</f>
        <v>IT</v>
      </c>
      <c r="D281" t="str">
        <f ca="1">_xlfn.XLOOKUP(Table1[[#This Row],[Department]],sheet2!$A$2:$A$6,sheet2!$B$2:$B$6,_xleta.NA,0)</f>
        <v>Software Engineer</v>
      </c>
      <c r="E281" s="1">
        <f t="shared" ca="1" si="43"/>
        <v>44124</v>
      </c>
      <c r="F281" s="1">
        <f ca="1">Table1[[#This Row],[Job Posting Date]]+ RANDBETWEEN(15, 90)</f>
        <v>44147</v>
      </c>
      <c r="G281" s="1">
        <f ca="1">Table1[[#This Row],[Hire Date]]+ RANDBETWEEN(1, 15)</f>
        <v>44155</v>
      </c>
      <c r="H281" s="1">
        <f ca="1">IF(RAND() &lt; 0.5,  Table1[[#This Row],[Join Date]]+ RANDBETWEEN(30, TODAY()- Table1[[#This Row],[Join Date]]), "-")</f>
        <v>45397</v>
      </c>
      <c r="I281" t="str">
        <f ca="1">IF(Table1[[#This Row],[Exit Date]]= "-", "Active", "Exited")</f>
        <v>Exited</v>
      </c>
      <c r="J281" s="5">
        <f t="shared" ca="1" si="44"/>
        <v>2971</v>
      </c>
      <c r="K281">
        <f ca="1">Table1[[#This Row],[Offers Made]]*2</f>
        <v>10</v>
      </c>
      <c r="L281">
        <f t="shared" ca="1" si="48"/>
        <v>5</v>
      </c>
      <c r="M281">
        <f t="shared" ca="1" si="49"/>
        <v>3</v>
      </c>
      <c r="N281" t="str">
        <f t="shared" ca="1" si="50"/>
        <v>Job Portals</v>
      </c>
      <c r="O281">
        <f t="shared" ca="1" si="51"/>
        <v>1</v>
      </c>
      <c r="P281" t="str">
        <f t="shared" ca="1" si="52"/>
        <v>No</v>
      </c>
      <c r="Q281" t="str" cm="1">
        <f t="array" aca="1" ref="Q281" ca="1">INDEX(sheet2!$C$2:$C$6, RANDBETWEEN(1, 5))</f>
        <v>Conflict Resolution</v>
      </c>
      <c r="R281" t="str">
        <f t="shared" ca="1" si="45"/>
        <v>Completed</v>
      </c>
      <c r="S281">
        <f ca="1">Table1[[#This Row],[Hire Date]]-Table1[[#This Row],[Job Posting Date]]</f>
        <v>23</v>
      </c>
    </row>
    <row r="282" spans="1:19" x14ac:dyDescent="0.2">
      <c r="A282" t="str">
        <f t="shared" si="46"/>
        <v>EMP281</v>
      </c>
      <c r="B282" t="str">
        <f t="shared" ca="1" si="47"/>
        <v>Female</v>
      </c>
      <c r="C282" t="str" cm="1">
        <f t="array" aca="1" ref="C282" ca="1">INDEX(sheet2!$A$2:$A$6, RANDBETWEEN(1, 5))</f>
        <v>Finance</v>
      </c>
      <c r="D282" t="str">
        <f ca="1">_xlfn.XLOOKUP(Table1[[#This Row],[Department]],sheet2!$A$2:$A$6,sheet2!$B$2:$B$6,_xleta.NA,0)</f>
        <v>Finance Manager</v>
      </c>
      <c r="E282" s="1">
        <f t="shared" ca="1" si="43"/>
        <v>44334</v>
      </c>
      <c r="F282" s="1">
        <f ca="1">Table1[[#This Row],[Job Posting Date]]+ RANDBETWEEN(15, 90)</f>
        <v>44372</v>
      </c>
      <c r="G282" s="1">
        <f ca="1">Table1[[#This Row],[Hire Date]]+ RANDBETWEEN(1, 15)</f>
        <v>44376</v>
      </c>
      <c r="H282" s="1" t="str">
        <f ca="1">IF(RAND() &lt; 0.5,  Table1[[#This Row],[Join Date]]+ RANDBETWEEN(30, TODAY()- Table1[[#This Row],[Join Date]]), "-")</f>
        <v>-</v>
      </c>
      <c r="I282" t="str">
        <f ca="1">IF(Table1[[#This Row],[Exit Date]]= "-", "Active", "Exited")</f>
        <v>Active</v>
      </c>
      <c r="J282" s="5">
        <f t="shared" ca="1" si="44"/>
        <v>4829</v>
      </c>
      <c r="K282">
        <f ca="1">Table1[[#This Row],[Offers Made]]*2</f>
        <v>6</v>
      </c>
      <c r="L282">
        <f t="shared" ca="1" si="48"/>
        <v>3</v>
      </c>
      <c r="M282">
        <f t="shared" ca="1" si="49"/>
        <v>1</v>
      </c>
      <c r="N282" t="str">
        <f t="shared" ca="1" si="50"/>
        <v>Campus Placements</v>
      </c>
      <c r="O282">
        <f t="shared" ca="1" si="51"/>
        <v>4</v>
      </c>
      <c r="P282" t="str">
        <f t="shared" ca="1" si="52"/>
        <v>Yes</v>
      </c>
      <c r="Q282" t="str" cm="1">
        <f t="array" aca="1" ref="Q282" ca="1">INDEX(sheet2!$C$2:$C$6, RANDBETWEEN(1, 5))</f>
        <v>Leadership Development</v>
      </c>
      <c r="R282" t="str">
        <f t="shared" ca="1" si="45"/>
        <v>Not Completed</v>
      </c>
      <c r="S282">
        <f ca="1">Table1[[#This Row],[Hire Date]]-Table1[[#This Row],[Job Posting Date]]</f>
        <v>38</v>
      </c>
    </row>
    <row r="283" spans="1:19" x14ac:dyDescent="0.2">
      <c r="A283" t="str">
        <f t="shared" si="46"/>
        <v>EMP282</v>
      </c>
      <c r="B283" t="str">
        <f t="shared" ca="1" si="47"/>
        <v>Female</v>
      </c>
      <c r="C283" t="str" cm="1">
        <f t="array" aca="1" ref="C283" ca="1">INDEX(sheet2!$A$2:$A$6, RANDBETWEEN(1, 5))</f>
        <v>Sales</v>
      </c>
      <c r="D283" t="str">
        <f ca="1">_xlfn.XLOOKUP(Table1[[#This Row],[Department]],sheet2!$A$2:$A$6,sheet2!$B$2:$B$6,_xleta.NA,0)</f>
        <v>Marketing Manager</v>
      </c>
      <c r="E283" s="1">
        <f t="shared" ca="1" si="43"/>
        <v>44621</v>
      </c>
      <c r="F283" s="1">
        <f ca="1">Table1[[#This Row],[Job Posting Date]]+ RANDBETWEEN(15, 90)</f>
        <v>44670</v>
      </c>
      <c r="G283" s="1">
        <f ca="1">Table1[[#This Row],[Hire Date]]+ RANDBETWEEN(1, 15)</f>
        <v>44673</v>
      </c>
      <c r="H283" s="1" t="str">
        <f ca="1">IF(RAND() &lt; 0.5,  Table1[[#This Row],[Join Date]]+ RANDBETWEEN(30, TODAY()- Table1[[#This Row],[Join Date]]), "-")</f>
        <v>-</v>
      </c>
      <c r="I283" t="str">
        <f ca="1">IF(Table1[[#This Row],[Exit Date]]= "-", "Active", "Exited")</f>
        <v>Active</v>
      </c>
      <c r="J283" s="5">
        <f t="shared" ca="1" si="44"/>
        <v>2517</v>
      </c>
      <c r="K283">
        <f ca="1">Table1[[#This Row],[Offers Made]]*2</f>
        <v>10</v>
      </c>
      <c r="L283">
        <f t="shared" ca="1" si="48"/>
        <v>5</v>
      </c>
      <c r="M283">
        <f t="shared" ca="1" si="49"/>
        <v>3</v>
      </c>
      <c r="N283" t="str">
        <f t="shared" ca="1" si="50"/>
        <v>Direct Hiring</v>
      </c>
      <c r="O283">
        <f t="shared" ca="1" si="51"/>
        <v>1</v>
      </c>
      <c r="P283" t="str">
        <f t="shared" ca="1" si="52"/>
        <v>Yes</v>
      </c>
      <c r="Q283" t="str" cm="1">
        <f t="array" aca="1" ref="Q283" ca="1">INDEX(sheet2!$C$2:$C$6, RANDBETWEEN(1, 5))</f>
        <v>Communication Skills</v>
      </c>
      <c r="R283" t="str">
        <f t="shared" ca="1" si="45"/>
        <v>Completed</v>
      </c>
      <c r="S283">
        <f ca="1">Table1[[#This Row],[Hire Date]]-Table1[[#This Row],[Job Posting Date]]</f>
        <v>49</v>
      </c>
    </row>
    <row r="284" spans="1:19" x14ac:dyDescent="0.2">
      <c r="A284" t="str">
        <f t="shared" si="46"/>
        <v>EMP283</v>
      </c>
      <c r="B284" t="str">
        <f t="shared" ca="1" si="47"/>
        <v>Male</v>
      </c>
      <c r="C284" t="str" cm="1">
        <f t="array" aca="1" ref="C284" ca="1">INDEX(sheet2!$A$2:$A$6, RANDBETWEEN(1, 5))</f>
        <v>Finance</v>
      </c>
      <c r="D284" t="str">
        <f ca="1">_xlfn.XLOOKUP(Table1[[#This Row],[Department]],sheet2!$A$2:$A$6,sheet2!$B$2:$B$6,_xleta.NA,0)</f>
        <v>Finance Manager</v>
      </c>
      <c r="E284" s="1">
        <f t="shared" ca="1" si="43"/>
        <v>43594</v>
      </c>
      <c r="F284" s="1">
        <f ca="1">Table1[[#This Row],[Job Posting Date]]+ RANDBETWEEN(15, 90)</f>
        <v>43609</v>
      </c>
      <c r="G284" s="1">
        <f ca="1">Table1[[#This Row],[Hire Date]]+ RANDBETWEEN(1, 15)</f>
        <v>43615</v>
      </c>
      <c r="H284" s="1" t="str">
        <f ca="1">IF(RAND() &lt; 0.5,  Table1[[#This Row],[Join Date]]+ RANDBETWEEN(30, TODAY()- Table1[[#This Row],[Join Date]]), "-")</f>
        <v>-</v>
      </c>
      <c r="I284" t="str">
        <f ca="1">IF(Table1[[#This Row],[Exit Date]]= "-", "Active", "Exited")</f>
        <v>Active</v>
      </c>
      <c r="J284" s="5">
        <f t="shared" ca="1" si="44"/>
        <v>2997</v>
      </c>
      <c r="K284">
        <f ca="1">Table1[[#This Row],[Offers Made]]*2</f>
        <v>10</v>
      </c>
      <c r="L284">
        <f t="shared" ca="1" si="48"/>
        <v>5</v>
      </c>
      <c r="M284">
        <f t="shared" ca="1" si="49"/>
        <v>2</v>
      </c>
      <c r="N284" t="str">
        <f t="shared" ca="1" si="50"/>
        <v>Direct Hiring</v>
      </c>
      <c r="O284">
        <f t="shared" ca="1" si="51"/>
        <v>2</v>
      </c>
      <c r="P284" t="str">
        <f t="shared" ca="1" si="52"/>
        <v>Yes</v>
      </c>
      <c r="Q284" t="str" cm="1">
        <f t="array" aca="1" ref="Q284" ca="1">INDEX(sheet2!$C$2:$C$6, RANDBETWEEN(1, 5))</f>
        <v>Advanced Excel Skills </v>
      </c>
      <c r="R284" t="str">
        <f t="shared" ca="1" si="45"/>
        <v>Completed</v>
      </c>
      <c r="S284">
        <f ca="1">Table1[[#This Row],[Hire Date]]-Table1[[#This Row],[Job Posting Date]]</f>
        <v>15</v>
      </c>
    </row>
    <row r="285" spans="1:19" x14ac:dyDescent="0.2">
      <c r="A285" t="str">
        <f t="shared" si="46"/>
        <v>EMP284</v>
      </c>
      <c r="B285" t="str">
        <f t="shared" ca="1" si="47"/>
        <v>Female</v>
      </c>
      <c r="C285" t="str" cm="1">
        <f t="array" aca="1" ref="C285" ca="1">INDEX(sheet2!$A$2:$A$6, RANDBETWEEN(1, 5))</f>
        <v>Analytics</v>
      </c>
      <c r="D285" t="str">
        <f ca="1">_xlfn.XLOOKUP(Table1[[#This Row],[Department]],sheet2!$A$2:$A$6,sheet2!$B$2:$B$6,_xleta.NA,0)</f>
        <v>Data Analyst</v>
      </c>
      <c r="E285" s="1">
        <f t="shared" ca="1" si="43"/>
        <v>43301</v>
      </c>
      <c r="F285" s="1">
        <f ca="1">Table1[[#This Row],[Job Posting Date]]+ RANDBETWEEN(15, 90)</f>
        <v>43326</v>
      </c>
      <c r="G285" s="1">
        <f ca="1">Table1[[#This Row],[Hire Date]]+ RANDBETWEEN(1, 15)</f>
        <v>43340</v>
      </c>
      <c r="H285" s="1" t="str">
        <f ca="1">IF(RAND() &lt; 0.5,  Table1[[#This Row],[Join Date]]+ RANDBETWEEN(30, TODAY()- Table1[[#This Row],[Join Date]]), "-")</f>
        <v>-</v>
      </c>
      <c r="I285" t="str">
        <f ca="1">IF(Table1[[#This Row],[Exit Date]]= "-", "Active", "Exited")</f>
        <v>Active</v>
      </c>
      <c r="J285" s="5">
        <f t="shared" ca="1" si="44"/>
        <v>4367</v>
      </c>
      <c r="K285">
        <f ca="1">Table1[[#This Row],[Offers Made]]*2</f>
        <v>16</v>
      </c>
      <c r="L285">
        <f t="shared" ca="1" si="48"/>
        <v>8</v>
      </c>
      <c r="M285">
        <f t="shared" ca="1" si="49"/>
        <v>1</v>
      </c>
      <c r="N285" t="str">
        <f t="shared" ca="1" si="50"/>
        <v>Direct Hiring</v>
      </c>
      <c r="O285">
        <f t="shared" ca="1" si="51"/>
        <v>1</v>
      </c>
      <c r="P285" t="str">
        <f t="shared" ca="1" si="52"/>
        <v>Yes</v>
      </c>
      <c r="Q285" t="str" cm="1">
        <f t="array" aca="1" ref="Q285" ca="1">INDEX(sheet2!$C$2:$C$6, RANDBETWEEN(1, 5))</f>
        <v>Leadership Development</v>
      </c>
      <c r="R285" t="str">
        <f t="shared" ca="1" si="45"/>
        <v>Not Completed</v>
      </c>
      <c r="S285">
        <f ca="1">Table1[[#This Row],[Hire Date]]-Table1[[#This Row],[Job Posting Date]]</f>
        <v>25</v>
      </c>
    </row>
    <row r="286" spans="1:19" x14ac:dyDescent="0.2">
      <c r="A286" t="str">
        <f t="shared" si="46"/>
        <v>EMP285</v>
      </c>
      <c r="B286" t="str">
        <f t="shared" ca="1" si="47"/>
        <v>Female</v>
      </c>
      <c r="C286" t="str" cm="1">
        <f t="array" aca="1" ref="C286" ca="1">INDEX(sheet2!$A$2:$A$6, RANDBETWEEN(1, 5))</f>
        <v>HR</v>
      </c>
      <c r="D286" t="str">
        <f ca="1">_xlfn.XLOOKUP(Table1[[#This Row],[Department]],sheet2!$A$2:$A$6,sheet2!$B$2:$B$6,_xleta.NA,0)</f>
        <v>HR Manager</v>
      </c>
      <c r="E286" s="1">
        <f t="shared" ca="1" si="43"/>
        <v>44085</v>
      </c>
      <c r="F286" s="1">
        <f ca="1">Table1[[#This Row],[Job Posting Date]]+ RANDBETWEEN(15, 90)</f>
        <v>44100</v>
      </c>
      <c r="G286" s="1">
        <f ca="1">Table1[[#This Row],[Hire Date]]+ RANDBETWEEN(1, 15)</f>
        <v>44102</v>
      </c>
      <c r="H286" s="1" t="str">
        <f ca="1">IF(RAND() &lt; 0.5,  Table1[[#This Row],[Join Date]]+ RANDBETWEEN(30, TODAY()- Table1[[#This Row],[Join Date]]), "-")</f>
        <v>-</v>
      </c>
      <c r="I286" t="str">
        <f ca="1">IF(Table1[[#This Row],[Exit Date]]= "-", "Active", "Exited")</f>
        <v>Active</v>
      </c>
      <c r="J286" s="5">
        <f t="shared" ca="1" si="44"/>
        <v>3645</v>
      </c>
      <c r="K286">
        <f ca="1">Table1[[#This Row],[Offers Made]]*2</f>
        <v>6</v>
      </c>
      <c r="L286">
        <f t="shared" ca="1" si="48"/>
        <v>3</v>
      </c>
      <c r="M286">
        <f t="shared" ca="1" si="49"/>
        <v>1</v>
      </c>
      <c r="N286" t="str">
        <f t="shared" ca="1" si="50"/>
        <v>Campus Placements</v>
      </c>
      <c r="O286">
        <f t="shared" ca="1" si="51"/>
        <v>5</v>
      </c>
      <c r="P286" t="str">
        <f t="shared" ca="1" si="52"/>
        <v>No</v>
      </c>
      <c r="Q286" t="str" cm="1">
        <f t="array" aca="1" ref="Q286" ca="1">INDEX(sheet2!$C$2:$C$6, RANDBETWEEN(1, 5))</f>
        <v>Ethics and Responsibilities</v>
      </c>
      <c r="R286" t="str">
        <f t="shared" ca="1" si="45"/>
        <v>Completed</v>
      </c>
      <c r="S286">
        <f ca="1">Table1[[#This Row],[Hire Date]]-Table1[[#This Row],[Job Posting Date]]</f>
        <v>15</v>
      </c>
    </row>
    <row r="287" spans="1:19" x14ac:dyDescent="0.2">
      <c r="A287" t="str">
        <f t="shared" si="46"/>
        <v>EMP286</v>
      </c>
      <c r="B287" t="str">
        <f t="shared" ca="1" si="47"/>
        <v>Female</v>
      </c>
      <c r="C287" t="str" cm="1">
        <f t="array" aca="1" ref="C287" ca="1">INDEX(sheet2!$A$2:$A$6, RANDBETWEEN(1, 5))</f>
        <v>Analytics</v>
      </c>
      <c r="D287" t="str">
        <f ca="1">_xlfn.XLOOKUP(Table1[[#This Row],[Department]],sheet2!$A$2:$A$6,sheet2!$B$2:$B$6,_xleta.NA,0)</f>
        <v>Data Analyst</v>
      </c>
      <c r="E287" s="1">
        <f t="shared" ca="1" si="43"/>
        <v>44214</v>
      </c>
      <c r="F287" s="1">
        <f ca="1">Table1[[#This Row],[Job Posting Date]]+ RANDBETWEEN(15, 90)</f>
        <v>44272</v>
      </c>
      <c r="G287" s="1">
        <f ca="1">Table1[[#This Row],[Hire Date]]+ RANDBETWEEN(1, 15)</f>
        <v>44284</v>
      </c>
      <c r="H287" s="1" t="str">
        <f ca="1">IF(RAND() &lt; 0.5,  Table1[[#This Row],[Join Date]]+ RANDBETWEEN(30, TODAY()- Table1[[#This Row],[Join Date]]), "-")</f>
        <v>-</v>
      </c>
      <c r="I287" t="str">
        <f ca="1">IF(Table1[[#This Row],[Exit Date]]= "-", "Active", "Exited")</f>
        <v>Active</v>
      </c>
      <c r="J287" s="5">
        <f t="shared" ca="1" si="44"/>
        <v>2563</v>
      </c>
      <c r="K287">
        <f ca="1">Table1[[#This Row],[Offers Made]]*2</f>
        <v>6</v>
      </c>
      <c r="L287">
        <f t="shared" ca="1" si="48"/>
        <v>3</v>
      </c>
      <c r="M287">
        <f t="shared" ca="1" si="49"/>
        <v>2</v>
      </c>
      <c r="N287" t="str">
        <f t="shared" ca="1" si="50"/>
        <v>Campus Placements</v>
      </c>
      <c r="O287">
        <f t="shared" ca="1" si="51"/>
        <v>4</v>
      </c>
      <c r="P287" t="str">
        <f t="shared" ca="1" si="52"/>
        <v>Yes</v>
      </c>
      <c r="Q287" t="str" cm="1">
        <f t="array" aca="1" ref="Q287" ca="1">INDEX(sheet2!$C$2:$C$6, RANDBETWEEN(1, 5))</f>
        <v>Communication Skills</v>
      </c>
      <c r="R287" t="str">
        <f t="shared" ca="1" si="45"/>
        <v>Completed</v>
      </c>
      <c r="S287">
        <f ca="1">Table1[[#This Row],[Hire Date]]-Table1[[#This Row],[Job Posting Date]]</f>
        <v>58</v>
      </c>
    </row>
    <row r="288" spans="1:19" x14ac:dyDescent="0.2">
      <c r="A288" t="str">
        <f t="shared" si="46"/>
        <v>EMP287</v>
      </c>
      <c r="B288" t="str">
        <f t="shared" ca="1" si="47"/>
        <v>Female</v>
      </c>
      <c r="C288" t="str" cm="1">
        <f t="array" aca="1" ref="C288" ca="1">INDEX(sheet2!$A$2:$A$6, RANDBETWEEN(1, 5))</f>
        <v>IT</v>
      </c>
      <c r="D288" t="str">
        <f ca="1">_xlfn.XLOOKUP(Table1[[#This Row],[Department]],sheet2!$A$2:$A$6,sheet2!$B$2:$B$6,_xleta.NA,0)</f>
        <v>Software Engineer</v>
      </c>
      <c r="E288" s="1">
        <f t="shared" ca="1" si="43"/>
        <v>43117</v>
      </c>
      <c r="F288" s="1">
        <f ca="1">Table1[[#This Row],[Job Posting Date]]+ RANDBETWEEN(15, 90)</f>
        <v>43180</v>
      </c>
      <c r="G288" s="1">
        <f ca="1">Table1[[#This Row],[Hire Date]]+ RANDBETWEEN(1, 15)</f>
        <v>43187</v>
      </c>
      <c r="H288" s="1" t="str">
        <f ca="1">IF(RAND() &lt; 0.5,  Table1[[#This Row],[Join Date]]+ RANDBETWEEN(30, TODAY()- Table1[[#This Row],[Join Date]]), "-")</f>
        <v>-</v>
      </c>
      <c r="I288" t="str">
        <f ca="1">IF(Table1[[#This Row],[Exit Date]]= "-", "Active", "Exited")</f>
        <v>Active</v>
      </c>
      <c r="J288" s="5">
        <f t="shared" ca="1" si="44"/>
        <v>2195</v>
      </c>
      <c r="K288">
        <f ca="1">Table1[[#This Row],[Offers Made]]*2</f>
        <v>14</v>
      </c>
      <c r="L288">
        <f t="shared" ca="1" si="48"/>
        <v>7</v>
      </c>
      <c r="M288">
        <f t="shared" ca="1" si="49"/>
        <v>1</v>
      </c>
      <c r="N288" t="str">
        <f t="shared" ca="1" si="50"/>
        <v>Campus Placements</v>
      </c>
      <c r="O288">
        <f t="shared" ca="1" si="51"/>
        <v>2</v>
      </c>
      <c r="P288" t="str">
        <f t="shared" ca="1" si="52"/>
        <v>Yes</v>
      </c>
      <c r="Q288" t="str" cm="1">
        <f t="array" aca="1" ref="Q288" ca="1">INDEX(sheet2!$C$2:$C$6, RANDBETWEEN(1, 5))</f>
        <v>Ethics and Responsibilities</v>
      </c>
      <c r="R288" t="str">
        <f t="shared" ca="1" si="45"/>
        <v>Not Completed</v>
      </c>
      <c r="S288">
        <f ca="1">Table1[[#This Row],[Hire Date]]-Table1[[#This Row],[Job Posting Date]]</f>
        <v>63</v>
      </c>
    </row>
    <row r="289" spans="1:19" x14ac:dyDescent="0.2">
      <c r="A289" t="str">
        <f t="shared" si="46"/>
        <v>EMP288</v>
      </c>
      <c r="B289" t="str">
        <f t="shared" ca="1" si="47"/>
        <v>Female</v>
      </c>
      <c r="C289" t="str" cm="1">
        <f t="array" aca="1" ref="C289" ca="1">INDEX(sheet2!$A$2:$A$6, RANDBETWEEN(1, 5))</f>
        <v>Sales</v>
      </c>
      <c r="D289" t="str">
        <f ca="1">_xlfn.XLOOKUP(Table1[[#This Row],[Department]],sheet2!$A$2:$A$6,sheet2!$B$2:$B$6,_xleta.NA,0)</f>
        <v>Marketing Manager</v>
      </c>
      <c r="E289" s="1">
        <f t="shared" ca="1" si="43"/>
        <v>44178</v>
      </c>
      <c r="F289" s="1">
        <f ca="1">Table1[[#This Row],[Job Posting Date]]+ RANDBETWEEN(15, 90)</f>
        <v>44262</v>
      </c>
      <c r="G289" s="1">
        <f ca="1">Table1[[#This Row],[Hire Date]]+ RANDBETWEEN(1, 15)</f>
        <v>44277</v>
      </c>
      <c r="H289" s="1">
        <f ca="1">IF(RAND() &lt; 0.5,  Table1[[#This Row],[Join Date]]+ RANDBETWEEN(30, TODAY()- Table1[[#This Row],[Join Date]]), "-")</f>
        <v>44795</v>
      </c>
      <c r="I289" t="str">
        <f ca="1">IF(Table1[[#This Row],[Exit Date]]= "-", "Active", "Exited")</f>
        <v>Exited</v>
      </c>
      <c r="J289" s="5">
        <f t="shared" ca="1" si="44"/>
        <v>3050</v>
      </c>
      <c r="K289">
        <f ca="1">Table1[[#This Row],[Offers Made]]*2</f>
        <v>14</v>
      </c>
      <c r="L289">
        <f t="shared" ca="1" si="48"/>
        <v>7</v>
      </c>
      <c r="M289">
        <f t="shared" ca="1" si="49"/>
        <v>6</v>
      </c>
      <c r="N289" t="str">
        <f t="shared" ca="1" si="50"/>
        <v>Campus Placements</v>
      </c>
      <c r="O289">
        <f t="shared" ca="1" si="51"/>
        <v>3</v>
      </c>
      <c r="P289" t="str">
        <f t="shared" ca="1" si="52"/>
        <v>Yes</v>
      </c>
      <c r="Q289" t="str" cm="1">
        <f t="array" aca="1" ref="Q289" ca="1">INDEX(sheet2!$C$2:$C$6, RANDBETWEEN(1, 5))</f>
        <v>Leadership Development</v>
      </c>
      <c r="R289" t="str">
        <f t="shared" ca="1" si="45"/>
        <v>Completed</v>
      </c>
      <c r="S289">
        <f ca="1">Table1[[#This Row],[Hire Date]]-Table1[[#This Row],[Job Posting Date]]</f>
        <v>84</v>
      </c>
    </row>
    <row r="290" spans="1:19" x14ac:dyDescent="0.2">
      <c r="A290" t="str">
        <f t="shared" si="46"/>
        <v>EMP289</v>
      </c>
      <c r="B290" t="str">
        <f t="shared" ca="1" si="47"/>
        <v>Male</v>
      </c>
      <c r="C290" t="str" cm="1">
        <f t="array" aca="1" ref="C290" ca="1">INDEX(sheet2!$A$2:$A$6, RANDBETWEEN(1, 5))</f>
        <v>Sales</v>
      </c>
      <c r="D290" t="str">
        <f ca="1">_xlfn.XLOOKUP(Table1[[#This Row],[Department]],sheet2!$A$2:$A$6,sheet2!$B$2:$B$6,_xleta.NA,0)</f>
        <v>Marketing Manager</v>
      </c>
      <c r="E290" s="1">
        <f t="shared" ca="1" si="43"/>
        <v>43351</v>
      </c>
      <c r="F290" s="1">
        <f ca="1">Table1[[#This Row],[Job Posting Date]]+ RANDBETWEEN(15, 90)</f>
        <v>43367</v>
      </c>
      <c r="G290" s="1">
        <f ca="1">Table1[[#This Row],[Hire Date]]+ RANDBETWEEN(1, 15)</f>
        <v>43377</v>
      </c>
      <c r="H290" s="1">
        <f ca="1">IF(RAND() &lt; 0.5,  Table1[[#This Row],[Join Date]]+ RANDBETWEEN(30, TODAY()- Table1[[#This Row],[Join Date]]), "-")</f>
        <v>45575</v>
      </c>
      <c r="I290" t="str">
        <f ca="1">IF(Table1[[#This Row],[Exit Date]]= "-", "Active", "Exited")</f>
        <v>Exited</v>
      </c>
      <c r="J290" s="5">
        <f t="shared" ca="1" si="44"/>
        <v>4537</v>
      </c>
      <c r="K290">
        <f ca="1">Table1[[#This Row],[Offers Made]]*2</f>
        <v>12</v>
      </c>
      <c r="L290">
        <f t="shared" ca="1" si="48"/>
        <v>6</v>
      </c>
      <c r="M290">
        <f t="shared" ca="1" si="49"/>
        <v>2</v>
      </c>
      <c r="N290" t="str">
        <f t="shared" ca="1" si="50"/>
        <v>Job Portals</v>
      </c>
      <c r="O290">
        <f t="shared" ca="1" si="51"/>
        <v>1</v>
      </c>
      <c r="P290" t="str">
        <f t="shared" ca="1" si="52"/>
        <v>Yes</v>
      </c>
      <c r="Q290" t="str" cm="1">
        <f t="array" aca="1" ref="Q290" ca="1">INDEX(sheet2!$C$2:$C$6, RANDBETWEEN(1, 5))</f>
        <v>Conflict Resolution</v>
      </c>
      <c r="R290" t="str">
        <f t="shared" ca="1" si="45"/>
        <v>Not Completed</v>
      </c>
      <c r="S290">
        <f ca="1">Table1[[#This Row],[Hire Date]]-Table1[[#This Row],[Job Posting Date]]</f>
        <v>16</v>
      </c>
    </row>
    <row r="291" spans="1:19" x14ac:dyDescent="0.2">
      <c r="A291" t="str">
        <f t="shared" si="46"/>
        <v>EMP290</v>
      </c>
      <c r="B291" t="str">
        <f t="shared" ca="1" si="47"/>
        <v>Female</v>
      </c>
      <c r="C291" t="str" cm="1">
        <f t="array" aca="1" ref="C291" ca="1">INDEX(sheet2!$A$2:$A$6, RANDBETWEEN(1, 5))</f>
        <v>HR</v>
      </c>
      <c r="D291" t="str">
        <f ca="1">_xlfn.XLOOKUP(Table1[[#This Row],[Department]],sheet2!$A$2:$A$6,sheet2!$B$2:$B$6,_xleta.NA,0)</f>
        <v>HR Manager</v>
      </c>
      <c r="E291" s="1">
        <f t="shared" ca="1" si="43"/>
        <v>44871</v>
      </c>
      <c r="F291" s="1">
        <f ca="1">Table1[[#This Row],[Job Posting Date]]+ RANDBETWEEN(15, 90)</f>
        <v>44924</v>
      </c>
      <c r="G291" s="1">
        <f ca="1">Table1[[#This Row],[Hire Date]]+ RANDBETWEEN(1, 15)</f>
        <v>44930</v>
      </c>
      <c r="H291" s="1">
        <f ca="1">IF(RAND() &lt; 0.5,  Table1[[#This Row],[Join Date]]+ RANDBETWEEN(30, TODAY()- Table1[[#This Row],[Join Date]]), "-")</f>
        <v>45254</v>
      </c>
      <c r="I291" t="str">
        <f ca="1">IF(Table1[[#This Row],[Exit Date]]= "-", "Active", "Exited")</f>
        <v>Exited</v>
      </c>
      <c r="J291" s="5">
        <f t="shared" ca="1" si="44"/>
        <v>3073</v>
      </c>
      <c r="K291">
        <f ca="1">Table1[[#This Row],[Offers Made]]*2</f>
        <v>6</v>
      </c>
      <c r="L291">
        <f t="shared" ca="1" si="48"/>
        <v>3</v>
      </c>
      <c r="M291">
        <f t="shared" ca="1" si="49"/>
        <v>1</v>
      </c>
      <c r="N291" t="str">
        <f t="shared" ca="1" si="50"/>
        <v>Employee Referrals</v>
      </c>
      <c r="O291">
        <f t="shared" ca="1" si="51"/>
        <v>2</v>
      </c>
      <c r="P291" t="str">
        <f t="shared" ca="1" si="52"/>
        <v>Yes</v>
      </c>
      <c r="Q291" t="str" cm="1">
        <f t="array" aca="1" ref="Q291" ca="1">INDEX(sheet2!$C$2:$C$6, RANDBETWEEN(1, 5))</f>
        <v>Ethics and Responsibilities</v>
      </c>
      <c r="R291" t="str">
        <f t="shared" ca="1" si="45"/>
        <v>Completed</v>
      </c>
      <c r="S291">
        <f ca="1">Table1[[#This Row],[Hire Date]]-Table1[[#This Row],[Job Posting Date]]</f>
        <v>53</v>
      </c>
    </row>
    <row r="292" spans="1:19" x14ac:dyDescent="0.2">
      <c r="A292" t="str">
        <f t="shared" si="46"/>
        <v>EMP291</v>
      </c>
      <c r="B292" t="str">
        <f t="shared" ca="1" si="47"/>
        <v>Male</v>
      </c>
      <c r="C292" t="str" cm="1">
        <f t="array" aca="1" ref="C292" ca="1">INDEX(sheet2!$A$2:$A$6, RANDBETWEEN(1, 5))</f>
        <v>HR</v>
      </c>
      <c r="D292" t="str">
        <f ca="1">_xlfn.XLOOKUP(Table1[[#This Row],[Department]],sheet2!$A$2:$A$6,sheet2!$B$2:$B$6,_xleta.NA,0)</f>
        <v>HR Manager</v>
      </c>
      <c r="E292" s="1">
        <f t="shared" ca="1" si="43"/>
        <v>44310</v>
      </c>
      <c r="F292" s="1">
        <f ca="1">Table1[[#This Row],[Job Posting Date]]+ RANDBETWEEN(15, 90)</f>
        <v>44327</v>
      </c>
      <c r="G292" s="1">
        <f ca="1">Table1[[#This Row],[Hire Date]]+ RANDBETWEEN(1, 15)</f>
        <v>44341</v>
      </c>
      <c r="H292" s="1">
        <f ca="1">IF(RAND() &lt; 0.5,  Table1[[#This Row],[Join Date]]+ RANDBETWEEN(30, TODAY()- Table1[[#This Row],[Join Date]]), "-")</f>
        <v>45549</v>
      </c>
      <c r="I292" t="str">
        <f ca="1">IF(Table1[[#This Row],[Exit Date]]= "-", "Active", "Exited")</f>
        <v>Exited</v>
      </c>
      <c r="J292" s="5">
        <f t="shared" ca="1" si="44"/>
        <v>2609</v>
      </c>
      <c r="K292">
        <f ca="1">Table1[[#This Row],[Offers Made]]*2</f>
        <v>12</v>
      </c>
      <c r="L292">
        <f t="shared" ca="1" si="48"/>
        <v>6</v>
      </c>
      <c r="M292">
        <f t="shared" ca="1" si="49"/>
        <v>2</v>
      </c>
      <c r="N292" t="str">
        <f t="shared" ca="1" si="50"/>
        <v>Direct Hiring</v>
      </c>
      <c r="O292">
        <f t="shared" ca="1" si="51"/>
        <v>4</v>
      </c>
      <c r="P292" t="str">
        <f t="shared" ca="1" si="52"/>
        <v>No</v>
      </c>
      <c r="Q292" t="str" cm="1">
        <f t="array" aca="1" ref="Q292" ca="1">INDEX(sheet2!$C$2:$C$6, RANDBETWEEN(1, 5))</f>
        <v>Conflict Resolution</v>
      </c>
      <c r="R292" t="str">
        <f t="shared" ca="1" si="45"/>
        <v>Completed</v>
      </c>
      <c r="S292">
        <f ca="1">Table1[[#This Row],[Hire Date]]-Table1[[#This Row],[Job Posting Date]]</f>
        <v>17</v>
      </c>
    </row>
    <row r="293" spans="1:19" x14ac:dyDescent="0.2">
      <c r="A293" t="str">
        <f t="shared" si="46"/>
        <v>EMP292</v>
      </c>
      <c r="B293" t="str">
        <f t="shared" ca="1" si="47"/>
        <v>Male</v>
      </c>
      <c r="C293" t="str" cm="1">
        <f t="array" aca="1" ref="C293" ca="1">INDEX(sheet2!$A$2:$A$6, RANDBETWEEN(1, 5))</f>
        <v>Analytics</v>
      </c>
      <c r="D293" t="str">
        <f ca="1">_xlfn.XLOOKUP(Table1[[#This Row],[Department]],sheet2!$A$2:$A$6,sheet2!$B$2:$B$6,_xleta.NA,0)</f>
        <v>Data Analyst</v>
      </c>
      <c r="E293" s="1">
        <f t="shared" ca="1" si="43"/>
        <v>44096</v>
      </c>
      <c r="F293" s="1">
        <f ca="1">Table1[[#This Row],[Job Posting Date]]+ RANDBETWEEN(15, 90)</f>
        <v>44161</v>
      </c>
      <c r="G293" s="1">
        <f ca="1">Table1[[#This Row],[Hire Date]]+ RANDBETWEEN(1, 15)</f>
        <v>44174</v>
      </c>
      <c r="H293" s="1">
        <f ca="1">IF(RAND() &lt; 0.5,  Table1[[#This Row],[Join Date]]+ RANDBETWEEN(30, TODAY()- Table1[[#This Row],[Join Date]]), "-")</f>
        <v>44943</v>
      </c>
      <c r="I293" t="str">
        <f ca="1">IF(Table1[[#This Row],[Exit Date]]= "-", "Active", "Exited")</f>
        <v>Exited</v>
      </c>
      <c r="J293" s="5">
        <f t="shared" ca="1" si="44"/>
        <v>3530</v>
      </c>
      <c r="K293">
        <f ca="1">Table1[[#This Row],[Offers Made]]*2</f>
        <v>8</v>
      </c>
      <c r="L293">
        <f t="shared" ca="1" si="48"/>
        <v>4</v>
      </c>
      <c r="M293">
        <f t="shared" ca="1" si="49"/>
        <v>3</v>
      </c>
      <c r="N293" t="str">
        <f t="shared" ca="1" si="50"/>
        <v>Employee Referrals</v>
      </c>
      <c r="O293">
        <f t="shared" ca="1" si="51"/>
        <v>4</v>
      </c>
      <c r="P293" t="str">
        <f t="shared" ca="1" si="52"/>
        <v>No</v>
      </c>
      <c r="Q293" t="str" cm="1">
        <f t="array" aca="1" ref="Q293" ca="1">INDEX(sheet2!$C$2:$C$6, RANDBETWEEN(1, 5))</f>
        <v>Conflict Resolution</v>
      </c>
      <c r="R293" t="str">
        <f t="shared" ca="1" si="45"/>
        <v>Not Completed</v>
      </c>
      <c r="S293">
        <f ca="1">Table1[[#This Row],[Hire Date]]-Table1[[#This Row],[Job Posting Date]]</f>
        <v>65</v>
      </c>
    </row>
    <row r="294" spans="1:19" x14ac:dyDescent="0.2">
      <c r="A294" t="str">
        <f t="shared" si="46"/>
        <v>EMP293</v>
      </c>
      <c r="B294" t="str">
        <f t="shared" ca="1" si="47"/>
        <v>Female</v>
      </c>
      <c r="C294" t="str" cm="1">
        <f t="array" aca="1" ref="C294" ca="1">INDEX(sheet2!$A$2:$A$6, RANDBETWEEN(1, 5))</f>
        <v>HR</v>
      </c>
      <c r="D294" t="str">
        <f ca="1">_xlfn.XLOOKUP(Table1[[#This Row],[Department]],sheet2!$A$2:$A$6,sheet2!$B$2:$B$6,_xleta.NA,0)</f>
        <v>HR Manager</v>
      </c>
      <c r="E294" s="1">
        <f t="shared" ref="E294:E357" ca="1" si="53">DATE(RANDBETWEEN(2018, 2022), RANDBETWEEN(1, 12), RANDBETWEEN(1, 28))</f>
        <v>44492</v>
      </c>
      <c r="F294" s="1">
        <f ca="1">Table1[[#This Row],[Job Posting Date]]+ RANDBETWEEN(15, 90)</f>
        <v>44508</v>
      </c>
      <c r="G294" s="1">
        <f ca="1">Table1[[#This Row],[Hire Date]]+ RANDBETWEEN(1, 15)</f>
        <v>44510</v>
      </c>
      <c r="H294" s="1" t="str">
        <f ca="1">IF(RAND() &lt; 0.5,  Table1[[#This Row],[Join Date]]+ RANDBETWEEN(30, TODAY()- Table1[[#This Row],[Join Date]]), "-")</f>
        <v>-</v>
      </c>
      <c r="I294" t="str">
        <f ca="1">IF(Table1[[#This Row],[Exit Date]]= "-", "Active", "Exited")</f>
        <v>Active</v>
      </c>
      <c r="J294" s="5">
        <f t="shared" ref="J294:J357" ca="1" si="54">RANDBETWEEN(1500, 5000)</f>
        <v>1700</v>
      </c>
      <c r="K294">
        <f ca="1">Table1[[#This Row],[Offers Made]]*2</f>
        <v>10</v>
      </c>
      <c r="L294">
        <f t="shared" ca="1" si="48"/>
        <v>5</v>
      </c>
      <c r="M294">
        <f t="shared" ca="1" si="49"/>
        <v>3</v>
      </c>
      <c r="N294" t="str">
        <f t="shared" ca="1" si="50"/>
        <v>Employee Referrals</v>
      </c>
      <c r="O294">
        <f t="shared" ca="1" si="51"/>
        <v>5</v>
      </c>
      <c r="P294" t="str">
        <f t="shared" ca="1" si="52"/>
        <v>No</v>
      </c>
      <c r="Q294" t="str" cm="1">
        <f t="array" aca="1" ref="Q294" ca="1">INDEX(sheet2!$C$2:$C$6, RANDBETWEEN(1, 5))</f>
        <v>Ethics and Responsibilities</v>
      </c>
      <c r="R294" t="str">
        <f t="shared" ref="R294:R357" ca="1" si="55">IF(RAND() &lt; 0.7, "Completed", "Not Completed")</f>
        <v>Not Completed</v>
      </c>
      <c r="S294">
        <f ca="1">Table1[[#This Row],[Hire Date]]-Table1[[#This Row],[Job Posting Date]]</f>
        <v>16</v>
      </c>
    </row>
    <row r="295" spans="1:19" x14ac:dyDescent="0.2">
      <c r="A295" t="str">
        <f t="shared" si="46"/>
        <v>EMP294</v>
      </c>
      <c r="B295" t="str">
        <f t="shared" ca="1" si="47"/>
        <v>Female</v>
      </c>
      <c r="C295" t="str" cm="1">
        <f t="array" aca="1" ref="C295" ca="1">INDEX(sheet2!$A$2:$A$6, RANDBETWEEN(1, 5))</f>
        <v>HR</v>
      </c>
      <c r="D295" t="str">
        <f ca="1">_xlfn.XLOOKUP(Table1[[#This Row],[Department]],sheet2!$A$2:$A$6,sheet2!$B$2:$B$6,_xleta.NA,0)</f>
        <v>HR Manager</v>
      </c>
      <c r="E295" s="1">
        <f t="shared" ca="1" si="53"/>
        <v>43786</v>
      </c>
      <c r="F295" s="1">
        <f ca="1">Table1[[#This Row],[Job Posting Date]]+ RANDBETWEEN(15, 90)</f>
        <v>43851</v>
      </c>
      <c r="G295" s="1">
        <f ca="1">Table1[[#This Row],[Hire Date]]+ RANDBETWEEN(1, 15)</f>
        <v>43865</v>
      </c>
      <c r="H295" s="1" t="str">
        <f ca="1">IF(RAND() &lt; 0.5,  Table1[[#This Row],[Join Date]]+ RANDBETWEEN(30, TODAY()- Table1[[#This Row],[Join Date]]), "-")</f>
        <v>-</v>
      </c>
      <c r="I295" t="str">
        <f ca="1">IF(Table1[[#This Row],[Exit Date]]= "-", "Active", "Exited")</f>
        <v>Active</v>
      </c>
      <c r="J295" s="5">
        <f t="shared" ca="1" si="54"/>
        <v>3545</v>
      </c>
      <c r="K295">
        <f ca="1">Table1[[#This Row],[Offers Made]]*2</f>
        <v>8</v>
      </c>
      <c r="L295">
        <f t="shared" ca="1" si="48"/>
        <v>4</v>
      </c>
      <c r="M295">
        <f t="shared" ca="1" si="49"/>
        <v>3</v>
      </c>
      <c r="N295" t="str">
        <f t="shared" ca="1" si="50"/>
        <v>Campus Placements</v>
      </c>
      <c r="O295">
        <f t="shared" ca="1" si="51"/>
        <v>2</v>
      </c>
      <c r="P295" t="str">
        <f t="shared" ca="1" si="52"/>
        <v>No</v>
      </c>
      <c r="Q295" t="str" cm="1">
        <f t="array" aca="1" ref="Q295" ca="1">INDEX(sheet2!$C$2:$C$6, RANDBETWEEN(1, 5))</f>
        <v>Conflict Resolution</v>
      </c>
      <c r="R295" t="str">
        <f t="shared" ca="1" si="55"/>
        <v>Completed</v>
      </c>
      <c r="S295">
        <f ca="1">Table1[[#This Row],[Hire Date]]-Table1[[#This Row],[Job Posting Date]]</f>
        <v>65</v>
      </c>
    </row>
    <row r="296" spans="1:19" x14ac:dyDescent="0.2">
      <c r="A296" t="str">
        <f t="shared" si="46"/>
        <v>EMP295</v>
      </c>
      <c r="B296" t="str">
        <f t="shared" ca="1" si="47"/>
        <v>Male</v>
      </c>
      <c r="C296" t="str" cm="1">
        <f t="array" aca="1" ref="C296" ca="1">INDEX(sheet2!$A$2:$A$6, RANDBETWEEN(1, 5))</f>
        <v>Analytics</v>
      </c>
      <c r="D296" t="str">
        <f ca="1">_xlfn.XLOOKUP(Table1[[#This Row],[Department]],sheet2!$A$2:$A$6,sheet2!$B$2:$B$6,_xleta.NA,0)</f>
        <v>Data Analyst</v>
      </c>
      <c r="E296" s="1">
        <f t="shared" ca="1" si="53"/>
        <v>44488</v>
      </c>
      <c r="F296" s="1">
        <f ca="1">Table1[[#This Row],[Job Posting Date]]+ RANDBETWEEN(15, 90)</f>
        <v>44517</v>
      </c>
      <c r="G296" s="1">
        <f ca="1">Table1[[#This Row],[Hire Date]]+ RANDBETWEEN(1, 15)</f>
        <v>44522</v>
      </c>
      <c r="H296" s="1">
        <f ca="1">IF(RAND() &lt; 0.5,  Table1[[#This Row],[Join Date]]+ RANDBETWEEN(30, TODAY()- Table1[[#This Row],[Join Date]]), "-")</f>
        <v>45148</v>
      </c>
      <c r="I296" t="str">
        <f ca="1">IF(Table1[[#This Row],[Exit Date]]= "-", "Active", "Exited")</f>
        <v>Exited</v>
      </c>
      <c r="J296" s="5">
        <f t="shared" ca="1" si="54"/>
        <v>4168</v>
      </c>
      <c r="K296">
        <f ca="1">Table1[[#This Row],[Offers Made]]*2</f>
        <v>6</v>
      </c>
      <c r="L296">
        <f t="shared" ca="1" si="48"/>
        <v>3</v>
      </c>
      <c r="M296">
        <f t="shared" ca="1" si="49"/>
        <v>2</v>
      </c>
      <c r="N296" t="str">
        <f t="shared" ca="1" si="50"/>
        <v>Campus Placements</v>
      </c>
      <c r="O296">
        <f t="shared" ca="1" si="51"/>
        <v>4</v>
      </c>
      <c r="P296" t="str">
        <f t="shared" ca="1" si="52"/>
        <v>No</v>
      </c>
      <c r="Q296" t="str" cm="1">
        <f t="array" aca="1" ref="Q296" ca="1">INDEX(sheet2!$C$2:$C$6, RANDBETWEEN(1, 5))</f>
        <v>Conflict Resolution</v>
      </c>
      <c r="R296" t="str">
        <f t="shared" ca="1" si="55"/>
        <v>Completed</v>
      </c>
      <c r="S296">
        <f ca="1">Table1[[#This Row],[Hire Date]]-Table1[[#This Row],[Job Posting Date]]</f>
        <v>29</v>
      </c>
    </row>
    <row r="297" spans="1:19" x14ac:dyDescent="0.2">
      <c r="A297" t="str">
        <f t="shared" si="46"/>
        <v>EMP296</v>
      </c>
      <c r="B297" t="str">
        <f t="shared" ca="1" si="47"/>
        <v>Male</v>
      </c>
      <c r="C297" t="str" cm="1">
        <f t="array" aca="1" ref="C297" ca="1">INDEX(sheet2!$A$2:$A$6, RANDBETWEEN(1, 5))</f>
        <v>Analytics</v>
      </c>
      <c r="D297" t="str">
        <f ca="1">_xlfn.XLOOKUP(Table1[[#This Row],[Department]],sheet2!$A$2:$A$6,sheet2!$B$2:$B$6,_xleta.NA,0)</f>
        <v>Data Analyst</v>
      </c>
      <c r="E297" s="1">
        <f t="shared" ca="1" si="53"/>
        <v>43164</v>
      </c>
      <c r="F297" s="1">
        <f ca="1">Table1[[#This Row],[Job Posting Date]]+ RANDBETWEEN(15, 90)</f>
        <v>43204</v>
      </c>
      <c r="G297" s="1">
        <f ca="1">Table1[[#This Row],[Hire Date]]+ RANDBETWEEN(1, 15)</f>
        <v>43212</v>
      </c>
      <c r="H297" s="1">
        <f ca="1">IF(RAND() &lt; 0.5,  Table1[[#This Row],[Join Date]]+ RANDBETWEEN(30, TODAY()- Table1[[#This Row],[Join Date]]), "-")</f>
        <v>44453</v>
      </c>
      <c r="I297" t="str">
        <f ca="1">IF(Table1[[#This Row],[Exit Date]]= "-", "Active", "Exited")</f>
        <v>Exited</v>
      </c>
      <c r="J297" s="5">
        <f t="shared" ca="1" si="54"/>
        <v>2868</v>
      </c>
      <c r="K297">
        <f ca="1">Table1[[#This Row],[Offers Made]]*2</f>
        <v>12</v>
      </c>
      <c r="L297">
        <f t="shared" ca="1" si="48"/>
        <v>6</v>
      </c>
      <c r="M297">
        <f t="shared" ca="1" si="49"/>
        <v>1</v>
      </c>
      <c r="N297" t="str">
        <f t="shared" ca="1" si="50"/>
        <v>Direct Hiring</v>
      </c>
      <c r="O297">
        <f t="shared" ca="1" si="51"/>
        <v>3</v>
      </c>
      <c r="P297" t="str">
        <f t="shared" ca="1" si="52"/>
        <v>Yes</v>
      </c>
      <c r="Q297" t="str" cm="1">
        <f t="array" aca="1" ref="Q297" ca="1">INDEX(sheet2!$C$2:$C$6, RANDBETWEEN(1, 5))</f>
        <v>Communication Skills</v>
      </c>
      <c r="R297" t="str">
        <f t="shared" ca="1" si="55"/>
        <v>Completed</v>
      </c>
      <c r="S297">
        <f ca="1">Table1[[#This Row],[Hire Date]]-Table1[[#This Row],[Job Posting Date]]</f>
        <v>40</v>
      </c>
    </row>
    <row r="298" spans="1:19" x14ac:dyDescent="0.2">
      <c r="A298" t="str">
        <f t="shared" si="46"/>
        <v>EMP297</v>
      </c>
      <c r="B298" t="str">
        <f t="shared" ca="1" si="47"/>
        <v>Female</v>
      </c>
      <c r="C298" t="str" cm="1">
        <f t="array" aca="1" ref="C298" ca="1">INDEX(sheet2!$A$2:$A$6, RANDBETWEEN(1, 5))</f>
        <v>IT</v>
      </c>
      <c r="D298" t="str">
        <f ca="1">_xlfn.XLOOKUP(Table1[[#This Row],[Department]],sheet2!$A$2:$A$6,sheet2!$B$2:$B$6,_xleta.NA,0)</f>
        <v>Software Engineer</v>
      </c>
      <c r="E298" s="1">
        <f t="shared" ca="1" si="53"/>
        <v>44853</v>
      </c>
      <c r="F298" s="1">
        <f ca="1">Table1[[#This Row],[Job Posting Date]]+ RANDBETWEEN(15, 90)</f>
        <v>44870</v>
      </c>
      <c r="G298" s="1">
        <f ca="1">Table1[[#This Row],[Hire Date]]+ RANDBETWEEN(1, 15)</f>
        <v>44883</v>
      </c>
      <c r="H298" s="1">
        <f ca="1">IF(RAND() &lt; 0.5,  Table1[[#This Row],[Join Date]]+ RANDBETWEEN(30, TODAY()- Table1[[#This Row],[Join Date]]), "-")</f>
        <v>45189</v>
      </c>
      <c r="I298" t="str">
        <f ca="1">IF(Table1[[#This Row],[Exit Date]]= "-", "Active", "Exited")</f>
        <v>Exited</v>
      </c>
      <c r="J298" s="5">
        <f t="shared" ca="1" si="54"/>
        <v>1999</v>
      </c>
      <c r="K298">
        <f ca="1">Table1[[#This Row],[Offers Made]]*2</f>
        <v>8</v>
      </c>
      <c r="L298">
        <f t="shared" ca="1" si="48"/>
        <v>4</v>
      </c>
      <c r="M298">
        <f t="shared" ca="1" si="49"/>
        <v>3</v>
      </c>
      <c r="N298" t="str">
        <f t="shared" ca="1" si="50"/>
        <v>Direct Hiring</v>
      </c>
      <c r="O298">
        <f t="shared" ca="1" si="51"/>
        <v>5</v>
      </c>
      <c r="P298" t="str">
        <f t="shared" ca="1" si="52"/>
        <v>Yes</v>
      </c>
      <c r="Q298" t="str" cm="1">
        <f t="array" aca="1" ref="Q298" ca="1">INDEX(sheet2!$C$2:$C$6, RANDBETWEEN(1, 5))</f>
        <v>Communication Skills</v>
      </c>
      <c r="R298" t="str">
        <f t="shared" ca="1" si="55"/>
        <v>Completed</v>
      </c>
      <c r="S298">
        <f ca="1">Table1[[#This Row],[Hire Date]]-Table1[[#This Row],[Job Posting Date]]</f>
        <v>17</v>
      </c>
    </row>
    <row r="299" spans="1:19" x14ac:dyDescent="0.2">
      <c r="A299" t="str">
        <f t="shared" si="46"/>
        <v>EMP298</v>
      </c>
      <c r="B299" t="str">
        <f t="shared" ca="1" si="47"/>
        <v>Female</v>
      </c>
      <c r="C299" t="str" cm="1">
        <f t="array" aca="1" ref="C299" ca="1">INDEX(sheet2!$A$2:$A$6, RANDBETWEEN(1, 5))</f>
        <v>Finance</v>
      </c>
      <c r="D299" t="str">
        <f ca="1">_xlfn.XLOOKUP(Table1[[#This Row],[Department]],sheet2!$A$2:$A$6,sheet2!$B$2:$B$6,_xleta.NA,0)</f>
        <v>Finance Manager</v>
      </c>
      <c r="E299" s="1">
        <f t="shared" ca="1" si="53"/>
        <v>44525</v>
      </c>
      <c r="F299" s="1">
        <f ca="1">Table1[[#This Row],[Job Posting Date]]+ RANDBETWEEN(15, 90)</f>
        <v>44556</v>
      </c>
      <c r="G299" s="1">
        <f ca="1">Table1[[#This Row],[Hire Date]]+ RANDBETWEEN(1, 15)</f>
        <v>44562</v>
      </c>
      <c r="H299" s="1">
        <f ca="1">IF(RAND() &lt; 0.5,  Table1[[#This Row],[Join Date]]+ RANDBETWEEN(30, TODAY()- Table1[[#This Row],[Join Date]]), "-")</f>
        <v>44896</v>
      </c>
      <c r="I299" t="str">
        <f ca="1">IF(Table1[[#This Row],[Exit Date]]= "-", "Active", "Exited")</f>
        <v>Exited</v>
      </c>
      <c r="J299" s="5">
        <f t="shared" ca="1" si="54"/>
        <v>3172</v>
      </c>
      <c r="K299">
        <f ca="1">Table1[[#This Row],[Offers Made]]*2</f>
        <v>8</v>
      </c>
      <c r="L299">
        <f t="shared" ca="1" si="48"/>
        <v>4</v>
      </c>
      <c r="M299">
        <f t="shared" ca="1" si="49"/>
        <v>2</v>
      </c>
      <c r="N299" t="str">
        <f t="shared" ca="1" si="50"/>
        <v>Campus Placements</v>
      </c>
      <c r="O299">
        <f t="shared" ca="1" si="51"/>
        <v>2</v>
      </c>
      <c r="P299" t="str">
        <f t="shared" ca="1" si="52"/>
        <v>Yes</v>
      </c>
      <c r="Q299" t="str" cm="1">
        <f t="array" aca="1" ref="Q299" ca="1">INDEX(sheet2!$C$2:$C$6, RANDBETWEEN(1, 5))</f>
        <v>Ethics and Responsibilities</v>
      </c>
      <c r="R299" t="str">
        <f t="shared" ca="1" si="55"/>
        <v>Not Completed</v>
      </c>
      <c r="S299">
        <f ca="1">Table1[[#This Row],[Hire Date]]-Table1[[#This Row],[Job Posting Date]]</f>
        <v>31</v>
      </c>
    </row>
    <row r="300" spans="1:19" x14ac:dyDescent="0.2">
      <c r="A300" t="str">
        <f t="shared" si="46"/>
        <v>EMP299</v>
      </c>
      <c r="B300" t="str">
        <f t="shared" ca="1" si="47"/>
        <v>Female</v>
      </c>
      <c r="C300" t="str" cm="1">
        <f t="array" aca="1" ref="C300" ca="1">INDEX(sheet2!$A$2:$A$6, RANDBETWEEN(1, 5))</f>
        <v>HR</v>
      </c>
      <c r="D300" t="str">
        <f ca="1">_xlfn.XLOOKUP(Table1[[#This Row],[Department]],sheet2!$A$2:$A$6,sheet2!$B$2:$B$6,_xleta.NA,0)</f>
        <v>HR Manager</v>
      </c>
      <c r="E300" s="1">
        <f t="shared" ca="1" si="53"/>
        <v>43140</v>
      </c>
      <c r="F300" s="1">
        <f ca="1">Table1[[#This Row],[Job Posting Date]]+ RANDBETWEEN(15, 90)</f>
        <v>43179</v>
      </c>
      <c r="G300" s="1">
        <f ca="1">Table1[[#This Row],[Hire Date]]+ RANDBETWEEN(1, 15)</f>
        <v>43181</v>
      </c>
      <c r="H300" s="1" t="str">
        <f ca="1">IF(RAND() &lt; 0.5,  Table1[[#This Row],[Join Date]]+ RANDBETWEEN(30, TODAY()- Table1[[#This Row],[Join Date]]), "-")</f>
        <v>-</v>
      </c>
      <c r="I300" t="str">
        <f ca="1">IF(Table1[[#This Row],[Exit Date]]= "-", "Active", "Exited")</f>
        <v>Active</v>
      </c>
      <c r="J300" s="5">
        <f t="shared" ca="1" si="54"/>
        <v>4512</v>
      </c>
      <c r="K300">
        <f ca="1">Table1[[#This Row],[Offers Made]]*2</f>
        <v>12</v>
      </c>
      <c r="L300">
        <f t="shared" ca="1" si="48"/>
        <v>6</v>
      </c>
      <c r="M300">
        <f t="shared" ca="1" si="49"/>
        <v>2</v>
      </c>
      <c r="N300" t="str">
        <f t="shared" ca="1" si="50"/>
        <v>Direct Hiring</v>
      </c>
      <c r="O300">
        <f t="shared" ca="1" si="51"/>
        <v>3</v>
      </c>
      <c r="P300" t="str">
        <f t="shared" ca="1" si="52"/>
        <v>Yes</v>
      </c>
      <c r="Q300" t="str" cm="1">
        <f t="array" aca="1" ref="Q300" ca="1">INDEX(sheet2!$C$2:$C$6, RANDBETWEEN(1, 5))</f>
        <v>Leadership Development</v>
      </c>
      <c r="R300" t="str">
        <f t="shared" ca="1" si="55"/>
        <v>Completed</v>
      </c>
      <c r="S300">
        <f ca="1">Table1[[#This Row],[Hire Date]]-Table1[[#This Row],[Job Posting Date]]</f>
        <v>39</v>
      </c>
    </row>
    <row r="301" spans="1:19" x14ac:dyDescent="0.2">
      <c r="A301" t="str">
        <f t="shared" si="46"/>
        <v>EMP300</v>
      </c>
      <c r="B301" t="str">
        <f t="shared" ca="1" si="47"/>
        <v>Female</v>
      </c>
      <c r="C301" t="str" cm="1">
        <f t="array" aca="1" ref="C301" ca="1">INDEX(sheet2!$A$2:$A$6, RANDBETWEEN(1, 5))</f>
        <v>Sales</v>
      </c>
      <c r="D301" t="str">
        <f ca="1">_xlfn.XLOOKUP(Table1[[#This Row],[Department]],sheet2!$A$2:$A$6,sheet2!$B$2:$B$6,_xleta.NA,0)</f>
        <v>Marketing Manager</v>
      </c>
      <c r="E301" s="1">
        <f t="shared" ca="1" si="53"/>
        <v>43549</v>
      </c>
      <c r="F301" s="1">
        <f ca="1">Table1[[#This Row],[Job Posting Date]]+ RANDBETWEEN(15, 90)</f>
        <v>43603</v>
      </c>
      <c r="G301" s="1">
        <f ca="1">Table1[[#This Row],[Hire Date]]+ RANDBETWEEN(1, 15)</f>
        <v>43616</v>
      </c>
      <c r="H301" s="1">
        <f ca="1">IF(RAND() &lt; 0.5,  Table1[[#This Row],[Join Date]]+ RANDBETWEEN(30, TODAY()- Table1[[#This Row],[Join Date]]), "-")</f>
        <v>45461</v>
      </c>
      <c r="I301" t="str">
        <f ca="1">IF(Table1[[#This Row],[Exit Date]]= "-", "Active", "Exited")</f>
        <v>Exited</v>
      </c>
      <c r="J301" s="5">
        <f t="shared" ca="1" si="54"/>
        <v>3393</v>
      </c>
      <c r="K301">
        <f ca="1">Table1[[#This Row],[Offers Made]]*2</f>
        <v>16</v>
      </c>
      <c r="L301">
        <f t="shared" ca="1" si="48"/>
        <v>8</v>
      </c>
      <c r="M301">
        <f t="shared" ca="1" si="49"/>
        <v>1</v>
      </c>
      <c r="N301" t="str">
        <f t="shared" ca="1" si="50"/>
        <v>Job Portals</v>
      </c>
      <c r="O301">
        <f t="shared" ca="1" si="51"/>
        <v>5</v>
      </c>
      <c r="P301" t="str">
        <f t="shared" ca="1" si="52"/>
        <v>No</v>
      </c>
      <c r="Q301" t="str" cm="1">
        <f t="array" aca="1" ref="Q301" ca="1">INDEX(sheet2!$C$2:$C$6, RANDBETWEEN(1, 5))</f>
        <v>Leadership Development</v>
      </c>
      <c r="R301" t="str">
        <f t="shared" ca="1" si="55"/>
        <v>Completed</v>
      </c>
      <c r="S301">
        <f ca="1">Table1[[#This Row],[Hire Date]]-Table1[[#This Row],[Job Posting Date]]</f>
        <v>54</v>
      </c>
    </row>
    <row r="302" spans="1:19" x14ac:dyDescent="0.2">
      <c r="A302" t="str">
        <f t="shared" si="46"/>
        <v>EMP301</v>
      </c>
      <c r="B302" t="str">
        <f t="shared" ca="1" si="47"/>
        <v>Male</v>
      </c>
      <c r="C302" t="str" cm="1">
        <f t="array" aca="1" ref="C302" ca="1">INDEX(sheet2!$A$2:$A$6, RANDBETWEEN(1, 5))</f>
        <v>Analytics</v>
      </c>
      <c r="D302" t="str">
        <f ca="1">_xlfn.XLOOKUP(Table1[[#This Row],[Department]],sheet2!$A$2:$A$6,sheet2!$B$2:$B$6,_xleta.NA,0)</f>
        <v>Data Analyst</v>
      </c>
      <c r="E302" s="1">
        <f t="shared" ca="1" si="53"/>
        <v>44087</v>
      </c>
      <c r="F302" s="1">
        <f ca="1">Table1[[#This Row],[Job Posting Date]]+ RANDBETWEEN(15, 90)</f>
        <v>44152</v>
      </c>
      <c r="G302" s="1">
        <f ca="1">Table1[[#This Row],[Hire Date]]+ RANDBETWEEN(1, 15)</f>
        <v>44153</v>
      </c>
      <c r="H302" s="1" t="str">
        <f ca="1">IF(RAND() &lt; 0.5,  Table1[[#This Row],[Join Date]]+ RANDBETWEEN(30, TODAY()- Table1[[#This Row],[Join Date]]), "-")</f>
        <v>-</v>
      </c>
      <c r="I302" t="str">
        <f ca="1">IF(Table1[[#This Row],[Exit Date]]= "-", "Active", "Exited")</f>
        <v>Active</v>
      </c>
      <c r="J302" s="5">
        <f t="shared" ca="1" si="54"/>
        <v>1888</v>
      </c>
      <c r="K302">
        <f ca="1">Table1[[#This Row],[Offers Made]]*2</f>
        <v>6</v>
      </c>
      <c r="L302">
        <f t="shared" ca="1" si="48"/>
        <v>3</v>
      </c>
      <c r="M302">
        <f t="shared" ca="1" si="49"/>
        <v>1</v>
      </c>
      <c r="N302" t="str">
        <f t="shared" ca="1" si="50"/>
        <v>Campus Placements</v>
      </c>
      <c r="O302">
        <f t="shared" ca="1" si="51"/>
        <v>1</v>
      </c>
      <c r="P302" t="str">
        <f t="shared" ca="1" si="52"/>
        <v>Yes</v>
      </c>
      <c r="Q302" t="str" cm="1">
        <f t="array" aca="1" ref="Q302" ca="1">INDEX(sheet2!$C$2:$C$6, RANDBETWEEN(1, 5))</f>
        <v>Communication Skills</v>
      </c>
      <c r="R302" t="str">
        <f t="shared" ca="1" si="55"/>
        <v>Completed</v>
      </c>
      <c r="S302">
        <f ca="1">Table1[[#This Row],[Hire Date]]-Table1[[#This Row],[Job Posting Date]]</f>
        <v>65</v>
      </c>
    </row>
    <row r="303" spans="1:19" x14ac:dyDescent="0.2">
      <c r="A303" t="str">
        <f t="shared" si="46"/>
        <v>EMP302</v>
      </c>
      <c r="B303" t="str">
        <f t="shared" ca="1" si="47"/>
        <v>Female</v>
      </c>
      <c r="C303" t="str" cm="1">
        <f t="array" aca="1" ref="C303" ca="1">INDEX(sheet2!$A$2:$A$6, RANDBETWEEN(1, 5))</f>
        <v>Sales</v>
      </c>
      <c r="D303" t="str">
        <f ca="1">_xlfn.XLOOKUP(Table1[[#This Row],[Department]],sheet2!$A$2:$A$6,sheet2!$B$2:$B$6,_xleta.NA,0)</f>
        <v>Marketing Manager</v>
      </c>
      <c r="E303" s="1">
        <f t="shared" ca="1" si="53"/>
        <v>43197</v>
      </c>
      <c r="F303" s="1">
        <f ca="1">Table1[[#This Row],[Job Posting Date]]+ RANDBETWEEN(15, 90)</f>
        <v>43222</v>
      </c>
      <c r="G303" s="1">
        <f ca="1">Table1[[#This Row],[Hire Date]]+ RANDBETWEEN(1, 15)</f>
        <v>43233</v>
      </c>
      <c r="H303" s="1" t="str">
        <f ca="1">IF(RAND() &lt; 0.5,  Table1[[#This Row],[Join Date]]+ RANDBETWEEN(30, TODAY()- Table1[[#This Row],[Join Date]]), "-")</f>
        <v>-</v>
      </c>
      <c r="I303" t="str">
        <f ca="1">IF(Table1[[#This Row],[Exit Date]]= "-", "Active", "Exited")</f>
        <v>Active</v>
      </c>
      <c r="J303" s="5">
        <f t="shared" ca="1" si="54"/>
        <v>3768</v>
      </c>
      <c r="K303">
        <f ca="1">Table1[[#This Row],[Offers Made]]*2</f>
        <v>12</v>
      </c>
      <c r="L303">
        <f t="shared" ca="1" si="48"/>
        <v>6</v>
      </c>
      <c r="M303">
        <f t="shared" ca="1" si="49"/>
        <v>4</v>
      </c>
      <c r="N303" t="str">
        <f t="shared" ca="1" si="50"/>
        <v>Job Portals</v>
      </c>
      <c r="O303">
        <f t="shared" ca="1" si="51"/>
        <v>5</v>
      </c>
      <c r="P303" t="str">
        <f t="shared" ca="1" si="52"/>
        <v>Yes</v>
      </c>
      <c r="Q303" t="str" cm="1">
        <f t="array" aca="1" ref="Q303" ca="1">INDEX(sheet2!$C$2:$C$6, RANDBETWEEN(1, 5))</f>
        <v>Communication Skills</v>
      </c>
      <c r="R303" t="str">
        <f t="shared" ca="1" si="55"/>
        <v>Completed</v>
      </c>
      <c r="S303">
        <f ca="1">Table1[[#This Row],[Hire Date]]-Table1[[#This Row],[Job Posting Date]]</f>
        <v>25</v>
      </c>
    </row>
    <row r="304" spans="1:19" x14ac:dyDescent="0.2">
      <c r="A304" t="str">
        <f t="shared" si="46"/>
        <v>EMP303</v>
      </c>
      <c r="B304" t="str">
        <f t="shared" ca="1" si="47"/>
        <v>Male</v>
      </c>
      <c r="C304" t="str" cm="1">
        <f t="array" aca="1" ref="C304" ca="1">INDEX(sheet2!$A$2:$A$6, RANDBETWEEN(1, 5))</f>
        <v>Finance</v>
      </c>
      <c r="D304" t="str">
        <f ca="1">_xlfn.XLOOKUP(Table1[[#This Row],[Department]],sheet2!$A$2:$A$6,sheet2!$B$2:$B$6,_xleta.NA,0)</f>
        <v>Finance Manager</v>
      </c>
      <c r="E304" s="1">
        <f t="shared" ca="1" si="53"/>
        <v>43239</v>
      </c>
      <c r="F304" s="1">
        <f ca="1">Table1[[#This Row],[Job Posting Date]]+ RANDBETWEEN(15, 90)</f>
        <v>43255</v>
      </c>
      <c r="G304" s="1">
        <f ca="1">Table1[[#This Row],[Hire Date]]+ RANDBETWEEN(1, 15)</f>
        <v>43265</v>
      </c>
      <c r="H304" s="1" t="str">
        <f ca="1">IF(RAND() &lt; 0.5,  Table1[[#This Row],[Join Date]]+ RANDBETWEEN(30, TODAY()- Table1[[#This Row],[Join Date]]), "-")</f>
        <v>-</v>
      </c>
      <c r="I304" t="str">
        <f ca="1">IF(Table1[[#This Row],[Exit Date]]= "-", "Active", "Exited")</f>
        <v>Active</v>
      </c>
      <c r="J304" s="5">
        <f t="shared" ca="1" si="54"/>
        <v>3664</v>
      </c>
      <c r="K304">
        <f ca="1">Table1[[#This Row],[Offers Made]]*2</f>
        <v>10</v>
      </c>
      <c r="L304">
        <f t="shared" ca="1" si="48"/>
        <v>5</v>
      </c>
      <c r="M304">
        <f t="shared" ca="1" si="49"/>
        <v>3</v>
      </c>
      <c r="N304" t="str">
        <f t="shared" ca="1" si="50"/>
        <v>Employee Referrals</v>
      </c>
      <c r="O304">
        <f t="shared" ca="1" si="51"/>
        <v>2</v>
      </c>
      <c r="P304" t="str">
        <f t="shared" ca="1" si="52"/>
        <v>Yes</v>
      </c>
      <c r="Q304" t="str" cm="1">
        <f t="array" aca="1" ref="Q304" ca="1">INDEX(sheet2!$C$2:$C$6, RANDBETWEEN(1, 5))</f>
        <v>Advanced Excel Skills </v>
      </c>
      <c r="R304" t="str">
        <f t="shared" ca="1" si="55"/>
        <v>Not Completed</v>
      </c>
      <c r="S304">
        <f ca="1">Table1[[#This Row],[Hire Date]]-Table1[[#This Row],[Job Posting Date]]</f>
        <v>16</v>
      </c>
    </row>
    <row r="305" spans="1:19" x14ac:dyDescent="0.2">
      <c r="A305" t="str">
        <f t="shared" si="46"/>
        <v>EMP304</v>
      </c>
      <c r="B305" t="str">
        <f t="shared" ca="1" si="47"/>
        <v>Male</v>
      </c>
      <c r="C305" t="str" cm="1">
        <f t="array" aca="1" ref="C305" ca="1">INDEX(sheet2!$A$2:$A$6, RANDBETWEEN(1, 5))</f>
        <v>HR</v>
      </c>
      <c r="D305" t="str">
        <f ca="1">_xlfn.XLOOKUP(Table1[[#This Row],[Department]],sheet2!$A$2:$A$6,sheet2!$B$2:$B$6,_xleta.NA,0)</f>
        <v>HR Manager</v>
      </c>
      <c r="E305" s="1">
        <f t="shared" ca="1" si="53"/>
        <v>43207</v>
      </c>
      <c r="F305" s="1">
        <f ca="1">Table1[[#This Row],[Job Posting Date]]+ RANDBETWEEN(15, 90)</f>
        <v>43275</v>
      </c>
      <c r="G305" s="1">
        <f ca="1">Table1[[#This Row],[Hire Date]]+ RANDBETWEEN(1, 15)</f>
        <v>43286</v>
      </c>
      <c r="H305" s="1">
        <f ca="1">IF(RAND() &lt; 0.5,  Table1[[#This Row],[Join Date]]+ RANDBETWEEN(30, TODAY()- Table1[[#This Row],[Join Date]]), "-")</f>
        <v>43670</v>
      </c>
      <c r="I305" t="str">
        <f ca="1">IF(Table1[[#This Row],[Exit Date]]= "-", "Active", "Exited")</f>
        <v>Exited</v>
      </c>
      <c r="J305" s="5">
        <f t="shared" ca="1" si="54"/>
        <v>1960</v>
      </c>
      <c r="K305">
        <f ca="1">Table1[[#This Row],[Offers Made]]*2</f>
        <v>16</v>
      </c>
      <c r="L305">
        <f t="shared" ca="1" si="48"/>
        <v>8</v>
      </c>
      <c r="M305">
        <f t="shared" ca="1" si="49"/>
        <v>3</v>
      </c>
      <c r="N305" t="str">
        <f t="shared" ca="1" si="50"/>
        <v>Job Portals</v>
      </c>
      <c r="O305">
        <f t="shared" ca="1" si="51"/>
        <v>5</v>
      </c>
      <c r="P305" t="str">
        <f t="shared" ca="1" si="52"/>
        <v>No</v>
      </c>
      <c r="Q305" t="str" cm="1">
        <f t="array" aca="1" ref="Q305" ca="1">INDEX(sheet2!$C$2:$C$6, RANDBETWEEN(1, 5))</f>
        <v>Advanced Excel Skills </v>
      </c>
      <c r="R305" t="str">
        <f t="shared" ca="1" si="55"/>
        <v>Completed</v>
      </c>
      <c r="S305">
        <f ca="1">Table1[[#This Row],[Hire Date]]-Table1[[#This Row],[Job Posting Date]]</f>
        <v>68</v>
      </c>
    </row>
    <row r="306" spans="1:19" x14ac:dyDescent="0.2">
      <c r="A306" t="str">
        <f t="shared" si="46"/>
        <v>EMP305</v>
      </c>
      <c r="B306" t="str">
        <f t="shared" ca="1" si="47"/>
        <v>Male</v>
      </c>
      <c r="C306" t="str" cm="1">
        <f t="array" aca="1" ref="C306" ca="1">INDEX(sheet2!$A$2:$A$6, RANDBETWEEN(1, 5))</f>
        <v>Sales</v>
      </c>
      <c r="D306" t="str">
        <f ca="1">_xlfn.XLOOKUP(Table1[[#This Row],[Department]],sheet2!$A$2:$A$6,sheet2!$B$2:$B$6,_xleta.NA,0)</f>
        <v>Marketing Manager</v>
      </c>
      <c r="E306" s="1">
        <f t="shared" ca="1" si="53"/>
        <v>43167</v>
      </c>
      <c r="F306" s="1">
        <f ca="1">Table1[[#This Row],[Job Posting Date]]+ RANDBETWEEN(15, 90)</f>
        <v>43237</v>
      </c>
      <c r="G306" s="1">
        <f ca="1">Table1[[#This Row],[Hire Date]]+ RANDBETWEEN(1, 15)</f>
        <v>43246</v>
      </c>
      <c r="H306" s="1">
        <f ca="1">IF(RAND() &lt; 0.5,  Table1[[#This Row],[Join Date]]+ RANDBETWEEN(30, TODAY()- Table1[[#This Row],[Join Date]]), "-")</f>
        <v>44096</v>
      </c>
      <c r="I306" t="str">
        <f ca="1">IF(Table1[[#This Row],[Exit Date]]= "-", "Active", "Exited")</f>
        <v>Exited</v>
      </c>
      <c r="J306" s="5">
        <f t="shared" ca="1" si="54"/>
        <v>4158</v>
      </c>
      <c r="K306">
        <f ca="1">Table1[[#This Row],[Offers Made]]*2</f>
        <v>10</v>
      </c>
      <c r="L306">
        <f t="shared" ca="1" si="48"/>
        <v>5</v>
      </c>
      <c r="M306">
        <f t="shared" ca="1" si="49"/>
        <v>1</v>
      </c>
      <c r="N306" t="str">
        <f t="shared" ca="1" si="50"/>
        <v>Direct Hiring</v>
      </c>
      <c r="O306">
        <f t="shared" ca="1" si="51"/>
        <v>3</v>
      </c>
      <c r="P306" t="str">
        <f t="shared" ca="1" si="52"/>
        <v>Yes</v>
      </c>
      <c r="Q306" t="str" cm="1">
        <f t="array" aca="1" ref="Q306" ca="1">INDEX(sheet2!$C$2:$C$6, RANDBETWEEN(1, 5))</f>
        <v>Conflict Resolution</v>
      </c>
      <c r="R306" t="str">
        <f t="shared" ca="1" si="55"/>
        <v>Completed</v>
      </c>
      <c r="S306">
        <f ca="1">Table1[[#This Row],[Hire Date]]-Table1[[#This Row],[Job Posting Date]]</f>
        <v>70</v>
      </c>
    </row>
    <row r="307" spans="1:19" x14ac:dyDescent="0.2">
      <c r="A307" t="str">
        <f t="shared" si="46"/>
        <v>EMP306</v>
      </c>
      <c r="B307" t="str">
        <f t="shared" ca="1" si="47"/>
        <v>Male</v>
      </c>
      <c r="C307" t="str" cm="1">
        <f t="array" aca="1" ref="C307" ca="1">INDEX(sheet2!$A$2:$A$6, RANDBETWEEN(1, 5))</f>
        <v>Analytics</v>
      </c>
      <c r="D307" t="str">
        <f ca="1">_xlfn.XLOOKUP(Table1[[#This Row],[Department]],sheet2!$A$2:$A$6,sheet2!$B$2:$B$6,_xleta.NA,0)</f>
        <v>Data Analyst</v>
      </c>
      <c r="E307" s="1">
        <f t="shared" ca="1" si="53"/>
        <v>43844</v>
      </c>
      <c r="F307" s="1">
        <f ca="1">Table1[[#This Row],[Job Posting Date]]+ RANDBETWEEN(15, 90)</f>
        <v>43918</v>
      </c>
      <c r="G307" s="1">
        <f ca="1">Table1[[#This Row],[Hire Date]]+ RANDBETWEEN(1, 15)</f>
        <v>43924</v>
      </c>
      <c r="H307" s="1">
        <f ca="1">IF(RAND() &lt; 0.5,  Table1[[#This Row],[Join Date]]+ RANDBETWEEN(30, TODAY()- Table1[[#This Row],[Join Date]]), "-")</f>
        <v>45286</v>
      </c>
      <c r="I307" t="str">
        <f ca="1">IF(Table1[[#This Row],[Exit Date]]= "-", "Active", "Exited")</f>
        <v>Exited</v>
      </c>
      <c r="J307" s="5">
        <f t="shared" ca="1" si="54"/>
        <v>4876</v>
      </c>
      <c r="K307">
        <f ca="1">Table1[[#This Row],[Offers Made]]*2</f>
        <v>14</v>
      </c>
      <c r="L307">
        <f t="shared" ca="1" si="48"/>
        <v>7</v>
      </c>
      <c r="M307">
        <f t="shared" ca="1" si="49"/>
        <v>6</v>
      </c>
      <c r="N307" t="str">
        <f t="shared" ca="1" si="50"/>
        <v>Campus Placements</v>
      </c>
      <c r="O307">
        <f t="shared" ca="1" si="51"/>
        <v>3</v>
      </c>
      <c r="P307" t="str">
        <f t="shared" ca="1" si="52"/>
        <v>Yes</v>
      </c>
      <c r="Q307" t="str" cm="1">
        <f t="array" aca="1" ref="Q307" ca="1">INDEX(sheet2!$C$2:$C$6, RANDBETWEEN(1, 5))</f>
        <v>Conflict Resolution</v>
      </c>
      <c r="R307" t="str">
        <f t="shared" ca="1" si="55"/>
        <v>Completed</v>
      </c>
      <c r="S307">
        <f ca="1">Table1[[#This Row],[Hire Date]]-Table1[[#This Row],[Job Posting Date]]</f>
        <v>74</v>
      </c>
    </row>
    <row r="308" spans="1:19" x14ac:dyDescent="0.2">
      <c r="A308" t="str">
        <f t="shared" si="46"/>
        <v>EMP307</v>
      </c>
      <c r="B308" t="str">
        <f t="shared" ca="1" si="47"/>
        <v>Male</v>
      </c>
      <c r="C308" t="str" cm="1">
        <f t="array" aca="1" ref="C308" ca="1">INDEX(sheet2!$A$2:$A$6, RANDBETWEEN(1, 5))</f>
        <v>IT</v>
      </c>
      <c r="D308" t="str">
        <f ca="1">_xlfn.XLOOKUP(Table1[[#This Row],[Department]],sheet2!$A$2:$A$6,sheet2!$B$2:$B$6,_xleta.NA,0)</f>
        <v>Software Engineer</v>
      </c>
      <c r="E308" s="1">
        <f t="shared" ca="1" si="53"/>
        <v>44854</v>
      </c>
      <c r="F308" s="1">
        <f ca="1">Table1[[#This Row],[Job Posting Date]]+ RANDBETWEEN(15, 90)</f>
        <v>44905</v>
      </c>
      <c r="G308" s="1">
        <f ca="1">Table1[[#This Row],[Hire Date]]+ RANDBETWEEN(1, 15)</f>
        <v>44908</v>
      </c>
      <c r="H308" s="1">
        <f ca="1">IF(RAND() &lt; 0.5,  Table1[[#This Row],[Join Date]]+ RANDBETWEEN(30, TODAY()- Table1[[#This Row],[Join Date]]), "-")</f>
        <v>45374</v>
      </c>
      <c r="I308" t="str">
        <f ca="1">IF(Table1[[#This Row],[Exit Date]]= "-", "Active", "Exited")</f>
        <v>Exited</v>
      </c>
      <c r="J308" s="5">
        <f t="shared" ca="1" si="54"/>
        <v>4479</v>
      </c>
      <c r="K308">
        <f ca="1">Table1[[#This Row],[Offers Made]]*2</f>
        <v>14</v>
      </c>
      <c r="L308">
        <f t="shared" ca="1" si="48"/>
        <v>7</v>
      </c>
      <c r="M308">
        <f t="shared" ca="1" si="49"/>
        <v>4</v>
      </c>
      <c r="N308" t="str">
        <f t="shared" ca="1" si="50"/>
        <v>Employee Referrals</v>
      </c>
      <c r="O308">
        <f t="shared" ca="1" si="51"/>
        <v>3</v>
      </c>
      <c r="P308" t="str">
        <f t="shared" ca="1" si="52"/>
        <v>Yes</v>
      </c>
      <c r="Q308" t="str" cm="1">
        <f t="array" aca="1" ref="Q308" ca="1">INDEX(sheet2!$C$2:$C$6, RANDBETWEEN(1, 5))</f>
        <v>Advanced Excel Skills </v>
      </c>
      <c r="R308" t="str">
        <f t="shared" ca="1" si="55"/>
        <v>Completed</v>
      </c>
      <c r="S308">
        <f ca="1">Table1[[#This Row],[Hire Date]]-Table1[[#This Row],[Job Posting Date]]</f>
        <v>51</v>
      </c>
    </row>
    <row r="309" spans="1:19" x14ac:dyDescent="0.2">
      <c r="A309" t="str">
        <f t="shared" si="46"/>
        <v>EMP308</v>
      </c>
      <c r="B309" t="str">
        <f t="shared" ca="1" si="47"/>
        <v>Female</v>
      </c>
      <c r="C309" t="str" cm="1">
        <f t="array" aca="1" ref="C309" ca="1">INDEX(sheet2!$A$2:$A$6, RANDBETWEEN(1, 5))</f>
        <v>Finance</v>
      </c>
      <c r="D309" t="str">
        <f ca="1">_xlfn.XLOOKUP(Table1[[#This Row],[Department]],sheet2!$A$2:$A$6,sheet2!$B$2:$B$6,_xleta.NA,0)</f>
        <v>Finance Manager</v>
      </c>
      <c r="E309" s="1">
        <f t="shared" ca="1" si="53"/>
        <v>44917</v>
      </c>
      <c r="F309" s="1">
        <f ca="1">Table1[[#This Row],[Job Posting Date]]+ RANDBETWEEN(15, 90)</f>
        <v>44954</v>
      </c>
      <c r="G309" s="1">
        <f ca="1">Table1[[#This Row],[Hire Date]]+ RANDBETWEEN(1, 15)</f>
        <v>44968</v>
      </c>
      <c r="H309" s="1" t="str">
        <f ca="1">IF(RAND() &lt; 0.5,  Table1[[#This Row],[Join Date]]+ RANDBETWEEN(30, TODAY()- Table1[[#This Row],[Join Date]]), "-")</f>
        <v>-</v>
      </c>
      <c r="I309" t="str">
        <f ca="1">IF(Table1[[#This Row],[Exit Date]]= "-", "Active", "Exited")</f>
        <v>Active</v>
      </c>
      <c r="J309" s="5">
        <f t="shared" ca="1" si="54"/>
        <v>4531</v>
      </c>
      <c r="K309">
        <f ca="1">Table1[[#This Row],[Offers Made]]*2</f>
        <v>10</v>
      </c>
      <c r="L309">
        <f t="shared" ca="1" si="48"/>
        <v>5</v>
      </c>
      <c r="M309">
        <f t="shared" ca="1" si="49"/>
        <v>3</v>
      </c>
      <c r="N309" t="str">
        <f t="shared" ca="1" si="50"/>
        <v>Employee Referrals</v>
      </c>
      <c r="O309">
        <f t="shared" ca="1" si="51"/>
        <v>2</v>
      </c>
      <c r="P309" t="str">
        <f t="shared" ca="1" si="52"/>
        <v>No</v>
      </c>
      <c r="Q309" t="str" cm="1">
        <f t="array" aca="1" ref="Q309" ca="1">INDEX(sheet2!$C$2:$C$6, RANDBETWEEN(1, 5))</f>
        <v>Ethics and Responsibilities</v>
      </c>
      <c r="R309" t="str">
        <f t="shared" ca="1" si="55"/>
        <v>Completed</v>
      </c>
      <c r="S309">
        <f ca="1">Table1[[#This Row],[Hire Date]]-Table1[[#This Row],[Job Posting Date]]</f>
        <v>37</v>
      </c>
    </row>
    <row r="310" spans="1:19" x14ac:dyDescent="0.2">
      <c r="A310" t="str">
        <f t="shared" si="46"/>
        <v>EMP309</v>
      </c>
      <c r="B310" t="str">
        <f t="shared" ca="1" si="47"/>
        <v>Male</v>
      </c>
      <c r="C310" t="str" cm="1">
        <f t="array" aca="1" ref="C310" ca="1">INDEX(sheet2!$A$2:$A$6, RANDBETWEEN(1, 5))</f>
        <v>IT</v>
      </c>
      <c r="D310" t="str">
        <f ca="1">_xlfn.XLOOKUP(Table1[[#This Row],[Department]],sheet2!$A$2:$A$6,sheet2!$B$2:$B$6,_xleta.NA,0)</f>
        <v>Software Engineer</v>
      </c>
      <c r="E310" s="1">
        <f t="shared" ca="1" si="53"/>
        <v>43556</v>
      </c>
      <c r="F310" s="1">
        <f ca="1">Table1[[#This Row],[Job Posting Date]]+ RANDBETWEEN(15, 90)</f>
        <v>43623</v>
      </c>
      <c r="G310" s="1">
        <f ca="1">Table1[[#This Row],[Hire Date]]+ RANDBETWEEN(1, 15)</f>
        <v>43625</v>
      </c>
      <c r="H310" s="1" t="str">
        <f ca="1">IF(RAND() &lt; 0.5,  Table1[[#This Row],[Join Date]]+ RANDBETWEEN(30, TODAY()- Table1[[#This Row],[Join Date]]), "-")</f>
        <v>-</v>
      </c>
      <c r="I310" t="str">
        <f ca="1">IF(Table1[[#This Row],[Exit Date]]= "-", "Active", "Exited")</f>
        <v>Active</v>
      </c>
      <c r="J310" s="5">
        <f t="shared" ca="1" si="54"/>
        <v>3316</v>
      </c>
      <c r="K310">
        <f ca="1">Table1[[#This Row],[Offers Made]]*2</f>
        <v>12</v>
      </c>
      <c r="L310">
        <f t="shared" ca="1" si="48"/>
        <v>6</v>
      </c>
      <c r="M310">
        <f t="shared" ca="1" si="49"/>
        <v>2</v>
      </c>
      <c r="N310" t="str">
        <f t="shared" ca="1" si="50"/>
        <v>Job Portals</v>
      </c>
      <c r="O310">
        <f t="shared" ca="1" si="51"/>
        <v>5</v>
      </c>
      <c r="P310" t="str">
        <f t="shared" ca="1" si="52"/>
        <v>Yes</v>
      </c>
      <c r="Q310" t="str" cm="1">
        <f t="array" aca="1" ref="Q310" ca="1">INDEX(sheet2!$C$2:$C$6, RANDBETWEEN(1, 5))</f>
        <v>Ethics and Responsibilities</v>
      </c>
      <c r="R310" t="str">
        <f t="shared" ca="1" si="55"/>
        <v>Completed</v>
      </c>
      <c r="S310">
        <f ca="1">Table1[[#This Row],[Hire Date]]-Table1[[#This Row],[Job Posting Date]]</f>
        <v>67</v>
      </c>
    </row>
    <row r="311" spans="1:19" x14ac:dyDescent="0.2">
      <c r="A311" t="str">
        <f t="shared" si="46"/>
        <v>EMP310</v>
      </c>
      <c r="B311" t="str">
        <f t="shared" ca="1" si="47"/>
        <v>Male</v>
      </c>
      <c r="C311" t="str" cm="1">
        <f t="array" aca="1" ref="C311" ca="1">INDEX(sheet2!$A$2:$A$6, RANDBETWEEN(1, 5))</f>
        <v>Sales</v>
      </c>
      <c r="D311" t="str">
        <f ca="1">_xlfn.XLOOKUP(Table1[[#This Row],[Department]],sheet2!$A$2:$A$6,sheet2!$B$2:$B$6,_xleta.NA,0)</f>
        <v>Marketing Manager</v>
      </c>
      <c r="E311" s="1">
        <f t="shared" ca="1" si="53"/>
        <v>44853</v>
      </c>
      <c r="F311" s="1">
        <f ca="1">Table1[[#This Row],[Job Posting Date]]+ RANDBETWEEN(15, 90)</f>
        <v>44890</v>
      </c>
      <c r="G311" s="1">
        <f ca="1">Table1[[#This Row],[Hire Date]]+ RANDBETWEEN(1, 15)</f>
        <v>44901</v>
      </c>
      <c r="H311" s="1" t="str">
        <f ca="1">IF(RAND() &lt; 0.5,  Table1[[#This Row],[Join Date]]+ RANDBETWEEN(30, TODAY()- Table1[[#This Row],[Join Date]]), "-")</f>
        <v>-</v>
      </c>
      <c r="I311" t="str">
        <f ca="1">IF(Table1[[#This Row],[Exit Date]]= "-", "Active", "Exited")</f>
        <v>Active</v>
      </c>
      <c r="J311" s="5">
        <f t="shared" ca="1" si="54"/>
        <v>2590</v>
      </c>
      <c r="K311">
        <f ca="1">Table1[[#This Row],[Offers Made]]*2</f>
        <v>14</v>
      </c>
      <c r="L311">
        <f t="shared" ca="1" si="48"/>
        <v>7</v>
      </c>
      <c r="M311">
        <f t="shared" ca="1" si="49"/>
        <v>6</v>
      </c>
      <c r="N311" t="str">
        <f t="shared" ca="1" si="50"/>
        <v>Job Portals</v>
      </c>
      <c r="O311">
        <f t="shared" ca="1" si="51"/>
        <v>4</v>
      </c>
      <c r="P311" t="str">
        <f t="shared" ca="1" si="52"/>
        <v>No</v>
      </c>
      <c r="Q311" t="str" cm="1">
        <f t="array" aca="1" ref="Q311" ca="1">INDEX(sheet2!$C$2:$C$6, RANDBETWEEN(1, 5))</f>
        <v>Communication Skills</v>
      </c>
      <c r="R311" t="str">
        <f t="shared" ca="1" si="55"/>
        <v>Not Completed</v>
      </c>
      <c r="S311">
        <f ca="1">Table1[[#This Row],[Hire Date]]-Table1[[#This Row],[Job Posting Date]]</f>
        <v>37</v>
      </c>
    </row>
    <row r="312" spans="1:19" x14ac:dyDescent="0.2">
      <c r="A312" t="str">
        <f t="shared" si="46"/>
        <v>EMP311</v>
      </c>
      <c r="B312" t="str">
        <f t="shared" ca="1" si="47"/>
        <v>Female</v>
      </c>
      <c r="C312" t="str" cm="1">
        <f t="array" aca="1" ref="C312" ca="1">INDEX(sheet2!$A$2:$A$6, RANDBETWEEN(1, 5))</f>
        <v>Finance</v>
      </c>
      <c r="D312" t="str">
        <f ca="1">_xlfn.XLOOKUP(Table1[[#This Row],[Department]],sheet2!$A$2:$A$6,sheet2!$B$2:$B$6,_xleta.NA,0)</f>
        <v>Finance Manager</v>
      </c>
      <c r="E312" s="1">
        <f t="shared" ca="1" si="53"/>
        <v>44846</v>
      </c>
      <c r="F312" s="1">
        <f ca="1">Table1[[#This Row],[Job Posting Date]]+ RANDBETWEEN(15, 90)</f>
        <v>44903</v>
      </c>
      <c r="G312" s="1">
        <f ca="1">Table1[[#This Row],[Hire Date]]+ RANDBETWEEN(1, 15)</f>
        <v>44904</v>
      </c>
      <c r="H312" s="1">
        <f ca="1">IF(RAND() &lt; 0.5,  Table1[[#This Row],[Join Date]]+ RANDBETWEEN(30, TODAY()- Table1[[#This Row],[Join Date]]), "-")</f>
        <v>45113</v>
      </c>
      <c r="I312" t="str">
        <f ca="1">IF(Table1[[#This Row],[Exit Date]]= "-", "Active", "Exited")</f>
        <v>Exited</v>
      </c>
      <c r="J312" s="5">
        <f t="shared" ca="1" si="54"/>
        <v>4674</v>
      </c>
      <c r="K312">
        <f ca="1">Table1[[#This Row],[Offers Made]]*2</f>
        <v>14</v>
      </c>
      <c r="L312">
        <f t="shared" ca="1" si="48"/>
        <v>7</v>
      </c>
      <c r="M312">
        <f t="shared" ca="1" si="49"/>
        <v>4</v>
      </c>
      <c r="N312" t="str">
        <f t="shared" ca="1" si="50"/>
        <v>Employee Referrals</v>
      </c>
      <c r="O312">
        <f t="shared" ca="1" si="51"/>
        <v>4</v>
      </c>
      <c r="P312" t="str">
        <f t="shared" ca="1" si="52"/>
        <v>Yes</v>
      </c>
      <c r="Q312" t="str" cm="1">
        <f t="array" aca="1" ref="Q312" ca="1">INDEX(sheet2!$C$2:$C$6, RANDBETWEEN(1, 5))</f>
        <v>Communication Skills</v>
      </c>
      <c r="R312" t="str">
        <f t="shared" ca="1" si="55"/>
        <v>Completed</v>
      </c>
      <c r="S312">
        <f ca="1">Table1[[#This Row],[Hire Date]]-Table1[[#This Row],[Job Posting Date]]</f>
        <v>57</v>
      </c>
    </row>
    <row r="313" spans="1:19" x14ac:dyDescent="0.2">
      <c r="A313" t="str">
        <f t="shared" si="46"/>
        <v>EMP312</v>
      </c>
      <c r="B313" t="str">
        <f t="shared" ca="1" si="47"/>
        <v>Female</v>
      </c>
      <c r="C313" t="str" cm="1">
        <f t="array" aca="1" ref="C313" ca="1">INDEX(sheet2!$A$2:$A$6, RANDBETWEEN(1, 5))</f>
        <v>Finance</v>
      </c>
      <c r="D313" t="str">
        <f ca="1">_xlfn.XLOOKUP(Table1[[#This Row],[Department]],sheet2!$A$2:$A$6,sheet2!$B$2:$B$6,_xleta.NA,0)</f>
        <v>Finance Manager</v>
      </c>
      <c r="E313" s="1">
        <f t="shared" ca="1" si="53"/>
        <v>43197</v>
      </c>
      <c r="F313" s="1">
        <f ca="1">Table1[[#This Row],[Job Posting Date]]+ RANDBETWEEN(15, 90)</f>
        <v>43241</v>
      </c>
      <c r="G313" s="1">
        <f ca="1">Table1[[#This Row],[Hire Date]]+ RANDBETWEEN(1, 15)</f>
        <v>43242</v>
      </c>
      <c r="H313" s="1" t="str">
        <f ca="1">IF(RAND() &lt; 0.5,  Table1[[#This Row],[Join Date]]+ RANDBETWEEN(30, TODAY()- Table1[[#This Row],[Join Date]]), "-")</f>
        <v>-</v>
      </c>
      <c r="I313" t="str">
        <f ca="1">IF(Table1[[#This Row],[Exit Date]]= "-", "Active", "Exited")</f>
        <v>Active</v>
      </c>
      <c r="J313" s="5">
        <f t="shared" ca="1" si="54"/>
        <v>3894</v>
      </c>
      <c r="K313">
        <f ca="1">Table1[[#This Row],[Offers Made]]*2</f>
        <v>12</v>
      </c>
      <c r="L313">
        <f t="shared" ca="1" si="48"/>
        <v>6</v>
      </c>
      <c r="M313">
        <f t="shared" ca="1" si="49"/>
        <v>5</v>
      </c>
      <c r="N313" t="str">
        <f t="shared" ca="1" si="50"/>
        <v>Job Portals</v>
      </c>
      <c r="O313">
        <f t="shared" ca="1" si="51"/>
        <v>1</v>
      </c>
      <c r="P313" t="str">
        <f t="shared" ca="1" si="52"/>
        <v>No</v>
      </c>
      <c r="Q313" t="str" cm="1">
        <f t="array" aca="1" ref="Q313" ca="1">INDEX(sheet2!$C$2:$C$6, RANDBETWEEN(1, 5))</f>
        <v>Advanced Excel Skills </v>
      </c>
      <c r="R313" t="str">
        <f t="shared" ca="1" si="55"/>
        <v>Completed</v>
      </c>
      <c r="S313">
        <f ca="1">Table1[[#This Row],[Hire Date]]-Table1[[#This Row],[Job Posting Date]]</f>
        <v>44</v>
      </c>
    </row>
    <row r="314" spans="1:19" x14ac:dyDescent="0.2">
      <c r="A314" t="str">
        <f t="shared" si="46"/>
        <v>EMP313</v>
      </c>
      <c r="B314" t="str">
        <f t="shared" ca="1" si="47"/>
        <v>Female</v>
      </c>
      <c r="C314" t="str" cm="1">
        <f t="array" aca="1" ref="C314" ca="1">INDEX(sheet2!$A$2:$A$6, RANDBETWEEN(1, 5))</f>
        <v>HR</v>
      </c>
      <c r="D314" t="str">
        <f ca="1">_xlfn.XLOOKUP(Table1[[#This Row],[Department]],sheet2!$A$2:$A$6,sheet2!$B$2:$B$6,_xleta.NA,0)</f>
        <v>HR Manager</v>
      </c>
      <c r="E314" s="1">
        <f t="shared" ca="1" si="53"/>
        <v>43256</v>
      </c>
      <c r="F314" s="1">
        <f ca="1">Table1[[#This Row],[Job Posting Date]]+ RANDBETWEEN(15, 90)</f>
        <v>43336</v>
      </c>
      <c r="G314" s="1">
        <f ca="1">Table1[[#This Row],[Hire Date]]+ RANDBETWEEN(1, 15)</f>
        <v>43337</v>
      </c>
      <c r="H314" s="1">
        <f ca="1">IF(RAND() &lt; 0.5,  Table1[[#This Row],[Join Date]]+ RANDBETWEEN(30, TODAY()- Table1[[#This Row],[Join Date]]), "-")</f>
        <v>44560</v>
      </c>
      <c r="I314" t="str">
        <f ca="1">IF(Table1[[#This Row],[Exit Date]]= "-", "Active", "Exited")</f>
        <v>Exited</v>
      </c>
      <c r="J314" s="5">
        <f t="shared" ca="1" si="54"/>
        <v>2544</v>
      </c>
      <c r="K314">
        <f ca="1">Table1[[#This Row],[Offers Made]]*2</f>
        <v>12</v>
      </c>
      <c r="L314">
        <f t="shared" ca="1" si="48"/>
        <v>6</v>
      </c>
      <c r="M314">
        <f t="shared" ca="1" si="49"/>
        <v>1</v>
      </c>
      <c r="N314" t="str">
        <f t="shared" ca="1" si="50"/>
        <v>Job Portals</v>
      </c>
      <c r="O314">
        <f t="shared" ca="1" si="51"/>
        <v>5</v>
      </c>
      <c r="P314" t="str">
        <f t="shared" ca="1" si="52"/>
        <v>Yes</v>
      </c>
      <c r="Q314" t="str" cm="1">
        <f t="array" aca="1" ref="Q314" ca="1">INDEX(sheet2!$C$2:$C$6, RANDBETWEEN(1, 5))</f>
        <v>Ethics and Responsibilities</v>
      </c>
      <c r="R314" t="str">
        <f t="shared" ca="1" si="55"/>
        <v>Completed</v>
      </c>
      <c r="S314">
        <f ca="1">Table1[[#This Row],[Hire Date]]-Table1[[#This Row],[Job Posting Date]]</f>
        <v>80</v>
      </c>
    </row>
    <row r="315" spans="1:19" x14ac:dyDescent="0.2">
      <c r="A315" t="str">
        <f t="shared" si="46"/>
        <v>EMP314</v>
      </c>
      <c r="B315" t="str">
        <f t="shared" ca="1" si="47"/>
        <v>Female</v>
      </c>
      <c r="C315" t="str" cm="1">
        <f t="array" aca="1" ref="C315" ca="1">INDEX(sheet2!$A$2:$A$6, RANDBETWEEN(1, 5))</f>
        <v>Sales</v>
      </c>
      <c r="D315" t="str">
        <f ca="1">_xlfn.XLOOKUP(Table1[[#This Row],[Department]],sheet2!$A$2:$A$6,sheet2!$B$2:$B$6,_xleta.NA,0)</f>
        <v>Marketing Manager</v>
      </c>
      <c r="E315" s="1">
        <f t="shared" ca="1" si="53"/>
        <v>44396</v>
      </c>
      <c r="F315" s="1">
        <f ca="1">Table1[[#This Row],[Job Posting Date]]+ RANDBETWEEN(15, 90)</f>
        <v>44437</v>
      </c>
      <c r="G315" s="1">
        <f ca="1">Table1[[#This Row],[Hire Date]]+ RANDBETWEEN(1, 15)</f>
        <v>44443</v>
      </c>
      <c r="H315" s="1" t="str">
        <f ca="1">IF(RAND() &lt; 0.5,  Table1[[#This Row],[Join Date]]+ RANDBETWEEN(30, TODAY()- Table1[[#This Row],[Join Date]]), "-")</f>
        <v>-</v>
      </c>
      <c r="I315" t="str">
        <f ca="1">IF(Table1[[#This Row],[Exit Date]]= "-", "Active", "Exited")</f>
        <v>Active</v>
      </c>
      <c r="J315" s="5">
        <f t="shared" ca="1" si="54"/>
        <v>3628</v>
      </c>
      <c r="K315">
        <f ca="1">Table1[[#This Row],[Offers Made]]*2</f>
        <v>14</v>
      </c>
      <c r="L315">
        <f t="shared" ca="1" si="48"/>
        <v>7</v>
      </c>
      <c r="M315">
        <f t="shared" ca="1" si="49"/>
        <v>5</v>
      </c>
      <c r="N315" t="str">
        <f t="shared" ca="1" si="50"/>
        <v>Campus Placements</v>
      </c>
      <c r="O315">
        <f t="shared" ca="1" si="51"/>
        <v>3</v>
      </c>
      <c r="P315" t="str">
        <f t="shared" ca="1" si="52"/>
        <v>Yes</v>
      </c>
      <c r="Q315" t="str" cm="1">
        <f t="array" aca="1" ref="Q315" ca="1">INDEX(sheet2!$C$2:$C$6, RANDBETWEEN(1, 5))</f>
        <v>Leadership Development</v>
      </c>
      <c r="R315" t="str">
        <f t="shared" ca="1" si="55"/>
        <v>Not Completed</v>
      </c>
      <c r="S315">
        <f ca="1">Table1[[#This Row],[Hire Date]]-Table1[[#This Row],[Job Posting Date]]</f>
        <v>41</v>
      </c>
    </row>
    <row r="316" spans="1:19" x14ac:dyDescent="0.2">
      <c r="A316" t="str">
        <f t="shared" si="46"/>
        <v>EMP315</v>
      </c>
      <c r="B316" t="str">
        <f t="shared" ca="1" si="47"/>
        <v>Male</v>
      </c>
      <c r="C316" t="str" cm="1">
        <f t="array" aca="1" ref="C316" ca="1">INDEX(sheet2!$A$2:$A$6, RANDBETWEEN(1, 5))</f>
        <v>Sales</v>
      </c>
      <c r="D316" t="str">
        <f ca="1">_xlfn.XLOOKUP(Table1[[#This Row],[Department]],sheet2!$A$2:$A$6,sheet2!$B$2:$B$6,_xleta.NA,0)</f>
        <v>Marketing Manager</v>
      </c>
      <c r="E316" s="1">
        <f t="shared" ca="1" si="53"/>
        <v>44552</v>
      </c>
      <c r="F316" s="1">
        <f ca="1">Table1[[#This Row],[Job Posting Date]]+ RANDBETWEEN(15, 90)</f>
        <v>44604</v>
      </c>
      <c r="G316" s="1">
        <f ca="1">Table1[[#This Row],[Hire Date]]+ RANDBETWEEN(1, 15)</f>
        <v>44617</v>
      </c>
      <c r="H316" s="1" t="str">
        <f ca="1">IF(RAND() &lt; 0.5,  Table1[[#This Row],[Join Date]]+ RANDBETWEEN(30, TODAY()- Table1[[#This Row],[Join Date]]), "-")</f>
        <v>-</v>
      </c>
      <c r="I316" t="str">
        <f ca="1">IF(Table1[[#This Row],[Exit Date]]= "-", "Active", "Exited")</f>
        <v>Active</v>
      </c>
      <c r="J316" s="5">
        <f t="shared" ca="1" si="54"/>
        <v>2830</v>
      </c>
      <c r="K316">
        <f ca="1">Table1[[#This Row],[Offers Made]]*2</f>
        <v>14</v>
      </c>
      <c r="L316">
        <f t="shared" ca="1" si="48"/>
        <v>7</v>
      </c>
      <c r="M316">
        <f t="shared" ca="1" si="49"/>
        <v>3</v>
      </c>
      <c r="N316" t="str">
        <f t="shared" ca="1" si="50"/>
        <v>Job Portals</v>
      </c>
      <c r="O316">
        <f t="shared" ca="1" si="51"/>
        <v>1</v>
      </c>
      <c r="P316" t="str">
        <f t="shared" ca="1" si="52"/>
        <v>Yes</v>
      </c>
      <c r="Q316" t="str" cm="1">
        <f t="array" aca="1" ref="Q316" ca="1">INDEX(sheet2!$C$2:$C$6, RANDBETWEEN(1, 5))</f>
        <v>Advanced Excel Skills </v>
      </c>
      <c r="R316" t="str">
        <f t="shared" ca="1" si="55"/>
        <v>Completed</v>
      </c>
      <c r="S316">
        <f ca="1">Table1[[#This Row],[Hire Date]]-Table1[[#This Row],[Job Posting Date]]</f>
        <v>52</v>
      </c>
    </row>
    <row r="317" spans="1:19" x14ac:dyDescent="0.2">
      <c r="A317" t="str">
        <f t="shared" si="46"/>
        <v>EMP316</v>
      </c>
      <c r="B317" t="str">
        <f t="shared" ca="1" si="47"/>
        <v>Female</v>
      </c>
      <c r="C317" t="str" cm="1">
        <f t="array" aca="1" ref="C317" ca="1">INDEX(sheet2!$A$2:$A$6, RANDBETWEEN(1, 5))</f>
        <v>HR</v>
      </c>
      <c r="D317" t="str">
        <f ca="1">_xlfn.XLOOKUP(Table1[[#This Row],[Department]],sheet2!$A$2:$A$6,sheet2!$B$2:$B$6,_xleta.NA,0)</f>
        <v>HR Manager</v>
      </c>
      <c r="E317" s="1">
        <f t="shared" ca="1" si="53"/>
        <v>43143</v>
      </c>
      <c r="F317" s="1">
        <f ca="1">Table1[[#This Row],[Job Posting Date]]+ RANDBETWEEN(15, 90)</f>
        <v>43215</v>
      </c>
      <c r="G317" s="1">
        <f ca="1">Table1[[#This Row],[Hire Date]]+ RANDBETWEEN(1, 15)</f>
        <v>43227</v>
      </c>
      <c r="H317" s="1">
        <f ca="1">IF(RAND() &lt; 0.5,  Table1[[#This Row],[Join Date]]+ RANDBETWEEN(30, TODAY()- Table1[[#This Row],[Join Date]]), "-")</f>
        <v>44565</v>
      </c>
      <c r="I317" t="str">
        <f ca="1">IF(Table1[[#This Row],[Exit Date]]= "-", "Active", "Exited")</f>
        <v>Exited</v>
      </c>
      <c r="J317" s="5">
        <f t="shared" ca="1" si="54"/>
        <v>4649</v>
      </c>
      <c r="K317">
        <f ca="1">Table1[[#This Row],[Offers Made]]*2</f>
        <v>14</v>
      </c>
      <c r="L317">
        <f t="shared" ca="1" si="48"/>
        <v>7</v>
      </c>
      <c r="M317">
        <f t="shared" ca="1" si="49"/>
        <v>2</v>
      </c>
      <c r="N317" t="str">
        <f t="shared" ca="1" si="50"/>
        <v>Direct Hiring</v>
      </c>
      <c r="O317">
        <f t="shared" ca="1" si="51"/>
        <v>4</v>
      </c>
      <c r="P317" t="str">
        <f t="shared" ca="1" si="52"/>
        <v>No</v>
      </c>
      <c r="Q317" t="str" cm="1">
        <f t="array" aca="1" ref="Q317" ca="1">INDEX(sheet2!$C$2:$C$6, RANDBETWEEN(1, 5))</f>
        <v>Communication Skills</v>
      </c>
      <c r="R317" t="str">
        <f t="shared" ca="1" si="55"/>
        <v>Completed</v>
      </c>
      <c r="S317">
        <f ca="1">Table1[[#This Row],[Hire Date]]-Table1[[#This Row],[Job Posting Date]]</f>
        <v>72</v>
      </c>
    </row>
    <row r="318" spans="1:19" x14ac:dyDescent="0.2">
      <c r="A318" t="str">
        <f t="shared" si="46"/>
        <v>EMP317</v>
      </c>
      <c r="B318" t="str">
        <f t="shared" ca="1" si="47"/>
        <v>Male</v>
      </c>
      <c r="C318" t="str" cm="1">
        <f t="array" aca="1" ref="C318" ca="1">INDEX(sheet2!$A$2:$A$6, RANDBETWEEN(1, 5))</f>
        <v>Finance</v>
      </c>
      <c r="D318" t="str">
        <f ca="1">_xlfn.XLOOKUP(Table1[[#This Row],[Department]],sheet2!$A$2:$A$6,sheet2!$B$2:$B$6,_xleta.NA,0)</f>
        <v>Finance Manager</v>
      </c>
      <c r="E318" s="1">
        <f t="shared" ca="1" si="53"/>
        <v>44117</v>
      </c>
      <c r="F318" s="1">
        <f ca="1">Table1[[#This Row],[Job Posting Date]]+ RANDBETWEEN(15, 90)</f>
        <v>44146</v>
      </c>
      <c r="G318" s="1">
        <f ca="1">Table1[[#This Row],[Hire Date]]+ RANDBETWEEN(1, 15)</f>
        <v>44147</v>
      </c>
      <c r="H318" s="1" t="str">
        <f ca="1">IF(RAND() &lt; 0.5,  Table1[[#This Row],[Join Date]]+ RANDBETWEEN(30, TODAY()- Table1[[#This Row],[Join Date]]), "-")</f>
        <v>-</v>
      </c>
      <c r="I318" t="str">
        <f ca="1">IF(Table1[[#This Row],[Exit Date]]= "-", "Active", "Exited")</f>
        <v>Active</v>
      </c>
      <c r="J318" s="5">
        <f t="shared" ca="1" si="54"/>
        <v>2723</v>
      </c>
      <c r="K318">
        <f ca="1">Table1[[#This Row],[Offers Made]]*2</f>
        <v>16</v>
      </c>
      <c r="L318">
        <f t="shared" ca="1" si="48"/>
        <v>8</v>
      </c>
      <c r="M318">
        <f t="shared" ca="1" si="49"/>
        <v>5</v>
      </c>
      <c r="N318" t="str">
        <f t="shared" ca="1" si="50"/>
        <v>Campus Placements</v>
      </c>
      <c r="O318">
        <f t="shared" ca="1" si="51"/>
        <v>2</v>
      </c>
      <c r="P318" t="str">
        <f t="shared" ca="1" si="52"/>
        <v>Yes</v>
      </c>
      <c r="Q318" t="str" cm="1">
        <f t="array" aca="1" ref="Q318" ca="1">INDEX(sheet2!$C$2:$C$6, RANDBETWEEN(1, 5))</f>
        <v>Leadership Development</v>
      </c>
      <c r="R318" t="str">
        <f t="shared" ca="1" si="55"/>
        <v>Not Completed</v>
      </c>
      <c r="S318">
        <f ca="1">Table1[[#This Row],[Hire Date]]-Table1[[#This Row],[Job Posting Date]]</f>
        <v>29</v>
      </c>
    </row>
    <row r="319" spans="1:19" x14ac:dyDescent="0.2">
      <c r="A319" t="str">
        <f t="shared" si="46"/>
        <v>EMP318</v>
      </c>
      <c r="B319" t="str">
        <f t="shared" ca="1" si="47"/>
        <v>Male</v>
      </c>
      <c r="C319" t="str" cm="1">
        <f t="array" aca="1" ref="C319" ca="1">INDEX(sheet2!$A$2:$A$6, RANDBETWEEN(1, 5))</f>
        <v>Sales</v>
      </c>
      <c r="D319" t="str">
        <f ca="1">_xlfn.XLOOKUP(Table1[[#This Row],[Department]],sheet2!$A$2:$A$6,sheet2!$B$2:$B$6,_xleta.NA,0)</f>
        <v>Marketing Manager</v>
      </c>
      <c r="E319" s="1">
        <f t="shared" ca="1" si="53"/>
        <v>44399</v>
      </c>
      <c r="F319" s="1">
        <f ca="1">Table1[[#This Row],[Job Posting Date]]+ RANDBETWEEN(15, 90)</f>
        <v>44460</v>
      </c>
      <c r="G319" s="1">
        <f ca="1">Table1[[#This Row],[Hire Date]]+ RANDBETWEEN(1, 15)</f>
        <v>44474</v>
      </c>
      <c r="H319" s="1" t="str">
        <f ca="1">IF(RAND() &lt; 0.5,  Table1[[#This Row],[Join Date]]+ RANDBETWEEN(30, TODAY()- Table1[[#This Row],[Join Date]]), "-")</f>
        <v>-</v>
      </c>
      <c r="I319" t="str">
        <f ca="1">IF(Table1[[#This Row],[Exit Date]]= "-", "Active", "Exited")</f>
        <v>Active</v>
      </c>
      <c r="J319" s="5">
        <f t="shared" ca="1" si="54"/>
        <v>3121</v>
      </c>
      <c r="K319">
        <f ca="1">Table1[[#This Row],[Offers Made]]*2</f>
        <v>16</v>
      </c>
      <c r="L319">
        <f t="shared" ca="1" si="48"/>
        <v>8</v>
      </c>
      <c r="M319">
        <f t="shared" ca="1" si="49"/>
        <v>7</v>
      </c>
      <c r="N319" t="str">
        <f t="shared" ca="1" si="50"/>
        <v>Employee Referrals</v>
      </c>
      <c r="O319">
        <f t="shared" ca="1" si="51"/>
        <v>5</v>
      </c>
      <c r="P319" t="str">
        <f t="shared" ca="1" si="52"/>
        <v>No</v>
      </c>
      <c r="Q319" t="str" cm="1">
        <f t="array" aca="1" ref="Q319" ca="1">INDEX(sheet2!$C$2:$C$6, RANDBETWEEN(1, 5))</f>
        <v>Leadership Development</v>
      </c>
      <c r="R319" t="str">
        <f t="shared" ca="1" si="55"/>
        <v>Completed</v>
      </c>
      <c r="S319">
        <f ca="1">Table1[[#This Row],[Hire Date]]-Table1[[#This Row],[Job Posting Date]]</f>
        <v>61</v>
      </c>
    </row>
    <row r="320" spans="1:19" x14ac:dyDescent="0.2">
      <c r="A320" t="str">
        <f t="shared" si="46"/>
        <v>EMP319</v>
      </c>
      <c r="B320" t="str">
        <f t="shared" ca="1" si="47"/>
        <v>Male</v>
      </c>
      <c r="C320" t="str" cm="1">
        <f t="array" aca="1" ref="C320" ca="1">INDEX(sheet2!$A$2:$A$6, RANDBETWEEN(1, 5))</f>
        <v>HR</v>
      </c>
      <c r="D320" t="str">
        <f ca="1">_xlfn.XLOOKUP(Table1[[#This Row],[Department]],sheet2!$A$2:$A$6,sheet2!$B$2:$B$6,_xleta.NA,0)</f>
        <v>HR Manager</v>
      </c>
      <c r="E320" s="1">
        <f t="shared" ca="1" si="53"/>
        <v>43405</v>
      </c>
      <c r="F320" s="1">
        <f ca="1">Table1[[#This Row],[Job Posting Date]]+ RANDBETWEEN(15, 90)</f>
        <v>43456</v>
      </c>
      <c r="G320" s="1">
        <f ca="1">Table1[[#This Row],[Hire Date]]+ RANDBETWEEN(1, 15)</f>
        <v>43466</v>
      </c>
      <c r="H320" s="1" t="str">
        <f ca="1">IF(RAND() &lt; 0.5,  Table1[[#This Row],[Join Date]]+ RANDBETWEEN(30, TODAY()- Table1[[#This Row],[Join Date]]), "-")</f>
        <v>-</v>
      </c>
      <c r="I320" t="str">
        <f ca="1">IF(Table1[[#This Row],[Exit Date]]= "-", "Active", "Exited")</f>
        <v>Active</v>
      </c>
      <c r="J320" s="5">
        <f t="shared" ca="1" si="54"/>
        <v>4923</v>
      </c>
      <c r="K320">
        <f ca="1">Table1[[#This Row],[Offers Made]]*2</f>
        <v>10</v>
      </c>
      <c r="L320">
        <f t="shared" ca="1" si="48"/>
        <v>5</v>
      </c>
      <c r="M320">
        <f t="shared" ca="1" si="49"/>
        <v>4</v>
      </c>
      <c r="N320" t="str">
        <f t="shared" ca="1" si="50"/>
        <v>Direct Hiring</v>
      </c>
      <c r="O320">
        <f t="shared" ca="1" si="51"/>
        <v>2</v>
      </c>
      <c r="P320" t="str">
        <f t="shared" ca="1" si="52"/>
        <v>No</v>
      </c>
      <c r="Q320" t="str" cm="1">
        <f t="array" aca="1" ref="Q320" ca="1">INDEX(sheet2!$C$2:$C$6, RANDBETWEEN(1, 5))</f>
        <v>Conflict Resolution</v>
      </c>
      <c r="R320" t="str">
        <f t="shared" ca="1" si="55"/>
        <v>Completed</v>
      </c>
      <c r="S320">
        <f ca="1">Table1[[#This Row],[Hire Date]]-Table1[[#This Row],[Job Posting Date]]</f>
        <v>51</v>
      </c>
    </row>
    <row r="321" spans="1:19" x14ac:dyDescent="0.2">
      <c r="A321" t="str">
        <f t="shared" si="46"/>
        <v>EMP320</v>
      </c>
      <c r="B321" t="str">
        <f t="shared" ca="1" si="47"/>
        <v>Female</v>
      </c>
      <c r="C321" t="str" cm="1">
        <f t="array" aca="1" ref="C321" ca="1">INDEX(sheet2!$A$2:$A$6, RANDBETWEEN(1, 5))</f>
        <v>Sales</v>
      </c>
      <c r="D321" t="str">
        <f ca="1">_xlfn.XLOOKUP(Table1[[#This Row],[Department]],sheet2!$A$2:$A$6,sheet2!$B$2:$B$6,_xleta.NA,0)</f>
        <v>Marketing Manager</v>
      </c>
      <c r="E321" s="1">
        <f t="shared" ca="1" si="53"/>
        <v>43758</v>
      </c>
      <c r="F321" s="1">
        <f ca="1">Table1[[#This Row],[Job Posting Date]]+ RANDBETWEEN(15, 90)</f>
        <v>43843</v>
      </c>
      <c r="G321" s="1">
        <f ca="1">Table1[[#This Row],[Hire Date]]+ RANDBETWEEN(1, 15)</f>
        <v>43853</v>
      </c>
      <c r="H321" s="1">
        <f ca="1">IF(RAND() &lt; 0.5,  Table1[[#This Row],[Join Date]]+ RANDBETWEEN(30, TODAY()- Table1[[#This Row],[Join Date]]), "-")</f>
        <v>45300</v>
      </c>
      <c r="I321" t="str">
        <f ca="1">IF(Table1[[#This Row],[Exit Date]]= "-", "Active", "Exited")</f>
        <v>Exited</v>
      </c>
      <c r="J321" s="5">
        <f t="shared" ca="1" si="54"/>
        <v>1614</v>
      </c>
      <c r="K321">
        <f ca="1">Table1[[#This Row],[Offers Made]]*2</f>
        <v>10</v>
      </c>
      <c r="L321">
        <f t="shared" ca="1" si="48"/>
        <v>5</v>
      </c>
      <c r="M321">
        <f t="shared" ca="1" si="49"/>
        <v>2</v>
      </c>
      <c r="N321" t="str">
        <f t="shared" ca="1" si="50"/>
        <v>Employee Referrals</v>
      </c>
      <c r="O321">
        <f t="shared" ca="1" si="51"/>
        <v>2</v>
      </c>
      <c r="P321" t="str">
        <f t="shared" ca="1" si="52"/>
        <v>No</v>
      </c>
      <c r="Q321" t="str" cm="1">
        <f t="array" aca="1" ref="Q321" ca="1">INDEX(sheet2!$C$2:$C$6, RANDBETWEEN(1, 5))</f>
        <v>Ethics and Responsibilities</v>
      </c>
      <c r="R321" t="str">
        <f t="shared" ca="1" si="55"/>
        <v>Completed</v>
      </c>
      <c r="S321">
        <f ca="1">Table1[[#This Row],[Hire Date]]-Table1[[#This Row],[Job Posting Date]]</f>
        <v>85</v>
      </c>
    </row>
    <row r="322" spans="1:19" x14ac:dyDescent="0.2">
      <c r="A322" t="str">
        <f t="shared" ref="A322:A385" si="56">"EMP" &amp; TEXT(ROW(A321), "000")</f>
        <v>EMP321</v>
      </c>
      <c r="B322" t="str">
        <f t="shared" ref="B322:B385" ca="1" si="57">CHOOSE(RANDBETWEEN(1, 2), "Male", "Female")</f>
        <v>Female</v>
      </c>
      <c r="C322" t="str" cm="1">
        <f t="array" aca="1" ref="C322" ca="1">INDEX(sheet2!$A$2:$A$6, RANDBETWEEN(1, 5))</f>
        <v>Analytics</v>
      </c>
      <c r="D322" t="str">
        <f ca="1">_xlfn.XLOOKUP(Table1[[#This Row],[Department]],sheet2!$A$2:$A$6,sheet2!$B$2:$B$6,_xleta.NA,0)</f>
        <v>Data Analyst</v>
      </c>
      <c r="E322" s="1">
        <f t="shared" ca="1" si="53"/>
        <v>44022</v>
      </c>
      <c r="F322" s="1">
        <f ca="1">Table1[[#This Row],[Job Posting Date]]+ RANDBETWEEN(15, 90)</f>
        <v>44093</v>
      </c>
      <c r="G322" s="1">
        <f ca="1">Table1[[#This Row],[Hire Date]]+ RANDBETWEEN(1, 15)</f>
        <v>44105</v>
      </c>
      <c r="H322" s="1">
        <f ca="1">IF(RAND() &lt; 0.5,  Table1[[#This Row],[Join Date]]+ RANDBETWEEN(30, TODAY()- Table1[[#This Row],[Join Date]]), "-")</f>
        <v>44434</v>
      </c>
      <c r="I322" t="str">
        <f ca="1">IF(Table1[[#This Row],[Exit Date]]= "-", "Active", "Exited")</f>
        <v>Exited</v>
      </c>
      <c r="J322" s="5">
        <f t="shared" ca="1" si="54"/>
        <v>3292</v>
      </c>
      <c r="K322">
        <f ca="1">Table1[[#This Row],[Offers Made]]*2</f>
        <v>14</v>
      </c>
      <c r="L322">
        <f t="shared" ref="L322:L385" ca="1" si="58">RANDBETWEEN(3, 8)</f>
        <v>7</v>
      </c>
      <c r="M322">
        <f t="shared" ref="M322:M385" ca="1" si="59">RANDBETWEEN(1, L322-1)</f>
        <v>1</v>
      </c>
      <c r="N322" t="str">
        <f t="shared" ref="N322:N385" ca="1" si="60">CHOOSE(RANDBETWEEN(1, 4), "Job Portals", "Campus Placements", "Employee Referrals", "Direct Hiring")</f>
        <v>Job Portals</v>
      </c>
      <c r="O322">
        <f t="shared" ref="O322:O385" ca="1" si="61">RANDBETWEEN(1,5)</f>
        <v>5</v>
      </c>
      <c r="P322" t="str">
        <f t="shared" ref="P322:P385" ca="1" si="62">CHOOSE(RANDBETWEEN(1, 2), "Yes", "No")</f>
        <v>Yes</v>
      </c>
      <c r="Q322" t="str" cm="1">
        <f t="array" aca="1" ref="Q322" ca="1">INDEX(sheet2!$C$2:$C$6, RANDBETWEEN(1, 5))</f>
        <v>Leadership Development</v>
      </c>
      <c r="R322" t="str">
        <f t="shared" ca="1" si="55"/>
        <v>Completed</v>
      </c>
      <c r="S322">
        <f ca="1">Table1[[#This Row],[Hire Date]]-Table1[[#This Row],[Job Posting Date]]</f>
        <v>71</v>
      </c>
    </row>
    <row r="323" spans="1:19" x14ac:dyDescent="0.2">
      <c r="A323" t="str">
        <f t="shared" si="56"/>
        <v>EMP322</v>
      </c>
      <c r="B323" t="str">
        <f t="shared" ca="1" si="57"/>
        <v>Female</v>
      </c>
      <c r="C323" t="str" cm="1">
        <f t="array" aca="1" ref="C323" ca="1">INDEX(sheet2!$A$2:$A$6, RANDBETWEEN(1, 5))</f>
        <v>HR</v>
      </c>
      <c r="D323" t="str">
        <f ca="1">_xlfn.XLOOKUP(Table1[[#This Row],[Department]],sheet2!$A$2:$A$6,sheet2!$B$2:$B$6,_xleta.NA,0)</f>
        <v>HR Manager</v>
      </c>
      <c r="E323" s="1">
        <f t="shared" ca="1" si="53"/>
        <v>43617</v>
      </c>
      <c r="F323" s="1">
        <f ca="1">Table1[[#This Row],[Job Posting Date]]+ RANDBETWEEN(15, 90)</f>
        <v>43690</v>
      </c>
      <c r="G323" s="1">
        <f ca="1">Table1[[#This Row],[Hire Date]]+ RANDBETWEEN(1, 15)</f>
        <v>43697</v>
      </c>
      <c r="H323" s="1" t="str">
        <f ca="1">IF(RAND() &lt; 0.5,  Table1[[#This Row],[Join Date]]+ RANDBETWEEN(30, TODAY()- Table1[[#This Row],[Join Date]]), "-")</f>
        <v>-</v>
      </c>
      <c r="I323" t="str">
        <f ca="1">IF(Table1[[#This Row],[Exit Date]]= "-", "Active", "Exited")</f>
        <v>Active</v>
      </c>
      <c r="J323" s="5">
        <f t="shared" ca="1" si="54"/>
        <v>4401</v>
      </c>
      <c r="K323">
        <f ca="1">Table1[[#This Row],[Offers Made]]*2</f>
        <v>8</v>
      </c>
      <c r="L323">
        <f t="shared" ca="1" si="58"/>
        <v>4</v>
      </c>
      <c r="M323">
        <f t="shared" ca="1" si="59"/>
        <v>3</v>
      </c>
      <c r="N323" t="str">
        <f t="shared" ca="1" si="60"/>
        <v>Employee Referrals</v>
      </c>
      <c r="O323">
        <f t="shared" ca="1" si="61"/>
        <v>5</v>
      </c>
      <c r="P323" t="str">
        <f t="shared" ca="1" si="62"/>
        <v>No</v>
      </c>
      <c r="Q323" t="str" cm="1">
        <f t="array" aca="1" ref="Q323" ca="1">INDEX(sheet2!$C$2:$C$6, RANDBETWEEN(1, 5))</f>
        <v>Conflict Resolution</v>
      </c>
      <c r="R323" t="str">
        <f t="shared" ca="1" si="55"/>
        <v>Completed</v>
      </c>
      <c r="S323">
        <f ca="1">Table1[[#This Row],[Hire Date]]-Table1[[#This Row],[Job Posting Date]]</f>
        <v>73</v>
      </c>
    </row>
    <row r="324" spans="1:19" x14ac:dyDescent="0.2">
      <c r="A324" t="str">
        <f t="shared" si="56"/>
        <v>EMP323</v>
      </c>
      <c r="B324" t="str">
        <f t="shared" ca="1" si="57"/>
        <v>Male</v>
      </c>
      <c r="C324" t="str" cm="1">
        <f t="array" aca="1" ref="C324" ca="1">INDEX(sheet2!$A$2:$A$6, RANDBETWEEN(1, 5))</f>
        <v>Analytics</v>
      </c>
      <c r="D324" t="str">
        <f ca="1">_xlfn.XLOOKUP(Table1[[#This Row],[Department]],sheet2!$A$2:$A$6,sheet2!$B$2:$B$6,_xleta.NA,0)</f>
        <v>Data Analyst</v>
      </c>
      <c r="E324" s="1">
        <f t="shared" ca="1" si="53"/>
        <v>43419</v>
      </c>
      <c r="F324" s="1">
        <f ca="1">Table1[[#This Row],[Job Posting Date]]+ RANDBETWEEN(15, 90)</f>
        <v>43450</v>
      </c>
      <c r="G324" s="1">
        <f ca="1">Table1[[#This Row],[Hire Date]]+ RANDBETWEEN(1, 15)</f>
        <v>43462</v>
      </c>
      <c r="H324" s="1" t="str">
        <f ca="1">IF(RAND() &lt; 0.5,  Table1[[#This Row],[Join Date]]+ RANDBETWEEN(30, TODAY()- Table1[[#This Row],[Join Date]]), "-")</f>
        <v>-</v>
      </c>
      <c r="I324" t="str">
        <f ca="1">IF(Table1[[#This Row],[Exit Date]]= "-", "Active", "Exited")</f>
        <v>Active</v>
      </c>
      <c r="J324" s="5">
        <f t="shared" ca="1" si="54"/>
        <v>2219</v>
      </c>
      <c r="K324">
        <f ca="1">Table1[[#This Row],[Offers Made]]*2</f>
        <v>16</v>
      </c>
      <c r="L324">
        <f t="shared" ca="1" si="58"/>
        <v>8</v>
      </c>
      <c r="M324">
        <f t="shared" ca="1" si="59"/>
        <v>1</v>
      </c>
      <c r="N324" t="str">
        <f t="shared" ca="1" si="60"/>
        <v>Campus Placements</v>
      </c>
      <c r="O324">
        <f t="shared" ca="1" si="61"/>
        <v>3</v>
      </c>
      <c r="P324" t="str">
        <f t="shared" ca="1" si="62"/>
        <v>Yes</v>
      </c>
      <c r="Q324" t="str" cm="1">
        <f t="array" aca="1" ref="Q324" ca="1">INDEX(sheet2!$C$2:$C$6, RANDBETWEEN(1, 5))</f>
        <v>Leadership Development</v>
      </c>
      <c r="R324" t="str">
        <f t="shared" ca="1" si="55"/>
        <v>Not Completed</v>
      </c>
      <c r="S324">
        <f ca="1">Table1[[#This Row],[Hire Date]]-Table1[[#This Row],[Job Posting Date]]</f>
        <v>31</v>
      </c>
    </row>
    <row r="325" spans="1:19" x14ac:dyDescent="0.2">
      <c r="A325" t="str">
        <f t="shared" si="56"/>
        <v>EMP324</v>
      </c>
      <c r="B325" t="str">
        <f t="shared" ca="1" si="57"/>
        <v>Male</v>
      </c>
      <c r="C325" t="str" cm="1">
        <f t="array" aca="1" ref="C325" ca="1">INDEX(sheet2!$A$2:$A$6, RANDBETWEEN(1, 5))</f>
        <v>IT</v>
      </c>
      <c r="D325" t="str">
        <f ca="1">_xlfn.XLOOKUP(Table1[[#This Row],[Department]],sheet2!$A$2:$A$6,sheet2!$B$2:$B$6,_xleta.NA,0)</f>
        <v>Software Engineer</v>
      </c>
      <c r="E325" s="1">
        <f t="shared" ca="1" si="53"/>
        <v>43397</v>
      </c>
      <c r="F325" s="1">
        <f ca="1">Table1[[#This Row],[Job Posting Date]]+ RANDBETWEEN(15, 90)</f>
        <v>43418</v>
      </c>
      <c r="G325" s="1">
        <f ca="1">Table1[[#This Row],[Hire Date]]+ RANDBETWEEN(1, 15)</f>
        <v>43430</v>
      </c>
      <c r="H325" s="1">
        <f ca="1">IF(RAND() &lt; 0.5,  Table1[[#This Row],[Join Date]]+ RANDBETWEEN(30, TODAY()- Table1[[#This Row],[Join Date]]), "-")</f>
        <v>44245</v>
      </c>
      <c r="I325" t="str">
        <f ca="1">IF(Table1[[#This Row],[Exit Date]]= "-", "Active", "Exited")</f>
        <v>Exited</v>
      </c>
      <c r="J325" s="5">
        <f t="shared" ca="1" si="54"/>
        <v>3268</v>
      </c>
      <c r="K325">
        <f ca="1">Table1[[#This Row],[Offers Made]]*2</f>
        <v>6</v>
      </c>
      <c r="L325">
        <f t="shared" ca="1" si="58"/>
        <v>3</v>
      </c>
      <c r="M325">
        <f t="shared" ca="1" si="59"/>
        <v>1</v>
      </c>
      <c r="N325" t="str">
        <f t="shared" ca="1" si="60"/>
        <v>Job Portals</v>
      </c>
      <c r="O325">
        <f t="shared" ca="1" si="61"/>
        <v>3</v>
      </c>
      <c r="P325" t="str">
        <f t="shared" ca="1" si="62"/>
        <v>Yes</v>
      </c>
      <c r="Q325" t="str" cm="1">
        <f t="array" aca="1" ref="Q325" ca="1">INDEX(sheet2!$C$2:$C$6, RANDBETWEEN(1, 5))</f>
        <v>Communication Skills</v>
      </c>
      <c r="R325" t="str">
        <f t="shared" ca="1" si="55"/>
        <v>Completed</v>
      </c>
      <c r="S325">
        <f ca="1">Table1[[#This Row],[Hire Date]]-Table1[[#This Row],[Job Posting Date]]</f>
        <v>21</v>
      </c>
    </row>
    <row r="326" spans="1:19" x14ac:dyDescent="0.2">
      <c r="A326" t="str">
        <f t="shared" si="56"/>
        <v>EMP325</v>
      </c>
      <c r="B326" t="str">
        <f t="shared" ca="1" si="57"/>
        <v>Female</v>
      </c>
      <c r="C326" t="str" cm="1">
        <f t="array" aca="1" ref="C326" ca="1">INDEX(sheet2!$A$2:$A$6, RANDBETWEEN(1, 5))</f>
        <v>Finance</v>
      </c>
      <c r="D326" t="str">
        <f ca="1">_xlfn.XLOOKUP(Table1[[#This Row],[Department]],sheet2!$A$2:$A$6,sheet2!$B$2:$B$6,_xleta.NA,0)</f>
        <v>Finance Manager</v>
      </c>
      <c r="E326" s="1">
        <f t="shared" ca="1" si="53"/>
        <v>43441</v>
      </c>
      <c r="F326" s="1">
        <f ca="1">Table1[[#This Row],[Job Posting Date]]+ RANDBETWEEN(15, 90)</f>
        <v>43527</v>
      </c>
      <c r="G326" s="1">
        <f ca="1">Table1[[#This Row],[Hire Date]]+ RANDBETWEEN(1, 15)</f>
        <v>43533</v>
      </c>
      <c r="H326" s="1">
        <f ca="1">IF(RAND() &lt; 0.5,  Table1[[#This Row],[Join Date]]+ RANDBETWEEN(30, TODAY()- Table1[[#This Row],[Join Date]]), "-")</f>
        <v>43818</v>
      </c>
      <c r="I326" t="str">
        <f ca="1">IF(Table1[[#This Row],[Exit Date]]= "-", "Active", "Exited")</f>
        <v>Exited</v>
      </c>
      <c r="J326" s="5">
        <f t="shared" ca="1" si="54"/>
        <v>3706</v>
      </c>
      <c r="K326">
        <f ca="1">Table1[[#This Row],[Offers Made]]*2</f>
        <v>8</v>
      </c>
      <c r="L326">
        <f t="shared" ca="1" si="58"/>
        <v>4</v>
      </c>
      <c r="M326">
        <f t="shared" ca="1" si="59"/>
        <v>2</v>
      </c>
      <c r="N326" t="str">
        <f t="shared" ca="1" si="60"/>
        <v>Employee Referrals</v>
      </c>
      <c r="O326">
        <f t="shared" ca="1" si="61"/>
        <v>2</v>
      </c>
      <c r="P326" t="str">
        <f t="shared" ca="1" si="62"/>
        <v>Yes</v>
      </c>
      <c r="Q326" t="str" cm="1">
        <f t="array" aca="1" ref="Q326" ca="1">INDEX(sheet2!$C$2:$C$6, RANDBETWEEN(1, 5))</f>
        <v>Advanced Excel Skills </v>
      </c>
      <c r="R326" t="str">
        <f t="shared" ca="1" si="55"/>
        <v>Not Completed</v>
      </c>
      <c r="S326">
        <f ca="1">Table1[[#This Row],[Hire Date]]-Table1[[#This Row],[Job Posting Date]]</f>
        <v>86</v>
      </c>
    </row>
    <row r="327" spans="1:19" x14ac:dyDescent="0.2">
      <c r="A327" t="str">
        <f t="shared" si="56"/>
        <v>EMP326</v>
      </c>
      <c r="B327" t="str">
        <f t="shared" ca="1" si="57"/>
        <v>Female</v>
      </c>
      <c r="C327" t="str" cm="1">
        <f t="array" aca="1" ref="C327" ca="1">INDEX(sheet2!$A$2:$A$6, RANDBETWEEN(1, 5))</f>
        <v>Finance</v>
      </c>
      <c r="D327" t="str">
        <f ca="1">_xlfn.XLOOKUP(Table1[[#This Row],[Department]],sheet2!$A$2:$A$6,sheet2!$B$2:$B$6,_xleta.NA,0)</f>
        <v>Finance Manager</v>
      </c>
      <c r="E327" s="1">
        <f t="shared" ca="1" si="53"/>
        <v>44049</v>
      </c>
      <c r="F327" s="1">
        <f ca="1">Table1[[#This Row],[Job Posting Date]]+ RANDBETWEEN(15, 90)</f>
        <v>44065</v>
      </c>
      <c r="G327" s="1">
        <f ca="1">Table1[[#This Row],[Hire Date]]+ RANDBETWEEN(1, 15)</f>
        <v>44074</v>
      </c>
      <c r="H327" s="1">
        <f ca="1">IF(RAND() &lt; 0.5,  Table1[[#This Row],[Join Date]]+ RANDBETWEEN(30, TODAY()- Table1[[#This Row],[Join Date]]), "-")</f>
        <v>44227</v>
      </c>
      <c r="I327" t="str">
        <f ca="1">IF(Table1[[#This Row],[Exit Date]]= "-", "Active", "Exited")</f>
        <v>Exited</v>
      </c>
      <c r="J327" s="5">
        <f t="shared" ca="1" si="54"/>
        <v>3731</v>
      </c>
      <c r="K327">
        <f ca="1">Table1[[#This Row],[Offers Made]]*2</f>
        <v>8</v>
      </c>
      <c r="L327">
        <f t="shared" ca="1" si="58"/>
        <v>4</v>
      </c>
      <c r="M327">
        <f t="shared" ca="1" si="59"/>
        <v>3</v>
      </c>
      <c r="N327" t="str">
        <f t="shared" ca="1" si="60"/>
        <v>Job Portals</v>
      </c>
      <c r="O327">
        <f t="shared" ca="1" si="61"/>
        <v>5</v>
      </c>
      <c r="P327" t="str">
        <f t="shared" ca="1" si="62"/>
        <v>No</v>
      </c>
      <c r="Q327" t="str" cm="1">
        <f t="array" aca="1" ref="Q327" ca="1">INDEX(sheet2!$C$2:$C$6, RANDBETWEEN(1, 5))</f>
        <v>Conflict Resolution</v>
      </c>
      <c r="R327" t="str">
        <f t="shared" ca="1" si="55"/>
        <v>Completed</v>
      </c>
      <c r="S327">
        <f ca="1">Table1[[#This Row],[Hire Date]]-Table1[[#This Row],[Job Posting Date]]</f>
        <v>16</v>
      </c>
    </row>
    <row r="328" spans="1:19" x14ac:dyDescent="0.2">
      <c r="A328" t="str">
        <f t="shared" si="56"/>
        <v>EMP327</v>
      </c>
      <c r="B328" t="str">
        <f t="shared" ca="1" si="57"/>
        <v>Male</v>
      </c>
      <c r="C328" t="str" cm="1">
        <f t="array" aca="1" ref="C328" ca="1">INDEX(sheet2!$A$2:$A$6, RANDBETWEEN(1, 5))</f>
        <v>Sales</v>
      </c>
      <c r="D328" t="str">
        <f ca="1">_xlfn.XLOOKUP(Table1[[#This Row],[Department]],sheet2!$A$2:$A$6,sheet2!$B$2:$B$6,_xleta.NA,0)</f>
        <v>Marketing Manager</v>
      </c>
      <c r="E328" s="1">
        <f t="shared" ca="1" si="53"/>
        <v>44731</v>
      </c>
      <c r="F328" s="1">
        <f ca="1">Table1[[#This Row],[Job Posting Date]]+ RANDBETWEEN(15, 90)</f>
        <v>44756</v>
      </c>
      <c r="G328" s="1">
        <f ca="1">Table1[[#This Row],[Hire Date]]+ RANDBETWEEN(1, 15)</f>
        <v>44768</v>
      </c>
      <c r="H328" s="1" t="str">
        <f ca="1">IF(RAND() &lt; 0.5,  Table1[[#This Row],[Join Date]]+ RANDBETWEEN(30, TODAY()- Table1[[#This Row],[Join Date]]), "-")</f>
        <v>-</v>
      </c>
      <c r="I328" t="str">
        <f ca="1">IF(Table1[[#This Row],[Exit Date]]= "-", "Active", "Exited")</f>
        <v>Active</v>
      </c>
      <c r="J328" s="5">
        <f t="shared" ca="1" si="54"/>
        <v>3469</v>
      </c>
      <c r="K328">
        <f ca="1">Table1[[#This Row],[Offers Made]]*2</f>
        <v>10</v>
      </c>
      <c r="L328">
        <f t="shared" ca="1" si="58"/>
        <v>5</v>
      </c>
      <c r="M328">
        <f t="shared" ca="1" si="59"/>
        <v>3</v>
      </c>
      <c r="N328" t="str">
        <f t="shared" ca="1" si="60"/>
        <v>Job Portals</v>
      </c>
      <c r="O328">
        <f t="shared" ca="1" si="61"/>
        <v>1</v>
      </c>
      <c r="P328" t="str">
        <f t="shared" ca="1" si="62"/>
        <v>No</v>
      </c>
      <c r="Q328" t="str" cm="1">
        <f t="array" aca="1" ref="Q328" ca="1">INDEX(sheet2!$C$2:$C$6, RANDBETWEEN(1, 5))</f>
        <v>Advanced Excel Skills </v>
      </c>
      <c r="R328" t="str">
        <f t="shared" ca="1" si="55"/>
        <v>Completed</v>
      </c>
      <c r="S328">
        <f ca="1">Table1[[#This Row],[Hire Date]]-Table1[[#This Row],[Job Posting Date]]</f>
        <v>25</v>
      </c>
    </row>
    <row r="329" spans="1:19" x14ac:dyDescent="0.2">
      <c r="A329" t="str">
        <f t="shared" si="56"/>
        <v>EMP328</v>
      </c>
      <c r="B329" t="str">
        <f t="shared" ca="1" si="57"/>
        <v>Male</v>
      </c>
      <c r="C329" t="str" cm="1">
        <f t="array" aca="1" ref="C329" ca="1">INDEX(sheet2!$A$2:$A$6, RANDBETWEEN(1, 5))</f>
        <v>Finance</v>
      </c>
      <c r="D329" t="str">
        <f ca="1">_xlfn.XLOOKUP(Table1[[#This Row],[Department]],sheet2!$A$2:$A$6,sheet2!$B$2:$B$6,_xleta.NA,0)</f>
        <v>Finance Manager</v>
      </c>
      <c r="E329" s="1">
        <f t="shared" ca="1" si="53"/>
        <v>43414</v>
      </c>
      <c r="F329" s="1">
        <f ca="1">Table1[[#This Row],[Job Posting Date]]+ RANDBETWEEN(15, 90)</f>
        <v>43464</v>
      </c>
      <c r="G329" s="1">
        <f ca="1">Table1[[#This Row],[Hire Date]]+ RANDBETWEEN(1, 15)</f>
        <v>43473</v>
      </c>
      <c r="H329" s="1">
        <f ca="1">IF(RAND() &lt; 0.5,  Table1[[#This Row],[Join Date]]+ RANDBETWEEN(30, TODAY()- Table1[[#This Row],[Join Date]]), "-")</f>
        <v>44663</v>
      </c>
      <c r="I329" t="str">
        <f ca="1">IF(Table1[[#This Row],[Exit Date]]= "-", "Active", "Exited")</f>
        <v>Exited</v>
      </c>
      <c r="J329" s="5">
        <f t="shared" ca="1" si="54"/>
        <v>1746</v>
      </c>
      <c r="K329">
        <f ca="1">Table1[[#This Row],[Offers Made]]*2</f>
        <v>8</v>
      </c>
      <c r="L329">
        <f t="shared" ca="1" si="58"/>
        <v>4</v>
      </c>
      <c r="M329">
        <f t="shared" ca="1" si="59"/>
        <v>3</v>
      </c>
      <c r="N329" t="str">
        <f t="shared" ca="1" si="60"/>
        <v>Direct Hiring</v>
      </c>
      <c r="O329">
        <f t="shared" ca="1" si="61"/>
        <v>2</v>
      </c>
      <c r="P329" t="str">
        <f t="shared" ca="1" si="62"/>
        <v>Yes</v>
      </c>
      <c r="Q329" t="str" cm="1">
        <f t="array" aca="1" ref="Q329" ca="1">INDEX(sheet2!$C$2:$C$6, RANDBETWEEN(1, 5))</f>
        <v>Leadership Development</v>
      </c>
      <c r="R329" t="str">
        <f t="shared" ca="1" si="55"/>
        <v>Completed</v>
      </c>
      <c r="S329">
        <f ca="1">Table1[[#This Row],[Hire Date]]-Table1[[#This Row],[Job Posting Date]]</f>
        <v>50</v>
      </c>
    </row>
    <row r="330" spans="1:19" x14ac:dyDescent="0.2">
      <c r="A330" t="str">
        <f t="shared" si="56"/>
        <v>EMP329</v>
      </c>
      <c r="B330" t="str">
        <f t="shared" ca="1" si="57"/>
        <v>Female</v>
      </c>
      <c r="C330" t="str" cm="1">
        <f t="array" aca="1" ref="C330" ca="1">INDEX(sheet2!$A$2:$A$6, RANDBETWEEN(1, 5))</f>
        <v>HR</v>
      </c>
      <c r="D330" t="str">
        <f ca="1">_xlfn.XLOOKUP(Table1[[#This Row],[Department]],sheet2!$A$2:$A$6,sheet2!$B$2:$B$6,_xleta.NA,0)</f>
        <v>HR Manager</v>
      </c>
      <c r="E330" s="1">
        <f t="shared" ca="1" si="53"/>
        <v>43642</v>
      </c>
      <c r="F330" s="1">
        <f ca="1">Table1[[#This Row],[Job Posting Date]]+ RANDBETWEEN(15, 90)</f>
        <v>43677</v>
      </c>
      <c r="G330" s="1">
        <f ca="1">Table1[[#This Row],[Hire Date]]+ RANDBETWEEN(1, 15)</f>
        <v>43689</v>
      </c>
      <c r="H330" s="1" t="str">
        <f ca="1">IF(RAND() &lt; 0.5,  Table1[[#This Row],[Join Date]]+ RANDBETWEEN(30, TODAY()- Table1[[#This Row],[Join Date]]), "-")</f>
        <v>-</v>
      </c>
      <c r="I330" t="str">
        <f ca="1">IF(Table1[[#This Row],[Exit Date]]= "-", "Active", "Exited")</f>
        <v>Active</v>
      </c>
      <c r="J330" s="5">
        <f t="shared" ca="1" si="54"/>
        <v>4292</v>
      </c>
      <c r="K330">
        <f ca="1">Table1[[#This Row],[Offers Made]]*2</f>
        <v>10</v>
      </c>
      <c r="L330">
        <f t="shared" ca="1" si="58"/>
        <v>5</v>
      </c>
      <c r="M330">
        <f t="shared" ca="1" si="59"/>
        <v>4</v>
      </c>
      <c r="N330" t="str">
        <f t="shared" ca="1" si="60"/>
        <v>Employee Referrals</v>
      </c>
      <c r="O330">
        <f t="shared" ca="1" si="61"/>
        <v>3</v>
      </c>
      <c r="P330" t="str">
        <f t="shared" ca="1" si="62"/>
        <v>No</v>
      </c>
      <c r="Q330" t="str" cm="1">
        <f t="array" aca="1" ref="Q330" ca="1">INDEX(sheet2!$C$2:$C$6, RANDBETWEEN(1, 5))</f>
        <v>Advanced Excel Skills </v>
      </c>
      <c r="R330" t="str">
        <f t="shared" ca="1" si="55"/>
        <v>Completed</v>
      </c>
      <c r="S330">
        <f ca="1">Table1[[#This Row],[Hire Date]]-Table1[[#This Row],[Job Posting Date]]</f>
        <v>35</v>
      </c>
    </row>
    <row r="331" spans="1:19" x14ac:dyDescent="0.2">
      <c r="A331" t="str">
        <f t="shared" si="56"/>
        <v>EMP330</v>
      </c>
      <c r="B331" t="str">
        <f t="shared" ca="1" si="57"/>
        <v>Male</v>
      </c>
      <c r="C331" t="str" cm="1">
        <f t="array" aca="1" ref="C331" ca="1">INDEX(sheet2!$A$2:$A$6, RANDBETWEEN(1, 5))</f>
        <v>Finance</v>
      </c>
      <c r="D331" t="str">
        <f ca="1">_xlfn.XLOOKUP(Table1[[#This Row],[Department]],sheet2!$A$2:$A$6,sheet2!$B$2:$B$6,_xleta.NA,0)</f>
        <v>Finance Manager</v>
      </c>
      <c r="E331" s="1">
        <f t="shared" ca="1" si="53"/>
        <v>44762</v>
      </c>
      <c r="F331" s="1">
        <f ca="1">Table1[[#This Row],[Job Posting Date]]+ RANDBETWEEN(15, 90)</f>
        <v>44791</v>
      </c>
      <c r="G331" s="1">
        <f ca="1">Table1[[#This Row],[Hire Date]]+ RANDBETWEEN(1, 15)</f>
        <v>44793</v>
      </c>
      <c r="H331" s="1">
        <f ca="1">IF(RAND() &lt; 0.5,  Table1[[#This Row],[Join Date]]+ RANDBETWEEN(30, TODAY()- Table1[[#This Row],[Join Date]]), "-")</f>
        <v>45047</v>
      </c>
      <c r="I331" t="str">
        <f ca="1">IF(Table1[[#This Row],[Exit Date]]= "-", "Active", "Exited")</f>
        <v>Exited</v>
      </c>
      <c r="J331" s="5">
        <f t="shared" ca="1" si="54"/>
        <v>4362</v>
      </c>
      <c r="K331">
        <f ca="1">Table1[[#This Row],[Offers Made]]*2</f>
        <v>14</v>
      </c>
      <c r="L331">
        <f t="shared" ca="1" si="58"/>
        <v>7</v>
      </c>
      <c r="M331">
        <f t="shared" ca="1" si="59"/>
        <v>3</v>
      </c>
      <c r="N331" t="str">
        <f t="shared" ca="1" si="60"/>
        <v>Job Portals</v>
      </c>
      <c r="O331">
        <f t="shared" ca="1" si="61"/>
        <v>2</v>
      </c>
      <c r="P331" t="str">
        <f t="shared" ca="1" si="62"/>
        <v>No</v>
      </c>
      <c r="Q331" t="str" cm="1">
        <f t="array" aca="1" ref="Q331" ca="1">INDEX(sheet2!$C$2:$C$6, RANDBETWEEN(1, 5))</f>
        <v>Communication Skills</v>
      </c>
      <c r="R331" t="str">
        <f t="shared" ca="1" si="55"/>
        <v>Completed</v>
      </c>
      <c r="S331">
        <f ca="1">Table1[[#This Row],[Hire Date]]-Table1[[#This Row],[Job Posting Date]]</f>
        <v>29</v>
      </c>
    </row>
    <row r="332" spans="1:19" x14ac:dyDescent="0.2">
      <c r="A332" t="str">
        <f t="shared" si="56"/>
        <v>EMP331</v>
      </c>
      <c r="B332" t="str">
        <f t="shared" ca="1" si="57"/>
        <v>Male</v>
      </c>
      <c r="C332" t="str" cm="1">
        <f t="array" aca="1" ref="C332" ca="1">INDEX(sheet2!$A$2:$A$6, RANDBETWEEN(1, 5))</f>
        <v>Analytics</v>
      </c>
      <c r="D332" t="str">
        <f ca="1">_xlfn.XLOOKUP(Table1[[#This Row],[Department]],sheet2!$A$2:$A$6,sheet2!$B$2:$B$6,_xleta.NA,0)</f>
        <v>Data Analyst</v>
      </c>
      <c r="E332" s="1">
        <f t="shared" ca="1" si="53"/>
        <v>43898</v>
      </c>
      <c r="F332" s="1">
        <f ca="1">Table1[[#This Row],[Job Posting Date]]+ RANDBETWEEN(15, 90)</f>
        <v>43954</v>
      </c>
      <c r="G332" s="1">
        <f ca="1">Table1[[#This Row],[Hire Date]]+ RANDBETWEEN(1, 15)</f>
        <v>43958</v>
      </c>
      <c r="H332" s="1">
        <f ca="1">IF(RAND() &lt; 0.5,  Table1[[#This Row],[Join Date]]+ RANDBETWEEN(30, TODAY()- Table1[[#This Row],[Join Date]]), "-")</f>
        <v>45434</v>
      </c>
      <c r="I332" t="str">
        <f ca="1">IF(Table1[[#This Row],[Exit Date]]= "-", "Active", "Exited")</f>
        <v>Exited</v>
      </c>
      <c r="J332" s="5">
        <f t="shared" ca="1" si="54"/>
        <v>3851</v>
      </c>
      <c r="K332">
        <f ca="1">Table1[[#This Row],[Offers Made]]*2</f>
        <v>6</v>
      </c>
      <c r="L332">
        <f t="shared" ca="1" si="58"/>
        <v>3</v>
      </c>
      <c r="M332">
        <f t="shared" ca="1" si="59"/>
        <v>2</v>
      </c>
      <c r="N332" t="str">
        <f t="shared" ca="1" si="60"/>
        <v>Employee Referrals</v>
      </c>
      <c r="O332">
        <f t="shared" ca="1" si="61"/>
        <v>3</v>
      </c>
      <c r="P332" t="str">
        <f t="shared" ca="1" si="62"/>
        <v>No</v>
      </c>
      <c r="Q332" t="str" cm="1">
        <f t="array" aca="1" ref="Q332" ca="1">INDEX(sheet2!$C$2:$C$6, RANDBETWEEN(1, 5))</f>
        <v>Advanced Excel Skills </v>
      </c>
      <c r="R332" t="str">
        <f t="shared" ca="1" si="55"/>
        <v>Completed</v>
      </c>
      <c r="S332">
        <f ca="1">Table1[[#This Row],[Hire Date]]-Table1[[#This Row],[Job Posting Date]]</f>
        <v>56</v>
      </c>
    </row>
    <row r="333" spans="1:19" x14ac:dyDescent="0.2">
      <c r="A333" t="str">
        <f t="shared" si="56"/>
        <v>EMP332</v>
      </c>
      <c r="B333" t="str">
        <f t="shared" ca="1" si="57"/>
        <v>Male</v>
      </c>
      <c r="C333" t="str" cm="1">
        <f t="array" aca="1" ref="C333" ca="1">INDEX(sheet2!$A$2:$A$6, RANDBETWEEN(1, 5))</f>
        <v>Finance</v>
      </c>
      <c r="D333" t="str">
        <f ca="1">_xlfn.XLOOKUP(Table1[[#This Row],[Department]],sheet2!$A$2:$A$6,sheet2!$B$2:$B$6,_xleta.NA,0)</f>
        <v>Finance Manager</v>
      </c>
      <c r="E333" s="1">
        <f t="shared" ca="1" si="53"/>
        <v>43236</v>
      </c>
      <c r="F333" s="1">
        <f ca="1">Table1[[#This Row],[Job Posting Date]]+ RANDBETWEEN(15, 90)</f>
        <v>43308</v>
      </c>
      <c r="G333" s="1">
        <f ca="1">Table1[[#This Row],[Hire Date]]+ RANDBETWEEN(1, 15)</f>
        <v>43316</v>
      </c>
      <c r="H333" s="1" t="str">
        <f ca="1">IF(RAND() &lt; 0.5,  Table1[[#This Row],[Join Date]]+ RANDBETWEEN(30, TODAY()- Table1[[#This Row],[Join Date]]), "-")</f>
        <v>-</v>
      </c>
      <c r="I333" t="str">
        <f ca="1">IF(Table1[[#This Row],[Exit Date]]= "-", "Active", "Exited")</f>
        <v>Active</v>
      </c>
      <c r="J333" s="5">
        <f t="shared" ca="1" si="54"/>
        <v>2620</v>
      </c>
      <c r="K333">
        <f ca="1">Table1[[#This Row],[Offers Made]]*2</f>
        <v>16</v>
      </c>
      <c r="L333">
        <f t="shared" ca="1" si="58"/>
        <v>8</v>
      </c>
      <c r="M333">
        <f t="shared" ca="1" si="59"/>
        <v>4</v>
      </c>
      <c r="N333" t="str">
        <f t="shared" ca="1" si="60"/>
        <v>Job Portals</v>
      </c>
      <c r="O333">
        <f t="shared" ca="1" si="61"/>
        <v>4</v>
      </c>
      <c r="P333" t="str">
        <f t="shared" ca="1" si="62"/>
        <v>Yes</v>
      </c>
      <c r="Q333" t="str" cm="1">
        <f t="array" aca="1" ref="Q333" ca="1">INDEX(sheet2!$C$2:$C$6, RANDBETWEEN(1, 5))</f>
        <v>Ethics and Responsibilities</v>
      </c>
      <c r="R333" t="str">
        <f t="shared" ca="1" si="55"/>
        <v>Not Completed</v>
      </c>
      <c r="S333">
        <f ca="1">Table1[[#This Row],[Hire Date]]-Table1[[#This Row],[Job Posting Date]]</f>
        <v>72</v>
      </c>
    </row>
    <row r="334" spans="1:19" x14ac:dyDescent="0.2">
      <c r="A334" t="str">
        <f t="shared" si="56"/>
        <v>EMP333</v>
      </c>
      <c r="B334" t="str">
        <f t="shared" ca="1" si="57"/>
        <v>Female</v>
      </c>
      <c r="C334" t="str" cm="1">
        <f t="array" aca="1" ref="C334" ca="1">INDEX(sheet2!$A$2:$A$6, RANDBETWEEN(1, 5))</f>
        <v>Finance</v>
      </c>
      <c r="D334" t="str">
        <f ca="1">_xlfn.XLOOKUP(Table1[[#This Row],[Department]],sheet2!$A$2:$A$6,sheet2!$B$2:$B$6,_xleta.NA,0)</f>
        <v>Finance Manager</v>
      </c>
      <c r="E334" s="1">
        <f t="shared" ca="1" si="53"/>
        <v>44492</v>
      </c>
      <c r="F334" s="1">
        <f ca="1">Table1[[#This Row],[Job Posting Date]]+ RANDBETWEEN(15, 90)</f>
        <v>44567</v>
      </c>
      <c r="G334" s="1">
        <f ca="1">Table1[[#This Row],[Hire Date]]+ RANDBETWEEN(1, 15)</f>
        <v>44575</v>
      </c>
      <c r="H334" s="1">
        <f ca="1">IF(RAND() &lt; 0.5,  Table1[[#This Row],[Join Date]]+ RANDBETWEEN(30, TODAY()- Table1[[#This Row],[Join Date]]), "-")</f>
        <v>45493</v>
      </c>
      <c r="I334" t="str">
        <f ca="1">IF(Table1[[#This Row],[Exit Date]]= "-", "Active", "Exited")</f>
        <v>Exited</v>
      </c>
      <c r="J334" s="5">
        <f t="shared" ca="1" si="54"/>
        <v>4013</v>
      </c>
      <c r="K334">
        <f ca="1">Table1[[#This Row],[Offers Made]]*2</f>
        <v>6</v>
      </c>
      <c r="L334">
        <f t="shared" ca="1" si="58"/>
        <v>3</v>
      </c>
      <c r="M334">
        <f t="shared" ca="1" si="59"/>
        <v>1</v>
      </c>
      <c r="N334" t="str">
        <f t="shared" ca="1" si="60"/>
        <v>Employee Referrals</v>
      </c>
      <c r="O334">
        <f t="shared" ca="1" si="61"/>
        <v>4</v>
      </c>
      <c r="P334" t="str">
        <f t="shared" ca="1" si="62"/>
        <v>Yes</v>
      </c>
      <c r="Q334" t="str" cm="1">
        <f t="array" aca="1" ref="Q334" ca="1">INDEX(sheet2!$C$2:$C$6, RANDBETWEEN(1, 5))</f>
        <v>Communication Skills</v>
      </c>
      <c r="R334" t="str">
        <f t="shared" ca="1" si="55"/>
        <v>Not Completed</v>
      </c>
      <c r="S334">
        <f ca="1">Table1[[#This Row],[Hire Date]]-Table1[[#This Row],[Job Posting Date]]</f>
        <v>75</v>
      </c>
    </row>
    <row r="335" spans="1:19" x14ac:dyDescent="0.2">
      <c r="A335" t="str">
        <f t="shared" si="56"/>
        <v>EMP334</v>
      </c>
      <c r="B335" t="str">
        <f t="shared" ca="1" si="57"/>
        <v>Male</v>
      </c>
      <c r="C335" t="str" cm="1">
        <f t="array" aca="1" ref="C335" ca="1">INDEX(sheet2!$A$2:$A$6, RANDBETWEEN(1, 5))</f>
        <v>IT</v>
      </c>
      <c r="D335" t="str">
        <f ca="1">_xlfn.XLOOKUP(Table1[[#This Row],[Department]],sheet2!$A$2:$A$6,sheet2!$B$2:$B$6,_xleta.NA,0)</f>
        <v>Software Engineer</v>
      </c>
      <c r="E335" s="1">
        <f t="shared" ca="1" si="53"/>
        <v>44528</v>
      </c>
      <c r="F335" s="1">
        <f ca="1">Table1[[#This Row],[Job Posting Date]]+ RANDBETWEEN(15, 90)</f>
        <v>44596</v>
      </c>
      <c r="G335" s="1">
        <f ca="1">Table1[[#This Row],[Hire Date]]+ RANDBETWEEN(1, 15)</f>
        <v>44609</v>
      </c>
      <c r="H335" s="1" t="str">
        <f ca="1">IF(RAND() &lt; 0.5,  Table1[[#This Row],[Join Date]]+ RANDBETWEEN(30, TODAY()- Table1[[#This Row],[Join Date]]), "-")</f>
        <v>-</v>
      </c>
      <c r="I335" t="str">
        <f ca="1">IF(Table1[[#This Row],[Exit Date]]= "-", "Active", "Exited")</f>
        <v>Active</v>
      </c>
      <c r="J335" s="5">
        <f t="shared" ca="1" si="54"/>
        <v>4667</v>
      </c>
      <c r="K335">
        <f ca="1">Table1[[#This Row],[Offers Made]]*2</f>
        <v>16</v>
      </c>
      <c r="L335">
        <f t="shared" ca="1" si="58"/>
        <v>8</v>
      </c>
      <c r="M335">
        <f t="shared" ca="1" si="59"/>
        <v>5</v>
      </c>
      <c r="N335" t="str">
        <f t="shared" ca="1" si="60"/>
        <v>Direct Hiring</v>
      </c>
      <c r="O335">
        <f t="shared" ca="1" si="61"/>
        <v>4</v>
      </c>
      <c r="P335" t="str">
        <f t="shared" ca="1" si="62"/>
        <v>No</v>
      </c>
      <c r="Q335" t="str" cm="1">
        <f t="array" aca="1" ref="Q335" ca="1">INDEX(sheet2!$C$2:$C$6, RANDBETWEEN(1, 5))</f>
        <v>Advanced Excel Skills </v>
      </c>
      <c r="R335" t="str">
        <f t="shared" ca="1" si="55"/>
        <v>Completed</v>
      </c>
      <c r="S335">
        <f ca="1">Table1[[#This Row],[Hire Date]]-Table1[[#This Row],[Job Posting Date]]</f>
        <v>68</v>
      </c>
    </row>
    <row r="336" spans="1:19" x14ac:dyDescent="0.2">
      <c r="A336" t="str">
        <f t="shared" si="56"/>
        <v>EMP335</v>
      </c>
      <c r="B336" t="str">
        <f t="shared" ca="1" si="57"/>
        <v>Female</v>
      </c>
      <c r="C336" t="str" cm="1">
        <f t="array" aca="1" ref="C336" ca="1">INDEX(sheet2!$A$2:$A$6, RANDBETWEEN(1, 5))</f>
        <v>Sales</v>
      </c>
      <c r="D336" t="str">
        <f ca="1">_xlfn.XLOOKUP(Table1[[#This Row],[Department]],sheet2!$A$2:$A$6,sheet2!$B$2:$B$6,_xleta.NA,0)</f>
        <v>Marketing Manager</v>
      </c>
      <c r="E336" s="1">
        <f t="shared" ca="1" si="53"/>
        <v>43359</v>
      </c>
      <c r="F336" s="1">
        <f ca="1">Table1[[#This Row],[Job Posting Date]]+ RANDBETWEEN(15, 90)</f>
        <v>43441</v>
      </c>
      <c r="G336" s="1">
        <f ca="1">Table1[[#This Row],[Hire Date]]+ RANDBETWEEN(1, 15)</f>
        <v>43446</v>
      </c>
      <c r="H336" s="1">
        <f ca="1">IF(RAND() &lt; 0.5,  Table1[[#This Row],[Join Date]]+ RANDBETWEEN(30, TODAY()- Table1[[#This Row],[Join Date]]), "-")</f>
        <v>43870</v>
      </c>
      <c r="I336" t="str">
        <f ca="1">IF(Table1[[#This Row],[Exit Date]]= "-", "Active", "Exited")</f>
        <v>Exited</v>
      </c>
      <c r="J336" s="5">
        <f t="shared" ca="1" si="54"/>
        <v>4086</v>
      </c>
      <c r="K336">
        <f ca="1">Table1[[#This Row],[Offers Made]]*2</f>
        <v>16</v>
      </c>
      <c r="L336">
        <f t="shared" ca="1" si="58"/>
        <v>8</v>
      </c>
      <c r="M336">
        <f t="shared" ca="1" si="59"/>
        <v>3</v>
      </c>
      <c r="N336" t="str">
        <f t="shared" ca="1" si="60"/>
        <v>Employee Referrals</v>
      </c>
      <c r="O336">
        <f t="shared" ca="1" si="61"/>
        <v>3</v>
      </c>
      <c r="P336" t="str">
        <f t="shared" ca="1" si="62"/>
        <v>No</v>
      </c>
      <c r="Q336" t="str" cm="1">
        <f t="array" aca="1" ref="Q336" ca="1">INDEX(sheet2!$C$2:$C$6, RANDBETWEEN(1, 5))</f>
        <v>Ethics and Responsibilities</v>
      </c>
      <c r="R336" t="str">
        <f t="shared" ca="1" si="55"/>
        <v>Not Completed</v>
      </c>
      <c r="S336">
        <f ca="1">Table1[[#This Row],[Hire Date]]-Table1[[#This Row],[Job Posting Date]]</f>
        <v>82</v>
      </c>
    </row>
    <row r="337" spans="1:19" x14ac:dyDescent="0.2">
      <c r="A337" t="str">
        <f t="shared" si="56"/>
        <v>EMP336</v>
      </c>
      <c r="B337" t="str">
        <f t="shared" ca="1" si="57"/>
        <v>Male</v>
      </c>
      <c r="C337" t="str" cm="1">
        <f t="array" aca="1" ref="C337" ca="1">INDEX(sheet2!$A$2:$A$6, RANDBETWEEN(1, 5))</f>
        <v>IT</v>
      </c>
      <c r="D337" t="str">
        <f ca="1">_xlfn.XLOOKUP(Table1[[#This Row],[Department]],sheet2!$A$2:$A$6,sheet2!$B$2:$B$6,_xleta.NA,0)</f>
        <v>Software Engineer</v>
      </c>
      <c r="E337" s="1">
        <f t="shared" ca="1" si="53"/>
        <v>44671</v>
      </c>
      <c r="F337" s="1">
        <f ca="1">Table1[[#This Row],[Job Posting Date]]+ RANDBETWEEN(15, 90)</f>
        <v>44749</v>
      </c>
      <c r="G337" s="1">
        <f ca="1">Table1[[#This Row],[Hire Date]]+ RANDBETWEEN(1, 15)</f>
        <v>44762</v>
      </c>
      <c r="H337" s="1" t="str">
        <f ca="1">IF(RAND() &lt; 0.5,  Table1[[#This Row],[Join Date]]+ RANDBETWEEN(30, TODAY()- Table1[[#This Row],[Join Date]]), "-")</f>
        <v>-</v>
      </c>
      <c r="I337" t="str">
        <f ca="1">IF(Table1[[#This Row],[Exit Date]]= "-", "Active", "Exited")</f>
        <v>Active</v>
      </c>
      <c r="J337" s="5">
        <f t="shared" ca="1" si="54"/>
        <v>3703</v>
      </c>
      <c r="K337">
        <f ca="1">Table1[[#This Row],[Offers Made]]*2</f>
        <v>10</v>
      </c>
      <c r="L337">
        <f t="shared" ca="1" si="58"/>
        <v>5</v>
      </c>
      <c r="M337">
        <f t="shared" ca="1" si="59"/>
        <v>1</v>
      </c>
      <c r="N337" t="str">
        <f t="shared" ca="1" si="60"/>
        <v>Employee Referrals</v>
      </c>
      <c r="O337">
        <f t="shared" ca="1" si="61"/>
        <v>4</v>
      </c>
      <c r="P337" t="str">
        <f t="shared" ca="1" si="62"/>
        <v>Yes</v>
      </c>
      <c r="Q337" t="str" cm="1">
        <f t="array" aca="1" ref="Q337" ca="1">INDEX(sheet2!$C$2:$C$6, RANDBETWEEN(1, 5))</f>
        <v>Conflict Resolution</v>
      </c>
      <c r="R337" t="str">
        <f t="shared" ca="1" si="55"/>
        <v>Completed</v>
      </c>
      <c r="S337">
        <f ca="1">Table1[[#This Row],[Hire Date]]-Table1[[#This Row],[Job Posting Date]]</f>
        <v>78</v>
      </c>
    </row>
    <row r="338" spans="1:19" x14ac:dyDescent="0.2">
      <c r="A338" t="str">
        <f t="shared" si="56"/>
        <v>EMP337</v>
      </c>
      <c r="B338" t="str">
        <f t="shared" ca="1" si="57"/>
        <v>Male</v>
      </c>
      <c r="C338" t="str" cm="1">
        <f t="array" aca="1" ref="C338" ca="1">INDEX(sheet2!$A$2:$A$6, RANDBETWEEN(1, 5))</f>
        <v>HR</v>
      </c>
      <c r="D338" t="str">
        <f ca="1">_xlfn.XLOOKUP(Table1[[#This Row],[Department]],sheet2!$A$2:$A$6,sheet2!$B$2:$B$6,_xleta.NA,0)</f>
        <v>HR Manager</v>
      </c>
      <c r="E338" s="1">
        <f t="shared" ca="1" si="53"/>
        <v>43286</v>
      </c>
      <c r="F338" s="1">
        <f ca="1">Table1[[#This Row],[Job Posting Date]]+ RANDBETWEEN(15, 90)</f>
        <v>43361</v>
      </c>
      <c r="G338" s="1">
        <f ca="1">Table1[[#This Row],[Hire Date]]+ RANDBETWEEN(1, 15)</f>
        <v>43370</v>
      </c>
      <c r="H338" s="1">
        <f ca="1">IF(RAND() &lt; 0.5,  Table1[[#This Row],[Join Date]]+ RANDBETWEEN(30, TODAY()- Table1[[#This Row],[Join Date]]), "-")</f>
        <v>45478</v>
      </c>
      <c r="I338" t="str">
        <f ca="1">IF(Table1[[#This Row],[Exit Date]]= "-", "Active", "Exited")</f>
        <v>Exited</v>
      </c>
      <c r="J338" s="5">
        <f t="shared" ca="1" si="54"/>
        <v>2736</v>
      </c>
      <c r="K338">
        <f ca="1">Table1[[#This Row],[Offers Made]]*2</f>
        <v>14</v>
      </c>
      <c r="L338">
        <f t="shared" ca="1" si="58"/>
        <v>7</v>
      </c>
      <c r="M338">
        <f t="shared" ca="1" si="59"/>
        <v>1</v>
      </c>
      <c r="N338" t="str">
        <f t="shared" ca="1" si="60"/>
        <v>Campus Placements</v>
      </c>
      <c r="O338">
        <f t="shared" ca="1" si="61"/>
        <v>5</v>
      </c>
      <c r="P338" t="str">
        <f t="shared" ca="1" si="62"/>
        <v>No</v>
      </c>
      <c r="Q338" t="str" cm="1">
        <f t="array" aca="1" ref="Q338" ca="1">INDEX(sheet2!$C$2:$C$6, RANDBETWEEN(1, 5))</f>
        <v>Communication Skills</v>
      </c>
      <c r="R338" t="str">
        <f t="shared" ca="1" si="55"/>
        <v>Completed</v>
      </c>
      <c r="S338">
        <f ca="1">Table1[[#This Row],[Hire Date]]-Table1[[#This Row],[Job Posting Date]]</f>
        <v>75</v>
      </c>
    </row>
    <row r="339" spans="1:19" x14ac:dyDescent="0.2">
      <c r="A339" t="str">
        <f t="shared" si="56"/>
        <v>EMP338</v>
      </c>
      <c r="B339" t="str">
        <f t="shared" ca="1" si="57"/>
        <v>Male</v>
      </c>
      <c r="C339" t="str" cm="1">
        <f t="array" aca="1" ref="C339" ca="1">INDEX(sheet2!$A$2:$A$6, RANDBETWEEN(1, 5))</f>
        <v>Finance</v>
      </c>
      <c r="D339" t="str">
        <f ca="1">_xlfn.XLOOKUP(Table1[[#This Row],[Department]],sheet2!$A$2:$A$6,sheet2!$B$2:$B$6,_xleta.NA,0)</f>
        <v>Finance Manager</v>
      </c>
      <c r="E339" s="1">
        <f t="shared" ca="1" si="53"/>
        <v>44563</v>
      </c>
      <c r="F339" s="1">
        <f ca="1">Table1[[#This Row],[Job Posting Date]]+ RANDBETWEEN(15, 90)</f>
        <v>44598</v>
      </c>
      <c r="G339" s="1">
        <f ca="1">Table1[[#This Row],[Hire Date]]+ RANDBETWEEN(1, 15)</f>
        <v>44610</v>
      </c>
      <c r="H339" s="1" t="str">
        <f ca="1">IF(RAND() &lt; 0.5,  Table1[[#This Row],[Join Date]]+ RANDBETWEEN(30, TODAY()- Table1[[#This Row],[Join Date]]), "-")</f>
        <v>-</v>
      </c>
      <c r="I339" t="str">
        <f ca="1">IF(Table1[[#This Row],[Exit Date]]= "-", "Active", "Exited")</f>
        <v>Active</v>
      </c>
      <c r="J339" s="5">
        <f t="shared" ca="1" si="54"/>
        <v>2826</v>
      </c>
      <c r="K339">
        <f ca="1">Table1[[#This Row],[Offers Made]]*2</f>
        <v>14</v>
      </c>
      <c r="L339">
        <f t="shared" ca="1" si="58"/>
        <v>7</v>
      </c>
      <c r="M339">
        <f t="shared" ca="1" si="59"/>
        <v>4</v>
      </c>
      <c r="N339" t="str">
        <f t="shared" ca="1" si="60"/>
        <v>Employee Referrals</v>
      </c>
      <c r="O339">
        <f t="shared" ca="1" si="61"/>
        <v>2</v>
      </c>
      <c r="P339" t="str">
        <f t="shared" ca="1" si="62"/>
        <v>Yes</v>
      </c>
      <c r="Q339" t="str" cm="1">
        <f t="array" aca="1" ref="Q339" ca="1">INDEX(sheet2!$C$2:$C$6, RANDBETWEEN(1, 5))</f>
        <v>Leadership Development</v>
      </c>
      <c r="R339" t="str">
        <f t="shared" ca="1" si="55"/>
        <v>Completed</v>
      </c>
      <c r="S339">
        <f ca="1">Table1[[#This Row],[Hire Date]]-Table1[[#This Row],[Job Posting Date]]</f>
        <v>35</v>
      </c>
    </row>
    <row r="340" spans="1:19" x14ac:dyDescent="0.2">
      <c r="A340" t="str">
        <f t="shared" si="56"/>
        <v>EMP339</v>
      </c>
      <c r="B340" t="str">
        <f t="shared" ca="1" si="57"/>
        <v>Male</v>
      </c>
      <c r="C340" t="str" cm="1">
        <f t="array" aca="1" ref="C340" ca="1">INDEX(sheet2!$A$2:$A$6, RANDBETWEEN(1, 5))</f>
        <v>Sales</v>
      </c>
      <c r="D340" t="str">
        <f ca="1">_xlfn.XLOOKUP(Table1[[#This Row],[Department]],sheet2!$A$2:$A$6,sheet2!$B$2:$B$6,_xleta.NA,0)</f>
        <v>Marketing Manager</v>
      </c>
      <c r="E340" s="1">
        <f t="shared" ca="1" si="53"/>
        <v>43278</v>
      </c>
      <c r="F340" s="1">
        <f ca="1">Table1[[#This Row],[Job Posting Date]]+ RANDBETWEEN(15, 90)</f>
        <v>43353</v>
      </c>
      <c r="G340" s="1">
        <f ca="1">Table1[[#This Row],[Hire Date]]+ RANDBETWEEN(1, 15)</f>
        <v>43355</v>
      </c>
      <c r="H340" s="1" t="str">
        <f ca="1">IF(RAND() &lt; 0.5,  Table1[[#This Row],[Join Date]]+ RANDBETWEEN(30, TODAY()- Table1[[#This Row],[Join Date]]), "-")</f>
        <v>-</v>
      </c>
      <c r="I340" t="str">
        <f ca="1">IF(Table1[[#This Row],[Exit Date]]= "-", "Active", "Exited")</f>
        <v>Active</v>
      </c>
      <c r="J340" s="5">
        <f t="shared" ca="1" si="54"/>
        <v>4135</v>
      </c>
      <c r="K340">
        <f ca="1">Table1[[#This Row],[Offers Made]]*2</f>
        <v>8</v>
      </c>
      <c r="L340">
        <f t="shared" ca="1" si="58"/>
        <v>4</v>
      </c>
      <c r="M340">
        <f t="shared" ca="1" si="59"/>
        <v>1</v>
      </c>
      <c r="N340" t="str">
        <f t="shared" ca="1" si="60"/>
        <v>Job Portals</v>
      </c>
      <c r="O340">
        <f t="shared" ca="1" si="61"/>
        <v>1</v>
      </c>
      <c r="P340" t="str">
        <f t="shared" ca="1" si="62"/>
        <v>Yes</v>
      </c>
      <c r="Q340" t="str" cm="1">
        <f t="array" aca="1" ref="Q340" ca="1">INDEX(sheet2!$C$2:$C$6, RANDBETWEEN(1, 5))</f>
        <v>Advanced Excel Skills </v>
      </c>
      <c r="R340" t="str">
        <f t="shared" ca="1" si="55"/>
        <v>Completed</v>
      </c>
      <c r="S340">
        <f ca="1">Table1[[#This Row],[Hire Date]]-Table1[[#This Row],[Job Posting Date]]</f>
        <v>75</v>
      </c>
    </row>
    <row r="341" spans="1:19" x14ac:dyDescent="0.2">
      <c r="A341" t="str">
        <f t="shared" si="56"/>
        <v>EMP340</v>
      </c>
      <c r="B341" t="str">
        <f t="shared" ca="1" si="57"/>
        <v>Male</v>
      </c>
      <c r="C341" t="str" cm="1">
        <f t="array" aca="1" ref="C341" ca="1">INDEX(sheet2!$A$2:$A$6, RANDBETWEEN(1, 5))</f>
        <v>Finance</v>
      </c>
      <c r="D341" t="str">
        <f ca="1">_xlfn.XLOOKUP(Table1[[#This Row],[Department]],sheet2!$A$2:$A$6,sheet2!$B$2:$B$6,_xleta.NA,0)</f>
        <v>Finance Manager</v>
      </c>
      <c r="E341" s="1">
        <f t="shared" ca="1" si="53"/>
        <v>44079</v>
      </c>
      <c r="F341" s="1">
        <f ca="1">Table1[[#This Row],[Job Posting Date]]+ RANDBETWEEN(15, 90)</f>
        <v>44164</v>
      </c>
      <c r="G341" s="1">
        <f ca="1">Table1[[#This Row],[Hire Date]]+ RANDBETWEEN(1, 15)</f>
        <v>44167</v>
      </c>
      <c r="H341" s="1">
        <f ca="1">IF(RAND() &lt; 0.5,  Table1[[#This Row],[Join Date]]+ RANDBETWEEN(30, TODAY()- Table1[[#This Row],[Join Date]]), "-")</f>
        <v>44405</v>
      </c>
      <c r="I341" t="str">
        <f ca="1">IF(Table1[[#This Row],[Exit Date]]= "-", "Active", "Exited")</f>
        <v>Exited</v>
      </c>
      <c r="J341" s="5">
        <f t="shared" ca="1" si="54"/>
        <v>2587</v>
      </c>
      <c r="K341">
        <f ca="1">Table1[[#This Row],[Offers Made]]*2</f>
        <v>14</v>
      </c>
      <c r="L341">
        <f t="shared" ca="1" si="58"/>
        <v>7</v>
      </c>
      <c r="M341">
        <f t="shared" ca="1" si="59"/>
        <v>6</v>
      </c>
      <c r="N341" t="str">
        <f t="shared" ca="1" si="60"/>
        <v>Campus Placements</v>
      </c>
      <c r="O341">
        <f t="shared" ca="1" si="61"/>
        <v>1</v>
      </c>
      <c r="P341" t="str">
        <f t="shared" ca="1" si="62"/>
        <v>Yes</v>
      </c>
      <c r="Q341" t="str" cm="1">
        <f t="array" aca="1" ref="Q341" ca="1">INDEX(sheet2!$C$2:$C$6, RANDBETWEEN(1, 5))</f>
        <v>Communication Skills</v>
      </c>
      <c r="R341" t="str">
        <f t="shared" ca="1" si="55"/>
        <v>Not Completed</v>
      </c>
      <c r="S341">
        <f ca="1">Table1[[#This Row],[Hire Date]]-Table1[[#This Row],[Job Posting Date]]</f>
        <v>85</v>
      </c>
    </row>
    <row r="342" spans="1:19" x14ac:dyDescent="0.2">
      <c r="A342" t="str">
        <f t="shared" si="56"/>
        <v>EMP341</v>
      </c>
      <c r="B342" t="str">
        <f t="shared" ca="1" si="57"/>
        <v>Female</v>
      </c>
      <c r="C342" t="str" cm="1">
        <f t="array" aca="1" ref="C342" ca="1">INDEX(sheet2!$A$2:$A$6, RANDBETWEEN(1, 5))</f>
        <v>Analytics</v>
      </c>
      <c r="D342" t="str">
        <f ca="1">_xlfn.XLOOKUP(Table1[[#This Row],[Department]],sheet2!$A$2:$A$6,sheet2!$B$2:$B$6,_xleta.NA,0)</f>
        <v>Data Analyst</v>
      </c>
      <c r="E342" s="1">
        <f t="shared" ca="1" si="53"/>
        <v>43184</v>
      </c>
      <c r="F342" s="1">
        <f ca="1">Table1[[#This Row],[Job Posting Date]]+ RANDBETWEEN(15, 90)</f>
        <v>43248</v>
      </c>
      <c r="G342" s="1">
        <f ca="1">Table1[[#This Row],[Hire Date]]+ RANDBETWEEN(1, 15)</f>
        <v>43256</v>
      </c>
      <c r="H342" s="1">
        <f ca="1">IF(RAND() &lt; 0.5,  Table1[[#This Row],[Join Date]]+ RANDBETWEEN(30, TODAY()- Table1[[#This Row],[Join Date]]), "-")</f>
        <v>44871</v>
      </c>
      <c r="I342" t="str">
        <f ca="1">IF(Table1[[#This Row],[Exit Date]]= "-", "Active", "Exited")</f>
        <v>Exited</v>
      </c>
      <c r="J342" s="5">
        <f t="shared" ca="1" si="54"/>
        <v>4418</v>
      </c>
      <c r="K342">
        <f ca="1">Table1[[#This Row],[Offers Made]]*2</f>
        <v>14</v>
      </c>
      <c r="L342">
        <f t="shared" ca="1" si="58"/>
        <v>7</v>
      </c>
      <c r="M342">
        <f t="shared" ca="1" si="59"/>
        <v>5</v>
      </c>
      <c r="N342" t="str">
        <f t="shared" ca="1" si="60"/>
        <v>Employee Referrals</v>
      </c>
      <c r="O342">
        <f t="shared" ca="1" si="61"/>
        <v>1</v>
      </c>
      <c r="P342" t="str">
        <f t="shared" ca="1" si="62"/>
        <v>Yes</v>
      </c>
      <c r="Q342" t="str" cm="1">
        <f t="array" aca="1" ref="Q342" ca="1">INDEX(sheet2!$C$2:$C$6, RANDBETWEEN(1, 5))</f>
        <v>Leadership Development</v>
      </c>
      <c r="R342" t="str">
        <f t="shared" ca="1" si="55"/>
        <v>Completed</v>
      </c>
      <c r="S342">
        <f ca="1">Table1[[#This Row],[Hire Date]]-Table1[[#This Row],[Job Posting Date]]</f>
        <v>64</v>
      </c>
    </row>
    <row r="343" spans="1:19" x14ac:dyDescent="0.2">
      <c r="A343" t="str">
        <f t="shared" si="56"/>
        <v>EMP342</v>
      </c>
      <c r="B343" t="str">
        <f t="shared" ca="1" si="57"/>
        <v>Female</v>
      </c>
      <c r="C343" t="str" cm="1">
        <f t="array" aca="1" ref="C343" ca="1">INDEX(sheet2!$A$2:$A$6, RANDBETWEEN(1, 5))</f>
        <v>Sales</v>
      </c>
      <c r="D343" t="str">
        <f ca="1">_xlfn.XLOOKUP(Table1[[#This Row],[Department]],sheet2!$A$2:$A$6,sheet2!$B$2:$B$6,_xleta.NA,0)</f>
        <v>Marketing Manager</v>
      </c>
      <c r="E343" s="1">
        <f t="shared" ca="1" si="53"/>
        <v>43671</v>
      </c>
      <c r="F343" s="1">
        <f ca="1">Table1[[#This Row],[Job Posting Date]]+ RANDBETWEEN(15, 90)</f>
        <v>43701</v>
      </c>
      <c r="G343" s="1">
        <f ca="1">Table1[[#This Row],[Hire Date]]+ RANDBETWEEN(1, 15)</f>
        <v>43708</v>
      </c>
      <c r="H343" s="1" t="str">
        <f ca="1">IF(RAND() &lt; 0.5,  Table1[[#This Row],[Join Date]]+ RANDBETWEEN(30, TODAY()- Table1[[#This Row],[Join Date]]), "-")</f>
        <v>-</v>
      </c>
      <c r="I343" t="str">
        <f ca="1">IF(Table1[[#This Row],[Exit Date]]= "-", "Active", "Exited")</f>
        <v>Active</v>
      </c>
      <c r="J343" s="5">
        <f t="shared" ca="1" si="54"/>
        <v>1599</v>
      </c>
      <c r="K343">
        <f ca="1">Table1[[#This Row],[Offers Made]]*2</f>
        <v>10</v>
      </c>
      <c r="L343">
        <f t="shared" ca="1" si="58"/>
        <v>5</v>
      </c>
      <c r="M343">
        <f t="shared" ca="1" si="59"/>
        <v>4</v>
      </c>
      <c r="N343" t="str">
        <f t="shared" ca="1" si="60"/>
        <v>Employee Referrals</v>
      </c>
      <c r="O343">
        <f t="shared" ca="1" si="61"/>
        <v>1</v>
      </c>
      <c r="P343" t="str">
        <f t="shared" ca="1" si="62"/>
        <v>Yes</v>
      </c>
      <c r="Q343" t="str" cm="1">
        <f t="array" aca="1" ref="Q343" ca="1">INDEX(sheet2!$C$2:$C$6, RANDBETWEEN(1, 5))</f>
        <v>Advanced Excel Skills </v>
      </c>
      <c r="R343" t="str">
        <f t="shared" ca="1" si="55"/>
        <v>Completed</v>
      </c>
      <c r="S343">
        <f ca="1">Table1[[#This Row],[Hire Date]]-Table1[[#This Row],[Job Posting Date]]</f>
        <v>30</v>
      </c>
    </row>
    <row r="344" spans="1:19" x14ac:dyDescent="0.2">
      <c r="A344" t="str">
        <f t="shared" si="56"/>
        <v>EMP343</v>
      </c>
      <c r="B344" t="str">
        <f t="shared" ca="1" si="57"/>
        <v>Female</v>
      </c>
      <c r="C344" t="str" cm="1">
        <f t="array" aca="1" ref="C344" ca="1">INDEX(sheet2!$A$2:$A$6, RANDBETWEEN(1, 5))</f>
        <v>HR</v>
      </c>
      <c r="D344" t="str">
        <f ca="1">_xlfn.XLOOKUP(Table1[[#This Row],[Department]],sheet2!$A$2:$A$6,sheet2!$B$2:$B$6,_xleta.NA,0)</f>
        <v>HR Manager</v>
      </c>
      <c r="E344" s="1">
        <f t="shared" ca="1" si="53"/>
        <v>43580</v>
      </c>
      <c r="F344" s="1">
        <f ca="1">Table1[[#This Row],[Job Posting Date]]+ RANDBETWEEN(15, 90)</f>
        <v>43656</v>
      </c>
      <c r="G344" s="1">
        <f ca="1">Table1[[#This Row],[Hire Date]]+ RANDBETWEEN(1, 15)</f>
        <v>43671</v>
      </c>
      <c r="H344" s="1" t="str">
        <f ca="1">IF(RAND() &lt; 0.5,  Table1[[#This Row],[Join Date]]+ RANDBETWEEN(30, TODAY()- Table1[[#This Row],[Join Date]]), "-")</f>
        <v>-</v>
      </c>
      <c r="I344" t="str">
        <f ca="1">IF(Table1[[#This Row],[Exit Date]]= "-", "Active", "Exited")</f>
        <v>Active</v>
      </c>
      <c r="J344" s="5">
        <f t="shared" ca="1" si="54"/>
        <v>2116</v>
      </c>
      <c r="K344">
        <f ca="1">Table1[[#This Row],[Offers Made]]*2</f>
        <v>14</v>
      </c>
      <c r="L344">
        <f t="shared" ca="1" si="58"/>
        <v>7</v>
      </c>
      <c r="M344">
        <f t="shared" ca="1" si="59"/>
        <v>4</v>
      </c>
      <c r="N344" t="str">
        <f t="shared" ca="1" si="60"/>
        <v>Campus Placements</v>
      </c>
      <c r="O344">
        <f t="shared" ca="1" si="61"/>
        <v>1</v>
      </c>
      <c r="P344" t="str">
        <f t="shared" ca="1" si="62"/>
        <v>No</v>
      </c>
      <c r="Q344" t="str" cm="1">
        <f t="array" aca="1" ref="Q344" ca="1">INDEX(sheet2!$C$2:$C$6, RANDBETWEEN(1, 5))</f>
        <v>Advanced Excel Skills </v>
      </c>
      <c r="R344" t="str">
        <f t="shared" ca="1" si="55"/>
        <v>Completed</v>
      </c>
      <c r="S344">
        <f ca="1">Table1[[#This Row],[Hire Date]]-Table1[[#This Row],[Job Posting Date]]</f>
        <v>76</v>
      </c>
    </row>
    <row r="345" spans="1:19" x14ac:dyDescent="0.2">
      <c r="A345" t="str">
        <f t="shared" si="56"/>
        <v>EMP344</v>
      </c>
      <c r="B345" t="str">
        <f t="shared" ca="1" si="57"/>
        <v>Female</v>
      </c>
      <c r="C345" t="str" cm="1">
        <f t="array" aca="1" ref="C345" ca="1">INDEX(sheet2!$A$2:$A$6, RANDBETWEEN(1, 5))</f>
        <v>Finance</v>
      </c>
      <c r="D345" t="str">
        <f ca="1">_xlfn.XLOOKUP(Table1[[#This Row],[Department]],sheet2!$A$2:$A$6,sheet2!$B$2:$B$6,_xleta.NA,0)</f>
        <v>Finance Manager</v>
      </c>
      <c r="E345" s="1">
        <f t="shared" ca="1" si="53"/>
        <v>44098</v>
      </c>
      <c r="F345" s="1">
        <f ca="1">Table1[[#This Row],[Job Posting Date]]+ RANDBETWEEN(15, 90)</f>
        <v>44119</v>
      </c>
      <c r="G345" s="1">
        <f ca="1">Table1[[#This Row],[Hire Date]]+ RANDBETWEEN(1, 15)</f>
        <v>44134</v>
      </c>
      <c r="H345" s="1" t="str">
        <f ca="1">IF(RAND() &lt; 0.5,  Table1[[#This Row],[Join Date]]+ RANDBETWEEN(30, TODAY()- Table1[[#This Row],[Join Date]]), "-")</f>
        <v>-</v>
      </c>
      <c r="I345" t="str">
        <f ca="1">IF(Table1[[#This Row],[Exit Date]]= "-", "Active", "Exited")</f>
        <v>Active</v>
      </c>
      <c r="J345" s="5">
        <f t="shared" ca="1" si="54"/>
        <v>1831</v>
      </c>
      <c r="K345">
        <f ca="1">Table1[[#This Row],[Offers Made]]*2</f>
        <v>12</v>
      </c>
      <c r="L345">
        <f t="shared" ca="1" si="58"/>
        <v>6</v>
      </c>
      <c r="M345">
        <f t="shared" ca="1" si="59"/>
        <v>3</v>
      </c>
      <c r="N345" t="str">
        <f t="shared" ca="1" si="60"/>
        <v>Employee Referrals</v>
      </c>
      <c r="O345">
        <f t="shared" ca="1" si="61"/>
        <v>1</v>
      </c>
      <c r="P345" t="str">
        <f t="shared" ca="1" si="62"/>
        <v>Yes</v>
      </c>
      <c r="Q345" t="str" cm="1">
        <f t="array" aca="1" ref="Q345" ca="1">INDEX(sheet2!$C$2:$C$6, RANDBETWEEN(1, 5))</f>
        <v>Conflict Resolution</v>
      </c>
      <c r="R345" t="str">
        <f t="shared" ca="1" si="55"/>
        <v>Completed</v>
      </c>
      <c r="S345">
        <f ca="1">Table1[[#This Row],[Hire Date]]-Table1[[#This Row],[Job Posting Date]]</f>
        <v>21</v>
      </c>
    </row>
    <row r="346" spans="1:19" x14ac:dyDescent="0.2">
      <c r="A346" t="str">
        <f t="shared" si="56"/>
        <v>EMP345</v>
      </c>
      <c r="B346" t="str">
        <f t="shared" ca="1" si="57"/>
        <v>Male</v>
      </c>
      <c r="C346" t="str" cm="1">
        <f t="array" aca="1" ref="C346" ca="1">INDEX(sheet2!$A$2:$A$6, RANDBETWEEN(1, 5))</f>
        <v>HR</v>
      </c>
      <c r="D346" t="str">
        <f ca="1">_xlfn.XLOOKUP(Table1[[#This Row],[Department]],sheet2!$A$2:$A$6,sheet2!$B$2:$B$6,_xleta.NA,0)</f>
        <v>HR Manager</v>
      </c>
      <c r="E346" s="1">
        <f t="shared" ca="1" si="53"/>
        <v>44619</v>
      </c>
      <c r="F346" s="1">
        <f ca="1">Table1[[#This Row],[Job Posting Date]]+ RANDBETWEEN(15, 90)</f>
        <v>44693</v>
      </c>
      <c r="G346" s="1">
        <f ca="1">Table1[[#This Row],[Hire Date]]+ RANDBETWEEN(1, 15)</f>
        <v>44707</v>
      </c>
      <c r="H346" s="1">
        <f ca="1">IF(RAND() &lt; 0.5,  Table1[[#This Row],[Join Date]]+ RANDBETWEEN(30, TODAY()- Table1[[#This Row],[Join Date]]), "-")</f>
        <v>45081</v>
      </c>
      <c r="I346" t="str">
        <f ca="1">IF(Table1[[#This Row],[Exit Date]]= "-", "Active", "Exited")</f>
        <v>Exited</v>
      </c>
      <c r="J346" s="5">
        <f t="shared" ca="1" si="54"/>
        <v>4061</v>
      </c>
      <c r="K346">
        <f ca="1">Table1[[#This Row],[Offers Made]]*2</f>
        <v>6</v>
      </c>
      <c r="L346">
        <f t="shared" ca="1" si="58"/>
        <v>3</v>
      </c>
      <c r="M346">
        <f t="shared" ca="1" si="59"/>
        <v>2</v>
      </c>
      <c r="N346" t="str">
        <f t="shared" ca="1" si="60"/>
        <v>Direct Hiring</v>
      </c>
      <c r="O346">
        <f t="shared" ca="1" si="61"/>
        <v>1</v>
      </c>
      <c r="P346" t="str">
        <f t="shared" ca="1" si="62"/>
        <v>No</v>
      </c>
      <c r="Q346" t="str" cm="1">
        <f t="array" aca="1" ref="Q346" ca="1">INDEX(sheet2!$C$2:$C$6, RANDBETWEEN(1, 5))</f>
        <v>Advanced Excel Skills </v>
      </c>
      <c r="R346" t="str">
        <f t="shared" ca="1" si="55"/>
        <v>Completed</v>
      </c>
      <c r="S346">
        <f ca="1">Table1[[#This Row],[Hire Date]]-Table1[[#This Row],[Job Posting Date]]</f>
        <v>74</v>
      </c>
    </row>
    <row r="347" spans="1:19" x14ac:dyDescent="0.2">
      <c r="A347" t="str">
        <f t="shared" si="56"/>
        <v>EMP346</v>
      </c>
      <c r="B347" t="str">
        <f t="shared" ca="1" si="57"/>
        <v>Male</v>
      </c>
      <c r="C347" t="str" cm="1">
        <f t="array" aca="1" ref="C347" ca="1">INDEX(sheet2!$A$2:$A$6, RANDBETWEEN(1, 5))</f>
        <v>IT</v>
      </c>
      <c r="D347" t="str">
        <f ca="1">_xlfn.XLOOKUP(Table1[[#This Row],[Department]],sheet2!$A$2:$A$6,sheet2!$B$2:$B$6,_xleta.NA,0)</f>
        <v>Software Engineer</v>
      </c>
      <c r="E347" s="1">
        <f t="shared" ca="1" si="53"/>
        <v>43624</v>
      </c>
      <c r="F347" s="1">
        <f ca="1">Table1[[#This Row],[Job Posting Date]]+ RANDBETWEEN(15, 90)</f>
        <v>43653</v>
      </c>
      <c r="G347" s="1">
        <f ca="1">Table1[[#This Row],[Hire Date]]+ RANDBETWEEN(1, 15)</f>
        <v>43663</v>
      </c>
      <c r="H347" s="1">
        <f ca="1">IF(RAND() &lt; 0.5,  Table1[[#This Row],[Join Date]]+ RANDBETWEEN(30, TODAY()- Table1[[#This Row],[Join Date]]), "-")</f>
        <v>44830</v>
      </c>
      <c r="I347" t="str">
        <f ca="1">IF(Table1[[#This Row],[Exit Date]]= "-", "Active", "Exited")</f>
        <v>Exited</v>
      </c>
      <c r="J347" s="5">
        <f t="shared" ca="1" si="54"/>
        <v>4032</v>
      </c>
      <c r="K347">
        <f ca="1">Table1[[#This Row],[Offers Made]]*2</f>
        <v>8</v>
      </c>
      <c r="L347">
        <f t="shared" ca="1" si="58"/>
        <v>4</v>
      </c>
      <c r="M347">
        <f t="shared" ca="1" si="59"/>
        <v>1</v>
      </c>
      <c r="N347" t="str">
        <f t="shared" ca="1" si="60"/>
        <v>Job Portals</v>
      </c>
      <c r="O347">
        <f t="shared" ca="1" si="61"/>
        <v>1</v>
      </c>
      <c r="P347" t="str">
        <f t="shared" ca="1" si="62"/>
        <v>Yes</v>
      </c>
      <c r="Q347" t="str" cm="1">
        <f t="array" aca="1" ref="Q347" ca="1">INDEX(sheet2!$C$2:$C$6, RANDBETWEEN(1, 5))</f>
        <v>Ethics and Responsibilities</v>
      </c>
      <c r="R347" t="str">
        <f t="shared" ca="1" si="55"/>
        <v>Completed</v>
      </c>
      <c r="S347">
        <f ca="1">Table1[[#This Row],[Hire Date]]-Table1[[#This Row],[Job Posting Date]]</f>
        <v>29</v>
      </c>
    </row>
    <row r="348" spans="1:19" x14ac:dyDescent="0.2">
      <c r="A348" t="str">
        <f t="shared" si="56"/>
        <v>EMP347</v>
      </c>
      <c r="B348" t="str">
        <f t="shared" ca="1" si="57"/>
        <v>Female</v>
      </c>
      <c r="C348" t="str" cm="1">
        <f t="array" aca="1" ref="C348" ca="1">INDEX(sheet2!$A$2:$A$6, RANDBETWEEN(1, 5))</f>
        <v>Finance</v>
      </c>
      <c r="D348" t="str">
        <f ca="1">_xlfn.XLOOKUP(Table1[[#This Row],[Department]],sheet2!$A$2:$A$6,sheet2!$B$2:$B$6,_xleta.NA,0)</f>
        <v>Finance Manager</v>
      </c>
      <c r="E348" s="1">
        <f t="shared" ca="1" si="53"/>
        <v>44006</v>
      </c>
      <c r="F348" s="1">
        <f ca="1">Table1[[#This Row],[Job Posting Date]]+ RANDBETWEEN(15, 90)</f>
        <v>44067</v>
      </c>
      <c r="G348" s="1">
        <f ca="1">Table1[[#This Row],[Hire Date]]+ RANDBETWEEN(1, 15)</f>
        <v>44073</v>
      </c>
      <c r="H348" s="1">
        <f ca="1">IF(RAND() &lt; 0.5,  Table1[[#This Row],[Join Date]]+ RANDBETWEEN(30, TODAY()- Table1[[#This Row],[Join Date]]), "-")</f>
        <v>44816</v>
      </c>
      <c r="I348" t="str">
        <f ca="1">IF(Table1[[#This Row],[Exit Date]]= "-", "Active", "Exited")</f>
        <v>Exited</v>
      </c>
      <c r="J348" s="5">
        <f t="shared" ca="1" si="54"/>
        <v>4715</v>
      </c>
      <c r="K348">
        <f ca="1">Table1[[#This Row],[Offers Made]]*2</f>
        <v>10</v>
      </c>
      <c r="L348">
        <f t="shared" ca="1" si="58"/>
        <v>5</v>
      </c>
      <c r="M348">
        <f t="shared" ca="1" si="59"/>
        <v>2</v>
      </c>
      <c r="N348" t="str">
        <f t="shared" ca="1" si="60"/>
        <v>Job Portals</v>
      </c>
      <c r="O348">
        <f t="shared" ca="1" si="61"/>
        <v>5</v>
      </c>
      <c r="P348" t="str">
        <f t="shared" ca="1" si="62"/>
        <v>Yes</v>
      </c>
      <c r="Q348" t="str" cm="1">
        <f t="array" aca="1" ref="Q348" ca="1">INDEX(sheet2!$C$2:$C$6, RANDBETWEEN(1, 5))</f>
        <v>Leadership Development</v>
      </c>
      <c r="R348" t="str">
        <f t="shared" ca="1" si="55"/>
        <v>Not Completed</v>
      </c>
      <c r="S348">
        <f ca="1">Table1[[#This Row],[Hire Date]]-Table1[[#This Row],[Job Posting Date]]</f>
        <v>61</v>
      </c>
    </row>
    <row r="349" spans="1:19" x14ac:dyDescent="0.2">
      <c r="A349" t="str">
        <f t="shared" si="56"/>
        <v>EMP348</v>
      </c>
      <c r="B349" t="str">
        <f t="shared" ca="1" si="57"/>
        <v>Male</v>
      </c>
      <c r="C349" t="str" cm="1">
        <f t="array" aca="1" ref="C349" ca="1">INDEX(sheet2!$A$2:$A$6, RANDBETWEEN(1, 5))</f>
        <v>IT</v>
      </c>
      <c r="D349" t="str">
        <f ca="1">_xlfn.XLOOKUP(Table1[[#This Row],[Department]],sheet2!$A$2:$A$6,sheet2!$B$2:$B$6,_xleta.NA,0)</f>
        <v>Software Engineer</v>
      </c>
      <c r="E349" s="1">
        <f t="shared" ca="1" si="53"/>
        <v>44271</v>
      </c>
      <c r="F349" s="1">
        <f ca="1">Table1[[#This Row],[Job Posting Date]]+ RANDBETWEEN(15, 90)</f>
        <v>44311</v>
      </c>
      <c r="G349" s="1">
        <f ca="1">Table1[[#This Row],[Hire Date]]+ RANDBETWEEN(1, 15)</f>
        <v>44315</v>
      </c>
      <c r="H349" s="1">
        <f ca="1">IF(RAND() &lt; 0.5,  Table1[[#This Row],[Join Date]]+ RANDBETWEEN(30, TODAY()- Table1[[#This Row],[Join Date]]), "-")</f>
        <v>44486</v>
      </c>
      <c r="I349" t="str">
        <f ca="1">IF(Table1[[#This Row],[Exit Date]]= "-", "Active", "Exited")</f>
        <v>Exited</v>
      </c>
      <c r="J349" s="5">
        <f t="shared" ca="1" si="54"/>
        <v>3780</v>
      </c>
      <c r="K349">
        <f ca="1">Table1[[#This Row],[Offers Made]]*2</f>
        <v>16</v>
      </c>
      <c r="L349">
        <f t="shared" ca="1" si="58"/>
        <v>8</v>
      </c>
      <c r="M349">
        <f t="shared" ca="1" si="59"/>
        <v>5</v>
      </c>
      <c r="N349" t="str">
        <f t="shared" ca="1" si="60"/>
        <v>Job Portals</v>
      </c>
      <c r="O349">
        <f t="shared" ca="1" si="61"/>
        <v>2</v>
      </c>
      <c r="P349" t="str">
        <f t="shared" ca="1" si="62"/>
        <v>Yes</v>
      </c>
      <c r="Q349" t="str" cm="1">
        <f t="array" aca="1" ref="Q349" ca="1">INDEX(sheet2!$C$2:$C$6, RANDBETWEEN(1, 5))</f>
        <v>Leadership Development</v>
      </c>
      <c r="R349" t="str">
        <f t="shared" ca="1" si="55"/>
        <v>Not Completed</v>
      </c>
      <c r="S349">
        <f ca="1">Table1[[#This Row],[Hire Date]]-Table1[[#This Row],[Job Posting Date]]</f>
        <v>40</v>
      </c>
    </row>
    <row r="350" spans="1:19" x14ac:dyDescent="0.2">
      <c r="A350" t="str">
        <f t="shared" si="56"/>
        <v>EMP349</v>
      </c>
      <c r="B350" t="str">
        <f t="shared" ca="1" si="57"/>
        <v>Female</v>
      </c>
      <c r="C350" t="str" cm="1">
        <f t="array" aca="1" ref="C350" ca="1">INDEX(sheet2!$A$2:$A$6, RANDBETWEEN(1, 5))</f>
        <v>Finance</v>
      </c>
      <c r="D350" t="str">
        <f ca="1">_xlfn.XLOOKUP(Table1[[#This Row],[Department]],sheet2!$A$2:$A$6,sheet2!$B$2:$B$6,_xleta.NA,0)</f>
        <v>Finance Manager</v>
      </c>
      <c r="E350" s="1">
        <f t="shared" ca="1" si="53"/>
        <v>44719</v>
      </c>
      <c r="F350" s="1">
        <f ca="1">Table1[[#This Row],[Job Posting Date]]+ RANDBETWEEN(15, 90)</f>
        <v>44804</v>
      </c>
      <c r="G350" s="1">
        <f ca="1">Table1[[#This Row],[Hire Date]]+ RANDBETWEEN(1, 15)</f>
        <v>44818</v>
      </c>
      <c r="H350" s="1" t="str">
        <f ca="1">IF(RAND() &lt; 0.5,  Table1[[#This Row],[Join Date]]+ RANDBETWEEN(30, TODAY()- Table1[[#This Row],[Join Date]]), "-")</f>
        <v>-</v>
      </c>
      <c r="I350" t="str">
        <f ca="1">IF(Table1[[#This Row],[Exit Date]]= "-", "Active", "Exited")</f>
        <v>Active</v>
      </c>
      <c r="J350" s="5">
        <f t="shared" ca="1" si="54"/>
        <v>1551</v>
      </c>
      <c r="K350">
        <f ca="1">Table1[[#This Row],[Offers Made]]*2</f>
        <v>12</v>
      </c>
      <c r="L350">
        <f t="shared" ca="1" si="58"/>
        <v>6</v>
      </c>
      <c r="M350">
        <f t="shared" ca="1" si="59"/>
        <v>1</v>
      </c>
      <c r="N350" t="str">
        <f t="shared" ca="1" si="60"/>
        <v>Direct Hiring</v>
      </c>
      <c r="O350">
        <f t="shared" ca="1" si="61"/>
        <v>5</v>
      </c>
      <c r="P350" t="str">
        <f t="shared" ca="1" si="62"/>
        <v>No</v>
      </c>
      <c r="Q350" t="str" cm="1">
        <f t="array" aca="1" ref="Q350" ca="1">INDEX(sheet2!$C$2:$C$6, RANDBETWEEN(1, 5))</f>
        <v>Conflict Resolution</v>
      </c>
      <c r="R350" t="str">
        <f t="shared" ca="1" si="55"/>
        <v>Not Completed</v>
      </c>
      <c r="S350">
        <f ca="1">Table1[[#This Row],[Hire Date]]-Table1[[#This Row],[Job Posting Date]]</f>
        <v>85</v>
      </c>
    </row>
    <row r="351" spans="1:19" x14ac:dyDescent="0.2">
      <c r="A351" t="str">
        <f t="shared" si="56"/>
        <v>EMP350</v>
      </c>
      <c r="B351" t="str">
        <f t="shared" ca="1" si="57"/>
        <v>Male</v>
      </c>
      <c r="C351" t="str" cm="1">
        <f t="array" aca="1" ref="C351" ca="1">INDEX(sheet2!$A$2:$A$6, RANDBETWEEN(1, 5))</f>
        <v>HR</v>
      </c>
      <c r="D351" t="str">
        <f ca="1">_xlfn.XLOOKUP(Table1[[#This Row],[Department]],sheet2!$A$2:$A$6,sheet2!$B$2:$B$6,_xleta.NA,0)</f>
        <v>HR Manager</v>
      </c>
      <c r="E351" s="1">
        <f t="shared" ca="1" si="53"/>
        <v>43198</v>
      </c>
      <c r="F351" s="1">
        <f ca="1">Table1[[#This Row],[Job Posting Date]]+ RANDBETWEEN(15, 90)</f>
        <v>43253</v>
      </c>
      <c r="G351" s="1">
        <f ca="1">Table1[[#This Row],[Hire Date]]+ RANDBETWEEN(1, 15)</f>
        <v>43259</v>
      </c>
      <c r="H351" s="1" t="str">
        <f ca="1">IF(RAND() &lt; 0.5,  Table1[[#This Row],[Join Date]]+ RANDBETWEEN(30, TODAY()- Table1[[#This Row],[Join Date]]), "-")</f>
        <v>-</v>
      </c>
      <c r="I351" t="str">
        <f ca="1">IF(Table1[[#This Row],[Exit Date]]= "-", "Active", "Exited")</f>
        <v>Active</v>
      </c>
      <c r="J351" s="5">
        <f t="shared" ca="1" si="54"/>
        <v>1533</v>
      </c>
      <c r="K351">
        <f ca="1">Table1[[#This Row],[Offers Made]]*2</f>
        <v>12</v>
      </c>
      <c r="L351">
        <f t="shared" ca="1" si="58"/>
        <v>6</v>
      </c>
      <c r="M351">
        <f t="shared" ca="1" si="59"/>
        <v>1</v>
      </c>
      <c r="N351" t="str">
        <f t="shared" ca="1" si="60"/>
        <v>Employee Referrals</v>
      </c>
      <c r="O351">
        <f t="shared" ca="1" si="61"/>
        <v>2</v>
      </c>
      <c r="P351" t="str">
        <f t="shared" ca="1" si="62"/>
        <v>No</v>
      </c>
      <c r="Q351" t="str" cm="1">
        <f t="array" aca="1" ref="Q351" ca="1">INDEX(sheet2!$C$2:$C$6, RANDBETWEEN(1, 5))</f>
        <v>Conflict Resolution</v>
      </c>
      <c r="R351" t="str">
        <f t="shared" ca="1" si="55"/>
        <v>Not Completed</v>
      </c>
      <c r="S351">
        <f ca="1">Table1[[#This Row],[Hire Date]]-Table1[[#This Row],[Job Posting Date]]</f>
        <v>55</v>
      </c>
    </row>
    <row r="352" spans="1:19" x14ac:dyDescent="0.2">
      <c r="A352" t="str">
        <f t="shared" si="56"/>
        <v>EMP351</v>
      </c>
      <c r="B352" t="str">
        <f t="shared" ca="1" si="57"/>
        <v>Male</v>
      </c>
      <c r="C352" t="str" cm="1">
        <f t="array" aca="1" ref="C352" ca="1">INDEX(sheet2!$A$2:$A$6, RANDBETWEEN(1, 5))</f>
        <v>Analytics</v>
      </c>
      <c r="D352" t="str">
        <f ca="1">_xlfn.XLOOKUP(Table1[[#This Row],[Department]],sheet2!$A$2:$A$6,sheet2!$B$2:$B$6,_xleta.NA,0)</f>
        <v>Data Analyst</v>
      </c>
      <c r="E352" s="1">
        <f t="shared" ca="1" si="53"/>
        <v>44142</v>
      </c>
      <c r="F352" s="1">
        <f ca="1">Table1[[#This Row],[Job Posting Date]]+ RANDBETWEEN(15, 90)</f>
        <v>44194</v>
      </c>
      <c r="G352" s="1">
        <f ca="1">Table1[[#This Row],[Hire Date]]+ RANDBETWEEN(1, 15)</f>
        <v>44206</v>
      </c>
      <c r="H352" s="1">
        <f ca="1">IF(RAND() &lt; 0.5,  Table1[[#This Row],[Join Date]]+ RANDBETWEEN(30, TODAY()- Table1[[#This Row],[Join Date]]), "-")</f>
        <v>44576</v>
      </c>
      <c r="I352" t="str">
        <f ca="1">IF(Table1[[#This Row],[Exit Date]]= "-", "Active", "Exited")</f>
        <v>Exited</v>
      </c>
      <c r="J352" s="5">
        <f t="shared" ca="1" si="54"/>
        <v>3141</v>
      </c>
      <c r="K352">
        <f ca="1">Table1[[#This Row],[Offers Made]]*2</f>
        <v>14</v>
      </c>
      <c r="L352">
        <f t="shared" ca="1" si="58"/>
        <v>7</v>
      </c>
      <c r="M352">
        <f t="shared" ca="1" si="59"/>
        <v>6</v>
      </c>
      <c r="N352" t="str">
        <f t="shared" ca="1" si="60"/>
        <v>Employee Referrals</v>
      </c>
      <c r="O352">
        <f t="shared" ca="1" si="61"/>
        <v>4</v>
      </c>
      <c r="P352" t="str">
        <f t="shared" ca="1" si="62"/>
        <v>Yes</v>
      </c>
      <c r="Q352" t="str" cm="1">
        <f t="array" aca="1" ref="Q352" ca="1">INDEX(sheet2!$C$2:$C$6, RANDBETWEEN(1, 5))</f>
        <v>Conflict Resolution</v>
      </c>
      <c r="R352" t="str">
        <f t="shared" ca="1" si="55"/>
        <v>Not Completed</v>
      </c>
      <c r="S352">
        <f ca="1">Table1[[#This Row],[Hire Date]]-Table1[[#This Row],[Job Posting Date]]</f>
        <v>52</v>
      </c>
    </row>
    <row r="353" spans="1:19" x14ac:dyDescent="0.2">
      <c r="A353" t="str">
        <f t="shared" si="56"/>
        <v>EMP352</v>
      </c>
      <c r="B353" t="str">
        <f t="shared" ca="1" si="57"/>
        <v>Male</v>
      </c>
      <c r="C353" t="str" cm="1">
        <f t="array" aca="1" ref="C353" ca="1">INDEX(sheet2!$A$2:$A$6, RANDBETWEEN(1, 5))</f>
        <v>Finance</v>
      </c>
      <c r="D353" t="str">
        <f ca="1">_xlfn.XLOOKUP(Table1[[#This Row],[Department]],sheet2!$A$2:$A$6,sheet2!$B$2:$B$6,_xleta.NA,0)</f>
        <v>Finance Manager</v>
      </c>
      <c r="E353" s="1">
        <f t="shared" ca="1" si="53"/>
        <v>44090</v>
      </c>
      <c r="F353" s="1">
        <f ca="1">Table1[[#This Row],[Job Posting Date]]+ RANDBETWEEN(15, 90)</f>
        <v>44148</v>
      </c>
      <c r="G353" s="1">
        <f ca="1">Table1[[#This Row],[Hire Date]]+ RANDBETWEEN(1, 15)</f>
        <v>44160</v>
      </c>
      <c r="H353" s="1" t="str">
        <f ca="1">IF(RAND() &lt; 0.5,  Table1[[#This Row],[Join Date]]+ RANDBETWEEN(30, TODAY()- Table1[[#This Row],[Join Date]]), "-")</f>
        <v>-</v>
      </c>
      <c r="I353" t="str">
        <f ca="1">IF(Table1[[#This Row],[Exit Date]]= "-", "Active", "Exited")</f>
        <v>Active</v>
      </c>
      <c r="J353" s="5">
        <f t="shared" ca="1" si="54"/>
        <v>3530</v>
      </c>
      <c r="K353">
        <f ca="1">Table1[[#This Row],[Offers Made]]*2</f>
        <v>16</v>
      </c>
      <c r="L353">
        <f t="shared" ca="1" si="58"/>
        <v>8</v>
      </c>
      <c r="M353">
        <f t="shared" ca="1" si="59"/>
        <v>3</v>
      </c>
      <c r="N353" t="str">
        <f t="shared" ca="1" si="60"/>
        <v>Campus Placements</v>
      </c>
      <c r="O353">
        <f t="shared" ca="1" si="61"/>
        <v>5</v>
      </c>
      <c r="P353" t="str">
        <f t="shared" ca="1" si="62"/>
        <v>Yes</v>
      </c>
      <c r="Q353" t="str" cm="1">
        <f t="array" aca="1" ref="Q353" ca="1">INDEX(sheet2!$C$2:$C$6, RANDBETWEEN(1, 5))</f>
        <v>Advanced Excel Skills </v>
      </c>
      <c r="R353" t="str">
        <f t="shared" ca="1" si="55"/>
        <v>Not Completed</v>
      </c>
      <c r="S353">
        <f ca="1">Table1[[#This Row],[Hire Date]]-Table1[[#This Row],[Job Posting Date]]</f>
        <v>58</v>
      </c>
    </row>
    <row r="354" spans="1:19" x14ac:dyDescent="0.2">
      <c r="A354" t="str">
        <f t="shared" si="56"/>
        <v>EMP353</v>
      </c>
      <c r="B354" t="str">
        <f t="shared" ca="1" si="57"/>
        <v>Female</v>
      </c>
      <c r="C354" t="str" cm="1">
        <f t="array" aca="1" ref="C354" ca="1">INDEX(sheet2!$A$2:$A$6, RANDBETWEEN(1, 5))</f>
        <v>Sales</v>
      </c>
      <c r="D354" t="str">
        <f ca="1">_xlfn.XLOOKUP(Table1[[#This Row],[Department]],sheet2!$A$2:$A$6,sheet2!$B$2:$B$6,_xleta.NA,0)</f>
        <v>Marketing Manager</v>
      </c>
      <c r="E354" s="1">
        <f t="shared" ca="1" si="53"/>
        <v>43938</v>
      </c>
      <c r="F354" s="1">
        <f ca="1">Table1[[#This Row],[Job Posting Date]]+ RANDBETWEEN(15, 90)</f>
        <v>43981</v>
      </c>
      <c r="G354" s="1">
        <f ca="1">Table1[[#This Row],[Hire Date]]+ RANDBETWEEN(1, 15)</f>
        <v>43982</v>
      </c>
      <c r="H354" s="1">
        <f ca="1">IF(RAND() &lt; 0.5,  Table1[[#This Row],[Join Date]]+ RANDBETWEEN(30, TODAY()- Table1[[#This Row],[Join Date]]), "-")</f>
        <v>45472</v>
      </c>
      <c r="I354" t="str">
        <f ca="1">IF(Table1[[#This Row],[Exit Date]]= "-", "Active", "Exited")</f>
        <v>Exited</v>
      </c>
      <c r="J354" s="5">
        <f t="shared" ca="1" si="54"/>
        <v>4777</v>
      </c>
      <c r="K354">
        <f ca="1">Table1[[#This Row],[Offers Made]]*2</f>
        <v>12</v>
      </c>
      <c r="L354">
        <f t="shared" ca="1" si="58"/>
        <v>6</v>
      </c>
      <c r="M354">
        <f t="shared" ca="1" si="59"/>
        <v>5</v>
      </c>
      <c r="N354" t="str">
        <f t="shared" ca="1" si="60"/>
        <v>Employee Referrals</v>
      </c>
      <c r="O354">
        <f t="shared" ca="1" si="61"/>
        <v>5</v>
      </c>
      <c r="P354" t="str">
        <f t="shared" ca="1" si="62"/>
        <v>No</v>
      </c>
      <c r="Q354" t="str" cm="1">
        <f t="array" aca="1" ref="Q354" ca="1">INDEX(sheet2!$C$2:$C$6, RANDBETWEEN(1, 5))</f>
        <v>Leadership Development</v>
      </c>
      <c r="R354" t="str">
        <f t="shared" ca="1" si="55"/>
        <v>Completed</v>
      </c>
      <c r="S354">
        <f ca="1">Table1[[#This Row],[Hire Date]]-Table1[[#This Row],[Job Posting Date]]</f>
        <v>43</v>
      </c>
    </row>
    <row r="355" spans="1:19" x14ac:dyDescent="0.2">
      <c r="A355" t="str">
        <f t="shared" si="56"/>
        <v>EMP354</v>
      </c>
      <c r="B355" t="str">
        <f t="shared" ca="1" si="57"/>
        <v>Female</v>
      </c>
      <c r="C355" t="str" cm="1">
        <f t="array" aca="1" ref="C355" ca="1">INDEX(sheet2!$A$2:$A$6, RANDBETWEEN(1, 5))</f>
        <v>Finance</v>
      </c>
      <c r="D355" t="str">
        <f ca="1">_xlfn.XLOOKUP(Table1[[#This Row],[Department]],sheet2!$A$2:$A$6,sheet2!$B$2:$B$6,_xleta.NA,0)</f>
        <v>Finance Manager</v>
      </c>
      <c r="E355" s="1">
        <f t="shared" ca="1" si="53"/>
        <v>44096</v>
      </c>
      <c r="F355" s="1">
        <f ca="1">Table1[[#This Row],[Job Posting Date]]+ RANDBETWEEN(15, 90)</f>
        <v>44148</v>
      </c>
      <c r="G355" s="1">
        <f ca="1">Table1[[#This Row],[Hire Date]]+ RANDBETWEEN(1, 15)</f>
        <v>44157</v>
      </c>
      <c r="H355" s="1" t="str">
        <f ca="1">IF(RAND() &lt; 0.5,  Table1[[#This Row],[Join Date]]+ RANDBETWEEN(30, TODAY()- Table1[[#This Row],[Join Date]]), "-")</f>
        <v>-</v>
      </c>
      <c r="I355" t="str">
        <f ca="1">IF(Table1[[#This Row],[Exit Date]]= "-", "Active", "Exited")</f>
        <v>Active</v>
      </c>
      <c r="J355" s="5">
        <f t="shared" ca="1" si="54"/>
        <v>1909</v>
      </c>
      <c r="K355">
        <f ca="1">Table1[[#This Row],[Offers Made]]*2</f>
        <v>8</v>
      </c>
      <c r="L355">
        <f t="shared" ca="1" si="58"/>
        <v>4</v>
      </c>
      <c r="M355">
        <f t="shared" ca="1" si="59"/>
        <v>2</v>
      </c>
      <c r="N355" t="str">
        <f t="shared" ca="1" si="60"/>
        <v>Direct Hiring</v>
      </c>
      <c r="O355">
        <f t="shared" ca="1" si="61"/>
        <v>5</v>
      </c>
      <c r="P355" t="str">
        <f t="shared" ca="1" si="62"/>
        <v>No</v>
      </c>
      <c r="Q355" t="str" cm="1">
        <f t="array" aca="1" ref="Q355" ca="1">INDEX(sheet2!$C$2:$C$6, RANDBETWEEN(1, 5))</f>
        <v>Communication Skills</v>
      </c>
      <c r="R355" t="str">
        <f t="shared" ca="1" si="55"/>
        <v>Completed</v>
      </c>
      <c r="S355">
        <f ca="1">Table1[[#This Row],[Hire Date]]-Table1[[#This Row],[Job Posting Date]]</f>
        <v>52</v>
      </c>
    </row>
    <row r="356" spans="1:19" x14ac:dyDescent="0.2">
      <c r="A356" t="str">
        <f t="shared" si="56"/>
        <v>EMP355</v>
      </c>
      <c r="B356" t="str">
        <f t="shared" ca="1" si="57"/>
        <v>Male</v>
      </c>
      <c r="C356" t="str" cm="1">
        <f t="array" aca="1" ref="C356" ca="1">INDEX(sheet2!$A$2:$A$6, RANDBETWEEN(1, 5))</f>
        <v>IT</v>
      </c>
      <c r="D356" t="str">
        <f ca="1">_xlfn.XLOOKUP(Table1[[#This Row],[Department]],sheet2!$A$2:$A$6,sheet2!$B$2:$B$6,_xleta.NA,0)</f>
        <v>Software Engineer</v>
      </c>
      <c r="E356" s="1">
        <f t="shared" ca="1" si="53"/>
        <v>44642</v>
      </c>
      <c r="F356" s="1">
        <f ca="1">Table1[[#This Row],[Job Posting Date]]+ RANDBETWEEN(15, 90)</f>
        <v>44721</v>
      </c>
      <c r="G356" s="1">
        <f ca="1">Table1[[#This Row],[Hire Date]]+ RANDBETWEEN(1, 15)</f>
        <v>44736</v>
      </c>
      <c r="H356" s="1">
        <f ca="1">IF(RAND() &lt; 0.5,  Table1[[#This Row],[Join Date]]+ RANDBETWEEN(30, TODAY()- Table1[[#This Row],[Join Date]]), "-")</f>
        <v>45080</v>
      </c>
      <c r="I356" t="str">
        <f ca="1">IF(Table1[[#This Row],[Exit Date]]= "-", "Active", "Exited")</f>
        <v>Exited</v>
      </c>
      <c r="J356" s="5">
        <f t="shared" ca="1" si="54"/>
        <v>1958</v>
      </c>
      <c r="K356">
        <f ca="1">Table1[[#This Row],[Offers Made]]*2</f>
        <v>14</v>
      </c>
      <c r="L356">
        <f t="shared" ca="1" si="58"/>
        <v>7</v>
      </c>
      <c r="M356">
        <f t="shared" ca="1" si="59"/>
        <v>1</v>
      </c>
      <c r="N356" t="str">
        <f t="shared" ca="1" si="60"/>
        <v>Employee Referrals</v>
      </c>
      <c r="O356">
        <f t="shared" ca="1" si="61"/>
        <v>1</v>
      </c>
      <c r="P356" t="str">
        <f t="shared" ca="1" si="62"/>
        <v>No</v>
      </c>
      <c r="Q356" t="str" cm="1">
        <f t="array" aca="1" ref="Q356" ca="1">INDEX(sheet2!$C$2:$C$6, RANDBETWEEN(1, 5))</f>
        <v>Leadership Development</v>
      </c>
      <c r="R356" t="str">
        <f t="shared" ca="1" si="55"/>
        <v>Completed</v>
      </c>
      <c r="S356">
        <f ca="1">Table1[[#This Row],[Hire Date]]-Table1[[#This Row],[Job Posting Date]]</f>
        <v>79</v>
      </c>
    </row>
    <row r="357" spans="1:19" x14ac:dyDescent="0.2">
      <c r="A357" t="str">
        <f t="shared" si="56"/>
        <v>EMP356</v>
      </c>
      <c r="B357" t="str">
        <f t="shared" ca="1" si="57"/>
        <v>Male</v>
      </c>
      <c r="C357" t="str" cm="1">
        <f t="array" aca="1" ref="C357" ca="1">INDEX(sheet2!$A$2:$A$6, RANDBETWEEN(1, 5))</f>
        <v>HR</v>
      </c>
      <c r="D357" t="str">
        <f ca="1">_xlfn.XLOOKUP(Table1[[#This Row],[Department]],sheet2!$A$2:$A$6,sheet2!$B$2:$B$6,_xleta.NA,0)</f>
        <v>HR Manager</v>
      </c>
      <c r="E357" s="1">
        <f t="shared" ca="1" si="53"/>
        <v>44546</v>
      </c>
      <c r="F357" s="1">
        <f ca="1">Table1[[#This Row],[Job Posting Date]]+ RANDBETWEEN(15, 90)</f>
        <v>44594</v>
      </c>
      <c r="G357" s="1">
        <f ca="1">Table1[[#This Row],[Hire Date]]+ RANDBETWEEN(1, 15)</f>
        <v>44603</v>
      </c>
      <c r="H357" s="1" t="str">
        <f ca="1">IF(RAND() &lt; 0.5,  Table1[[#This Row],[Join Date]]+ RANDBETWEEN(30, TODAY()- Table1[[#This Row],[Join Date]]), "-")</f>
        <v>-</v>
      </c>
      <c r="I357" t="str">
        <f ca="1">IF(Table1[[#This Row],[Exit Date]]= "-", "Active", "Exited")</f>
        <v>Active</v>
      </c>
      <c r="J357" s="5">
        <f t="shared" ca="1" si="54"/>
        <v>1744</v>
      </c>
      <c r="K357">
        <f ca="1">Table1[[#This Row],[Offers Made]]*2</f>
        <v>6</v>
      </c>
      <c r="L357">
        <f t="shared" ca="1" si="58"/>
        <v>3</v>
      </c>
      <c r="M357">
        <f t="shared" ca="1" si="59"/>
        <v>1</v>
      </c>
      <c r="N357" t="str">
        <f t="shared" ca="1" si="60"/>
        <v>Job Portals</v>
      </c>
      <c r="O357">
        <f t="shared" ca="1" si="61"/>
        <v>5</v>
      </c>
      <c r="P357" t="str">
        <f t="shared" ca="1" si="62"/>
        <v>Yes</v>
      </c>
      <c r="Q357" t="str" cm="1">
        <f t="array" aca="1" ref="Q357" ca="1">INDEX(sheet2!$C$2:$C$6, RANDBETWEEN(1, 5))</f>
        <v>Communication Skills</v>
      </c>
      <c r="R357" t="str">
        <f t="shared" ca="1" si="55"/>
        <v>Completed</v>
      </c>
      <c r="S357">
        <f ca="1">Table1[[#This Row],[Hire Date]]-Table1[[#This Row],[Job Posting Date]]</f>
        <v>48</v>
      </c>
    </row>
    <row r="358" spans="1:19" x14ac:dyDescent="0.2">
      <c r="A358" t="str">
        <f t="shared" si="56"/>
        <v>EMP357</v>
      </c>
      <c r="B358" t="str">
        <f t="shared" ca="1" si="57"/>
        <v>Male</v>
      </c>
      <c r="C358" t="str" cm="1">
        <f t="array" aca="1" ref="C358" ca="1">INDEX(sheet2!$A$2:$A$6, RANDBETWEEN(1, 5))</f>
        <v>Analytics</v>
      </c>
      <c r="D358" t="str">
        <f ca="1">_xlfn.XLOOKUP(Table1[[#This Row],[Department]],sheet2!$A$2:$A$6,sheet2!$B$2:$B$6,_xleta.NA,0)</f>
        <v>Data Analyst</v>
      </c>
      <c r="E358" s="1">
        <f t="shared" ref="E358:E421" ca="1" si="63">DATE(RANDBETWEEN(2018, 2022), RANDBETWEEN(1, 12), RANDBETWEEN(1, 28))</f>
        <v>44915</v>
      </c>
      <c r="F358" s="1">
        <f ca="1">Table1[[#This Row],[Job Posting Date]]+ RANDBETWEEN(15, 90)</f>
        <v>44999</v>
      </c>
      <c r="G358" s="1">
        <f ca="1">Table1[[#This Row],[Hire Date]]+ RANDBETWEEN(1, 15)</f>
        <v>45002</v>
      </c>
      <c r="H358" s="1" t="str">
        <f ca="1">IF(RAND() &lt; 0.5,  Table1[[#This Row],[Join Date]]+ RANDBETWEEN(30, TODAY()- Table1[[#This Row],[Join Date]]), "-")</f>
        <v>-</v>
      </c>
      <c r="I358" t="str">
        <f ca="1">IF(Table1[[#This Row],[Exit Date]]= "-", "Active", "Exited")</f>
        <v>Active</v>
      </c>
      <c r="J358" s="5">
        <f t="shared" ref="J358:J421" ca="1" si="64">RANDBETWEEN(1500, 5000)</f>
        <v>2126</v>
      </c>
      <c r="K358">
        <f ca="1">Table1[[#This Row],[Offers Made]]*2</f>
        <v>10</v>
      </c>
      <c r="L358">
        <f t="shared" ca="1" si="58"/>
        <v>5</v>
      </c>
      <c r="M358">
        <f t="shared" ca="1" si="59"/>
        <v>3</v>
      </c>
      <c r="N358" t="str">
        <f t="shared" ca="1" si="60"/>
        <v>Direct Hiring</v>
      </c>
      <c r="O358">
        <f t="shared" ca="1" si="61"/>
        <v>5</v>
      </c>
      <c r="P358" t="str">
        <f t="shared" ca="1" si="62"/>
        <v>Yes</v>
      </c>
      <c r="Q358" t="str" cm="1">
        <f t="array" aca="1" ref="Q358" ca="1">INDEX(sheet2!$C$2:$C$6, RANDBETWEEN(1, 5))</f>
        <v>Communication Skills</v>
      </c>
      <c r="R358" t="str">
        <f t="shared" ref="R358:R421" ca="1" si="65">IF(RAND() &lt; 0.7, "Completed", "Not Completed")</f>
        <v>Not Completed</v>
      </c>
      <c r="S358">
        <f ca="1">Table1[[#This Row],[Hire Date]]-Table1[[#This Row],[Job Posting Date]]</f>
        <v>84</v>
      </c>
    </row>
    <row r="359" spans="1:19" x14ac:dyDescent="0.2">
      <c r="A359" t="str">
        <f t="shared" si="56"/>
        <v>EMP358</v>
      </c>
      <c r="B359" t="str">
        <f t="shared" ca="1" si="57"/>
        <v>Male</v>
      </c>
      <c r="C359" t="str" cm="1">
        <f t="array" aca="1" ref="C359" ca="1">INDEX(sheet2!$A$2:$A$6, RANDBETWEEN(1, 5))</f>
        <v>Finance</v>
      </c>
      <c r="D359" t="str">
        <f ca="1">_xlfn.XLOOKUP(Table1[[#This Row],[Department]],sheet2!$A$2:$A$6,sheet2!$B$2:$B$6,_xleta.NA,0)</f>
        <v>Finance Manager</v>
      </c>
      <c r="E359" s="1">
        <f t="shared" ca="1" si="63"/>
        <v>44230</v>
      </c>
      <c r="F359" s="1">
        <f ca="1">Table1[[#This Row],[Job Posting Date]]+ RANDBETWEEN(15, 90)</f>
        <v>44247</v>
      </c>
      <c r="G359" s="1">
        <f ca="1">Table1[[#This Row],[Hire Date]]+ RANDBETWEEN(1, 15)</f>
        <v>44255</v>
      </c>
      <c r="H359" s="1">
        <f ca="1">IF(RAND() &lt; 0.5,  Table1[[#This Row],[Join Date]]+ RANDBETWEEN(30, TODAY()- Table1[[#This Row],[Join Date]]), "-")</f>
        <v>45132</v>
      </c>
      <c r="I359" t="str">
        <f ca="1">IF(Table1[[#This Row],[Exit Date]]= "-", "Active", "Exited")</f>
        <v>Exited</v>
      </c>
      <c r="J359" s="5">
        <f t="shared" ca="1" si="64"/>
        <v>1839</v>
      </c>
      <c r="K359">
        <f ca="1">Table1[[#This Row],[Offers Made]]*2</f>
        <v>8</v>
      </c>
      <c r="L359">
        <f t="shared" ca="1" si="58"/>
        <v>4</v>
      </c>
      <c r="M359">
        <f t="shared" ca="1" si="59"/>
        <v>1</v>
      </c>
      <c r="N359" t="str">
        <f t="shared" ca="1" si="60"/>
        <v>Employee Referrals</v>
      </c>
      <c r="O359">
        <f t="shared" ca="1" si="61"/>
        <v>4</v>
      </c>
      <c r="P359" t="str">
        <f t="shared" ca="1" si="62"/>
        <v>Yes</v>
      </c>
      <c r="Q359" t="str" cm="1">
        <f t="array" aca="1" ref="Q359" ca="1">INDEX(sheet2!$C$2:$C$6, RANDBETWEEN(1, 5))</f>
        <v>Communication Skills</v>
      </c>
      <c r="R359" t="str">
        <f t="shared" ca="1" si="65"/>
        <v>Completed</v>
      </c>
      <c r="S359">
        <f ca="1">Table1[[#This Row],[Hire Date]]-Table1[[#This Row],[Job Posting Date]]</f>
        <v>17</v>
      </c>
    </row>
    <row r="360" spans="1:19" x14ac:dyDescent="0.2">
      <c r="A360" t="str">
        <f t="shared" si="56"/>
        <v>EMP359</v>
      </c>
      <c r="B360" t="str">
        <f t="shared" ca="1" si="57"/>
        <v>Female</v>
      </c>
      <c r="C360" t="str" cm="1">
        <f t="array" aca="1" ref="C360" ca="1">INDEX(sheet2!$A$2:$A$6, RANDBETWEEN(1, 5))</f>
        <v>Sales</v>
      </c>
      <c r="D360" t="str">
        <f ca="1">_xlfn.XLOOKUP(Table1[[#This Row],[Department]],sheet2!$A$2:$A$6,sheet2!$B$2:$B$6,_xleta.NA,0)</f>
        <v>Marketing Manager</v>
      </c>
      <c r="E360" s="1">
        <f t="shared" ca="1" si="63"/>
        <v>43643</v>
      </c>
      <c r="F360" s="1">
        <f ca="1">Table1[[#This Row],[Job Posting Date]]+ RANDBETWEEN(15, 90)</f>
        <v>43732</v>
      </c>
      <c r="G360" s="1">
        <f ca="1">Table1[[#This Row],[Hire Date]]+ RANDBETWEEN(1, 15)</f>
        <v>43742</v>
      </c>
      <c r="H360" s="1">
        <f ca="1">IF(RAND() &lt; 0.5,  Table1[[#This Row],[Join Date]]+ RANDBETWEEN(30, TODAY()- Table1[[#This Row],[Join Date]]), "-")</f>
        <v>45171</v>
      </c>
      <c r="I360" t="str">
        <f ca="1">IF(Table1[[#This Row],[Exit Date]]= "-", "Active", "Exited")</f>
        <v>Exited</v>
      </c>
      <c r="J360" s="5">
        <f t="shared" ca="1" si="64"/>
        <v>3229</v>
      </c>
      <c r="K360">
        <f ca="1">Table1[[#This Row],[Offers Made]]*2</f>
        <v>8</v>
      </c>
      <c r="L360">
        <f t="shared" ca="1" si="58"/>
        <v>4</v>
      </c>
      <c r="M360">
        <f t="shared" ca="1" si="59"/>
        <v>2</v>
      </c>
      <c r="N360" t="str">
        <f t="shared" ca="1" si="60"/>
        <v>Employee Referrals</v>
      </c>
      <c r="O360">
        <f t="shared" ca="1" si="61"/>
        <v>2</v>
      </c>
      <c r="P360" t="str">
        <f t="shared" ca="1" si="62"/>
        <v>Yes</v>
      </c>
      <c r="Q360" t="str" cm="1">
        <f t="array" aca="1" ref="Q360" ca="1">INDEX(sheet2!$C$2:$C$6, RANDBETWEEN(1, 5))</f>
        <v>Ethics and Responsibilities</v>
      </c>
      <c r="R360" t="str">
        <f t="shared" ca="1" si="65"/>
        <v>Completed</v>
      </c>
      <c r="S360">
        <f ca="1">Table1[[#This Row],[Hire Date]]-Table1[[#This Row],[Job Posting Date]]</f>
        <v>89</v>
      </c>
    </row>
    <row r="361" spans="1:19" x14ac:dyDescent="0.2">
      <c r="A361" t="str">
        <f t="shared" si="56"/>
        <v>EMP360</v>
      </c>
      <c r="B361" t="str">
        <f t="shared" ca="1" si="57"/>
        <v>Female</v>
      </c>
      <c r="C361" t="str" cm="1">
        <f t="array" aca="1" ref="C361" ca="1">INDEX(sheet2!$A$2:$A$6, RANDBETWEEN(1, 5))</f>
        <v>Finance</v>
      </c>
      <c r="D361" t="str">
        <f ca="1">_xlfn.XLOOKUP(Table1[[#This Row],[Department]],sheet2!$A$2:$A$6,sheet2!$B$2:$B$6,_xleta.NA,0)</f>
        <v>Finance Manager</v>
      </c>
      <c r="E361" s="1">
        <f t="shared" ca="1" si="63"/>
        <v>44080</v>
      </c>
      <c r="F361" s="1">
        <f ca="1">Table1[[#This Row],[Job Posting Date]]+ RANDBETWEEN(15, 90)</f>
        <v>44150</v>
      </c>
      <c r="G361" s="1">
        <f ca="1">Table1[[#This Row],[Hire Date]]+ RANDBETWEEN(1, 15)</f>
        <v>44153</v>
      </c>
      <c r="H361" s="1">
        <f ca="1">IF(RAND() &lt; 0.5,  Table1[[#This Row],[Join Date]]+ RANDBETWEEN(30, TODAY()- Table1[[#This Row],[Join Date]]), "-")</f>
        <v>44941</v>
      </c>
      <c r="I361" t="str">
        <f ca="1">IF(Table1[[#This Row],[Exit Date]]= "-", "Active", "Exited")</f>
        <v>Exited</v>
      </c>
      <c r="J361" s="5">
        <f t="shared" ca="1" si="64"/>
        <v>3151</v>
      </c>
      <c r="K361">
        <f ca="1">Table1[[#This Row],[Offers Made]]*2</f>
        <v>10</v>
      </c>
      <c r="L361">
        <f t="shared" ca="1" si="58"/>
        <v>5</v>
      </c>
      <c r="M361">
        <f t="shared" ca="1" si="59"/>
        <v>4</v>
      </c>
      <c r="N361" t="str">
        <f t="shared" ca="1" si="60"/>
        <v>Direct Hiring</v>
      </c>
      <c r="O361">
        <f t="shared" ca="1" si="61"/>
        <v>5</v>
      </c>
      <c r="P361" t="str">
        <f t="shared" ca="1" si="62"/>
        <v>Yes</v>
      </c>
      <c r="Q361" t="str" cm="1">
        <f t="array" aca="1" ref="Q361" ca="1">INDEX(sheet2!$C$2:$C$6, RANDBETWEEN(1, 5))</f>
        <v>Communication Skills</v>
      </c>
      <c r="R361" t="str">
        <f t="shared" ca="1" si="65"/>
        <v>Completed</v>
      </c>
      <c r="S361">
        <f ca="1">Table1[[#This Row],[Hire Date]]-Table1[[#This Row],[Job Posting Date]]</f>
        <v>70</v>
      </c>
    </row>
    <row r="362" spans="1:19" x14ac:dyDescent="0.2">
      <c r="A362" t="str">
        <f t="shared" si="56"/>
        <v>EMP361</v>
      </c>
      <c r="B362" t="str">
        <f t="shared" ca="1" si="57"/>
        <v>Male</v>
      </c>
      <c r="C362" t="str" cm="1">
        <f t="array" aca="1" ref="C362" ca="1">INDEX(sheet2!$A$2:$A$6, RANDBETWEEN(1, 5))</f>
        <v>IT</v>
      </c>
      <c r="D362" t="str">
        <f ca="1">_xlfn.XLOOKUP(Table1[[#This Row],[Department]],sheet2!$A$2:$A$6,sheet2!$B$2:$B$6,_xleta.NA,0)</f>
        <v>Software Engineer</v>
      </c>
      <c r="E362" s="1">
        <f t="shared" ca="1" si="63"/>
        <v>44467</v>
      </c>
      <c r="F362" s="1">
        <f ca="1">Table1[[#This Row],[Job Posting Date]]+ RANDBETWEEN(15, 90)</f>
        <v>44540</v>
      </c>
      <c r="G362" s="1">
        <f ca="1">Table1[[#This Row],[Hire Date]]+ RANDBETWEEN(1, 15)</f>
        <v>44552</v>
      </c>
      <c r="H362" s="1" t="str">
        <f ca="1">IF(RAND() &lt; 0.5,  Table1[[#This Row],[Join Date]]+ RANDBETWEEN(30, TODAY()- Table1[[#This Row],[Join Date]]), "-")</f>
        <v>-</v>
      </c>
      <c r="I362" t="str">
        <f ca="1">IF(Table1[[#This Row],[Exit Date]]= "-", "Active", "Exited")</f>
        <v>Active</v>
      </c>
      <c r="J362" s="5">
        <f t="shared" ca="1" si="64"/>
        <v>3298</v>
      </c>
      <c r="K362">
        <f ca="1">Table1[[#This Row],[Offers Made]]*2</f>
        <v>6</v>
      </c>
      <c r="L362">
        <f t="shared" ca="1" si="58"/>
        <v>3</v>
      </c>
      <c r="M362">
        <f t="shared" ca="1" si="59"/>
        <v>2</v>
      </c>
      <c r="N362" t="str">
        <f t="shared" ca="1" si="60"/>
        <v>Employee Referrals</v>
      </c>
      <c r="O362">
        <f t="shared" ca="1" si="61"/>
        <v>4</v>
      </c>
      <c r="P362" t="str">
        <f t="shared" ca="1" si="62"/>
        <v>Yes</v>
      </c>
      <c r="Q362" t="str" cm="1">
        <f t="array" aca="1" ref="Q362" ca="1">INDEX(sheet2!$C$2:$C$6, RANDBETWEEN(1, 5))</f>
        <v>Ethics and Responsibilities</v>
      </c>
      <c r="R362" t="str">
        <f t="shared" ca="1" si="65"/>
        <v>Completed</v>
      </c>
      <c r="S362">
        <f ca="1">Table1[[#This Row],[Hire Date]]-Table1[[#This Row],[Job Posting Date]]</f>
        <v>73</v>
      </c>
    </row>
    <row r="363" spans="1:19" x14ac:dyDescent="0.2">
      <c r="A363" t="str">
        <f t="shared" si="56"/>
        <v>EMP362</v>
      </c>
      <c r="B363" t="str">
        <f t="shared" ca="1" si="57"/>
        <v>Female</v>
      </c>
      <c r="C363" t="str" cm="1">
        <f t="array" aca="1" ref="C363" ca="1">INDEX(sheet2!$A$2:$A$6, RANDBETWEEN(1, 5))</f>
        <v>IT</v>
      </c>
      <c r="D363" t="str">
        <f ca="1">_xlfn.XLOOKUP(Table1[[#This Row],[Department]],sheet2!$A$2:$A$6,sheet2!$B$2:$B$6,_xleta.NA,0)</f>
        <v>Software Engineer</v>
      </c>
      <c r="E363" s="1">
        <f t="shared" ca="1" si="63"/>
        <v>44419</v>
      </c>
      <c r="F363" s="1">
        <f ca="1">Table1[[#This Row],[Job Posting Date]]+ RANDBETWEEN(15, 90)</f>
        <v>44507</v>
      </c>
      <c r="G363" s="1">
        <f ca="1">Table1[[#This Row],[Hire Date]]+ RANDBETWEEN(1, 15)</f>
        <v>44521</v>
      </c>
      <c r="H363" s="1">
        <f ca="1">IF(RAND() &lt; 0.5,  Table1[[#This Row],[Join Date]]+ RANDBETWEEN(30, TODAY()- Table1[[#This Row],[Join Date]]), "-")</f>
        <v>44722</v>
      </c>
      <c r="I363" t="str">
        <f ca="1">IF(Table1[[#This Row],[Exit Date]]= "-", "Active", "Exited")</f>
        <v>Exited</v>
      </c>
      <c r="J363" s="5">
        <f t="shared" ca="1" si="64"/>
        <v>2730</v>
      </c>
      <c r="K363">
        <f ca="1">Table1[[#This Row],[Offers Made]]*2</f>
        <v>10</v>
      </c>
      <c r="L363">
        <f t="shared" ca="1" si="58"/>
        <v>5</v>
      </c>
      <c r="M363">
        <f t="shared" ca="1" si="59"/>
        <v>2</v>
      </c>
      <c r="N363" t="str">
        <f t="shared" ca="1" si="60"/>
        <v>Campus Placements</v>
      </c>
      <c r="O363">
        <f t="shared" ca="1" si="61"/>
        <v>1</v>
      </c>
      <c r="P363" t="str">
        <f t="shared" ca="1" si="62"/>
        <v>No</v>
      </c>
      <c r="Q363" t="str" cm="1">
        <f t="array" aca="1" ref="Q363" ca="1">INDEX(sheet2!$C$2:$C$6, RANDBETWEEN(1, 5))</f>
        <v>Leadership Development</v>
      </c>
      <c r="R363" t="str">
        <f t="shared" ca="1" si="65"/>
        <v>Completed</v>
      </c>
      <c r="S363">
        <f ca="1">Table1[[#This Row],[Hire Date]]-Table1[[#This Row],[Job Posting Date]]</f>
        <v>88</v>
      </c>
    </row>
    <row r="364" spans="1:19" x14ac:dyDescent="0.2">
      <c r="A364" t="str">
        <f t="shared" si="56"/>
        <v>EMP363</v>
      </c>
      <c r="B364" t="str">
        <f t="shared" ca="1" si="57"/>
        <v>Female</v>
      </c>
      <c r="C364" t="str" cm="1">
        <f t="array" aca="1" ref="C364" ca="1">INDEX(sheet2!$A$2:$A$6, RANDBETWEEN(1, 5))</f>
        <v>Finance</v>
      </c>
      <c r="D364" t="str">
        <f ca="1">_xlfn.XLOOKUP(Table1[[#This Row],[Department]],sheet2!$A$2:$A$6,sheet2!$B$2:$B$6,_xleta.NA,0)</f>
        <v>Finance Manager</v>
      </c>
      <c r="E364" s="1">
        <f t="shared" ca="1" si="63"/>
        <v>44830</v>
      </c>
      <c r="F364" s="1">
        <f ca="1">Table1[[#This Row],[Job Posting Date]]+ RANDBETWEEN(15, 90)</f>
        <v>44854</v>
      </c>
      <c r="G364" s="1">
        <f ca="1">Table1[[#This Row],[Hire Date]]+ RANDBETWEEN(1, 15)</f>
        <v>44857</v>
      </c>
      <c r="H364" s="1" t="str">
        <f ca="1">IF(RAND() &lt; 0.5,  Table1[[#This Row],[Join Date]]+ RANDBETWEEN(30, TODAY()- Table1[[#This Row],[Join Date]]), "-")</f>
        <v>-</v>
      </c>
      <c r="I364" t="str">
        <f ca="1">IF(Table1[[#This Row],[Exit Date]]= "-", "Active", "Exited")</f>
        <v>Active</v>
      </c>
      <c r="J364" s="5">
        <f t="shared" ca="1" si="64"/>
        <v>3704</v>
      </c>
      <c r="K364">
        <f ca="1">Table1[[#This Row],[Offers Made]]*2</f>
        <v>10</v>
      </c>
      <c r="L364">
        <f t="shared" ca="1" si="58"/>
        <v>5</v>
      </c>
      <c r="M364">
        <f t="shared" ca="1" si="59"/>
        <v>4</v>
      </c>
      <c r="N364" t="str">
        <f t="shared" ca="1" si="60"/>
        <v>Direct Hiring</v>
      </c>
      <c r="O364">
        <f t="shared" ca="1" si="61"/>
        <v>3</v>
      </c>
      <c r="P364" t="str">
        <f t="shared" ca="1" si="62"/>
        <v>Yes</v>
      </c>
      <c r="Q364" t="str" cm="1">
        <f t="array" aca="1" ref="Q364" ca="1">INDEX(sheet2!$C$2:$C$6, RANDBETWEEN(1, 5))</f>
        <v>Ethics and Responsibilities</v>
      </c>
      <c r="R364" t="str">
        <f t="shared" ca="1" si="65"/>
        <v>Not Completed</v>
      </c>
      <c r="S364">
        <f ca="1">Table1[[#This Row],[Hire Date]]-Table1[[#This Row],[Job Posting Date]]</f>
        <v>24</v>
      </c>
    </row>
    <row r="365" spans="1:19" x14ac:dyDescent="0.2">
      <c r="A365" t="str">
        <f t="shared" si="56"/>
        <v>EMP364</v>
      </c>
      <c r="B365" t="str">
        <f t="shared" ca="1" si="57"/>
        <v>Female</v>
      </c>
      <c r="C365" t="str" cm="1">
        <f t="array" aca="1" ref="C365" ca="1">INDEX(sheet2!$A$2:$A$6, RANDBETWEEN(1, 5))</f>
        <v>HR</v>
      </c>
      <c r="D365" t="str">
        <f ca="1">_xlfn.XLOOKUP(Table1[[#This Row],[Department]],sheet2!$A$2:$A$6,sheet2!$B$2:$B$6,_xleta.NA,0)</f>
        <v>HR Manager</v>
      </c>
      <c r="E365" s="1">
        <f t="shared" ca="1" si="63"/>
        <v>43984</v>
      </c>
      <c r="F365" s="1">
        <f ca="1">Table1[[#This Row],[Job Posting Date]]+ RANDBETWEEN(15, 90)</f>
        <v>44026</v>
      </c>
      <c r="G365" s="1">
        <f ca="1">Table1[[#This Row],[Hire Date]]+ RANDBETWEEN(1, 15)</f>
        <v>44041</v>
      </c>
      <c r="H365" s="1" t="str">
        <f ca="1">IF(RAND() &lt; 0.5,  Table1[[#This Row],[Join Date]]+ RANDBETWEEN(30, TODAY()- Table1[[#This Row],[Join Date]]), "-")</f>
        <v>-</v>
      </c>
      <c r="I365" t="str">
        <f ca="1">IF(Table1[[#This Row],[Exit Date]]= "-", "Active", "Exited")</f>
        <v>Active</v>
      </c>
      <c r="J365" s="5">
        <f t="shared" ca="1" si="64"/>
        <v>4150</v>
      </c>
      <c r="K365">
        <f ca="1">Table1[[#This Row],[Offers Made]]*2</f>
        <v>14</v>
      </c>
      <c r="L365">
        <f t="shared" ca="1" si="58"/>
        <v>7</v>
      </c>
      <c r="M365">
        <f t="shared" ca="1" si="59"/>
        <v>1</v>
      </c>
      <c r="N365" t="str">
        <f t="shared" ca="1" si="60"/>
        <v>Employee Referrals</v>
      </c>
      <c r="O365">
        <f t="shared" ca="1" si="61"/>
        <v>4</v>
      </c>
      <c r="P365" t="str">
        <f t="shared" ca="1" si="62"/>
        <v>Yes</v>
      </c>
      <c r="Q365" t="str" cm="1">
        <f t="array" aca="1" ref="Q365" ca="1">INDEX(sheet2!$C$2:$C$6, RANDBETWEEN(1, 5))</f>
        <v>Communication Skills</v>
      </c>
      <c r="R365" t="str">
        <f t="shared" ca="1" si="65"/>
        <v>Completed</v>
      </c>
      <c r="S365">
        <f ca="1">Table1[[#This Row],[Hire Date]]-Table1[[#This Row],[Job Posting Date]]</f>
        <v>42</v>
      </c>
    </row>
    <row r="366" spans="1:19" x14ac:dyDescent="0.2">
      <c r="A366" t="str">
        <f t="shared" si="56"/>
        <v>EMP365</v>
      </c>
      <c r="B366" t="str">
        <f t="shared" ca="1" si="57"/>
        <v>Female</v>
      </c>
      <c r="C366" t="str" cm="1">
        <f t="array" aca="1" ref="C366" ca="1">INDEX(sheet2!$A$2:$A$6, RANDBETWEEN(1, 5))</f>
        <v>Finance</v>
      </c>
      <c r="D366" t="str">
        <f ca="1">_xlfn.XLOOKUP(Table1[[#This Row],[Department]],sheet2!$A$2:$A$6,sheet2!$B$2:$B$6,_xleta.NA,0)</f>
        <v>Finance Manager</v>
      </c>
      <c r="E366" s="1">
        <f t="shared" ca="1" si="63"/>
        <v>44615</v>
      </c>
      <c r="F366" s="1">
        <f ca="1">Table1[[#This Row],[Job Posting Date]]+ RANDBETWEEN(15, 90)</f>
        <v>44641</v>
      </c>
      <c r="G366" s="1">
        <f ca="1">Table1[[#This Row],[Hire Date]]+ RANDBETWEEN(1, 15)</f>
        <v>44644</v>
      </c>
      <c r="H366" s="1">
        <f ca="1">IF(RAND() &lt; 0.5,  Table1[[#This Row],[Join Date]]+ RANDBETWEEN(30, TODAY()- Table1[[#This Row],[Join Date]]), "-")</f>
        <v>45634</v>
      </c>
      <c r="I366" t="str">
        <f ca="1">IF(Table1[[#This Row],[Exit Date]]= "-", "Active", "Exited")</f>
        <v>Exited</v>
      </c>
      <c r="J366" s="5">
        <f t="shared" ca="1" si="64"/>
        <v>2963</v>
      </c>
      <c r="K366">
        <f ca="1">Table1[[#This Row],[Offers Made]]*2</f>
        <v>14</v>
      </c>
      <c r="L366">
        <f t="shared" ca="1" si="58"/>
        <v>7</v>
      </c>
      <c r="M366">
        <f t="shared" ca="1" si="59"/>
        <v>4</v>
      </c>
      <c r="N366" t="str">
        <f t="shared" ca="1" si="60"/>
        <v>Job Portals</v>
      </c>
      <c r="O366">
        <f t="shared" ca="1" si="61"/>
        <v>2</v>
      </c>
      <c r="P366" t="str">
        <f t="shared" ca="1" si="62"/>
        <v>No</v>
      </c>
      <c r="Q366" t="str" cm="1">
        <f t="array" aca="1" ref="Q366" ca="1">INDEX(sheet2!$C$2:$C$6, RANDBETWEEN(1, 5))</f>
        <v>Advanced Excel Skills </v>
      </c>
      <c r="R366" t="str">
        <f t="shared" ca="1" si="65"/>
        <v>Completed</v>
      </c>
      <c r="S366">
        <f ca="1">Table1[[#This Row],[Hire Date]]-Table1[[#This Row],[Job Posting Date]]</f>
        <v>26</v>
      </c>
    </row>
    <row r="367" spans="1:19" x14ac:dyDescent="0.2">
      <c r="A367" t="str">
        <f t="shared" si="56"/>
        <v>EMP366</v>
      </c>
      <c r="B367" t="str">
        <f t="shared" ca="1" si="57"/>
        <v>Female</v>
      </c>
      <c r="C367" t="str" cm="1">
        <f t="array" aca="1" ref="C367" ca="1">INDEX(sheet2!$A$2:$A$6, RANDBETWEEN(1, 5))</f>
        <v>Analytics</v>
      </c>
      <c r="D367" t="str">
        <f ca="1">_xlfn.XLOOKUP(Table1[[#This Row],[Department]],sheet2!$A$2:$A$6,sheet2!$B$2:$B$6,_xleta.NA,0)</f>
        <v>Data Analyst</v>
      </c>
      <c r="E367" s="1">
        <f t="shared" ca="1" si="63"/>
        <v>44382</v>
      </c>
      <c r="F367" s="1">
        <f ca="1">Table1[[#This Row],[Job Posting Date]]+ RANDBETWEEN(15, 90)</f>
        <v>44406</v>
      </c>
      <c r="G367" s="1">
        <f ca="1">Table1[[#This Row],[Hire Date]]+ RANDBETWEEN(1, 15)</f>
        <v>44410</v>
      </c>
      <c r="H367" s="1">
        <f ca="1">IF(RAND() &lt; 0.5,  Table1[[#This Row],[Join Date]]+ RANDBETWEEN(30, TODAY()- Table1[[#This Row],[Join Date]]), "-")</f>
        <v>45377</v>
      </c>
      <c r="I367" t="str">
        <f ca="1">IF(Table1[[#This Row],[Exit Date]]= "-", "Active", "Exited")</f>
        <v>Exited</v>
      </c>
      <c r="J367" s="5">
        <f t="shared" ca="1" si="64"/>
        <v>2432</v>
      </c>
      <c r="K367">
        <f ca="1">Table1[[#This Row],[Offers Made]]*2</f>
        <v>14</v>
      </c>
      <c r="L367">
        <f t="shared" ca="1" si="58"/>
        <v>7</v>
      </c>
      <c r="M367">
        <f t="shared" ca="1" si="59"/>
        <v>2</v>
      </c>
      <c r="N367" t="str">
        <f t="shared" ca="1" si="60"/>
        <v>Campus Placements</v>
      </c>
      <c r="O367">
        <f t="shared" ca="1" si="61"/>
        <v>4</v>
      </c>
      <c r="P367" t="str">
        <f t="shared" ca="1" si="62"/>
        <v>No</v>
      </c>
      <c r="Q367" t="str" cm="1">
        <f t="array" aca="1" ref="Q367" ca="1">INDEX(sheet2!$C$2:$C$6, RANDBETWEEN(1, 5))</f>
        <v>Ethics and Responsibilities</v>
      </c>
      <c r="R367" t="str">
        <f t="shared" ca="1" si="65"/>
        <v>Completed</v>
      </c>
      <c r="S367">
        <f ca="1">Table1[[#This Row],[Hire Date]]-Table1[[#This Row],[Job Posting Date]]</f>
        <v>24</v>
      </c>
    </row>
    <row r="368" spans="1:19" x14ac:dyDescent="0.2">
      <c r="A368" t="str">
        <f t="shared" si="56"/>
        <v>EMP367</v>
      </c>
      <c r="B368" t="str">
        <f t="shared" ca="1" si="57"/>
        <v>Female</v>
      </c>
      <c r="C368" t="str" cm="1">
        <f t="array" aca="1" ref="C368" ca="1">INDEX(sheet2!$A$2:$A$6, RANDBETWEEN(1, 5))</f>
        <v>HR</v>
      </c>
      <c r="D368" t="str">
        <f ca="1">_xlfn.XLOOKUP(Table1[[#This Row],[Department]],sheet2!$A$2:$A$6,sheet2!$B$2:$B$6,_xleta.NA,0)</f>
        <v>HR Manager</v>
      </c>
      <c r="E368" s="1">
        <f t="shared" ca="1" si="63"/>
        <v>44856</v>
      </c>
      <c r="F368" s="1">
        <f ca="1">Table1[[#This Row],[Job Posting Date]]+ RANDBETWEEN(15, 90)</f>
        <v>44926</v>
      </c>
      <c r="G368" s="1">
        <f ca="1">Table1[[#This Row],[Hire Date]]+ RANDBETWEEN(1, 15)</f>
        <v>44932</v>
      </c>
      <c r="H368" s="1" t="str">
        <f ca="1">IF(RAND() &lt; 0.5,  Table1[[#This Row],[Join Date]]+ RANDBETWEEN(30, TODAY()- Table1[[#This Row],[Join Date]]), "-")</f>
        <v>-</v>
      </c>
      <c r="I368" t="str">
        <f ca="1">IF(Table1[[#This Row],[Exit Date]]= "-", "Active", "Exited")</f>
        <v>Active</v>
      </c>
      <c r="J368" s="5">
        <f t="shared" ca="1" si="64"/>
        <v>3263</v>
      </c>
      <c r="K368">
        <f ca="1">Table1[[#This Row],[Offers Made]]*2</f>
        <v>12</v>
      </c>
      <c r="L368">
        <f t="shared" ca="1" si="58"/>
        <v>6</v>
      </c>
      <c r="M368">
        <f t="shared" ca="1" si="59"/>
        <v>1</v>
      </c>
      <c r="N368" t="str">
        <f t="shared" ca="1" si="60"/>
        <v>Employee Referrals</v>
      </c>
      <c r="O368">
        <f t="shared" ca="1" si="61"/>
        <v>3</v>
      </c>
      <c r="P368" t="str">
        <f t="shared" ca="1" si="62"/>
        <v>Yes</v>
      </c>
      <c r="Q368" t="str" cm="1">
        <f t="array" aca="1" ref="Q368" ca="1">INDEX(sheet2!$C$2:$C$6, RANDBETWEEN(1, 5))</f>
        <v>Communication Skills</v>
      </c>
      <c r="R368" t="str">
        <f t="shared" ca="1" si="65"/>
        <v>Completed</v>
      </c>
      <c r="S368">
        <f ca="1">Table1[[#This Row],[Hire Date]]-Table1[[#This Row],[Job Posting Date]]</f>
        <v>70</v>
      </c>
    </row>
    <row r="369" spans="1:19" x14ac:dyDescent="0.2">
      <c r="A369" t="str">
        <f t="shared" si="56"/>
        <v>EMP368</v>
      </c>
      <c r="B369" t="str">
        <f t="shared" ca="1" si="57"/>
        <v>Female</v>
      </c>
      <c r="C369" t="str" cm="1">
        <f t="array" aca="1" ref="C369" ca="1">INDEX(sheet2!$A$2:$A$6, RANDBETWEEN(1, 5))</f>
        <v>IT</v>
      </c>
      <c r="D369" t="str">
        <f ca="1">_xlfn.XLOOKUP(Table1[[#This Row],[Department]],sheet2!$A$2:$A$6,sheet2!$B$2:$B$6,_xleta.NA,0)</f>
        <v>Software Engineer</v>
      </c>
      <c r="E369" s="1">
        <f t="shared" ca="1" si="63"/>
        <v>43267</v>
      </c>
      <c r="F369" s="1">
        <f ca="1">Table1[[#This Row],[Job Posting Date]]+ RANDBETWEEN(15, 90)</f>
        <v>43332</v>
      </c>
      <c r="G369" s="1">
        <f ca="1">Table1[[#This Row],[Hire Date]]+ RANDBETWEEN(1, 15)</f>
        <v>43342</v>
      </c>
      <c r="H369" s="1" t="str">
        <f ca="1">IF(RAND() &lt; 0.5,  Table1[[#This Row],[Join Date]]+ RANDBETWEEN(30, TODAY()- Table1[[#This Row],[Join Date]]), "-")</f>
        <v>-</v>
      </c>
      <c r="I369" t="str">
        <f ca="1">IF(Table1[[#This Row],[Exit Date]]= "-", "Active", "Exited")</f>
        <v>Active</v>
      </c>
      <c r="J369" s="5">
        <f t="shared" ca="1" si="64"/>
        <v>3525</v>
      </c>
      <c r="K369">
        <f ca="1">Table1[[#This Row],[Offers Made]]*2</f>
        <v>16</v>
      </c>
      <c r="L369">
        <f t="shared" ca="1" si="58"/>
        <v>8</v>
      </c>
      <c r="M369">
        <f t="shared" ca="1" si="59"/>
        <v>4</v>
      </c>
      <c r="N369" t="str">
        <f t="shared" ca="1" si="60"/>
        <v>Employee Referrals</v>
      </c>
      <c r="O369">
        <f t="shared" ca="1" si="61"/>
        <v>2</v>
      </c>
      <c r="P369" t="str">
        <f t="shared" ca="1" si="62"/>
        <v>No</v>
      </c>
      <c r="Q369" t="str" cm="1">
        <f t="array" aca="1" ref="Q369" ca="1">INDEX(sheet2!$C$2:$C$6, RANDBETWEEN(1, 5))</f>
        <v>Ethics and Responsibilities</v>
      </c>
      <c r="R369" t="str">
        <f t="shared" ca="1" si="65"/>
        <v>Completed</v>
      </c>
      <c r="S369">
        <f ca="1">Table1[[#This Row],[Hire Date]]-Table1[[#This Row],[Job Posting Date]]</f>
        <v>65</v>
      </c>
    </row>
    <row r="370" spans="1:19" x14ac:dyDescent="0.2">
      <c r="A370" t="str">
        <f t="shared" si="56"/>
        <v>EMP369</v>
      </c>
      <c r="B370" t="str">
        <f t="shared" ca="1" si="57"/>
        <v>Female</v>
      </c>
      <c r="C370" t="str" cm="1">
        <f t="array" aca="1" ref="C370" ca="1">INDEX(sheet2!$A$2:$A$6, RANDBETWEEN(1, 5))</f>
        <v>IT</v>
      </c>
      <c r="D370" t="str">
        <f ca="1">_xlfn.XLOOKUP(Table1[[#This Row],[Department]],sheet2!$A$2:$A$6,sheet2!$B$2:$B$6,_xleta.NA,0)</f>
        <v>Software Engineer</v>
      </c>
      <c r="E370" s="1">
        <f t="shared" ca="1" si="63"/>
        <v>43932</v>
      </c>
      <c r="F370" s="1">
        <f ca="1">Table1[[#This Row],[Job Posting Date]]+ RANDBETWEEN(15, 90)</f>
        <v>44001</v>
      </c>
      <c r="G370" s="1">
        <f ca="1">Table1[[#This Row],[Hire Date]]+ RANDBETWEEN(1, 15)</f>
        <v>44008</v>
      </c>
      <c r="H370" s="1" t="str">
        <f ca="1">IF(RAND() &lt; 0.5,  Table1[[#This Row],[Join Date]]+ RANDBETWEEN(30, TODAY()- Table1[[#This Row],[Join Date]]), "-")</f>
        <v>-</v>
      </c>
      <c r="I370" t="str">
        <f ca="1">IF(Table1[[#This Row],[Exit Date]]= "-", "Active", "Exited")</f>
        <v>Active</v>
      </c>
      <c r="J370" s="5">
        <f t="shared" ca="1" si="64"/>
        <v>4407</v>
      </c>
      <c r="K370">
        <f ca="1">Table1[[#This Row],[Offers Made]]*2</f>
        <v>12</v>
      </c>
      <c r="L370">
        <f t="shared" ca="1" si="58"/>
        <v>6</v>
      </c>
      <c r="M370">
        <f t="shared" ca="1" si="59"/>
        <v>2</v>
      </c>
      <c r="N370" t="str">
        <f t="shared" ca="1" si="60"/>
        <v>Direct Hiring</v>
      </c>
      <c r="O370">
        <f t="shared" ca="1" si="61"/>
        <v>4</v>
      </c>
      <c r="P370" t="str">
        <f t="shared" ca="1" si="62"/>
        <v>No</v>
      </c>
      <c r="Q370" t="str" cm="1">
        <f t="array" aca="1" ref="Q370" ca="1">INDEX(sheet2!$C$2:$C$6, RANDBETWEEN(1, 5))</f>
        <v>Communication Skills</v>
      </c>
      <c r="R370" t="str">
        <f t="shared" ca="1" si="65"/>
        <v>Completed</v>
      </c>
      <c r="S370">
        <f ca="1">Table1[[#This Row],[Hire Date]]-Table1[[#This Row],[Job Posting Date]]</f>
        <v>69</v>
      </c>
    </row>
    <row r="371" spans="1:19" x14ac:dyDescent="0.2">
      <c r="A371" t="str">
        <f t="shared" si="56"/>
        <v>EMP370</v>
      </c>
      <c r="B371" t="str">
        <f t="shared" ca="1" si="57"/>
        <v>Male</v>
      </c>
      <c r="C371" t="str" cm="1">
        <f t="array" aca="1" ref="C371" ca="1">INDEX(sheet2!$A$2:$A$6, RANDBETWEEN(1, 5))</f>
        <v>Analytics</v>
      </c>
      <c r="D371" t="str">
        <f ca="1">_xlfn.XLOOKUP(Table1[[#This Row],[Department]],sheet2!$A$2:$A$6,sheet2!$B$2:$B$6,_xleta.NA,0)</f>
        <v>Data Analyst</v>
      </c>
      <c r="E371" s="1">
        <f t="shared" ca="1" si="63"/>
        <v>44234</v>
      </c>
      <c r="F371" s="1">
        <f ca="1">Table1[[#This Row],[Job Posting Date]]+ RANDBETWEEN(15, 90)</f>
        <v>44257</v>
      </c>
      <c r="G371" s="1">
        <f ca="1">Table1[[#This Row],[Hire Date]]+ RANDBETWEEN(1, 15)</f>
        <v>44265</v>
      </c>
      <c r="H371" s="1">
        <f ca="1">IF(RAND() &lt; 0.5,  Table1[[#This Row],[Join Date]]+ RANDBETWEEN(30, TODAY()- Table1[[#This Row],[Join Date]]), "-")</f>
        <v>45537</v>
      </c>
      <c r="I371" t="str">
        <f ca="1">IF(Table1[[#This Row],[Exit Date]]= "-", "Active", "Exited")</f>
        <v>Exited</v>
      </c>
      <c r="J371" s="5">
        <f t="shared" ca="1" si="64"/>
        <v>4186</v>
      </c>
      <c r="K371">
        <f ca="1">Table1[[#This Row],[Offers Made]]*2</f>
        <v>6</v>
      </c>
      <c r="L371">
        <f t="shared" ca="1" si="58"/>
        <v>3</v>
      </c>
      <c r="M371">
        <f t="shared" ca="1" si="59"/>
        <v>2</v>
      </c>
      <c r="N371" t="str">
        <f t="shared" ca="1" si="60"/>
        <v>Employee Referrals</v>
      </c>
      <c r="O371">
        <f t="shared" ca="1" si="61"/>
        <v>2</v>
      </c>
      <c r="P371" t="str">
        <f t="shared" ca="1" si="62"/>
        <v>No</v>
      </c>
      <c r="Q371" t="str" cm="1">
        <f t="array" aca="1" ref="Q371" ca="1">INDEX(sheet2!$C$2:$C$6, RANDBETWEEN(1, 5))</f>
        <v>Advanced Excel Skills </v>
      </c>
      <c r="R371" t="str">
        <f t="shared" ca="1" si="65"/>
        <v>Completed</v>
      </c>
      <c r="S371">
        <f ca="1">Table1[[#This Row],[Hire Date]]-Table1[[#This Row],[Job Posting Date]]</f>
        <v>23</v>
      </c>
    </row>
    <row r="372" spans="1:19" x14ac:dyDescent="0.2">
      <c r="A372" t="str">
        <f t="shared" si="56"/>
        <v>EMP371</v>
      </c>
      <c r="B372" t="str">
        <f t="shared" ca="1" si="57"/>
        <v>Female</v>
      </c>
      <c r="C372" t="str" cm="1">
        <f t="array" aca="1" ref="C372" ca="1">INDEX(sheet2!$A$2:$A$6, RANDBETWEEN(1, 5))</f>
        <v>Analytics</v>
      </c>
      <c r="D372" t="str">
        <f ca="1">_xlfn.XLOOKUP(Table1[[#This Row],[Department]],sheet2!$A$2:$A$6,sheet2!$B$2:$B$6,_xleta.NA,0)</f>
        <v>Data Analyst</v>
      </c>
      <c r="E372" s="1">
        <f t="shared" ca="1" si="63"/>
        <v>44510</v>
      </c>
      <c r="F372" s="1">
        <f ca="1">Table1[[#This Row],[Job Posting Date]]+ RANDBETWEEN(15, 90)</f>
        <v>44541</v>
      </c>
      <c r="G372" s="1">
        <f ca="1">Table1[[#This Row],[Hire Date]]+ RANDBETWEEN(1, 15)</f>
        <v>44548</v>
      </c>
      <c r="H372" s="1">
        <f ca="1">IF(RAND() &lt; 0.5,  Table1[[#This Row],[Join Date]]+ RANDBETWEEN(30, TODAY()- Table1[[#This Row],[Join Date]]), "-")</f>
        <v>44915</v>
      </c>
      <c r="I372" t="str">
        <f ca="1">IF(Table1[[#This Row],[Exit Date]]= "-", "Active", "Exited")</f>
        <v>Exited</v>
      </c>
      <c r="J372" s="5">
        <f t="shared" ca="1" si="64"/>
        <v>2813</v>
      </c>
      <c r="K372">
        <f ca="1">Table1[[#This Row],[Offers Made]]*2</f>
        <v>8</v>
      </c>
      <c r="L372">
        <f t="shared" ca="1" si="58"/>
        <v>4</v>
      </c>
      <c r="M372">
        <f t="shared" ca="1" si="59"/>
        <v>2</v>
      </c>
      <c r="N372" t="str">
        <f t="shared" ca="1" si="60"/>
        <v>Employee Referrals</v>
      </c>
      <c r="O372">
        <f t="shared" ca="1" si="61"/>
        <v>2</v>
      </c>
      <c r="P372" t="str">
        <f t="shared" ca="1" si="62"/>
        <v>No</v>
      </c>
      <c r="Q372" t="str" cm="1">
        <f t="array" aca="1" ref="Q372" ca="1">INDEX(sheet2!$C$2:$C$6, RANDBETWEEN(1, 5))</f>
        <v>Leadership Development</v>
      </c>
      <c r="R372" t="str">
        <f t="shared" ca="1" si="65"/>
        <v>Completed</v>
      </c>
      <c r="S372">
        <f ca="1">Table1[[#This Row],[Hire Date]]-Table1[[#This Row],[Job Posting Date]]</f>
        <v>31</v>
      </c>
    </row>
    <row r="373" spans="1:19" x14ac:dyDescent="0.2">
      <c r="A373" t="str">
        <f t="shared" si="56"/>
        <v>EMP372</v>
      </c>
      <c r="B373" t="str">
        <f t="shared" ca="1" si="57"/>
        <v>Female</v>
      </c>
      <c r="C373" t="str" cm="1">
        <f t="array" aca="1" ref="C373" ca="1">INDEX(sheet2!$A$2:$A$6, RANDBETWEEN(1, 5))</f>
        <v>HR</v>
      </c>
      <c r="D373" t="str">
        <f ca="1">_xlfn.XLOOKUP(Table1[[#This Row],[Department]],sheet2!$A$2:$A$6,sheet2!$B$2:$B$6,_xleta.NA,0)</f>
        <v>HR Manager</v>
      </c>
      <c r="E373" s="1">
        <f t="shared" ca="1" si="63"/>
        <v>43647</v>
      </c>
      <c r="F373" s="1">
        <f ca="1">Table1[[#This Row],[Job Posting Date]]+ RANDBETWEEN(15, 90)</f>
        <v>43723</v>
      </c>
      <c r="G373" s="1">
        <f ca="1">Table1[[#This Row],[Hire Date]]+ RANDBETWEEN(1, 15)</f>
        <v>43734</v>
      </c>
      <c r="H373" s="1">
        <f ca="1">IF(RAND() &lt; 0.5,  Table1[[#This Row],[Join Date]]+ RANDBETWEEN(30, TODAY()- Table1[[#This Row],[Join Date]]), "-")</f>
        <v>44796</v>
      </c>
      <c r="I373" t="str">
        <f ca="1">IF(Table1[[#This Row],[Exit Date]]= "-", "Active", "Exited")</f>
        <v>Exited</v>
      </c>
      <c r="J373" s="5">
        <f t="shared" ca="1" si="64"/>
        <v>4016</v>
      </c>
      <c r="K373">
        <f ca="1">Table1[[#This Row],[Offers Made]]*2</f>
        <v>12</v>
      </c>
      <c r="L373">
        <f t="shared" ca="1" si="58"/>
        <v>6</v>
      </c>
      <c r="M373">
        <f t="shared" ca="1" si="59"/>
        <v>3</v>
      </c>
      <c r="N373" t="str">
        <f t="shared" ca="1" si="60"/>
        <v>Employee Referrals</v>
      </c>
      <c r="O373">
        <f t="shared" ca="1" si="61"/>
        <v>2</v>
      </c>
      <c r="P373" t="str">
        <f t="shared" ca="1" si="62"/>
        <v>Yes</v>
      </c>
      <c r="Q373" t="str" cm="1">
        <f t="array" aca="1" ref="Q373" ca="1">INDEX(sheet2!$C$2:$C$6, RANDBETWEEN(1, 5))</f>
        <v>Conflict Resolution</v>
      </c>
      <c r="R373" t="str">
        <f t="shared" ca="1" si="65"/>
        <v>Completed</v>
      </c>
      <c r="S373">
        <f ca="1">Table1[[#This Row],[Hire Date]]-Table1[[#This Row],[Job Posting Date]]</f>
        <v>76</v>
      </c>
    </row>
    <row r="374" spans="1:19" x14ac:dyDescent="0.2">
      <c r="A374" t="str">
        <f t="shared" si="56"/>
        <v>EMP373</v>
      </c>
      <c r="B374" t="str">
        <f t="shared" ca="1" si="57"/>
        <v>Male</v>
      </c>
      <c r="C374" t="str" cm="1">
        <f t="array" aca="1" ref="C374" ca="1">INDEX(sheet2!$A$2:$A$6, RANDBETWEEN(1, 5))</f>
        <v>IT</v>
      </c>
      <c r="D374" t="str">
        <f ca="1">_xlfn.XLOOKUP(Table1[[#This Row],[Department]],sheet2!$A$2:$A$6,sheet2!$B$2:$B$6,_xleta.NA,0)</f>
        <v>Software Engineer</v>
      </c>
      <c r="E374" s="1">
        <f t="shared" ca="1" si="63"/>
        <v>43531</v>
      </c>
      <c r="F374" s="1">
        <f ca="1">Table1[[#This Row],[Job Posting Date]]+ RANDBETWEEN(15, 90)</f>
        <v>43579</v>
      </c>
      <c r="G374" s="1">
        <f ca="1">Table1[[#This Row],[Hire Date]]+ RANDBETWEEN(1, 15)</f>
        <v>43594</v>
      </c>
      <c r="H374" s="1" t="str">
        <f ca="1">IF(RAND() &lt; 0.5,  Table1[[#This Row],[Join Date]]+ RANDBETWEEN(30, TODAY()- Table1[[#This Row],[Join Date]]), "-")</f>
        <v>-</v>
      </c>
      <c r="I374" t="str">
        <f ca="1">IF(Table1[[#This Row],[Exit Date]]= "-", "Active", "Exited")</f>
        <v>Active</v>
      </c>
      <c r="J374" s="5">
        <f t="shared" ca="1" si="64"/>
        <v>4498</v>
      </c>
      <c r="K374">
        <f ca="1">Table1[[#This Row],[Offers Made]]*2</f>
        <v>16</v>
      </c>
      <c r="L374">
        <f t="shared" ca="1" si="58"/>
        <v>8</v>
      </c>
      <c r="M374">
        <f t="shared" ca="1" si="59"/>
        <v>3</v>
      </c>
      <c r="N374" t="str">
        <f t="shared" ca="1" si="60"/>
        <v>Campus Placements</v>
      </c>
      <c r="O374">
        <f t="shared" ca="1" si="61"/>
        <v>4</v>
      </c>
      <c r="P374" t="str">
        <f t="shared" ca="1" si="62"/>
        <v>Yes</v>
      </c>
      <c r="Q374" t="str" cm="1">
        <f t="array" aca="1" ref="Q374" ca="1">INDEX(sheet2!$C$2:$C$6, RANDBETWEEN(1, 5))</f>
        <v>Ethics and Responsibilities</v>
      </c>
      <c r="R374" t="str">
        <f t="shared" ca="1" si="65"/>
        <v>Completed</v>
      </c>
      <c r="S374">
        <f ca="1">Table1[[#This Row],[Hire Date]]-Table1[[#This Row],[Job Posting Date]]</f>
        <v>48</v>
      </c>
    </row>
    <row r="375" spans="1:19" x14ac:dyDescent="0.2">
      <c r="A375" t="str">
        <f t="shared" si="56"/>
        <v>EMP374</v>
      </c>
      <c r="B375" t="str">
        <f t="shared" ca="1" si="57"/>
        <v>Female</v>
      </c>
      <c r="C375" t="str" cm="1">
        <f t="array" aca="1" ref="C375" ca="1">INDEX(sheet2!$A$2:$A$6, RANDBETWEEN(1, 5))</f>
        <v>Analytics</v>
      </c>
      <c r="D375" t="str">
        <f ca="1">_xlfn.XLOOKUP(Table1[[#This Row],[Department]],sheet2!$A$2:$A$6,sheet2!$B$2:$B$6,_xleta.NA,0)</f>
        <v>Data Analyst</v>
      </c>
      <c r="E375" s="1">
        <f t="shared" ca="1" si="63"/>
        <v>43673</v>
      </c>
      <c r="F375" s="1">
        <f ca="1">Table1[[#This Row],[Job Posting Date]]+ RANDBETWEEN(15, 90)</f>
        <v>43729</v>
      </c>
      <c r="G375" s="1">
        <f ca="1">Table1[[#This Row],[Hire Date]]+ RANDBETWEEN(1, 15)</f>
        <v>43738</v>
      </c>
      <c r="H375" s="1" t="str">
        <f ca="1">IF(RAND() &lt; 0.5,  Table1[[#This Row],[Join Date]]+ RANDBETWEEN(30, TODAY()- Table1[[#This Row],[Join Date]]), "-")</f>
        <v>-</v>
      </c>
      <c r="I375" t="str">
        <f ca="1">IF(Table1[[#This Row],[Exit Date]]= "-", "Active", "Exited")</f>
        <v>Active</v>
      </c>
      <c r="J375" s="5">
        <f t="shared" ca="1" si="64"/>
        <v>4851</v>
      </c>
      <c r="K375">
        <f ca="1">Table1[[#This Row],[Offers Made]]*2</f>
        <v>6</v>
      </c>
      <c r="L375">
        <f t="shared" ca="1" si="58"/>
        <v>3</v>
      </c>
      <c r="M375">
        <f t="shared" ca="1" si="59"/>
        <v>2</v>
      </c>
      <c r="N375" t="str">
        <f t="shared" ca="1" si="60"/>
        <v>Job Portals</v>
      </c>
      <c r="O375">
        <f t="shared" ca="1" si="61"/>
        <v>4</v>
      </c>
      <c r="P375" t="str">
        <f t="shared" ca="1" si="62"/>
        <v>No</v>
      </c>
      <c r="Q375" t="str" cm="1">
        <f t="array" aca="1" ref="Q375" ca="1">INDEX(sheet2!$C$2:$C$6, RANDBETWEEN(1, 5))</f>
        <v>Ethics and Responsibilities</v>
      </c>
      <c r="R375" t="str">
        <f t="shared" ca="1" si="65"/>
        <v>Completed</v>
      </c>
      <c r="S375">
        <f ca="1">Table1[[#This Row],[Hire Date]]-Table1[[#This Row],[Job Posting Date]]</f>
        <v>56</v>
      </c>
    </row>
    <row r="376" spans="1:19" x14ac:dyDescent="0.2">
      <c r="A376" t="str">
        <f t="shared" si="56"/>
        <v>EMP375</v>
      </c>
      <c r="B376" t="str">
        <f t="shared" ca="1" si="57"/>
        <v>Male</v>
      </c>
      <c r="C376" t="str" cm="1">
        <f t="array" aca="1" ref="C376" ca="1">INDEX(sheet2!$A$2:$A$6, RANDBETWEEN(1, 5))</f>
        <v>Finance</v>
      </c>
      <c r="D376" t="str">
        <f ca="1">_xlfn.XLOOKUP(Table1[[#This Row],[Department]],sheet2!$A$2:$A$6,sheet2!$B$2:$B$6,_xleta.NA,0)</f>
        <v>Finance Manager</v>
      </c>
      <c r="E376" s="1">
        <f t="shared" ca="1" si="63"/>
        <v>43193</v>
      </c>
      <c r="F376" s="1">
        <f ca="1">Table1[[#This Row],[Job Posting Date]]+ RANDBETWEEN(15, 90)</f>
        <v>43283</v>
      </c>
      <c r="G376" s="1">
        <f ca="1">Table1[[#This Row],[Hire Date]]+ RANDBETWEEN(1, 15)</f>
        <v>43288</v>
      </c>
      <c r="H376" s="1">
        <f ca="1">IF(RAND() &lt; 0.5,  Table1[[#This Row],[Join Date]]+ RANDBETWEEN(30, TODAY()- Table1[[#This Row],[Join Date]]), "-")</f>
        <v>44266</v>
      </c>
      <c r="I376" t="str">
        <f ca="1">IF(Table1[[#This Row],[Exit Date]]= "-", "Active", "Exited")</f>
        <v>Exited</v>
      </c>
      <c r="J376" s="5">
        <f t="shared" ca="1" si="64"/>
        <v>3836</v>
      </c>
      <c r="K376">
        <f ca="1">Table1[[#This Row],[Offers Made]]*2</f>
        <v>10</v>
      </c>
      <c r="L376">
        <f t="shared" ca="1" si="58"/>
        <v>5</v>
      </c>
      <c r="M376">
        <f t="shared" ca="1" si="59"/>
        <v>2</v>
      </c>
      <c r="N376" t="str">
        <f t="shared" ca="1" si="60"/>
        <v>Campus Placements</v>
      </c>
      <c r="O376">
        <f t="shared" ca="1" si="61"/>
        <v>1</v>
      </c>
      <c r="P376" t="str">
        <f t="shared" ca="1" si="62"/>
        <v>Yes</v>
      </c>
      <c r="Q376" t="str" cm="1">
        <f t="array" aca="1" ref="Q376" ca="1">INDEX(sheet2!$C$2:$C$6, RANDBETWEEN(1, 5))</f>
        <v>Conflict Resolution</v>
      </c>
      <c r="R376" t="str">
        <f t="shared" ca="1" si="65"/>
        <v>Completed</v>
      </c>
      <c r="S376">
        <f ca="1">Table1[[#This Row],[Hire Date]]-Table1[[#This Row],[Job Posting Date]]</f>
        <v>90</v>
      </c>
    </row>
    <row r="377" spans="1:19" x14ac:dyDescent="0.2">
      <c r="A377" t="str">
        <f t="shared" si="56"/>
        <v>EMP376</v>
      </c>
      <c r="B377" t="str">
        <f t="shared" ca="1" si="57"/>
        <v>Female</v>
      </c>
      <c r="C377" t="str" cm="1">
        <f t="array" aca="1" ref="C377" ca="1">INDEX(sheet2!$A$2:$A$6, RANDBETWEEN(1, 5))</f>
        <v>IT</v>
      </c>
      <c r="D377" t="str">
        <f ca="1">_xlfn.XLOOKUP(Table1[[#This Row],[Department]],sheet2!$A$2:$A$6,sheet2!$B$2:$B$6,_xleta.NA,0)</f>
        <v>Software Engineer</v>
      </c>
      <c r="E377" s="1">
        <f t="shared" ca="1" si="63"/>
        <v>44288</v>
      </c>
      <c r="F377" s="1">
        <f ca="1">Table1[[#This Row],[Job Posting Date]]+ RANDBETWEEN(15, 90)</f>
        <v>44363</v>
      </c>
      <c r="G377" s="1">
        <f ca="1">Table1[[#This Row],[Hire Date]]+ RANDBETWEEN(1, 15)</f>
        <v>44365</v>
      </c>
      <c r="H377" s="1">
        <f ca="1">IF(RAND() &lt; 0.5,  Table1[[#This Row],[Join Date]]+ RANDBETWEEN(30, TODAY()- Table1[[#This Row],[Join Date]]), "-")</f>
        <v>44611</v>
      </c>
      <c r="I377" t="str">
        <f ca="1">IF(Table1[[#This Row],[Exit Date]]= "-", "Active", "Exited")</f>
        <v>Exited</v>
      </c>
      <c r="J377" s="5">
        <f t="shared" ca="1" si="64"/>
        <v>2621</v>
      </c>
      <c r="K377">
        <f ca="1">Table1[[#This Row],[Offers Made]]*2</f>
        <v>10</v>
      </c>
      <c r="L377">
        <f t="shared" ca="1" si="58"/>
        <v>5</v>
      </c>
      <c r="M377">
        <f t="shared" ca="1" si="59"/>
        <v>4</v>
      </c>
      <c r="N377" t="str">
        <f t="shared" ca="1" si="60"/>
        <v>Direct Hiring</v>
      </c>
      <c r="O377">
        <f t="shared" ca="1" si="61"/>
        <v>5</v>
      </c>
      <c r="P377" t="str">
        <f t="shared" ca="1" si="62"/>
        <v>No</v>
      </c>
      <c r="Q377" t="str" cm="1">
        <f t="array" aca="1" ref="Q377" ca="1">INDEX(sheet2!$C$2:$C$6, RANDBETWEEN(1, 5))</f>
        <v>Communication Skills</v>
      </c>
      <c r="R377" t="str">
        <f t="shared" ca="1" si="65"/>
        <v>Completed</v>
      </c>
      <c r="S377">
        <f ca="1">Table1[[#This Row],[Hire Date]]-Table1[[#This Row],[Job Posting Date]]</f>
        <v>75</v>
      </c>
    </row>
    <row r="378" spans="1:19" x14ac:dyDescent="0.2">
      <c r="A378" t="str">
        <f t="shared" si="56"/>
        <v>EMP377</v>
      </c>
      <c r="B378" t="str">
        <f t="shared" ca="1" si="57"/>
        <v>Female</v>
      </c>
      <c r="C378" t="str" cm="1">
        <f t="array" aca="1" ref="C378" ca="1">INDEX(sheet2!$A$2:$A$6, RANDBETWEEN(1, 5))</f>
        <v>Sales</v>
      </c>
      <c r="D378" t="str">
        <f ca="1">_xlfn.XLOOKUP(Table1[[#This Row],[Department]],sheet2!$A$2:$A$6,sheet2!$B$2:$B$6,_xleta.NA,0)</f>
        <v>Marketing Manager</v>
      </c>
      <c r="E378" s="1">
        <f t="shared" ca="1" si="63"/>
        <v>43523</v>
      </c>
      <c r="F378" s="1">
        <f ca="1">Table1[[#This Row],[Job Posting Date]]+ RANDBETWEEN(15, 90)</f>
        <v>43609</v>
      </c>
      <c r="G378" s="1">
        <f ca="1">Table1[[#This Row],[Hire Date]]+ RANDBETWEEN(1, 15)</f>
        <v>43610</v>
      </c>
      <c r="H378" s="1">
        <f ca="1">IF(RAND() &lt; 0.5,  Table1[[#This Row],[Join Date]]+ RANDBETWEEN(30, TODAY()- Table1[[#This Row],[Join Date]]), "-")</f>
        <v>43818</v>
      </c>
      <c r="I378" t="str">
        <f ca="1">IF(Table1[[#This Row],[Exit Date]]= "-", "Active", "Exited")</f>
        <v>Exited</v>
      </c>
      <c r="J378" s="5">
        <f t="shared" ca="1" si="64"/>
        <v>3180</v>
      </c>
      <c r="K378">
        <f ca="1">Table1[[#This Row],[Offers Made]]*2</f>
        <v>10</v>
      </c>
      <c r="L378">
        <f t="shared" ca="1" si="58"/>
        <v>5</v>
      </c>
      <c r="M378">
        <f t="shared" ca="1" si="59"/>
        <v>1</v>
      </c>
      <c r="N378" t="str">
        <f t="shared" ca="1" si="60"/>
        <v>Campus Placements</v>
      </c>
      <c r="O378">
        <f t="shared" ca="1" si="61"/>
        <v>3</v>
      </c>
      <c r="P378" t="str">
        <f t="shared" ca="1" si="62"/>
        <v>Yes</v>
      </c>
      <c r="Q378" t="str" cm="1">
        <f t="array" aca="1" ref="Q378" ca="1">INDEX(sheet2!$C$2:$C$6, RANDBETWEEN(1, 5))</f>
        <v>Leadership Development</v>
      </c>
      <c r="R378" t="str">
        <f t="shared" ca="1" si="65"/>
        <v>Not Completed</v>
      </c>
      <c r="S378">
        <f ca="1">Table1[[#This Row],[Hire Date]]-Table1[[#This Row],[Job Posting Date]]</f>
        <v>86</v>
      </c>
    </row>
    <row r="379" spans="1:19" x14ac:dyDescent="0.2">
      <c r="A379" t="str">
        <f t="shared" si="56"/>
        <v>EMP378</v>
      </c>
      <c r="B379" t="str">
        <f t="shared" ca="1" si="57"/>
        <v>Male</v>
      </c>
      <c r="C379" t="str" cm="1">
        <f t="array" aca="1" ref="C379" ca="1">INDEX(sheet2!$A$2:$A$6, RANDBETWEEN(1, 5))</f>
        <v>Finance</v>
      </c>
      <c r="D379" t="str">
        <f ca="1">_xlfn.XLOOKUP(Table1[[#This Row],[Department]],sheet2!$A$2:$A$6,sheet2!$B$2:$B$6,_xleta.NA,0)</f>
        <v>Finance Manager</v>
      </c>
      <c r="E379" s="1">
        <f t="shared" ca="1" si="63"/>
        <v>44551</v>
      </c>
      <c r="F379" s="1">
        <f ca="1">Table1[[#This Row],[Job Posting Date]]+ RANDBETWEEN(15, 90)</f>
        <v>44582</v>
      </c>
      <c r="G379" s="1">
        <f ca="1">Table1[[#This Row],[Hire Date]]+ RANDBETWEEN(1, 15)</f>
        <v>44596</v>
      </c>
      <c r="H379" s="1">
        <f ca="1">IF(RAND() &lt; 0.5,  Table1[[#This Row],[Join Date]]+ RANDBETWEEN(30, TODAY()- Table1[[#This Row],[Join Date]]), "-")</f>
        <v>45002</v>
      </c>
      <c r="I379" t="str">
        <f ca="1">IF(Table1[[#This Row],[Exit Date]]= "-", "Active", "Exited")</f>
        <v>Exited</v>
      </c>
      <c r="J379" s="5">
        <f t="shared" ca="1" si="64"/>
        <v>4043</v>
      </c>
      <c r="K379">
        <f ca="1">Table1[[#This Row],[Offers Made]]*2</f>
        <v>12</v>
      </c>
      <c r="L379">
        <f t="shared" ca="1" si="58"/>
        <v>6</v>
      </c>
      <c r="M379">
        <f t="shared" ca="1" si="59"/>
        <v>3</v>
      </c>
      <c r="N379" t="str">
        <f t="shared" ca="1" si="60"/>
        <v>Campus Placements</v>
      </c>
      <c r="O379">
        <f t="shared" ca="1" si="61"/>
        <v>5</v>
      </c>
      <c r="P379" t="str">
        <f t="shared" ca="1" si="62"/>
        <v>Yes</v>
      </c>
      <c r="Q379" t="str" cm="1">
        <f t="array" aca="1" ref="Q379" ca="1">INDEX(sheet2!$C$2:$C$6, RANDBETWEEN(1, 5))</f>
        <v>Ethics and Responsibilities</v>
      </c>
      <c r="R379" t="str">
        <f t="shared" ca="1" si="65"/>
        <v>Completed</v>
      </c>
      <c r="S379">
        <f ca="1">Table1[[#This Row],[Hire Date]]-Table1[[#This Row],[Job Posting Date]]</f>
        <v>31</v>
      </c>
    </row>
    <row r="380" spans="1:19" x14ac:dyDescent="0.2">
      <c r="A380" t="str">
        <f t="shared" si="56"/>
        <v>EMP379</v>
      </c>
      <c r="B380" t="str">
        <f t="shared" ca="1" si="57"/>
        <v>Female</v>
      </c>
      <c r="C380" t="str" cm="1">
        <f t="array" aca="1" ref="C380" ca="1">INDEX(sheet2!$A$2:$A$6, RANDBETWEEN(1, 5))</f>
        <v>Sales</v>
      </c>
      <c r="D380" t="str">
        <f ca="1">_xlfn.XLOOKUP(Table1[[#This Row],[Department]],sheet2!$A$2:$A$6,sheet2!$B$2:$B$6,_xleta.NA,0)</f>
        <v>Marketing Manager</v>
      </c>
      <c r="E380" s="1">
        <f t="shared" ca="1" si="63"/>
        <v>44527</v>
      </c>
      <c r="F380" s="1">
        <f ca="1">Table1[[#This Row],[Job Posting Date]]+ RANDBETWEEN(15, 90)</f>
        <v>44579</v>
      </c>
      <c r="G380" s="1">
        <f ca="1">Table1[[#This Row],[Hire Date]]+ RANDBETWEEN(1, 15)</f>
        <v>44587</v>
      </c>
      <c r="H380" s="1" t="str">
        <f ca="1">IF(RAND() &lt; 0.5,  Table1[[#This Row],[Join Date]]+ RANDBETWEEN(30, TODAY()- Table1[[#This Row],[Join Date]]), "-")</f>
        <v>-</v>
      </c>
      <c r="I380" t="str">
        <f ca="1">IF(Table1[[#This Row],[Exit Date]]= "-", "Active", "Exited")</f>
        <v>Active</v>
      </c>
      <c r="J380" s="5">
        <f t="shared" ca="1" si="64"/>
        <v>2118</v>
      </c>
      <c r="K380">
        <f ca="1">Table1[[#This Row],[Offers Made]]*2</f>
        <v>16</v>
      </c>
      <c r="L380">
        <f t="shared" ca="1" si="58"/>
        <v>8</v>
      </c>
      <c r="M380">
        <f t="shared" ca="1" si="59"/>
        <v>2</v>
      </c>
      <c r="N380" t="str">
        <f t="shared" ca="1" si="60"/>
        <v>Campus Placements</v>
      </c>
      <c r="O380">
        <f t="shared" ca="1" si="61"/>
        <v>3</v>
      </c>
      <c r="P380" t="str">
        <f t="shared" ca="1" si="62"/>
        <v>No</v>
      </c>
      <c r="Q380" t="str" cm="1">
        <f t="array" aca="1" ref="Q380" ca="1">INDEX(sheet2!$C$2:$C$6, RANDBETWEEN(1, 5))</f>
        <v>Advanced Excel Skills </v>
      </c>
      <c r="R380" t="str">
        <f t="shared" ca="1" si="65"/>
        <v>Completed</v>
      </c>
      <c r="S380">
        <f ca="1">Table1[[#This Row],[Hire Date]]-Table1[[#This Row],[Job Posting Date]]</f>
        <v>52</v>
      </c>
    </row>
    <row r="381" spans="1:19" x14ac:dyDescent="0.2">
      <c r="A381" t="str">
        <f t="shared" si="56"/>
        <v>EMP380</v>
      </c>
      <c r="B381" t="str">
        <f t="shared" ca="1" si="57"/>
        <v>Male</v>
      </c>
      <c r="C381" t="str" cm="1">
        <f t="array" aca="1" ref="C381" ca="1">INDEX(sheet2!$A$2:$A$6, RANDBETWEEN(1, 5))</f>
        <v>IT</v>
      </c>
      <c r="D381" t="str">
        <f ca="1">_xlfn.XLOOKUP(Table1[[#This Row],[Department]],sheet2!$A$2:$A$6,sheet2!$B$2:$B$6,_xleta.NA,0)</f>
        <v>Software Engineer</v>
      </c>
      <c r="E381" s="1">
        <f t="shared" ca="1" si="63"/>
        <v>44091</v>
      </c>
      <c r="F381" s="1">
        <f ca="1">Table1[[#This Row],[Job Posting Date]]+ RANDBETWEEN(15, 90)</f>
        <v>44139</v>
      </c>
      <c r="G381" s="1">
        <f ca="1">Table1[[#This Row],[Hire Date]]+ RANDBETWEEN(1, 15)</f>
        <v>44149</v>
      </c>
      <c r="H381" s="1" t="str">
        <f ca="1">IF(RAND() &lt; 0.5,  Table1[[#This Row],[Join Date]]+ RANDBETWEEN(30, TODAY()- Table1[[#This Row],[Join Date]]), "-")</f>
        <v>-</v>
      </c>
      <c r="I381" t="str">
        <f ca="1">IF(Table1[[#This Row],[Exit Date]]= "-", "Active", "Exited")</f>
        <v>Active</v>
      </c>
      <c r="J381" s="5">
        <f t="shared" ca="1" si="64"/>
        <v>3327</v>
      </c>
      <c r="K381">
        <f ca="1">Table1[[#This Row],[Offers Made]]*2</f>
        <v>8</v>
      </c>
      <c r="L381">
        <f t="shared" ca="1" si="58"/>
        <v>4</v>
      </c>
      <c r="M381">
        <f t="shared" ca="1" si="59"/>
        <v>1</v>
      </c>
      <c r="N381" t="str">
        <f t="shared" ca="1" si="60"/>
        <v>Campus Placements</v>
      </c>
      <c r="O381">
        <f t="shared" ca="1" si="61"/>
        <v>3</v>
      </c>
      <c r="P381" t="str">
        <f t="shared" ca="1" si="62"/>
        <v>Yes</v>
      </c>
      <c r="Q381" t="str" cm="1">
        <f t="array" aca="1" ref="Q381" ca="1">INDEX(sheet2!$C$2:$C$6, RANDBETWEEN(1, 5))</f>
        <v>Communication Skills</v>
      </c>
      <c r="R381" t="str">
        <f t="shared" ca="1" si="65"/>
        <v>Completed</v>
      </c>
      <c r="S381">
        <f ca="1">Table1[[#This Row],[Hire Date]]-Table1[[#This Row],[Job Posting Date]]</f>
        <v>48</v>
      </c>
    </row>
    <row r="382" spans="1:19" x14ac:dyDescent="0.2">
      <c r="A382" t="str">
        <f t="shared" si="56"/>
        <v>EMP381</v>
      </c>
      <c r="B382" t="str">
        <f t="shared" ca="1" si="57"/>
        <v>Male</v>
      </c>
      <c r="C382" t="str" cm="1">
        <f t="array" aca="1" ref="C382" ca="1">INDEX(sheet2!$A$2:$A$6, RANDBETWEEN(1, 5))</f>
        <v>Sales</v>
      </c>
      <c r="D382" t="str">
        <f ca="1">_xlfn.XLOOKUP(Table1[[#This Row],[Department]],sheet2!$A$2:$A$6,sheet2!$B$2:$B$6,_xleta.NA,0)</f>
        <v>Marketing Manager</v>
      </c>
      <c r="E382" s="1">
        <f t="shared" ca="1" si="63"/>
        <v>43121</v>
      </c>
      <c r="F382" s="1">
        <f ca="1">Table1[[#This Row],[Job Posting Date]]+ RANDBETWEEN(15, 90)</f>
        <v>43184</v>
      </c>
      <c r="G382" s="1">
        <f ca="1">Table1[[#This Row],[Hire Date]]+ RANDBETWEEN(1, 15)</f>
        <v>43188</v>
      </c>
      <c r="H382" s="1">
        <f ca="1">IF(RAND() &lt; 0.5,  Table1[[#This Row],[Join Date]]+ RANDBETWEEN(30, TODAY()- Table1[[#This Row],[Join Date]]), "-")</f>
        <v>44372</v>
      </c>
      <c r="I382" t="str">
        <f ca="1">IF(Table1[[#This Row],[Exit Date]]= "-", "Active", "Exited")</f>
        <v>Exited</v>
      </c>
      <c r="J382" s="5">
        <f t="shared" ca="1" si="64"/>
        <v>4769</v>
      </c>
      <c r="K382">
        <f ca="1">Table1[[#This Row],[Offers Made]]*2</f>
        <v>6</v>
      </c>
      <c r="L382">
        <f t="shared" ca="1" si="58"/>
        <v>3</v>
      </c>
      <c r="M382">
        <f t="shared" ca="1" si="59"/>
        <v>2</v>
      </c>
      <c r="N382" t="str">
        <f t="shared" ca="1" si="60"/>
        <v>Campus Placements</v>
      </c>
      <c r="O382">
        <f t="shared" ca="1" si="61"/>
        <v>5</v>
      </c>
      <c r="P382" t="str">
        <f t="shared" ca="1" si="62"/>
        <v>No</v>
      </c>
      <c r="Q382" t="str" cm="1">
        <f t="array" aca="1" ref="Q382" ca="1">INDEX(sheet2!$C$2:$C$6, RANDBETWEEN(1, 5))</f>
        <v>Conflict Resolution</v>
      </c>
      <c r="R382" t="str">
        <f t="shared" ca="1" si="65"/>
        <v>Completed</v>
      </c>
      <c r="S382">
        <f ca="1">Table1[[#This Row],[Hire Date]]-Table1[[#This Row],[Job Posting Date]]</f>
        <v>63</v>
      </c>
    </row>
    <row r="383" spans="1:19" x14ac:dyDescent="0.2">
      <c r="A383" t="str">
        <f t="shared" si="56"/>
        <v>EMP382</v>
      </c>
      <c r="B383" t="str">
        <f t="shared" ca="1" si="57"/>
        <v>Female</v>
      </c>
      <c r="C383" t="str" cm="1">
        <f t="array" aca="1" ref="C383" ca="1">INDEX(sheet2!$A$2:$A$6, RANDBETWEEN(1, 5))</f>
        <v>HR</v>
      </c>
      <c r="D383" t="str">
        <f ca="1">_xlfn.XLOOKUP(Table1[[#This Row],[Department]],sheet2!$A$2:$A$6,sheet2!$B$2:$B$6,_xleta.NA,0)</f>
        <v>HR Manager</v>
      </c>
      <c r="E383" s="1">
        <f t="shared" ca="1" si="63"/>
        <v>43611</v>
      </c>
      <c r="F383" s="1">
        <f ca="1">Table1[[#This Row],[Job Posting Date]]+ RANDBETWEEN(15, 90)</f>
        <v>43642</v>
      </c>
      <c r="G383" s="1">
        <f ca="1">Table1[[#This Row],[Hire Date]]+ RANDBETWEEN(1, 15)</f>
        <v>43656</v>
      </c>
      <c r="H383" s="1">
        <f ca="1">IF(RAND() &lt; 0.5,  Table1[[#This Row],[Join Date]]+ RANDBETWEEN(30, TODAY()- Table1[[#This Row],[Join Date]]), "-")</f>
        <v>45014</v>
      </c>
      <c r="I383" t="str">
        <f ca="1">IF(Table1[[#This Row],[Exit Date]]= "-", "Active", "Exited")</f>
        <v>Exited</v>
      </c>
      <c r="J383" s="5">
        <f t="shared" ca="1" si="64"/>
        <v>4747</v>
      </c>
      <c r="K383">
        <f ca="1">Table1[[#This Row],[Offers Made]]*2</f>
        <v>10</v>
      </c>
      <c r="L383">
        <f t="shared" ca="1" si="58"/>
        <v>5</v>
      </c>
      <c r="M383">
        <f t="shared" ca="1" si="59"/>
        <v>3</v>
      </c>
      <c r="N383" t="str">
        <f t="shared" ca="1" si="60"/>
        <v>Campus Placements</v>
      </c>
      <c r="O383">
        <f t="shared" ca="1" si="61"/>
        <v>2</v>
      </c>
      <c r="P383" t="str">
        <f t="shared" ca="1" si="62"/>
        <v>No</v>
      </c>
      <c r="Q383" t="str" cm="1">
        <f t="array" aca="1" ref="Q383" ca="1">INDEX(sheet2!$C$2:$C$6, RANDBETWEEN(1, 5))</f>
        <v>Advanced Excel Skills </v>
      </c>
      <c r="R383" t="str">
        <f t="shared" ca="1" si="65"/>
        <v>Completed</v>
      </c>
      <c r="S383">
        <f ca="1">Table1[[#This Row],[Hire Date]]-Table1[[#This Row],[Job Posting Date]]</f>
        <v>31</v>
      </c>
    </row>
    <row r="384" spans="1:19" x14ac:dyDescent="0.2">
      <c r="A384" t="str">
        <f t="shared" si="56"/>
        <v>EMP383</v>
      </c>
      <c r="B384" t="str">
        <f t="shared" ca="1" si="57"/>
        <v>Female</v>
      </c>
      <c r="C384" t="str" cm="1">
        <f t="array" aca="1" ref="C384" ca="1">INDEX(sheet2!$A$2:$A$6, RANDBETWEEN(1, 5))</f>
        <v>Finance</v>
      </c>
      <c r="D384" t="str">
        <f ca="1">_xlfn.XLOOKUP(Table1[[#This Row],[Department]],sheet2!$A$2:$A$6,sheet2!$B$2:$B$6,_xleta.NA,0)</f>
        <v>Finance Manager</v>
      </c>
      <c r="E384" s="1">
        <f t="shared" ca="1" si="63"/>
        <v>44595</v>
      </c>
      <c r="F384" s="1">
        <f ca="1">Table1[[#This Row],[Job Posting Date]]+ RANDBETWEEN(15, 90)</f>
        <v>44677</v>
      </c>
      <c r="G384" s="1">
        <f ca="1">Table1[[#This Row],[Hire Date]]+ RANDBETWEEN(1, 15)</f>
        <v>44691</v>
      </c>
      <c r="H384" s="1" t="str">
        <f ca="1">IF(RAND() &lt; 0.5,  Table1[[#This Row],[Join Date]]+ RANDBETWEEN(30, TODAY()- Table1[[#This Row],[Join Date]]), "-")</f>
        <v>-</v>
      </c>
      <c r="I384" t="str">
        <f ca="1">IF(Table1[[#This Row],[Exit Date]]= "-", "Active", "Exited")</f>
        <v>Active</v>
      </c>
      <c r="J384" s="5">
        <f t="shared" ca="1" si="64"/>
        <v>3634</v>
      </c>
      <c r="K384">
        <f ca="1">Table1[[#This Row],[Offers Made]]*2</f>
        <v>10</v>
      </c>
      <c r="L384">
        <f t="shared" ca="1" si="58"/>
        <v>5</v>
      </c>
      <c r="M384">
        <f t="shared" ca="1" si="59"/>
        <v>2</v>
      </c>
      <c r="N384" t="str">
        <f t="shared" ca="1" si="60"/>
        <v>Direct Hiring</v>
      </c>
      <c r="O384">
        <f t="shared" ca="1" si="61"/>
        <v>1</v>
      </c>
      <c r="P384" t="str">
        <f t="shared" ca="1" si="62"/>
        <v>No</v>
      </c>
      <c r="Q384" t="str" cm="1">
        <f t="array" aca="1" ref="Q384" ca="1">INDEX(sheet2!$C$2:$C$6, RANDBETWEEN(1, 5))</f>
        <v>Communication Skills</v>
      </c>
      <c r="R384" t="str">
        <f t="shared" ca="1" si="65"/>
        <v>Completed</v>
      </c>
      <c r="S384">
        <f ca="1">Table1[[#This Row],[Hire Date]]-Table1[[#This Row],[Job Posting Date]]</f>
        <v>82</v>
      </c>
    </row>
    <row r="385" spans="1:19" x14ac:dyDescent="0.2">
      <c r="A385" t="str">
        <f t="shared" si="56"/>
        <v>EMP384</v>
      </c>
      <c r="B385" t="str">
        <f t="shared" ca="1" si="57"/>
        <v>Male</v>
      </c>
      <c r="C385" t="str" cm="1">
        <f t="array" aca="1" ref="C385" ca="1">INDEX(sheet2!$A$2:$A$6, RANDBETWEEN(1, 5))</f>
        <v>HR</v>
      </c>
      <c r="D385" t="str">
        <f ca="1">_xlfn.XLOOKUP(Table1[[#This Row],[Department]],sheet2!$A$2:$A$6,sheet2!$B$2:$B$6,_xleta.NA,0)</f>
        <v>HR Manager</v>
      </c>
      <c r="E385" s="1">
        <f t="shared" ca="1" si="63"/>
        <v>44853</v>
      </c>
      <c r="F385" s="1">
        <f ca="1">Table1[[#This Row],[Job Posting Date]]+ RANDBETWEEN(15, 90)</f>
        <v>44931</v>
      </c>
      <c r="G385" s="1">
        <f ca="1">Table1[[#This Row],[Hire Date]]+ RANDBETWEEN(1, 15)</f>
        <v>44945</v>
      </c>
      <c r="H385" s="1" t="str">
        <f ca="1">IF(RAND() &lt; 0.5,  Table1[[#This Row],[Join Date]]+ RANDBETWEEN(30, TODAY()- Table1[[#This Row],[Join Date]]), "-")</f>
        <v>-</v>
      </c>
      <c r="I385" t="str">
        <f ca="1">IF(Table1[[#This Row],[Exit Date]]= "-", "Active", "Exited")</f>
        <v>Active</v>
      </c>
      <c r="J385" s="5">
        <f t="shared" ca="1" si="64"/>
        <v>4338</v>
      </c>
      <c r="K385">
        <f ca="1">Table1[[#This Row],[Offers Made]]*2</f>
        <v>8</v>
      </c>
      <c r="L385">
        <f t="shared" ca="1" si="58"/>
        <v>4</v>
      </c>
      <c r="M385">
        <f t="shared" ca="1" si="59"/>
        <v>3</v>
      </c>
      <c r="N385" t="str">
        <f t="shared" ca="1" si="60"/>
        <v>Employee Referrals</v>
      </c>
      <c r="O385">
        <f t="shared" ca="1" si="61"/>
        <v>2</v>
      </c>
      <c r="P385" t="str">
        <f t="shared" ca="1" si="62"/>
        <v>Yes</v>
      </c>
      <c r="Q385" t="str" cm="1">
        <f t="array" aca="1" ref="Q385" ca="1">INDEX(sheet2!$C$2:$C$6, RANDBETWEEN(1, 5))</f>
        <v>Communication Skills</v>
      </c>
      <c r="R385" t="str">
        <f t="shared" ca="1" si="65"/>
        <v>Completed</v>
      </c>
      <c r="S385">
        <f ca="1">Table1[[#This Row],[Hire Date]]-Table1[[#This Row],[Job Posting Date]]</f>
        <v>78</v>
      </c>
    </row>
    <row r="386" spans="1:19" x14ac:dyDescent="0.2">
      <c r="A386" t="str">
        <f t="shared" ref="A386:A449" si="66">"EMP" &amp; TEXT(ROW(A385), "000")</f>
        <v>EMP385</v>
      </c>
      <c r="B386" t="str">
        <f t="shared" ref="B386:B449" ca="1" si="67">CHOOSE(RANDBETWEEN(1, 2), "Male", "Female")</f>
        <v>Female</v>
      </c>
      <c r="C386" t="str" cm="1">
        <f t="array" aca="1" ref="C386" ca="1">INDEX(sheet2!$A$2:$A$6, RANDBETWEEN(1, 5))</f>
        <v>Finance</v>
      </c>
      <c r="D386" t="str">
        <f ca="1">_xlfn.XLOOKUP(Table1[[#This Row],[Department]],sheet2!$A$2:$A$6,sheet2!$B$2:$B$6,_xleta.NA,0)</f>
        <v>Finance Manager</v>
      </c>
      <c r="E386" s="1">
        <f t="shared" ca="1" si="63"/>
        <v>44758</v>
      </c>
      <c r="F386" s="1">
        <f ca="1">Table1[[#This Row],[Job Posting Date]]+ RANDBETWEEN(15, 90)</f>
        <v>44846</v>
      </c>
      <c r="G386" s="1">
        <f ca="1">Table1[[#This Row],[Hire Date]]+ RANDBETWEEN(1, 15)</f>
        <v>44853</v>
      </c>
      <c r="H386" s="1">
        <f ca="1">IF(RAND() &lt; 0.5,  Table1[[#This Row],[Join Date]]+ RANDBETWEEN(30, TODAY()- Table1[[#This Row],[Join Date]]), "-")</f>
        <v>45657</v>
      </c>
      <c r="I386" t="str">
        <f ca="1">IF(Table1[[#This Row],[Exit Date]]= "-", "Active", "Exited")</f>
        <v>Exited</v>
      </c>
      <c r="J386" s="5">
        <f t="shared" ca="1" si="64"/>
        <v>2740</v>
      </c>
      <c r="K386">
        <f ca="1">Table1[[#This Row],[Offers Made]]*2</f>
        <v>14</v>
      </c>
      <c r="L386">
        <f t="shared" ref="L386:L449" ca="1" si="68">RANDBETWEEN(3, 8)</f>
        <v>7</v>
      </c>
      <c r="M386">
        <f t="shared" ref="M386:M449" ca="1" si="69">RANDBETWEEN(1, L386-1)</f>
        <v>1</v>
      </c>
      <c r="N386" t="str">
        <f t="shared" ref="N386:N449" ca="1" si="70">CHOOSE(RANDBETWEEN(1, 4), "Job Portals", "Campus Placements", "Employee Referrals", "Direct Hiring")</f>
        <v>Job Portals</v>
      </c>
      <c r="O386">
        <f t="shared" ref="O386:O449" ca="1" si="71">RANDBETWEEN(1,5)</f>
        <v>4</v>
      </c>
      <c r="P386" t="str">
        <f t="shared" ref="P386:P449" ca="1" si="72">CHOOSE(RANDBETWEEN(1, 2), "Yes", "No")</f>
        <v>No</v>
      </c>
      <c r="Q386" t="str" cm="1">
        <f t="array" aca="1" ref="Q386" ca="1">INDEX(sheet2!$C$2:$C$6, RANDBETWEEN(1, 5))</f>
        <v>Advanced Excel Skills </v>
      </c>
      <c r="R386" t="str">
        <f t="shared" ca="1" si="65"/>
        <v>Completed</v>
      </c>
      <c r="S386">
        <f ca="1">Table1[[#This Row],[Hire Date]]-Table1[[#This Row],[Job Posting Date]]</f>
        <v>88</v>
      </c>
    </row>
    <row r="387" spans="1:19" x14ac:dyDescent="0.2">
      <c r="A387" t="str">
        <f t="shared" si="66"/>
        <v>EMP386</v>
      </c>
      <c r="B387" t="str">
        <f t="shared" ca="1" si="67"/>
        <v>Male</v>
      </c>
      <c r="C387" t="str" cm="1">
        <f t="array" aca="1" ref="C387" ca="1">INDEX(sheet2!$A$2:$A$6, RANDBETWEEN(1, 5))</f>
        <v>Sales</v>
      </c>
      <c r="D387" t="str">
        <f ca="1">_xlfn.XLOOKUP(Table1[[#This Row],[Department]],sheet2!$A$2:$A$6,sheet2!$B$2:$B$6,_xleta.NA,0)</f>
        <v>Marketing Manager</v>
      </c>
      <c r="E387" s="1">
        <f t="shared" ca="1" si="63"/>
        <v>44179</v>
      </c>
      <c r="F387" s="1">
        <f ca="1">Table1[[#This Row],[Job Posting Date]]+ RANDBETWEEN(15, 90)</f>
        <v>44229</v>
      </c>
      <c r="G387" s="1">
        <f ca="1">Table1[[#This Row],[Hire Date]]+ RANDBETWEEN(1, 15)</f>
        <v>44239</v>
      </c>
      <c r="H387" s="1" t="str">
        <f ca="1">IF(RAND() &lt; 0.5,  Table1[[#This Row],[Join Date]]+ RANDBETWEEN(30, TODAY()- Table1[[#This Row],[Join Date]]), "-")</f>
        <v>-</v>
      </c>
      <c r="I387" t="str">
        <f ca="1">IF(Table1[[#This Row],[Exit Date]]= "-", "Active", "Exited")</f>
        <v>Active</v>
      </c>
      <c r="J387" s="5">
        <f t="shared" ca="1" si="64"/>
        <v>3736</v>
      </c>
      <c r="K387">
        <f ca="1">Table1[[#This Row],[Offers Made]]*2</f>
        <v>12</v>
      </c>
      <c r="L387">
        <f t="shared" ca="1" si="68"/>
        <v>6</v>
      </c>
      <c r="M387">
        <f t="shared" ca="1" si="69"/>
        <v>1</v>
      </c>
      <c r="N387" t="str">
        <f t="shared" ca="1" si="70"/>
        <v>Direct Hiring</v>
      </c>
      <c r="O387">
        <f t="shared" ca="1" si="71"/>
        <v>4</v>
      </c>
      <c r="P387" t="str">
        <f t="shared" ca="1" si="72"/>
        <v>Yes</v>
      </c>
      <c r="Q387" t="str" cm="1">
        <f t="array" aca="1" ref="Q387" ca="1">INDEX(sheet2!$C$2:$C$6, RANDBETWEEN(1, 5))</f>
        <v>Conflict Resolution</v>
      </c>
      <c r="R387" t="str">
        <f t="shared" ca="1" si="65"/>
        <v>Completed</v>
      </c>
      <c r="S387">
        <f ca="1">Table1[[#This Row],[Hire Date]]-Table1[[#This Row],[Job Posting Date]]</f>
        <v>50</v>
      </c>
    </row>
    <row r="388" spans="1:19" x14ac:dyDescent="0.2">
      <c r="A388" t="str">
        <f t="shared" si="66"/>
        <v>EMP387</v>
      </c>
      <c r="B388" t="str">
        <f t="shared" ca="1" si="67"/>
        <v>Male</v>
      </c>
      <c r="C388" t="str" cm="1">
        <f t="array" aca="1" ref="C388" ca="1">INDEX(sheet2!$A$2:$A$6, RANDBETWEEN(1, 5))</f>
        <v>Finance</v>
      </c>
      <c r="D388" t="str">
        <f ca="1">_xlfn.XLOOKUP(Table1[[#This Row],[Department]],sheet2!$A$2:$A$6,sheet2!$B$2:$B$6,_xleta.NA,0)</f>
        <v>Finance Manager</v>
      </c>
      <c r="E388" s="1">
        <f t="shared" ca="1" si="63"/>
        <v>44756</v>
      </c>
      <c r="F388" s="1">
        <f ca="1">Table1[[#This Row],[Job Posting Date]]+ RANDBETWEEN(15, 90)</f>
        <v>44805</v>
      </c>
      <c r="G388" s="1">
        <f ca="1">Table1[[#This Row],[Hire Date]]+ RANDBETWEEN(1, 15)</f>
        <v>44815</v>
      </c>
      <c r="H388" s="1">
        <f ca="1">IF(RAND() &lt; 0.5,  Table1[[#This Row],[Join Date]]+ RANDBETWEEN(30, TODAY()- Table1[[#This Row],[Join Date]]), "-")</f>
        <v>45658</v>
      </c>
      <c r="I388" t="str">
        <f ca="1">IF(Table1[[#This Row],[Exit Date]]= "-", "Active", "Exited")</f>
        <v>Exited</v>
      </c>
      <c r="J388" s="5">
        <f t="shared" ca="1" si="64"/>
        <v>3512</v>
      </c>
      <c r="K388">
        <f ca="1">Table1[[#This Row],[Offers Made]]*2</f>
        <v>10</v>
      </c>
      <c r="L388">
        <f t="shared" ca="1" si="68"/>
        <v>5</v>
      </c>
      <c r="M388">
        <f t="shared" ca="1" si="69"/>
        <v>3</v>
      </c>
      <c r="N388" t="str">
        <f t="shared" ca="1" si="70"/>
        <v>Job Portals</v>
      </c>
      <c r="O388">
        <f t="shared" ca="1" si="71"/>
        <v>4</v>
      </c>
      <c r="P388" t="str">
        <f t="shared" ca="1" si="72"/>
        <v>Yes</v>
      </c>
      <c r="Q388" t="str" cm="1">
        <f t="array" aca="1" ref="Q388" ca="1">INDEX(sheet2!$C$2:$C$6, RANDBETWEEN(1, 5))</f>
        <v>Advanced Excel Skills </v>
      </c>
      <c r="R388" t="str">
        <f t="shared" ca="1" si="65"/>
        <v>Completed</v>
      </c>
      <c r="S388">
        <f ca="1">Table1[[#This Row],[Hire Date]]-Table1[[#This Row],[Job Posting Date]]</f>
        <v>49</v>
      </c>
    </row>
    <row r="389" spans="1:19" x14ac:dyDescent="0.2">
      <c r="A389" t="str">
        <f t="shared" si="66"/>
        <v>EMP388</v>
      </c>
      <c r="B389" t="str">
        <f t="shared" ca="1" si="67"/>
        <v>Female</v>
      </c>
      <c r="C389" t="str" cm="1">
        <f t="array" aca="1" ref="C389" ca="1">INDEX(sheet2!$A$2:$A$6, RANDBETWEEN(1, 5))</f>
        <v>HR</v>
      </c>
      <c r="D389" t="str">
        <f ca="1">_xlfn.XLOOKUP(Table1[[#This Row],[Department]],sheet2!$A$2:$A$6,sheet2!$B$2:$B$6,_xleta.NA,0)</f>
        <v>HR Manager</v>
      </c>
      <c r="E389" s="1">
        <f t="shared" ca="1" si="63"/>
        <v>43293</v>
      </c>
      <c r="F389" s="1">
        <f ca="1">Table1[[#This Row],[Job Posting Date]]+ RANDBETWEEN(15, 90)</f>
        <v>43355</v>
      </c>
      <c r="G389" s="1">
        <f ca="1">Table1[[#This Row],[Hire Date]]+ RANDBETWEEN(1, 15)</f>
        <v>43362</v>
      </c>
      <c r="H389" s="1">
        <f ca="1">IF(RAND() &lt; 0.5,  Table1[[#This Row],[Join Date]]+ RANDBETWEEN(30, TODAY()- Table1[[#This Row],[Join Date]]), "-")</f>
        <v>44637</v>
      </c>
      <c r="I389" t="str">
        <f ca="1">IF(Table1[[#This Row],[Exit Date]]= "-", "Active", "Exited")</f>
        <v>Exited</v>
      </c>
      <c r="J389" s="5">
        <f t="shared" ca="1" si="64"/>
        <v>3574</v>
      </c>
      <c r="K389">
        <f ca="1">Table1[[#This Row],[Offers Made]]*2</f>
        <v>10</v>
      </c>
      <c r="L389">
        <f t="shared" ca="1" si="68"/>
        <v>5</v>
      </c>
      <c r="M389">
        <f t="shared" ca="1" si="69"/>
        <v>3</v>
      </c>
      <c r="N389" t="str">
        <f t="shared" ca="1" si="70"/>
        <v>Employee Referrals</v>
      </c>
      <c r="O389">
        <f t="shared" ca="1" si="71"/>
        <v>3</v>
      </c>
      <c r="P389" t="str">
        <f t="shared" ca="1" si="72"/>
        <v>No</v>
      </c>
      <c r="Q389" t="str" cm="1">
        <f t="array" aca="1" ref="Q389" ca="1">INDEX(sheet2!$C$2:$C$6, RANDBETWEEN(1, 5))</f>
        <v>Advanced Excel Skills </v>
      </c>
      <c r="R389" t="str">
        <f t="shared" ca="1" si="65"/>
        <v>Not Completed</v>
      </c>
      <c r="S389">
        <f ca="1">Table1[[#This Row],[Hire Date]]-Table1[[#This Row],[Job Posting Date]]</f>
        <v>62</v>
      </c>
    </row>
    <row r="390" spans="1:19" x14ac:dyDescent="0.2">
      <c r="A390" t="str">
        <f t="shared" si="66"/>
        <v>EMP389</v>
      </c>
      <c r="B390" t="str">
        <f t="shared" ca="1" si="67"/>
        <v>Male</v>
      </c>
      <c r="C390" t="str" cm="1">
        <f t="array" aca="1" ref="C390" ca="1">INDEX(sheet2!$A$2:$A$6, RANDBETWEEN(1, 5))</f>
        <v>Finance</v>
      </c>
      <c r="D390" t="str">
        <f ca="1">_xlfn.XLOOKUP(Table1[[#This Row],[Department]],sheet2!$A$2:$A$6,sheet2!$B$2:$B$6,_xleta.NA,0)</f>
        <v>Finance Manager</v>
      </c>
      <c r="E390" s="1">
        <f t="shared" ca="1" si="63"/>
        <v>44489</v>
      </c>
      <c r="F390" s="1">
        <f ca="1">Table1[[#This Row],[Job Posting Date]]+ RANDBETWEEN(15, 90)</f>
        <v>44554</v>
      </c>
      <c r="G390" s="1">
        <f ca="1">Table1[[#This Row],[Hire Date]]+ RANDBETWEEN(1, 15)</f>
        <v>44562</v>
      </c>
      <c r="H390" s="1" t="str">
        <f ca="1">IF(RAND() &lt; 0.5,  Table1[[#This Row],[Join Date]]+ RANDBETWEEN(30, TODAY()- Table1[[#This Row],[Join Date]]), "-")</f>
        <v>-</v>
      </c>
      <c r="I390" t="str">
        <f ca="1">IF(Table1[[#This Row],[Exit Date]]= "-", "Active", "Exited")</f>
        <v>Active</v>
      </c>
      <c r="J390" s="5">
        <f t="shared" ca="1" si="64"/>
        <v>2378</v>
      </c>
      <c r="K390">
        <f ca="1">Table1[[#This Row],[Offers Made]]*2</f>
        <v>8</v>
      </c>
      <c r="L390">
        <f t="shared" ca="1" si="68"/>
        <v>4</v>
      </c>
      <c r="M390">
        <f t="shared" ca="1" si="69"/>
        <v>3</v>
      </c>
      <c r="N390" t="str">
        <f t="shared" ca="1" si="70"/>
        <v>Employee Referrals</v>
      </c>
      <c r="O390">
        <f t="shared" ca="1" si="71"/>
        <v>3</v>
      </c>
      <c r="P390" t="str">
        <f t="shared" ca="1" si="72"/>
        <v>Yes</v>
      </c>
      <c r="Q390" t="str" cm="1">
        <f t="array" aca="1" ref="Q390" ca="1">INDEX(sheet2!$C$2:$C$6, RANDBETWEEN(1, 5))</f>
        <v>Ethics and Responsibilities</v>
      </c>
      <c r="R390" t="str">
        <f t="shared" ca="1" si="65"/>
        <v>Not Completed</v>
      </c>
      <c r="S390">
        <f ca="1">Table1[[#This Row],[Hire Date]]-Table1[[#This Row],[Job Posting Date]]</f>
        <v>65</v>
      </c>
    </row>
    <row r="391" spans="1:19" x14ac:dyDescent="0.2">
      <c r="A391" t="str">
        <f t="shared" si="66"/>
        <v>EMP390</v>
      </c>
      <c r="B391" t="str">
        <f t="shared" ca="1" si="67"/>
        <v>Female</v>
      </c>
      <c r="C391" t="str" cm="1">
        <f t="array" aca="1" ref="C391" ca="1">INDEX(sheet2!$A$2:$A$6, RANDBETWEEN(1, 5))</f>
        <v>Sales</v>
      </c>
      <c r="D391" t="str">
        <f ca="1">_xlfn.XLOOKUP(Table1[[#This Row],[Department]],sheet2!$A$2:$A$6,sheet2!$B$2:$B$6,_xleta.NA,0)</f>
        <v>Marketing Manager</v>
      </c>
      <c r="E391" s="1">
        <f t="shared" ca="1" si="63"/>
        <v>44605</v>
      </c>
      <c r="F391" s="1">
        <f ca="1">Table1[[#This Row],[Job Posting Date]]+ RANDBETWEEN(15, 90)</f>
        <v>44637</v>
      </c>
      <c r="G391" s="1">
        <f ca="1">Table1[[#This Row],[Hire Date]]+ RANDBETWEEN(1, 15)</f>
        <v>44642</v>
      </c>
      <c r="H391" s="1">
        <f ca="1">IF(RAND() &lt; 0.5,  Table1[[#This Row],[Join Date]]+ RANDBETWEEN(30, TODAY()- Table1[[#This Row],[Join Date]]), "-")</f>
        <v>44913</v>
      </c>
      <c r="I391" t="str">
        <f ca="1">IF(Table1[[#This Row],[Exit Date]]= "-", "Active", "Exited")</f>
        <v>Exited</v>
      </c>
      <c r="J391" s="5">
        <f t="shared" ca="1" si="64"/>
        <v>4195</v>
      </c>
      <c r="K391">
        <f ca="1">Table1[[#This Row],[Offers Made]]*2</f>
        <v>10</v>
      </c>
      <c r="L391">
        <f t="shared" ca="1" si="68"/>
        <v>5</v>
      </c>
      <c r="M391">
        <f t="shared" ca="1" si="69"/>
        <v>4</v>
      </c>
      <c r="N391" t="str">
        <f t="shared" ca="1" si="70"/>
        <v>Employee Referrals</v>
      </c>
      <c r="O391">
        <f t="shared" ca="1" si="71"/>
        <v>2</v>
      </c>
      <c r="P391" t="str">
        <f t="shared" ca="1" si="72"/>
        <v>No</v>
      </c>
      <c r="Q391" t="str" cm="1">
        <f t="array" aca="1" ref="Q391" ca="1">INDEX(sheet2!$C$2:$C$6, RANDBETWEEN(1, 5))</f>
        <v>Ethics and Responsibilities</v>
      </c>
      <c r="R391" t="str">
        <f t="shared" ca="1" si="65"/>
        <v>Completed</v>
      </c>
      <c r="S391">
        <f ca="1">Table1[[#This Row],[Hire Date]]-Table1[[#This Row],[Job Posting Date]]</f>
        <v>32</v>
      </c>
    </row>
    <row r="392" spans="1:19" x14ac:dyDescent="0.2">
      <c r="A392" t="str">
        <f t="shared" si="66"/>
        <v>EMP391</v>
      </c>
      <c r="B392" t="str">
        <f t="shared" ca="1" si="67"/>
        <v>Male</v>
      </c>
      <c r="C392" t="str" cm="1">
        <f t="array" aca="1" ref="C392" ca="1">INDEX(sheet2!$A$2:$A$6, RANDBETWEEN(1, 5))</f>
        <v>Finance</v>
      </c>
      <c r="D392" t="str">
        <f ca="1">_xlfn.XLOOKUP(Table1[[#This Row],[Department]],sheet2!$A$2:$A$6,sheet2!$B$2:$B$6,_xleta.NA,0)</f>
        <v>Finance Manager</v>
      </c>
      <c r="E392" s="1">
        <f t="shared" ca="1" si="63"/>
        <v>43929</v>
      </c>
      <c r="F392" s="1">
        <f ca="1">Table1[[#This Row],[Job Posting Date]]+ RANDBETWEEN(15, 90)</f>
        <v>43965</v>
      </c>
      <c r="G392" s="1">
        <f ca="1">Table1[[#This Row],[Hire Date]]+ RANDBETWEEN(1, 15)</f>
        <v>43972</v>
      </c>
      <c r="H392" s="1" t="str">
        <f ca="1">IF(RAND() &lt; 0.5,  Table1[[#This Row],[Join Date]]+ RANDBETWEEN(30, TODAY()- Table1[[#This Row],[Join Date]]), "-")</f>
        <v>-</v>
      </c>
      <c r="I392" t="str">
        <f ca="1">IF(Table1[[#This Row],[Exit Date]]= "-", "Active", "Exited")</f>
        <v>Active</v>
      </c>
      <c r="J392" s="5">
        <f t="shared" ca="1" si="64"/>
        <v>3145</v>
      </c>
      <c r="K392">
        <f ca="1">Table1[[#This Row],[Offers Made]]*2</f>
        <v>8</v>
      </c>
      <c r="L392">
        <f t="shared" ca="1" si="68"/>
        <v>4</v>
      </c>
      <c r="M392">
        <f t="shared" ca="1" si="69"/>
        <v>3</v>
      </c>
      <c r="N392" t="str">
        <f t="shared" ca="1" si="70"/>
        <v>Direct Hiring</v>
      </c>
      <c r="O392">
        <f t="shared" ca="1" si="71"/>
        <v>5</v>
      </c>
      <c r="P392" t="str">
        <f t="shared" ca="1" si="72"/>
        <v>No</v>
      </c>
      <c r="Q392" t="str" cm="1">
        <f t="array" aca="1" ref="Q392" ca="1">INDEX(sheet2!$C$2:$C$6, RANDBETWEEN(1, 5))</f>
        <v>Advanced Excel Skills </v>
      </c>
      <c r="R392" t="str">
        <f t="shared" ca="1" si="65"/>
        <v>Not Completed</v>
      </c>
      <c r="S392">
        <f ca="1">Table1[[#This Row],[Hire Date]]-Table1[[#This Row],[Job Posting Date]]</f>
        <v>36</v>
      </c>
    </row>
    <row r="393" spans="1:19" x14ac:dyDescent="0.2">
      <c r="A393" t="str">
        <f t="shared" si="66"/>
        <v>EMP392</v>
      </c>
      <c r="B393" t="str">
        <f t="shared" ca="1" si="67"/>
        <v>Female</v>
      </c>
      <c r="C393" t="str" cm="1">
        <f t="array" aca="1" ref="C393" ca="1">INDEX(sheet2!$A$2:$A$6, RANDBETWEEN(1, 5))</f>
        <v>Sales</v>
      </c>
      <c r="D393" t="str">
        <f ca="1">_xlfn.XLOOKUP(Table1[[#This Row],[Department]],sheet2!$A$2:$A$6,sheet2!$B$2:$B$6,_xleta.NA,0)</f>
        <v>Marketing Manager</v>
      </c>
      <c r="E393" s="1">
        <f t="shared" ca="1" si="63"/>
        <v>43501</v>
      </c>
      <c r="F393" s="1">
        <f ca="1">Table1[[#This Row],[Job Posting Date]]+ RANDBETWEEN(15, 90)</f>
        <v>43531</v>
      </c>
      <c r="G393" s="1">
        <f ca="1">Table1[[#This Row],[Hire Date]]+ RANDBETWEEN(1, 15)</f>
        <v>43539</v>
      </c>
      <c r="H393" s="1" t="str">
        <f ca="1">IF(RAND() &lt; 0.5,  Table1[[#This Row],[Join Date]]+ RANDBETWEEN(30, TODAY()- Table1[[#This Row],[Join Date]]), "-")</f>
        <v>-</v>
      </c>
      <c r="I393" t="str">
        <f ca="1">IF(Table1[[#This Row],[Exit Date]]= "-", "Active", "Exited")</f>
        <v>Active</v>
      </c>
      <c r="J393" s="5">
        <f t="shared" ca="1" si="64"/>
        <v>4332</v>
      </c>
      <c r="K393">
        <f ca="1">Table1[[#This Row],[Offers Made]]*2</f>
        <v>16</v>
      </c>
      <c r="L393">
        <f t="shared" ca="1" si="68"/>
        <v>8</v>
      </c>
      <c r="M393">
        <f t="shared" ca="1" si="69"/>
        <v>3</v>
      </c>
      <c r="N393" t="str">
        <f t="shared" ca="1" si="70"/>
        <v>Job Portals</v>
      </c>
      <c r="O393">
        <f t="shared" ca="1" si="71"/>
        <v>4</v>
      </c>
      <c r="P393" t="str">
        <f t="shared" ca="1" si="72"/>
        <v>Yes</v>
      </c>
      <c r="Q393" t="str" cm="1">
        <f t="array" aca="1" ref="Q393" ca="1">INDEX(sheet2!$C$2:$C$6, RANDBETWEEN(1, 5))</f>
        <v>Leadership Development</v>
      </c>
      <c r="R393" t="str">
        <f t="shared" ca="1" si="65"/>
        <v>Not Completed</v>
      </c>
      <c r="S393">
        <f ca="1">Table1[[#This Row],[Hire Date]]-Table1[[#This Row],[Job Posting Date]]</f>
        <v>30</v>
      </c>
    </row>
    <row r="394" spans="1:19" x14ac:dyDescent="0.2">
      <c r="A394" t="str">
        <f t="shared" si="66"/>
        <v>EMP393</v>
      </c>
      <c r="B394" t="str">
        <f t="shared" ca="1" si="67"/>
        <v>Male</v>
      </c>
      <c r="C394" t="str" cm="1">
        <f t="array" aca="1" ref="C394" ca="1">INDEX(sheet2!$A$2:$A$6, RANDBETWEEN(1, 5))</f>
        <v>Analytics</v>
      </c>
      <c r="D394" t="str">
        <f ca="1">_xlfn.XLOOKUP(Table1[[#This Row],[Department]],sheet2!$A$2:$A$6,sheet2!$B$2:$B$6,_xleta.NA,0)</f>
        <v>Data Analyst</v>
      </c>
      <c r="E394" s="1">
        <f t="shared" ca="1" si="63"/>
        <v>44868</v>
      </c>
      <c r="F394" s="1">
        <f ca="1">Table1[[#This Row],[Job Posting Date]]+ RANDBETWEEN(15, 90)</f>
        <v>44935</v>
      </c>
      <c r="G394" s="1">
        <f ca="1">Table1[[#This Row],[Hire Date]]+ RANDBETWEEN(1, 15)</f>
        <v>44948</v>
      </c>
      <c r="H394" s="1" t="str">
        <f ca="1">IF(RAND() &lt; 0.5,  Table1[[#This Row],[Join Date]]+ RANDBETWEEN(30, TODAY()- Table1[[#This Row],[Join Date]]), "-")</f>
        <v>-</v>
      </c>
      <c r="I394" t="str">
        <f ca="1">IF(Table1[[#This Row],[Exit Date]]= "-", "Active", "Exited")</f>
        <v>Active</v>
      </c>
      <c r="J394" s="5">
        <f t="shared" ca="1" si="64"/>
        <v>3979</v>
      </c>
      <c r="K394">
        <f ca="1">Table1[[#This Row],[Offers Made]]*2</f>
        <v>12</v>
      </c>
      <c r="L394">
        <f t="shared" ca="1" si="68"/>
        <v>6</v>
      </c>
      <c r="M394">
        <f t="shared" ca="1" si="69"/>
        <v>3</v>
      </c>
      <c r="N394" t="str">
        <f t="shared" ca="1" si="70"/>
        <v>Job Portals</v>
      </c>
      <c r="O394">
        <f t="shared" ca="1" si="71"/>
        <v>3</v>
      </c>
      <c r="P394" t="str">
        <f t="shared" ca="1" si="72"/>
        <v>Yes</v>
      </c>
      <c r="Q394" t="str" cm="1">
        <f t="array" aca="1" ref="Q394" ca="1">INDEX(sheet2!$C$2:$C$6, RANDBETWEEN(1, 5))</f>
        <v>Ethics and Responsibilities</v>
      </c>
      <c r="R394" t="str">
        <f t="shared" ca="1" si="65"/>
        <v>Completed</v>
      </c>
      <c r="S394">
        <f ca="1">Table1[[#This Row],[Hire Date]]-Table1[[#This Row],[Job Posting Date]]</f>
        <v>67</v>
      </c>
    </row>
    <row r="395" spans="1:19" x14ac:dyDescent="0.2">
      <c r="A395" t="str">
        <f t="shared" si="66"/>
        <v>EMP394</v>
      </c>
      <c r="B395" t="str">
        <f t="shared" ca="1" si="67"/>
        <v>Female</v>
      </c>
      <c r="C395" t="str" cm="1">
        <f t="array" aca="1" ref="C395" ca="1">INDEX(sheet2!$A$2:$A$6, RANDBETWEEN(1, 5))</f>
        <v>Sales</v>
      </c>
      <c r="D395" t="str">
        <f ca="1">_xlfn.XLOOKUP(Table1[[#This Row],[Department]],sheet2!$A$2:$A$6,sheet2!$B$2:$B$6,_xleta.NA,0)</f>
        <v>Marketing Manager</v>
      </c>
      <c r="E395" s="1">
        <f t="shared" ca="1" si="63"/>
        <v>43601</v>
      </c>
      <c r="F395" s="1">
        <f ca="1">Table1[[#This Row],[Job Posting Date]]+ RANDBETWEEN(15, 90)</f>
        <v>43661</v>
      </c>
      <c r="G395" s="1">
        <f ca="1">Table1[[#This Row],[Hire Date]]+ RANDBETWEEN(1, 15)</f>
        <v>43664</v>
      </c>
      <c r="H395" s="1">
        <f ca="1">IF(RAND() &lt; 0.5,  Table1[[#This Row],[Join Date]]+ RANDBETWEEN(30, TODAY()- Table1[[#This Row],[Join Date]]), "-")</f>
        <v>44626</v>
      </c>
      <c r="I395" t="str">
        <f ca="1">IF(Table1[[#This Row],[Exit Date]]= "-", "Active", "Exited")</f>
        <v>Exited</v>
      </c>
      <c r="J395" s="5">
        <f t="shared" ca="1" si="64"/>
        <v>4291</v>
      </c>
      <c r="K395">
        <f ca="1">Table1[[#This Row],[Offers Made]]*2</f>
        <v>8</v>
      </c>
      <c r="L395">
        <f t="shared" ca="1" si="68"/>
        <v>4</v>
      </c>
      <c r="M395">
        <f t="shared" ca="1" si="69"/>
        <v>1</v>
      </c>
      <c r="N395" t="str">
        <f t="shared" ca="1" si="70"/>
        <v>Campus Placements</v>
      </c>
      <c r="O395">
        <f t="shared" ca="1" si="71"/>
        <v>4</v>
      </c>
      <c r="P395" t="str">
        <f t="shared" ca="1" si="72"/>
        <v>Yes</v>
      </c>
      <c r="Q395" t="str" cm="1">
        <f t="array" aca="1" ref="Q395" ca="1">INDEX(sheet2!$C$2:$C$6, RANDBETWEEN(1, 5))</f>
        <v>Ethics and Responsibilities</v>
      </c>
      <c r="R395" t="str">
        <f t="shared" ca="1" si="65"/>
        <v>Completed</v>
      </c>
      <c r="S395">
        <f ca="1">Table1[[#This Row],[Hire Date]]-Table1[[#This Row],[Job Posting Date]]</f>
        <v>60</v>
      </c>
    </row>
    <row r="396" spans="1:19" x14ac:dyDescent="0.2">
      <c r="A396" t="str">
        <f t="shared" si="66"/>
        <v>EMP395</v>
      </c>
      <c r="B396" t="str">
        <f t="shared" ca="1" si="67"/>
        <v>Female</v>
      </c>
      <c r="C396" t="str" cm="1">
        <f t="array" aca="1" ref="C396" ca="1">INDEX(sheet2!$A$2:$A$6, RANDBETWEEN(1, 5))</f>
        <v>HR</v>
      </c>
      <c r="D396" t="str">
        <f ca="1">_xlfn.XLOOKUP(Table1[[#This Row],[Department]],sheet2!$A$2:$A$6,sheet2!$B$2:$B$6,_xleta.NA,0)</f>
        <v>HR Manager</v>
      </c>
      <c r="E396" s="1">
        <f t="shared" ca="1" si="63"/>
        <v>44670</v>
      </c>
      <c r="F396" s="1">
        <f ca="1">Table1[[#This Row],[Job Posting Date]]+ RANDBETWEEN(15, 90)</f>
        <v>44709</v>
      </c>
      <c r="G396" s="1">
        <f ca="1">Table1[[#This Row],[Hire Date]]+ RANDBETWEEN(1, 15)</f>
        <v>44720</v>
      </c>
      <c r="H396" s="1">
        <f ca="1">IF(RAND() &lt; 0.5,  Table1[[#This Row],[Join Date]]+ RANDBETWEEN(30, TODAY()- Table1[[#This Row],[Join Date]]), "-")</f>
        <v>44990</v>
      </c>
      <c r="I396" t="str">
        <f ca="1">IF(Table1[[#This Row],[Exit Date]]= "-", "Active", "Exited")</f>
        <v>Exited</v>
      </c>
      <c r="J396" s="5">
        <f t="shared" ca="1" si="64"/>
        <v>3124</v>
      </c>
      <c r="K396">
        <f ca="1">Table1[[#This Row],[Offers Made]]*2</f>
        <v>16</v>
      </c>
      <c r="L396">
        <f t="shared" ca="1" si="68"/>
        <v>8</v>
      </c>
      <c r="M396">
        <f t="shared" ca="1" si="69"/>
        <v>6</v>
      </c>
      <c r="N396" t="str">
        <f t="shared" ca="1" si="70"/>
        <v>Employee Referrals</v>
      </c>
      <c r="O396">
        <f t="shared" ca="1" si="71"/>
        <v>1</v>
      </c>
      <c r="P396" t="str">
        <f t="shared" ca="1" si="72"/>
        <v>No</v>
      </c>
      <c r="Q396" t="str" cm="1">
        <f t="array" aca="1" ref="Q396" ca="1">INDEX(sheet2!$C$2:$C$6, RANDBETWEEN(1, 5))</f>
        <v>Leadership Development</v>
      </c>
      <c r="R396" t="str">
        <f t="shared" ca="1" si="65"/>
        <v>Completed</v>
      </c>
      <c r="S396">
        <f ca="1">Table1[[#This Row],[Hire Date]]-Table1[[#This Row],[Job Posting Date]]</f>
        <v>39</v>
      </c>
    </row>
    <row r="397" spans="1:19" x14ac:dyDescent="0.2">
      <c r="A397" t="str">
        <f t="shared" si="66"/>
        <v>EMP396</v>
      </c>
      <c r="B397" t="str">
        <f t="shared" ca="1" si="67"/>
        <v>Male</v>
      </c>
      <c r="C397" t="str" cm="1">
        <f t="array" aca="1" ref="C397" ca="1">INDEX(sheet2!$A$2:$A$6, RANDBETWEEN(1, 5))</f>
        <v>Finance</v>
      </c>
      <c r="D397" t="str">
        <f ca="1">_xlfn.XLOOKUP(Table1[[#This Row],[Department]],sheet2!$A$2:$A$6,sheet2!$B$2:$B$6,_xleta.NA,0)</f>
        <v>Finance Manager</v>
      </c>
      <c r="E397" s="1">
        <f t="shared" ca="1" si="63"/>
        <v>43456</v>
      </c>
      <c r="F397" s="1">
        <f ca="1">Table1[[#This Row],[Job Posting Date]]+ RANDBETWEEN(15, 90)</f>
        <v>43491</v>
      </c>
      <c r="G397" s="1">
        <f ca="1">Table1[[#This Row],[Hire Date]]+ RANDBETWEEN(1, 15)</f>
        <v>43502</v>
      </c>
      <c r="H397" s="1" t="str">
        <f ca="1">IF(RAND() &lt; 0.5,  Table1[[#This Row],[Join Date]]+ RANDBETWEEN(30, TODAY()- Table1[[#This Row],[Join Date]]), "-")</f>
        <v>-</v>
      </c>
      <c r="I397" t="str">
        <f ca="1">IF(Table1[[#This Row],[Exit Date]]= "-", "Active", "Exited")</f>
        <v>Active</v>
      </c>
      <c r="J397" s="5">
        <f t="shared" ca="1" si="64"/>
        <v>4677</v>
      </c>
      <c r="K397">
        <f ca="1">Table1[[#This Row],[Offers Made]]*2</f>
        <v>12</v>
      </c>
      <c r="L397">
        <f t="shared" ca="1" si="68"/>
        <v>6</v>
      </c>
      <c r="M397">
        <f t="shared" ca="1" si="69"/>
        <v>3</v>
      </c>
      <c r="N397" t="str">
        <f t="shared" ca="1" si="70"/>
        <v>Direct Hiring</v>
      </c>
      <c r="O397">
        <f t="shared" ca="1" si="71"/>
        <v>5</v>
      </c>
      <c r="P397" t="str">
        <f t="shared" ca="1" si="72"/>
        <v>Yes</v>
      </c>
      <c r="Q397" t="str" cm="1">
        <f t="array" aca="1" ref="Q397" ca="1">INDEX(sheet2!$C$2:$C$6, RANDBETWEEN(1, 5))</f>
        <v>Ethics and Responsibilities</v>
      </c>
      <c r="R397" t="str">
        <f t="shared" ca="1" si="65"/>
        <v>Not Completed</v>
      </c>
      <c r="S397">
        <f ca="1">Table1[[#This Row],[Hire Date]]-Table1[[#This Row],[Job Posting Date]]</f>
        <v>35</v>
      </c>
    </row>
    <row r="398" spans="1:19" x14ac:dyDescent="0.2">
      <c r="A398" t="str">
        <f t="shared" si="66"/>
        <v>EMP397</v>
      </c>
      <c r="B398" t="str">
        <f t="shared" ca="1" si="67"/>
        <v>Female</v>
      </c>
      <c r="C398" t="str" cm="1">
        <f t="array" aca="1" ref="C398" ca="1">INDEX(sheet2!$A$2:$A$6, RANDBETWEEN(1, 5))</f>
        <v>Finance</v>
      </c>
      <c r="D398" t="str">
        <f ca="1">_xlfn.XLOOKUP(Table1[[#This Row],[Department]],sheet2!$A$2:$A$6,sheet2!$B$2:$B$6,_xleta.NA,0)</f>
        <v>Finance Manager</v>
      </c>
      <c r="E398" s="1">
        <f t="shared" ca="1" si="63"/>
        <v>43600</v>
      </c>
      <c r="F398" s="1">
        <f ca="1">Table1[[#This Row],[Job Posting Date]]+ RANDBETWEEN(15, 90)</f>
        <v>43659</v>
      </c>
      <c r="G398" s="1">
        <f ca="1">Table1[[#This Row],[Hire Date]]+ RANDBETWEEN(1, 15)</f>
        <v>43660</v>
      </c>
      <c r="H398" s="1" t="str">
        <f ca="1">IF(RAND() &lt; 0.5,  Table1[[#This Row],[Join Date]]+ RANDBETWEEN(30, TODAY()- Table1[[#This Row],[Join Date]]), "-")</f>
        <v>-</v>
      </c>
      <c r="I398" t="str">
        <f ca="1">IF(Table1[[#This Row],[Exit Date]]= "-", "Active", "Exited")</f>
        <v>Active</v>
      </c>
      <c r="J398" s="5">
        <f t="shared" ca="1" si="64"/>
        <v>2761</v>
      </c>
      <c r="K398">
        <f ca="1">Table1[[#This Row],[Offers Made]]*2</f>
        <v>16</v>
      </c>
      <c r="L398">
        <f t="shared" ca="1" si="68"/>
        <v>8</v>
      </c>
      <c r="M398">
        <f t="shared" ca="1" si="69"/>
        <v>4</v>
      </c>
      <c r="N398" t="str">
        <f t="shared" ca="1" si="70"/>
        <v>Employee Referrals</v>
      </c>
      <c r="O398">
        <f t="shared" ca="1" si="71"/>
        <v>1</v>
      </c>
      <c r="P398" t="str">
        <f t="shared" ca="1" si="72"/>
        <v>No</v>
      </c>
      <c r="Q398" t="str" cm="1">
        <f t="array" aca="1" ref="Q398" ca="1">INDEX(sheet2!$C$2:$C$6, RANDBETWEEN(1, 5))</f>
        <v>Communication Skills</v>
      </c>
      <c r="R398" t="str">
        <f t="shared" ca="1" si="65"/>
        <v>Completed</v>
      </c>
      <c r="S398">
        <f ca="1">Table1[[#This Row],[Hire Date]]-Table1[[#This Row],[Job Posting Date]]</f>
        <v>59</v>
      </c>
    </row>
    <row r="399" spans="1:19" x14ac:dyDescent="0.2">
      <c r="A399" t="str">
        <f t="shared" si="66"/>
        <v>EMP398</v>
      </c>
      <c r="B399" t="str">
        <f t="shared" ca="1" si="67"/>
        <v>Female</v>
      </c>
      <c r="C399" t="str" cm="1">
        <f t="array" aca="1" ref="C399" ca="1">INDEX(sheet2!$A$2:$A$6, RANDBETWEEN(1, 5))</f>
        <v>HR</v>
      </c>
      <c r="D399" t="str">
        <f ca="1">_xlfn.XLOOKUP(Table1[[#This Row],[Department]],sheet2!$A$2:$A$6,sheet2!$B$2:$B$6,_xleta.NA,0)</f>
        <v>HR Manager</v>
      </c>
      <c r="E399" s="1">
        <f t="shared" ca="1" si="63"/>
        <v>44708</v>
      </c>
      <c r="F399" s="1">
        <f ca="1">Table1[[#This Row],[Job Posting Date]]+ RANDBETWEEN(15, 90)</f>
        <v>44737</v>
      </c>
      <c r="G399" s="1">
        <f ca="1">Table1[[#This Row],[Hire Date]]+ RANDBETWEEN(1, 15)</f>
        <v>44749</v>
      </c>
      <c r="H399" s="1">
        <f ca="1">IF(RAND() &lt; 0.5,  Table1[[#This Row],[Join Date]]+ RANDBETWEEN(30, TODAY()- Table1[[#This Row],[Join Date]]), "-")</f>
        <v>45532</v>
      </c>
      <c r="I399" t="str">
        <f ca="1">IF(Table1[[#This Row],[Exit Date]]= "-", "Active", "Exited")</f>
        <v>Exited</v>
      </c>
      <c r="J399" s="5">
        <f t="shared" ca="1" si="64"/>
        <v>1799</v>
      </c>
      <c r="K399">
        <f ca="1">Table1[[#This Row],[Offers Made]]*2</f>
        <v>12</v>
      </c>
      <c r="L399">
        <f t="shared" ca="1" si="68"/>
        <v>6</v>
      </c>
      <c r="M399">
        <f t="shared" ca="1" si="69"/>
        <v>3</v>
      </c>
      <c r="N399" t="str">
        <f t="shared" ca="1" si="70"/>
        <v>Employee Referrals</v>
      </c>
      <c r="O399">
        <f t="shared" ca="1" si="71"/>
        <v>5</v>
      </c>
      <c r="P399" t="str">
        <f t="shared" ca="1" si="72"/>
        <v>Yes</v>
      </c>
      <c r="Q399" t="str" cm="1">
        <f t="array" aca="1" ref="Q399" ca="1">INDEX(sheet2!$C$2:$C$6, RANDBETWEEN(1, 5))</f>
        <v>Ethics and Responsibilities</v>
      </c>
      <c r="R399" t="str">
        <f t="shared" ca="1" si="65"/>
        <v>Not Completed</v>
      </c>
      <c r="S399">
        <f ca="1">Table1[[#This Row],[Hire Date]]-Table1[[#This Row],[Job Posting Date]]</f>
        <v>29</v>
      </c>
    </row>
    <row r="400" spans="1:19" x14ac:dyDescent="0.2">
      <c r="A400" t="str">
        <f t="shared" si="66"/>
        <v>EMP399</v>
      </c>
      <c r="B400" t="str">
        <f t="shared" ca="1" si="67"/>
        <v>Male</v>
      </c>
      <c r="C400" t="str" cm="1">
        <f t="array" aca="1" ref="C400" ca="1">INDEX(sheet2!$A$2:$A$6, RANDBETWEEN(1, 5))</f>
        <v>Analytics</v>
      </c>
      <c r="D400" t="str">
        <f ca="1">_xlfn.XLOOKUP(Table1[[#This Row],[Department]],sheet2!$A$2:$A$6,sheet2!$B$2:$B$6,_xleta.NA,0)</f>
        <v>Data Analyst</v>
      </c>
      <c r="E400" s="1">
        <f t="shared" ca="1" si="63"/>
        <v>44202</v>
      </c>
      <c r="F400" s="1">
        <f ca="1">Table1[[#This Row],[Job Posting Date]]+ RANDBETWEEN(15, 90)</f>
        <v>44277</v>
      </c>
      <c r="G400" s="1">
        <f ca="1">Table1[[#This Row],[Hire Date]]+ RANDBETWEEN(1, 15)</f>
        <v>44290</v>
      </c>
      <c r="H400" s="1">
        <f ca="1">IF(RAND() &lt; 0.5,  Table1[[#This Row],[Join Date]]+ RANDBETWEEN(30, TODAY()- Table1[[#This Row],[Join Date]]), "-")</f>
        <v>44631</v>
      </c>
      <c r="I400" t="str">
        <f ca="1">IF(Table1[[#This Row],[Exit Date]]= "-", "Active", "Exited")</f>
        <v>Exited</v>
      </c>
      <c r="J400" s="5">
        <f t="shared" ca="1" si="64"/>
        <v>3299</v>
      </c>
      <c r="K400">
        <f ca="1">Table1[[#This Row],[Offers Made]]*2</f>
        <v>14</v>
      </c>
      <c r="L400">
        <f t="shared" ca="1" si="68"/>
        <v>7</v>
      </c>
      <c r="M400">
        <f t="shared" ca="1" si="69"/>
        <v>4</v>
      </c>
      <c r="N400" t="str">
        <f t="shared" ca="1" si="70"/>
        <v>Campus Placements</v>
      </c>
      <c r="O400">
        <f t="shared" ca="1" si="71"/>
        <v>3</v>
      </c>
      <c r="P400" t="str">
        <f t="shared" ca="1" si="72"/>
        <v>No</v>
      </c>
      <c r="Q400" t="str" cm="1">
        <f t="array" aca="1" ref="Q400" ca="1">INDEX(sheet2!$C$2:$C$6, RANDBETWEEN(1, 5))</f>
        <v>Communication Skills</v>
      </c>
      <c r="R400" t="str">
        <f t="shared" ca="1" si="65"/>
        <v>Completed</v>
      </c>
      <c r="S400">
        <f ca="1">Table1[[#This Row],[Hire Date]]-Table1[[#This Row],[Job Posting Date]]</f>
        <v>75</v>
      </c>
    </row>
    <row r="401" spans="1:19" x14ac:dyDescent="0.2">
      <c r="A401" t="str">
        <f t="shared" si="66"/>
        <v>EMP400</v>
      </c>
      <c r="B401" t="str">
        <f t="shared" ca="1" si="67"/>
        <v>Male</v>
      </c>
      <c r="C401" t="str" cm="1">
        <f t="array" aca="1" ref="C401" ca="1">INDEX(sheet2!$A$2:$A$6, RANDBETWEEN(1, 5))</f>
        <v>IT</v>
      </c>
      <c r="D401" t="str">
        <f ca="1">_xlfn.XLOOKUP(Table1[[#This Row],[Department]],sheet2!$A$2:$A$6,sheet2!$B$2:$B$6,_xleta.NA,0)</f>
        <v>Software Engineer</v>
      </c>
      <c r="E401" s="1">
        <f t="shared" ca="1" si="63"/>
        <v>43273</v>
      </c>
      <c r="F401" s="1">
        <f ca="1">Table1[[#This Row],[Job Posting Date]]+ RANDBETWEEN(15, 90)</f>
        <v>43324</v>
      </c>
      <c r="G401" s="1">
        <f ca="1">Table1[[#This Row],[Hire Date]]+ RANDBETWEEN(1, 15)</f>
        <v>43332</v>
      </c>
      <c r="H401" s="1" t="str">
        <f ca="1">IF(RAND() &lt; 0.5,  Table1[[#This Row],[Join Date]]+ RANDBETWEEN(30, TODAY()- Table1[[#This Row],[Join Date]]), "-")</f>
        <v>-</v>
      </c>
      <c r="I401" t="str">
        <f ca="1">IF(Table1[[#This Row],[Exit Date]]= "-", "Active", "Exited")</f>
        <v>Active</v>
      </c>
      <c r="J401" s="5">
        <f t="shared" ca="1" si="64"/>
        <v>3066</v>
      </c>
      <c r="K401">
        <f ca="1">Table1[[#This Row],[Offers Made]]*2</f>
        <v>6</v>
      </c>
      <c r="L401">
        <f t="shared" ca="1" si="68"/>
        <v>3</v>
      </c>
      <c r="M401">
        <f t="shared" ca="1" si="69"/>
        <v>1</v>
      </c>
      <c r="N401" t="str">
        <f t="shared" ca="1" si="70"/>
        <v>Campus Placements</v>
      </c>
      <c r="O401">
        <f t="shared" ca="1" si="71"/>
        <v>3</v>
      </c>
      <c r="P401" t="str">
        <f t="shared" ca="1" si="72"/>
        <v>No</v>
      </c>
      <c r="Q401" t="str" cm="1">
        <f t="array" aca="1" ref="Q401" ca="1">INDEX(sheet2!$C$2:$C$6, RANDBETWEEN(1, 5))</f>
        <v>Leadership Development</v>
      </c>
      <c r="R401" t="str">
        <f t="shared" ca="1" si="65"/>
        <v>Completed</v>
      </c>
      <c r="S401">
        <f ca="1">Table1[[#This Row],[Hire Date]]-Table1[[#This Row],[Job Posting Date]]</f>
        <v>51</v>
      </c>
    </row>
    <row r="402" spans="1:19" x14ac:dyDescent="0.2">
      <c r="A402" t="str">
        <f t="shared" si="66"/>
        <v>EMP401</v>
      </c>
      <c r="B402" t="str">
        <f t="shared" ca="1" si="67"/>
        <v>Male</v>
      </c>
      <c r="C402" t="str" cm="1">
        <f t="array" aca="1" ref="C402" ca="1">INDEX(sheet2!$A$2:$A$6, RANDBETWEEN(1, 5))</f>
        <v>Sales</v>
      </c>
      <c r="D402" t="str">
        <f ca="1">_xlfn.XLOOKUP(Table1[[#This Row],[Department]],sheet2!$A$2:$A$6,sheet2!$B$2:$B$6,_xleta.NA,0)</f>
        <v>Marketing Manager</v>
      </c>
      <c r="E402" s="1">
        <f t="shared" ca="1" si="63"/>
        <v>43933</v>
      </c>
      <c r="F402" s="1">
        <f ca="1">Table1[[#This Row],[Job Posting Date]]+ RANDBETWEEN(15, 90)</f>
        <v>44011</v>
      </c>
      <c r="G402" s="1">
        <f ca="1">Table1[[#This Row],[Hire Date]]+ RANDBETWEEN(1, 15)</f>
        <v>44025</v>
      </c>
      <c r="H402" s="1" t="str">
        <f ca="1">IF(RAND() &lt; 0.5,  Table1[[#This Row],[Join Date]]+ RANDBETWEEN(30, TODAY()- Table1[[#This Row],[Join Date]]), "-")</f>
        <v>-</v>
      </c>
      <c r="I402" t="str">
        <f ca="1">IF(Table1[[#This Row],[Exit Date]]= "-", "Active", "Exited")</f>
        <v>Active</v>
      </c>
      <c r="J402" s="5">
        <f t="shared" ca="1" si="64"/>
        <v>3041</v>
      </c>
      <c r="K402">
        <f ca="1">Table1[[#This Row],[Offers Made]]*2</f>
        <v>12</v>
      </c>
      <c r="L402">
        <f t="shared" ca="1" si="68"/>
        <v>6</v>
      </c>
      <c r="M402">
        <f t="shared" ca="1" si="69"/>
        <v>4</v>
      </c>
      <c r="N402" t="str">
        <f t="shared" ca="1" si="70"/>
        <v>Campus Placements</v>
      </c>
      <c r="O402">
        <f t="shared" ca="1" si="71"/>
        <v>4</v>
      </c>
      <c r="P402" t="str">
        <f t="shared" ca="1" si="72"/>
        <v>No</v>
      </c>
      <c r="Q402" t="str" cm="1">
        <f t="array" aca="1" ref="Q402" ca="1">INDEX(sheet2!$C$2:$C$6, RANDBETWEEN(1, 5))</f>
        <v>Leadership Development</v>
      </c>
      <c r="R402" t="str">
        <f t="shared" ca="1" si="65"/>
        <v>Completed</v>
      </c>
      <c r="S402">
        <f ca="1">Table1[[#This Row],[Hire Date]]-Table1[[#This Row],[Job Posting Date]]</f>
        <v>78</v>
      </c>
    </row>
    <row r="403" spans="1:19" x14ac:dyDescent="0.2">
      <c r="A403" t="str">
        <f t="shared" si="66"/>
        <v>EMP402</v>
      </c>
      <c r="B403" t="str">
        <f t="shared" ca="1" si="67"/>
        <v>Male</v>
      </c>
      <c r="C403" t="str" cm="1">
        <f t="array" aca="1" ref="C403" ca="1">INDEX(sheet2!$A$2:$A$6, RANDBETWEEN(1, 5))</f>
        <v>Analytics</v>
      </c>
      <c r="D403" t="str">
        <f ca="1">_xlfn.XLOOKUP(Table1[[#This Row],[Department]],sheet2!$A$2:$A$6,sheet2!$B$2:$B$6,_xleta.NA,0)</f>
        <v>Data Analyst</v>
      </c>
      <c r="E403" s="1">
        <f t="shared" ca="1" si="63"/>
        <v>43217</v>
      </c>
      <c r="F403" s="1">
        <f ca="1">Table1[[#This Row],[Job Posting Date]]+ RANDBETWEEN(15, 90)</f>
        <v>43291</v>
      </c>
      <c r="G403" s="1">
        <f ca="1">Table1[[#This Row],[Hire Date]]+ RANDBETWEEN(1, 15)</f>
        <v>43296</v>
      </c>
      <c r="H403" s="1" t="str">
        <f ca="1">IF(RAND() &lt; 0.5,  Table1[[#This Row],[Join Date]]+ RANDBETWEEN(30, TODAY()- Table1[[#This Row],[Join Date]]), "-")</f>
        <v>-</v>
      </c>
      <c r="I403" t="str">
        <f ca="1">IF(Table1[[#This Row],[Exit Date]]= "-", "Active", "Exited")</f>
        <v>Active</v>
      </c>
      <c r="J403" s="5">
        <f t="shared" ca="1" si="64"/>
        <v>4813</v>
      </c>
      <c r="K403">
        <f ca="1">Table1[[#This Row],[Offers Made]]*2</f>
        <v>8</v>
      </c>
      <c r="L403">
        <f t="shared" ca="1" si="68"/>
        <v>4</v>
      </c>
      <c r="M403">
        <f t="shared" ca="1" si="69"/>
        <v>1</v>
      </c>
      <c r="N403" t="str">
        <f t="shared" ca="1" si="70"/>
        <v>Job Portals</v>
      </c>
      <c r="O403">
        <f t="shared" ca="1" si="71"/>
        <v>3</v>
      </c>
      <c r="P403" t="str">
        <f t="shared" ca="1" si="72"/>
        <v>No</v>
      </c>
      <c r="Q403" t="str" cm="1">
        <f t="array" aca="1" ref="Q403" ca="1">INDEX(sheet2!$C$2:$C$6, RANDBETWEEN(1, 5))</f>
        <v>Ethics and Responsibilities</v>
      </c>
      <c r="R403" t="str">
        <f t="shared" ca="1" si="65"/>
        <v>Completed</v>
      </c>
      <c r="S403">
        <f ca="1">Table1[[#This Row],[Hire Date]]-Table1[[#This Row],[Job Posting Date]]</f>
        <v>74</v>
      </c>
    </row>
    <row r="404" spans="1:19" x14ac:dyDescent="0.2">
      <c r="A404" t="str">
        <f t="shared" si="66"/>
        <v>EMP403</v>
      </c>
      <c r="B404" t="str">
        <f t="shared" ca="1" si="67"/>
        <v>Male</v>
      </c>
      <c r="C404" t="str" cm="1">
        <f t="array" aca="1" ref="C404" ca="1">INDEX(sheet2!$A$2:$A$6, RANDBETWEEN(1, 5))</f>
        <v>HR</v>
      </c>
      <c r="D404" t="str">
        <f ca="1">_xlfn.XLOOKUP(Table1[[#This Row],[Department]],sheet2!$A$2:$A$6,sheet2!$B$2:$B$6,_xleta.NA,0)</f>
        <v>HR Manager</v>
      </c>
      <c r="E404" s="1">
        <f t="shared" ca="1" si="63"/>
        <v>43485</v>
      </c>
      <c r="F404" s="1">
        <f ca="1">Table1[[#This Row],[Job Posting Date]]+ RANDBETWEEN(15, 90)</f>
        <v>43511</v>
      </c>
      <c r="G404" s="1">
        <f ca="1">Table1[[#This Row],[Hire Date]]+ RANDBETWEEN(1, 15)</f>
        <v>43525</v>
      </c>
      <c r="H404" s="1" t="str">
        <f ca="1">IF(RAND() &lt; 0.5,  Table1[[#This Row],[Join Date]]+ RANDBETWEEN(30, TODAY()- Table1[[#This Row],[Join Date]]), "-")</f>
        <v>-</v>
      </c>
      <c r="I404" t="str">
        <f ca="1">IF(Table1[[#This Row],[Exit Date]]= "-", "Active", "Exited")</f>
        <v>Active</v>
      </c>
      <c r="J404" s="5">
        <f t="shared" ca="1" si="64"/>
        <v>1593</v>
      </c>
      <c r="K404">
        <f ca="1">Table1[[#This Row],[Offers Made]]*2</f>
        <v>16</v>
      </c>
      <c r="L404">
        <f t="shared" ca="1" si="68"/>
        <v>8</v>
      </c>
      <c r="M404">
        <f t="shared" ca="1" si="69"/>
        <v>7</v>
      </c>
      <c r="N404" t="str">
        <f t="shared" ca="1" si="70"/>
        <v>Employee Referrals</v>
      </c>
      <c r="O404">
        <f t="shared" ca="1" si="71"/>
        <v>4</v>
      </c>
      <c r="P404" t="str">
        <f t="shared" ca="1" si="72"/>
        <v>Yes</v>
      </c>
      <c r="Q404" t="str" cm="1">
        <f t="array" aca="1" ref="Q404" ca="1">INDEX(sheet2!$C$2:$C$6, RANDBETWEEN(1, 5))</f>
        <v>Advanced Excel Skills </v>
      </c>
      <c r="R404" t="str">
        <f t="shared" ca="1" si="65"/>
        <v>Completed</v>
      </c>
      <c r="S404">
        <f ca="1">Table1[[#This Row],[Hire Date]]-Table1[[#This Row],[Job Posting Date]]</f>
        <v>26</v>
      </c>
    </row>
    <row r="405" spans="1:19" x14ac:dyDescent="0.2">
      <c r="A405" t="str">
        <f t="shared" si="66"/>
        <v>EMP404</v>
      </c>
      <c r="B405" t="str">
        <f t="shared" ca="1" si="67"/>
        <v>Male</v>
      </c>
      <c r="C405" t="str" cm="1">
        <f t="array" aca="1" ref="C405" ca="1">INDEX(sheet2!$A$2:$A$6, RANDBETWEEN(1, 5))</f>
        <v>HR</v>
      </c>
      <c r="D405" t="str">
        <f ca="1">_xlfn.XLOOKUP(Table1[[#This Row],[Department]],sheet2!$A$2:$A$6,sheet2!$B$2:$B$6,_xleta.NA,0)</f>
        <v>HR Manager</v>
      </c>
      <c r="E405" s="1">
        <f t="shared" ca="1" si="63"/>
        <v>44147</v>
      </c>
      <c r="F405" s="1">
        <f ca="1">Table1[[#This Row],[Job Posting Date]]+ RANDBETWEEN(15, 90)</f>
        <v>44162</v>
      </c>
      <c r="G405" s="1">
        <f ca="1">Table1[[#This Row],[Hire Date]]+ RANDBETWEEN(1, 15)</f>
        <v>44163</v>
      </c>
      <c r="H405" s="1" t="str">
        <f ca="1">IF(RAND() &lt; 0.5,  Table1[[#This Row],[Join Date]]+ RANDBETWEEN(30, TODAY()- Table1[[#This Row],[Join Date]]), "-")</f>
        <v>-</v>
      </c>
      <c r="I405" t="str">
        <f ca="1">IF(Table1[[#This Row],[Exit Date]]= "-", "Active", "Exited")</f>
        <v>Active</v>
      </c>
      <c r="J405" s="5">
        <f t="shared" ca="1" si="64"/>
        <v>4934</v>
      </c>
      <c r="K405">
        <f ca="1">Table1[[#This Row],[Offers Made]]*2</f>
        <v>8</v>
      </c>
      <c r="L405">
        <f t="shared" ca="1" si="68"/>
        <v>4</v>
      </c>
      <c r="M405">
        <f t="shared" ca="1" si="69"/>
        <v>1</v>
      </c>
      <c r="N405" t="str">
        <f t="shared" ca="1" si="70"/>
        <v>Employee Referrals</v>
      </c>
      <c r="O405">
        <f t="shared" ca="1" si="71"/>
        <v>3</v>
      </c>
      <c r="P405" t="str">
        <f t="shared" ca="1" si="72"/>
        <v>Yes</v>
      </c>
      <c r="Q405" t="str" cm="1">
        <f t="array" aca="1" ref="Q405" ca="1">INDEX(sheet2!$C$2:$C$6, RANDBETWEEN(1, 5))</f>
        <v>Conflict Resolution</v>
      </c>
      <c r="R405" t="str">
        <f t="shared" ca="1" si="65"/>
        <v>Not Completed</v>
      </c>
      <c r="S405">
        <f ca="1">Table1[[#This Row],[Hire Date]]-Table1[[#This Row],[Job Posting Date]]</f>
        <v>15</v>
      </c>
    </row>
    <row r="406" spans="1:19" x14ac:dyDescent="0.2">
      <c r="A406" t="str">
        <f t="shared" si="66"/>
        <v>EMP405</v>
      </c>
      <c r="B406" t="str">
        <f t="shared" ca="1" si="67"/>
        <v>Male</v>
      </c>
      <c r="C406" t="str" cm="1">
        <f t="array" aca="1" ref="C406" ca="1">INDEX(sheet2!$A$2:$A$6, RANDBETWEEN(1, 5))</f>
        <v>HR</v>
      </c>
      <c r="D406" t="str">
        <f ca="1">_xlfn.XLOOKUP(Table1[[#This Row],[Department]],sheet2!$A$2:$A$6,sheet2!$B$2:$B$6,_xleta.NA,0)</f>
        <v>HR Manager</v>
      </c>
      <c r="E406" s="1">
        <f t="shared" ca="1" si="63"/>
        <v>43292</v>
      </c>
      <c r="F406" s="1">
        <f ca="1">Table1[[#This Row],[Job Posting Date]]+ RANDBETWEEN(15, 90)</f>
        <v>43324</v>
      </c>
      <c r="G406" s="1">
        <f ca="1">Table1[[#This Row],[Hire Date]]+ RANDBETWEEN(1, 15)</f>
        <v>43336</v>
      </c>
      <c r="H406" s="1">
        <f ca="1">IF(RAND() &lt; 0.5,  Table1[[#This Row],[Join Date]]+ RANDBETWEEN(30, TODAY()- Table1[[#This Row],[Join Date]]), "-")</f>
        <v>43891</v>
      </c>
      <c r="I406" t="str">
        <f ca="1">IF(Table1[[#This Row],[Exit Date]]= "-", "Active", "Exited")</f>
        <v>Exited</v>
      </c>
      <c r="J406" s="5">
        <f t="shared" ca="1" si="64"/>
        <v>2933</v>
      </c>
      <c r="K406">
        <f ca="1">Table1[[#This Row],[Offers Made]]*2</f>
        <v>6</v>
      </c>
      <c r="L406">
        <f t="shared" ca="1" si="68"/>
        <v>3</v>
      </c>
      <c r="M406">
        <f t="shared" ca="1" si="69"/>
        <v>2</v>
      </c>
      <c r="N406" t="str">
        <f t="shared" ca="1" si="70"/>
        <v>Employee Referrals</v>
      </c>
      <c r="O406">
        <f t="shared" ca="1" si="71"/>
        <v>1</v>
      </c>
      <c r="P406" t="str">
        <f t="shared" ca="1" si="72"/>
        <v>Yes</v>
      </c>
      <c r="Q406" t="str" cm="1">
        <f t="array" aca="1" ref="Q406" ca="1">INDEX(sheet2!$C$2:$C$6, RANDBETWEEN(1, 5))</f>
        <v>Conflict Resolution</v>
      </c>
      <c r="R406" t="str">
        <f t="shared" ca="1" si="65"/>
        <v>Not Completed</v>
      </c>
      <c r="S406">
        <f ca="1">Table1[[#This Row],[Hire Date]]-Table1[[#This Row],[Job Posting Date]]</f>
        <v>32</v>
      </c>
    </row>
    <row r="407" spans="1:19" x14ac:dyDescent="0.2">
      <c r="A407" t="str">
        <f t="shared" si="66"/>
        <v>EMP406</v>
      </c>
      <c r="B407" t="str">
        <f t="shared" ca="1" si="67"/>
        <v>Male</v>
      </c>
      <c r="C407" t="str" cm="1">
        <f t="array" aca="1" ref="C407" ca="1">INDEX(sheet2!$A$2:$A$6, RANDBETWEEN(1, 5))</f>
        <v>HR</v>
      </c>
      <c r="D407" t="str">
        <f ca="1">_xlfn.XLOOKUP(Table1[[#This Row],[Department]],sheet2!$A$2:$A$6,sheet2!$B$2:$B$6,_xleta.NA,0)</f>
        <v>HR Manager</v>
      </c>
      <c r="E407" s="1">
        <f t="shared" ca="1" si="63"/>
        <v>44159</v>
      </c>
      <c r="F407" s="1">
        <f ca="1">Table1[[#This Row],[Job Posting Date]]+ RANDBETWEEN(15, 90)</f>
        <v>44228</v>
      </c>
      <c r="G407" s="1">
        <f ca="1">Table1[[#This Row],[Hire Date]]+ RANDBETWEEN(1, 15)</f>
        <v>44239</v>
      </c>
      <c r="H407" s="1" t="str">
        <f ca="1">IF(RAND() &lt; 0.5,  Table1[[#This Row],[Join Date]]+ RANDBETWEEN(30, TODAY()- Table1[[#This Row],[Join Date]]), "-")</f>
        <v>-</v>
      </c>
      <c r="I407" t="str">
        <f ca="1">IF(Table1[[#This Row],[Exit Date]]= "-", "Active", "Exited")</f>
        <v>Active</v>
      </c>
      <c r="J407" s="5">
        <f t="shared" ca="1" si="64"/>
        <v>3935</v>
      </c>
      <c r="K407">
        <f ca="1">Table1[[#This Row],[Offers Made]]*2</f>
        <v>14</v>
      </c>
      <c r="L407">
        <f t="shared" ca="1" si="68"/>
        <v>7</v>
      </c>
      <c r="M407">
        <f t="shared" ca="1" si="69"/>
        <v>1</v>
      </c>
      <c r="N407" t="str">
        <f t="shared" ca="1" si="70"/>
        <v>Job Portals</v>
      </c>
      <c r="O407">
        <f t="shared" ca="1" si="71"/>
        <v>5</v>
      </c>
      <c r="P407" t="str">
        <f t="shared" ca="1" si="72"/>
        <v>No</v>
      </c>
      <c r="Q407" t="str" cm="1">
        <f t="array" aca="1" ref="Q407" ca="1">INDEX(sheet2!$C$2:$C$6, RANDBETWEEN(1, 5))</f>
        <v>Ethics and Responsibilities</v>
      </c>
      <c r="R407" t="str">
        <f t="shared" ca="1" si="65"/>
        <v>Completed</v>
      </c>
      <c r="S407">
        <f ca="1">Table1[[#This Row],[Hire Date]]-Table1[[#This Row],[Job Posting Date]]</f>
        <v>69</v>
      </c>
    </row>
    <row r="408" spans="1:19" x14ac:dyDescent="0.2">
      <c r="A408" t="str">
        <f t="shared" si="66"/>
        <v>EMP407</v>
      </c>
      <c r="B408" t="str">
        <f t="shared" ca="1" si="67"/>
        <v>Female</v>
      </c>
      <c r="C408" t="str" cm="1">
        <f t="array" aca="1" ref="C408" ca="1">INDEX(sheet2!$A$2:$A$6, RANDBETWEEN(1, 5))</f>
        <v>Finance</v>
      </c>
      <c r="D408" t="str">
        <f ca="1">_xlfn.XLOOKUP(Table1[[#This Row],[Department]],sheet2!$A$2:$A$6,sheet2!$B$2:$B$6,_xleta.NA,0)</f>
        <v>Finance Manager</v>
      </c>
      <c r="E408" s="1">
        <f t="shared" ca="1" si="63"/>
        <v>43277</v>
      </c>
      <c r="F408" s="1">
        <f ca="1">Table1[[#This Row],[Job Posting Date]]+ RANDBETWEEN(15, 90)</f>
        <v>43312</v>
      </c>
      <c r="G408" s="1">
        <f ca="1">Table1[[#This Row],[Hire Date]]+ RANDBETWEEN(1, 15)</f>
        <v>43318</v>
      </c>
      <c r="H408" s="1" t="str">
        <f ca="1">IF(RAND() &lt; 0.5,  Table1[[#This Row],[Join Date]]+ RANDBETWEEN(30, TODAY()- Table1[[#This Row],[Join Date]]), "-")</f>
        <v>-</v>
      </c>
      <c r="I408" t="str">
        <f ca="1">IF(Table1[[#This Row],[Exit Date]]= "-", "Active", "Exited")</f>
        <v>Active</v>
      </c>
      <c r="J408" s="5">
        <f t="shared" ca="1" si="64"/>
        <v>3097</v>
      </c>
      <c r="K408">
        <f ca="1">Table1[[#This Row],[Offers Made]]*2</f>
        <v>14</v>
      </c>
      <c r="L408">
        <f t="shared" ca="1" si="68"/>
        <v>7</v>
      </c>
      <c r="M408">
        <f t="shared" ca="1" si="69"/>
        <v>4</v>
      </c>
      <c r="N408" t="str">
        <f t="shared" ca="1" si="70"/>
        <v>Employee Referrals</v>
      </c>
      <c r="O408">
        <f t="shared" ca="1" si="71"/>
        <v>5</v>
      </c>
      <c r="P408" t="str">
        <f t="shared" ca="1" si="72"/>
        <v>No</v>
      </c>
      <c r="Q408" t="str" cm="1">
        <f t="array" aca="1" ref="Q408" ca="1">INDEX(sheet2!$C$2:$C$6, RANDBETWEEN(1, 5))</f>
        <v>Leadership Development</v>
      </c>
      <c r="R408" t="str">
        <f t="shared" ca="1" si="65"/>
        <v>Completed</v>
      </c>
      <c r="S408">
        <f ca="1">Table1[[#This Row],[Hire Date]]-Table1[[#This Row],[Job Posting Date]]</f>
        <v>35</v>
      </c>
    </row>
    <row r="409" spans="1:19" x14ac:dyDescent="0.2">
      <c r="A409" t="str">
        <f t="shared" si="66"/>
        <v>EMP408</v>
      </c>
      <c r="B409" t="str">
        <f t="shared" ca="1" si="67"/>
        <v>Male</v>
      </c>
      <c r="C409" t="str" cm="1">
        <f t="array" aca="1" ref="C409" ca="1">INDEX(sheet2!$A$2:$A$6, RANDBETWEEN(1, 5))</f>
        <v>HR</v>
      </c>
      <c r="D409" t="str">
        <f ca="1">_xlfn.XLOOKUP(Table1[[#This Row],[Department]],sheet2!$A$2:$A$6,sheet2!$B$2:$B$6,_xleta.NA,0)</f>
        <v>HR Manager</v>
      </c>
      <c r="E409" s="1">
        <f t="shared" ca="1" si="63"/>
        <v>44571</v>
      </c>
      <c r="F409" s="1">
        <f ca="1">Table1[[#This Row],[Job Posting Date]]+ RANDBETWEEN(15, 90)</f>
        <v>44590</v>
      </c>
      <c r="G409" s="1">
        <f ca="1">Table1[[#This Row],[Hire Date]]+ RANDBETWEEN(1, 15)</f>
        <v>44599</v>
      </c>
      <c r="H409" s="1" t="str">
        <f ca="1">IF(RAND() &lt; 0.5,  Table1[[#This Row],[Join Date]]+ RANDBETWEEN(30, TODAY()- Table1[[#This Row],[Join Date]]), "-")</f>
        <v>-</v>
      </c>
      <c r="I409" t="str">
        <f ca="1">IF(Table1[[#This Row],[Exit Date]]= "-", "Active", "Exited")</f>
        <v>Active</v>
      </c>
      <c r="J409" s="5">
        <f t="shared" ca="1" si="64"/>
        <v>3920</v>
      </c>
      <c r="K409">
        <f ca="1">Table1[[#This Row],[Offers Made]]*2</f>
        <v>8</v>
      </c>
      <c r="L409">
        <f t="shared" ca="1" si="68"/>
        <v>4</v>
      </c>
      <c r="M409">
        <f t="shared" ca="1" si="69"/>
        <v>3</v>
      </c>
      <c r="N409" t="str">
        <f t="shared" ca="1" si="70"/>
        <v>Job Portals</v>
      </c>
      <c r="O409">
        <f t="shared" ca="1" si="71"/>
        <v>1</v>
      </c>
      <c r="P409" t="str">
        <f t="shared" ca="1" si="72"/>
        <v>No</v>
      </c>
      <c r="Q409" t="str" cm="1">
        <f t="array" aca="1" ref="Q409" ca="1">INDEX(sheet2!$C$2:$C$6, RANDBETWEEN(1, 5))</f>
        <v>Conflict Resolution</v>
      </c>
      <c r="R409" t="str">
        <f t="shared" ca="1" si="65"/>
        <v>Completed</v>
      </c>
      <c r="S409">
        <f ca="1">Table1[[#This Row],[Hire Date]]-Table1[[#This Row],[Job Posting Date]]</f>
        <v>19</v>
      </c>
    </row>
    <row r="410" spans="1:19" x14ac:dyDescent="0.2">
      <c r="A410" t="str">
        <f t="shared" si="66"/>
        <v>EMP409</v>
      </c>
      <c r="B410" t="str">
        <f t="shared" ca="1" si="67"/>
        <v>Female</v>
      </c>
      <c r="C410" t="str" cm="1">
        <f t="array" aca="1" ref="C410" ca="1">INDEX(sheet2!$A$2:$A$6, RANDBETWEEN(1, 5))</f>
        <v>Finance</v>
      </c>
      <c r="D410" t="str">
        <f ca="1">_xlfn.XLOOKUP(Table1[[#This Row],[Department]],sheet2!$A$2:$A$6,sheet2!$B$2:$B$6,_xleta.NA,0)</f>
        <v>Finance Manager</v>
      </c>
      <c r="E410" s="1">
        <f t="shared" ca="1" si="63"/>
        <v>44456</v>
      </c>
      <c r="F410" s="1">
        <f ca="1">Table1[[#This Row],[Job Posting Date]]+ RANDBETWEEN(15, 90)</f>
        <v>44491</v>
      </c>
      <c r="G410" s="1">
        <f ca="1">Table1[[#This Row],[Hire Date]]+ RANDBETWEEN(1, 15)</f>
        <v>44501</v>
      </c>
      <c r="H410" s="1" t="str">
        <f ca="1">IF(RAND() &lt; 0.5,  Table1[[#This Row],[Join Date]]+ RANDBETWEEN(30, TODAY()- Table1[[#This Row],[Join Date]]), "-")</f>
        <v>-</v>
      </c>
      <c r="I410" t="str">
        <f ca="1">IF(Table1[[#This Row],[Exit Date]]= "-", "Active", "Exited")</f>
        <v>Active</v>
      </c>
      <c r="J410" s="5">
        <f t="shared" ca="1" si="64"/>
        <v>2921</v>
      </c>
      <c r="K410">
        <f ca="1">Table1[[#This Row],[Offers Made]]*2</f>
        <v>6</v>
      </c>
      <c r="L410">
        <f t="shared" ca="1" si="68"/>
        <v>3</v>
      </c>
      <c r="M410">
        <f t="shared" ca="1" si="69"/>
        <v>1</v>
      </c>
      <c r="N410" t="str">
        <f t="shared" ca="1" si="70"/>
        <v>Employee Referrals</v>
      </c>
      <c r="O410">
        <f t="shared" ca="1" si="71"/>
        <v>4</v>
      </c>
      <c r="P410" t="str">
        <f t="shared" ca="1" si="72"/>
        <v>Yes</v>
      </c>
      <c r="Q410" t="str" cm="1">
        <f t="array" aca="1" ref="Q410" ca="1">INDEX(sheet2!$C$2:$C$6, RANDBETWEEN(1, 5))</f>
        <v>Ethics and Responsibilities</v>
      </c>
      <c r="R410" t="str">
        <f t="shared" ca="1" si="65"/>
        <v>Completed</v>
      </c>
      <c r="S410">
        <f ca="1">Table1[[#This Row],[Hire Date]]-Table1[[#This Row],[Job Posting Date]]</f>
        <v>35</v>
      </c>
    </row>
    <row r="411" spans="1:19" x14ac:dyDescent="0.2">
      <c r="A411" t="str">
        <f t="shared" si="66"/>
        <v>EMP410</v>
      </c>
      <c r="B411" t="str">
        <f t="shared" ca="1" si="67"/>
        <v>Male</v>
      </c>
      <c r="C411" t="str" cm="1">
        <f t="array" aca="1" ref="C411" ca="1">INDEX(sheet2!$A$2:$A$6, RANDBETWEEN(1, 5))</f>
        <v>Sales</v>
      </c>
      <c r="D411" t="str">
        <f ca="1">_xlfn.XLOOKUP(Table1[[#This Row],[Department]],sheet2!$A$2:$A$6,sheet2!$B$2:$B$6,_xleta.NA,0)</f>
        <v>Marketing Manager</v>
      </c>
      <c r="E411" s="1">
        <f t="shared" ca="1" si="63"/>
        <v>43900</v>
      </c>
      <c r="F411" s="1">
        <f ca="1">Table1[[#This Row],[Job Posting Date]]+ RANDBETWEEN(15, 90)</f>
        <v>43972</v>
      </c>
      <c r="G411" s="1">
        <f ca="1">Table1[[#This Row],[Hire Date]]+ RANDBETWEEN(1, 15)</f>
        <v>43977</v>
      </c>
      <c r="H411" s="1">
        <f ca="1">IF(RAND() &lt; 0.5,  Table1[[#This Row],[Join Date]]+ RANDBETWEEN(30, TODAY()- Table1[[#This Row],[Join Date]]), "-")</f>
        <v>45477</v>
      </c>
      <c r="I411" t="str">
        <f ca="1">IF(Table1[[#This Row],[Exit Date]]= "-", "Active", "Exited")</f>
        <v>Exited</v>
      </c>
      <c r="J411" s="5">
        <f t="shared" ca="1" si="64"/>
        <v>4551</v>
      </c>
      <c r="K411">
        <f ca="1">Table1[[#This Row],[Offers Made]]*2</f>
        <v>6</v>
      </c>
      <c r="L411">
        <f t="shared" ca="1" si="68"/>
        <v>3</v>
      </c>
      <c r="M411">
        <f t="shared" ca="1" si="69"/>
        <v>1</v>
      </c>
      <c r="N411" t="str">
        <f t="shared" ca="1" si="70"/>
        <v>Job Portals</v>
      </c>
      <c r="O411">
        <f t="shared" ca="1" si="71"/>
        <v>5</v>
      </c>
      <c r="P411" t="str">
        <f t="shared" ca="1" si="72"/>
        <v>No</v>
      </c>
      <c r="Q411" t="str" cm="1">
        <f t="array" aca="1" ref="Q411" ca="1">INDEX(sheet2!$C$2:$C$6, RANDBETWEEN(1, 5))</f>
        <v>Ethics and Responsibilities</v>
      </c>
      <c r="R411" t="str">
        <f t="shared" ca="1" si="65"/>
        <v>Completed</v>
      </c>
      <c r="S411">
        <f ca="1">Table1[[#This Row],[Hire Date]]-Table1[[#This Row],[Job Posting Date]]</f>
        <v>72</v>
      </c>
    </row>
    <row r="412" spans="1:19" x14ac:dyDescent="0.2">
      <c r="A412" t="str">
        <f t="shared" si="66"/>
        <v>EMP411</v>
      </c>
      <c r="B412" t="str">
        <f t="shared" ca="1" si="67"/>
        <v>Female</v>
      </c>
      <c r="C412" t="str" cm="1">
        <f t="array" aca="1" ref="C412" ca="1">INDEX(sheet2!$A$2:$A$6, RANDBETWEEN(1, 5))</f>
        <v>HR</v>
      </c>
      <c r="D412" t="str">
        <f ca="1">_xlfn.XLOOKUP(Table1[[#This Row],[Department]],sheet2!$A$2:$A$6,sheet2!$B$2:$B$6,_xleta.NA,0)</f>
        <v>HR Manager</v>
      </c>
      <c r="E412" s="1">
        <f t="shared" ca="1" si="63"/>
        <v>43960</v>
      </c>
      <c r="F412" s="1">
        <f ca="1">Table1[[#This Row],[Job Posting Date]]+ RANDBETWEEN(15, 90)</f>
        <v>44001</v>
      </c>
      <c r="G412" s="1">
        <f ca="1">Table1[[#This Row],[Hire Date]]+ RANDBETWEEN(1, 15)</f>
        <v>44004</v>
      </c>
      <c r="H412" s="1">
        <f ca="1">IF(RAND() &lt; 0.5,  Table1[[#This Row],[Join Date]]+ RANDBETWEEN(30, TODAY()- Table1[[#This Row],[Join Date]]), "-")</f>
        <v>45213</v>
      </c>
      <c r="I412" t="str">
        <f ca="1">IF(Table1[[#This Row],[Exit Date]]= "-", "Active", "Exited")</f>
        <v>Exited</v>
      </c>
      <c r="J412" s="5">
        <f t="shared" ca="1" si="64"/>
        <v>2701</v>
      </c>
      <c r="K412">
        <f ca="1">Table1[[#This Row],[Offers Made]]*2</f>
        <v>6</v>
      </c>
      <c r="L412">
        <f t="shared" ca="1" si="68"/>
        <v>3</v>
      </c>
      <c r="M412">
        <f t="shared" ca="1" si="69"/>
        <v>2</v>
      </c>
      <c r="N412" t="str">
        <f t="shared" ca="1" si="70"/>
        <v>Direct Hiring</v>
      </c>
      <c r="O412">
        <f t="shared" ca="1" si="71"/>
        <v>1</v>
      </c>
      <c r="P412" t="str">
        <f t="shared" ca="1" si="72"/>
        <v>No</v>
      </c>
      <c r="Q412" t="str" cm="1">
        <f t="array" aca="1" ref="Q412" ca="1">INDEX(sheet2!$C$2:$C$6, RANDBETWEEN(1, 5))</f>
        <v>Leadership Development</v>
      </c>
      <c r="R412" t="str">
        <f t="shared" ca="1" si="65"/>
        <v>Completed</v>
      </c>
      <c r="S412">
        <f ca="1">Table1[[#This Row],[Hire Date]]-Table1[[#This Row],[Job Posting Date]]</f>
        <v>41</v>
      </c>
    </row>
    <row r="413" spans="1:19" x14ac:dyDescent="0.2">
      <c r="A413" t="str">
        <f t="shared" si="66"/>
        <v>EMP412</v>
      </c>
      <c r="B413" t="str">
        <f t="shared" ca="1" si="67"/>
        <v>Male</v>
      </c>
      <c r="C413" t="str" cm="1">
        <f t="array" aca="1" ref="C413" ca="1">INDEX(sheet2!$A$2:$A$6, RANDBETWEEN(1, 5))</f>
        <v>Sales</v>
      </c>
      <c r="D413" t="str">
        <f ca="1">_xlfn.XLOOKUP(Table1[[#This Row],[Department]],sheet2!$A$2:$A$6,sheet2!$B$2:$B$6,_xleta.NA,0)</f>
        <v>Marketing Manager</v>
      </c>
      <c r="E413" s="1">
        <f t="shared" ca="1" si="63"/>
        <v>44432</v>
      </c>
      <c r="F413" s="1">
        <f ca="1">Table1[[#This Row],[Job Posting Date]]+ RANDBETWEEN(15, 90)</f>
        <v>44484</v>
      </c>
      <c r="G413" s="1">
        <f ca="1">Table1[[#This Row],[Hire Date]]+ RANDBETWEEN(1, 15)</f>
        <v>44498</v>
      </c>
      <c r="H413" s="1" t="str">
        <f ca="1">IF(RAND() &lt; 0.5,  Table1[[#This Row],[Join Date]]+ RANDBETWEEN(30, TODAY()- Table1[[#This Row],[Join Date]]), "-")</f>
        <v>-</v>
      </c>
      <c r="I413" t="str">
        <f ca="1">IF(Table1[[#This Row],[Exit Date]]= "-", "Active", "Exited")</f>
        <v>Active</v>
      </c>
      <c r="J413" s="5">
        <f t="shared" ca="1" si="64"/>
        <v>1887</v>
      </c>
      <c r="K413">
        <f ca="1">Table1[[#This Row],[Offers Made]]*2</f>
        <v>6</v>
      </c>
      <c r="L413">
        <f t="shared" ca="1" si="68"/>
        <v>3</v>
      </c>
      <c r="M413">
        <f t="shared" ca="1" si="69"/>
        <v>1</v>
      </c>
      <c r="N413" t="str">
        <f t="shared" ca="1" si="70"/>
        <v>Campus Placements</v>
      </c>
      <c r="O413">
        <f t="shared" ca="1" si="71"/>
        <v>5</v>
      </c>
      <c r="P413" t="str">
        <f t="shared" ca="1" si="72"/>
        <v>Yes</v>
      </c>
      <c r="Q413" t="str" cm="1">
        <f t="array" aca="1" ref="Q413" ca="1">INDEX(sheet2!$C$2:$C$6, RANDBETWEEN(1, 5))</f>
        <v>Ethics and Responsibilities</v>
      </c>
      <c r="R413" t="str">
        <f t="shared" ca="1" si="65"/>
        <v>Not Completed</v>
      </c>
      <c r="S413">
        <f ca="1">Table1[[#This Row],[Hire Date]]-Table1[[#This Row],[Job Posting Date]]</f>
        <v>52</v>
      </c>
    </row>
    <row r="414" spans="1:19" x14ac:dyDescent="0.2">
      <c r="A414" t="str">
        <f t="shared" si="66"/>
        <v>EMP413</v>
      </c>
      <c r="B414" t="str">
        <f t="shared" ca="1" si="67"/>
        <v>Female</v>
      </c>
      <c r="C414" t="str" cm="1">
        <f t="array" aca="1" ref="C414" ca="1">INDEX(sheet2!$A$2:$A$6, RANDBETWEEN(1, 5))</f>
        <v>Sales</v>
      </c>
      <c r="D414" t="str">
        <f ca="1">_xlfn.XLOOKUP(Table1[[#This Row],[Department]],sheet2!$A$2:$A$6,sheet2!$B$2:$B$6,_xleta.NA,0)</f>
        <v>Marketing Manager</v>
      </c>
      <c r="E414" s="1">
        <f t="shared" ca="1" si="63"/>
        <v>43516</v>
      </c>
      <c r="F414" s="1">
        <f ca="1">Table1[[#This Row],[Job Posting Date]]+ RANDBETWEEN(15, 90)</f>
        <v>43531</v>
      </c>
      <c r="G414" s="1">
        <f ca="1">Table1[[#This Row],[Hire Date]]+ RANDBETWEEN(1, 15)</f>
        <v>43535</v>
      </c>
      <c r="H414" s="1" t="str">
        <f ca="1">IF(RAND() &lt; 0.5,  Table1[[#This Row],[Join Date]]+ RANDBETWEEN(30, TODAY()- Table1[[#This Row],[Join Date]]), "-")</f>
        <v>-</v>
      </c>
      <c r="I414" t="str">
        <f ca="1">IF(Table1[[#This Row],[Exit Date]]= "-", "Active", "Exited")</f>
        <v>Active</v>
      </c>
      <c r="J414" s="5">
        <f t="shared" ca="1" si="64"/>
        <v>1719</v>
      </c>
      <c r="K414">
        <f ca="1">Table1[[#This Row],[Offers Made]]*2</f>
        <v>16</v>
      </c>
      <c r="L414">
        <f t="shared" ca="1" si="68"/>
        <v>8</v>
      </c>
      <c r="M414">
        <f t="shared" ca="1" si="69"/>
        <v>5</v>
      </c>
      <c r="N414" t="str">
        <f t="shared" ca="1" si="70"/>
        <v>Employee Referrals</v>
      </c>
      <c r="O414">
        <f t="shared" ca="1" si="71"/>
        <v>3</v>
      </c>
      <c r="P414" t="str">
        <f t="shared" ca="1" si="72"/>
        <v>Yes</v>
      </c>
      <c r="Q414" t="str" cm="1">
        <f t="array" aca="1" ref="Q414" ca="1">INDEX(sheet2!$C$2:$C$6, RANDBETWEEN(1, 5))</f>
        <v>Conflict Resolution</v>
      </c>
      <c r="R414" t="str">
        <f t="shared" ca="1" si="65"/>
        <v>Completed</v>
      </c>
      <c r="S414">
        <f ca="1">Table1[[#This Row],[Hire Date]]-Table1[[#This Row],[Job Posting Date]]</f>
        <v>15</v>
      </c>
    </row>
    <row r="415" spans="1:19" x14ac:dyDescent="0.2">
      <c r="A415" t="str">
        <f t="shared" si="66"/>
        <v>EMP414</v>
      </c>
      <c r="B415" t="str">
        <f t="shared" ca="1" si="67"/>
        <v>Male</v>
      </c>
      <c r="C415" t="str" cm="1">
        <f t="array" aca="1" ref="C415" ca="1">INDEX(sheet2!$A$2:$A$6, RANDBETWEEN(1, 5))</f>
        <v>Sales</v>
      </c>
      <c r="D415" t="str">
        <f ca="1">_xlfn.XLOOKUP(Table1[[#This Row],[Department]],sheet2!$A$2:$A$6,sheet2!$B$2:$B$6,_xleta.NA,0)</f>
        <v>Marketing Manager</v>
      </c>
      <c r="E415" s="1">
        <f t="shared" ca="1" si="63"/>
        <v>44091</v>
      </c>
      <c r="F415" s="1">
        <f ca="1">Table1[[#This Row],[Job Posting Date]]+ RANDBETWEEN(15, 90)</f>
        <v>44144</v>
      </c>
      <c r="G415" s="1">
        <f ca="1">Table1[[#This Row],[Hire Date]]+ RANDBETWEEN(1, 15)</f>
        <v>44147</v>
      </c>
      <c r="H415" s="1" t="str">
        <f ca="1">IF(RAND() &lt; 0.5,  Table1[[#This Row],[Join Date]]+ RANDBETWEEN(30, TODAY()- Table1[[#This Row],[Join Date]]), "-")</f>
        <v>-</v>
      </c>
      <c r="I415" t="str">
        <f ca="1">IF(Table1[[#This Row],[Exit Date]]= "-", "Active", "Exited")</f>
        <v>Active</v>
      </c>
      <c r="J415" s="5">
        <f t="shared" ca="1" si="64"/>
        <v>3276</v>
      </c>
      <c r="K415">
        <f ca="1">Table1[[#This Row],[Offers Made]]*2</f>
        <v>6</v>
      </c>
      <c r="L415">
        <f t="shared" ca="1" si="68"/>
        <v>3</v>
      </c>
      <c r="M415">
        <f t="shared" ca="1" si="69"/>
        <v>2</v>
      </c>
      <c r="N415" t="str">
        <f t="shared" ca="1" si="70"/>
        <v>Job Portals</v>
      </c>
      <c r="O415">
        <f t="shared" ca="1" si="71"/>
        <v>1</v>
      </c>
      <c r="P415" t="str">
        <f t="shared" ca="1" si="72"/>
        <v>No</v>
      </c>
      <c r="Q415" t="str" cm="1">
        <f t="array" aca="1" ref="Q415" ca="1">INDEX(sheet2!$C$2:$C$6, RANDBETWEEN(1, 5))</f>
        <v>Ethics and Responsibilities</v>
      </c>
      <c r="R415" t="str">
        <f t="shared" ca="1" si="65"/>
        <v>Not Completed</v>
      </c>
      <c r="S415">
        <f ca="1">Table1[[#This Row],[Hire Date]]-Table1[[#This Row],[Job Posting Date]]</f>
        <v>53</v>
      </c>
    </row>
    <row r="416" spans="1:19" x14ac:dyDescent="0.2">
      <c r="A416" t="str">
        <f t="shared" si="66"/>
        <v>EMP415</v>
      </c>
      <c r="B416" t="str">
        <f t="shared" ca="1" si="67"/>
        <v>Male</v>
      </c>
      <c r="C416" t="str" cm="1">
        <f t="array" aca="1" ref="C416" ca="1">INDEX(sheet2!$A$2:$A$6, RANDBETWEEN(1, 5))</f>
        <v>Finance</v>
      </c>
      <c r="D416" t="str">
        <f ca="1">_xlfn.XLOOKUP(Table1[[#This Row],[Department]],sheet2!$A$2:$A$6,sheet2!$B$2:$B$6,_xleta.NA,0)</f>
        <v>Finance Manager</v>
      </c>
      <c r="E416" s="1">
        <f t="shared" ca="1" si="63"/>
        <v>44759</v>
      </c>
      <c r="F416" s="1">
        <f ca="1">Table1[[#This Row],[Job Posting Date]]+ RANDBETWEEN(15, 90)</f>
        <v>44823</v>
      </c>
      <c r="G416" s="1">
        <f ca="1">Table1[[#This Row],[Hire Date]]+ RANDBETWEEN(1, 15)</f>
        <v>44838</v>
      </c>
      <c r="H416" s="1">
        <f ca="1">IF(RAND() &lt; 0.5,  Table1[[#This Row],[Join Date]]+ RANDBETWEEN(30, TODAY()- Table1[[#This Row],[Join Date]]), "-")</f>
        <v>45332</v>
      </c>
      <c r="I416" t="str">
        <f ca="1">IF(Table1[[#This Row],[Exit Date]]= "-", "Active", "Exited")</f>
        <v>Exited</v>
      </c>
      <c r="J416" s="5">
        <f t="shared" ca="1" si="64"/>
        <v>2594</v>
      </c>
      <c r="K416">
        <f ca="1">Table1[[#This Row],[Offers Made]]*2</f>
        <v>14</v>
      </c>
      <c r="L416">
        <f t="shared" ca="1" si="68"/>
        <v>7</v>
      </c>
      <c r="M416">
        <f t="shared" ca="1" si="69"/>
        <v>5</v>
      </c>
      <c r="N416" t="str">
        <f t="shared" ca="1" si="70"/>
        <v>Job Portals</v>
      </c>
      <c r="O416">
        <f t="shared" ca="1" si="71"/>
        <v>5</v>
      </c>
      <c r="P416" t="str">
        <f t="shared" ca="1" si="72"/>
        <v>Yes</v>
      </c>
      <c r="Q416" t="str" cm="1">
        <f t="array" aca="1" ref="Q416" ca="1">INDEX(sheet2!$C$2:$C$6, RANDBETWEEN(1, 5))</f>
        <v>Ethics and Responsibilities</v>
      </c>
      <c r="R416" t="str">
        <f t="shared" ca="1" si="65"/>
        <v>Completed</v>
      </c>
      <c r="S416">
        <f ca="1">Table1[[#This Row],[Hire Date]]-Table1[[#This Row],[Job Posting Date]]</f>
        <v>64</v>
      </c>
    </row>
    <row r="417" spans="1:19" x14ac:dyDescent="0.2">
      <c r="A417" t="str">
        <f t="shared" si="66"/>
        <v>EMP416</v>
      </c>
      <c r="B417" t="str">
        <f t="shared" ca="1" si="67"/>
        <v>Male</v>
      </c>
      <c r="C417" t="str" cm="1">
        <f t="array" aca="1" ref="C417" ca="1">INDEX(sheet2!$A$2:$A$6, RANDBETWEEN(1, 5))</f>
        <v>Sales</v>
      </c>
      <c r="D417" t="str">
        <f ca="1">_xlfn.XLOOKUP(Table1[[#This Row],[Department]],sheet2!$A$2:$A$6,sheet2!$B$2:$B$6,_xleta.NA,0)</f>
        <v>Marketing Manager</v>
      </c>
      <c r="E417" s="1">
        <f t="shared" ca="1" si="63"/>
        <v>43409</v>
      </c>
      <c r="F417" s="1">
        <f ca="1">Table1[[#This Row],[Job Posting Date]]+ RANDBETWEEN(15, 90)</f>
        <v>43455</v>
      </c>
      <c r="G417" s="1">
        <f ca="1">Table1[[#This Row],[Hire Date]]+ RANDBETWEEN(1, 15)</f>
        <v>43465</v>
      </c>
      <c r="H417" s="1" t="str">
        <f ca="1">IF(RAND() &lt; 0.5,  Table1[[#This Row],[Join Date]]+ RANDBETWEEN(30, TODAY()- Table1[[#This Row],[Join Date]]), "-")</f>
        <v>-</v>
      </c>
      <c r="I417" t="str">
        <f ca="1">IF(Table1[[#This Row],[Exit Date]]= "-", "Active", "Exited")</f>
        <v>Active</v>
      </c>
      <c r="J417" s="5">
        <f t="shared" ca="1" si="64"/>
        <v>2021</v>
      </c>
      <c r="K417">
        <f ca="1">Table1[[#This Row],[Offers Made]]*2</f>
        <v>16</v>
      </c>
      <c r="L417">
        <f t="shared" ca="1" si="68"/>
        <v>8</v>
      </c>
      <c r="M417">
        <f t="shared" ca="1" si="69"/>
        <v>3</v>
      </c>
      <c r="N417" t="str">
        <f t="shared" ca="1" si="70"/>
        <v>Campus Placements</v>
      </c>
      <c r="O417">
        <f t="shared" ca="1" si="71"/>
        <v>5</v>
      </c>
      <c r="P417" t="str">
        <f t="shared" ca="1" si="72"/>
        <v>No</v>
      </c>
      <c r="Q417" t="str" cm="1">
        <f t="array" aca="1" ref="Q417" ca="1">INDEX(sheet2!$C$2:$C$6, RANDBETWEEN(1, 5))</f>
        <v>Conflict Resolution</v>
      </c>
      <c r="R417" t="str">
        <f t="shared" ca="1" si="65"/>
        <v>Completed</v>
      </c>
      <c r="S417">
        <f ca="1">Table1[[#This Row],[Hire Date]]-Table1[[#This Row],[Job Posting Date]]</f>
        <v>46</v>
      </c>
    </row>
    <row r="418" spans="1:19" x14ac:dyDescent="0.2">
      <c r="A418" t="str">
        <f t="shared" si="66"/>
        <v>EMP417</v>
      </c>
      <c r="B418" t="str">
        <f t="shared" ca="1" si="67"/>
        <v>Female</v>
      </c>
      <c r="C418" t="str" cm="1">
        <f t="array" aca="1" ref="C418" ca="1">INDEX(sheet2!$A$2:$A$6, RANDBETWEEN(1, 5))</f>
        <v>IT</v>
      </c>
      <c r="D418" t="str">
        <f ca="1">_xlfn.XLOOKUP(Table1[[#This Row],[Department]],sheet2!$A$2:$A$6,sheet2!$B$2:$B$6,_xleta.NA,0)</f>
        <v>Software Engineer</v>
      </c>
      <c r="E418" s="1">
        <f t="shared" ca="1" si="63"/>
        <v>44454</v>
      </c>
      <c r="F418" s="1">
        <f ca="1">Table1[[#This Row],[Job Posting Date]]+ RANDBETWEEN(15, 90)</f>
        <v>44479</v>
      </c>
      <c r="G418" s="1">
        <f ca="1">Table1[[#This Row],[Hire Date]]+ RANDBETWEEN(1, 15)</f>
        <v>44490</v>
      </c>
      <c r="H418" s="1" t="str">
        <f ca="1">IF(RAND() &lt; 0.5,  Table1[[#This Row],[Join Date]]+ RANDBETWEEN(30, TODAY()- Table1[[#This Row],[Join Date]]), "-")</f>
        <v>-</v>
      </c>
      <c r="I418" t="str">
        <f ca="1">IF(Table1[[#This Row],[Exit Date]]= "-", "Active", "Exited")</f>
        <v>Active</v>
      </c>
      <c r="J418" s="5">
        <f t="shared" ca="1" si="64"/>
        <v>2387</v>
      </c>
      <c r="K418">
        <f ca="1">Table1[[#This Row],[Offers Made]]*2</f>
        <v>16</v>
      </c>
      <c r="L418">
        <f t="shared" ca="1" si="68"/>
        <v>8</v>
      </c>
      <c r="M418">
        <f t="shared" ca="1" si="69"/>
        <v>5</v>
      </c>
      <c r="N418" t="str">
        <f t="shared" ca="1" si="70"/>
        <v>Employee Referrals</v>
      </c>
      <c r="O418">
        <f t="shared" ca="1" si="71"/>
        <v>5</v>
      </c>
      <c r="P418" t="str">
        <f t="shared" ca="1" si="72"/>
        <v>No</v>
      </c>
      <c r="Q418" t="str" cm="1">
        <f t="array" aca="1" ref="Q418" ca="1">INDEX(sheet2!$C$2:$C$6, RANDBETWEEN(1, 5))</f>
        <v>Conflict Resolution</v>
      </c>
      <c r="R418" t="str">
        <f t="shared" ca="1" si="65"/>
        <v>Not Completed</v>
      </c>
      <c r="S418">
        <f ca="1">Table1[[#This Row],[Hire Date]]-Table1[[#This Row],[Job Posting Date]]</f>
        <v>25</v>
      </c>
    </row>
    <row r="419" spans="1:19" x14ac:dyDescent="0.2">
      <c r="A419" t="str">
        <f t="shared" si="66"/>
        <v>EMP418</v>
      </c>
      <c r="B419" t="str">
        <f t="shared" ca="1" si="67"/>
        <v>Male</v>
      </c>
      <c r="C419" t="str" cm="1">
        <f t="array" aca="1" ref="C419" ca="1">INDEX(sheet2!$A$2:$A$6, RANDBETWEEN(1, 5))</f>
        <v>Sales</v>
      </c>
      <c r="D419" t="str">
        <f ca="1">_xlfn.XLOOKUP(Table1[[#This Row],[Department]],sheet2!$A$2:$A$6,sheet2!$B$2:$B$6,_xleta.NA,0)</f>
        <v>Marketing Manager</v>
      </c>
      <c r="E419" s="1">
        <f t="shared" ca="1" si="63"/>
        <v>43390</v>
      </c>
      <c r="F419" s="1">
        <f ca="1">Table1[[#This Row],[Job Posting Date]]+ RANDBETWEEN(15, 90)</f>
        <v>43476</v>
      </c>
      <c r="G419" s="1">
        <f ca="1">Table1[[#This Row],[Hire Date]]+ RANDBETWEEN(1, 15)</f>
        <v>43491</v>
      </c>
      <c r="H419" s="1" t="str">
        <f ca="1">IF(RAND() &lt; 0.5,  Table1[[#This Row],[Join Date]]+ RANDBETWEEN(30, TODAY()- Table1[[#This Row],[Join Date]]), "-")</f>
        <v>-</v>
      </c>
      <c r="I419" t="str">
        <f ca="1">IF(Table1[[#This Row],[Exit Date]]= "-", "Active", "Exited")</f>
        <v>Active</v>
      </c>
      <c r="J419" s="5">
        <f t="shared" ca="1" si="64"/>
        <v>3065</v>
      </c>
      <c r="K419">
        <f ca="1">Table1[[#This Row],[Offers Made]]*2</f>
        <v>12</v>
      </c>
      <c r="L419">
        <f t="shared" ca="1" si="68"/>
        <v>6</v>
      </c>
      <c r="M419">
        <f t="shared" ca="1" si="69"/>
        <v>3</v>
      </c>
      <c r="N419" t="str">
        <f t="shared" ca="1" si="70"/>
        <v>Campus Placements</v>
      </c>
      <c r="O419">
        <f t="shared" ca="1" si="71"/>
        <v>3</v>
      </c>
      <c r="P419" t="str">
        <f t="shared" ca="1" si="72"/>
        <v>No</v>
      </c>
      <c r="Q419" t="str" cm="1">
        <f t="array" aca="1" ref="Q419" ca="1">INDEX(sheet2!$C$2:$C$6, RANDBETWEEN(1, 5))</f>
        <v>Conflict Resolution</v>
      </c>
      <c r="R419" t="str">
        <f t="shared" ca="1" si="65"/>
        <v>Completed</v>
      </c>
      <c r="S419">
        <f ca="1">Table1[[#This Row],[Hire Date]]-Table1[[#This Row],[Job Posting Date]]</f>
        <v>86</v>
      </c>
    </row>
    <row r="420" spans="1:19" x14ac:dyDescent="0.2">
      <c r="A420" t="str">
        <f t="shared" si="66"/>
        <v>EMP419</v>
      </c>
      <c r="B420" t="str">
        <f t="shared" ca="1" si="67"/>
        <v>Female</v>
      </c>
      <c r="C420" t="str" cm="1">
        <f t="array" aca="1" ref="C420" ca="1">INDEX(sheet2!$A$2:$A$6, RANDBETWEEN(1, 5))</f>
        <v>Analytics</v>
      </c>
      <c r="D420" t="str">
        <f ca="1">_xlfn.XLOOKUP(Table1[[#This Row],[Department]],sheet2!$A$2:$A$6,sheet2!$B$2:$B$6,_xleta.NA,0)</f>
        <v>Data Analyst</v>
      </c>
      <c r="E420" s="1">
        <f t="shared" ca="1" si="63"/>
        <v>44891</v>
      </c>
      <c r="F420" s="1">
        <f ca="1">Table1[[#This Row],[Job Posting Date]]+ RANDBETWEEN(15, 90)</f>
        <v>44971</v>
      </c>
      <c r="G420" s="1">
        <f ca="1">Table1[[#This Row],[Hire Date]]+ RANDBETWEEN(1, 15)</f>
        <v>44981</v>
      </c>
      <c r="H420" s="1">
        <f ca="1">IF(RAND() &lt; 0.5,  Table1[[#This Row],[Join Date]]+ RANDBETWEEN(30, TODAY()- Table1[[#This Row],[Join Date]]), "-")</f>
        <v>45500</v>
      </c>
      <c r="I420" t="str">
        <f ca="1">IF(Table1[[#This Row],[Exit Date]]= "-", "Active", "Exited")</f>
        <v>Exited</v>
      </c>
      <c r="J420" s="5">
        <f t="shared" ca="1" si="64"/>
        <v>1615</v>
      </c>
      <c r="K420">
        <f ca="1">Table1[[#This Row],[Offers Made]]*2</f>
        <v>6</v>
      </c>
      <c r="L420">
        <f t="shared" ca="1" si="68"/>
        <v>3</v>
      </c>
      <c r="M420">
        <f t="shared" ca="1" si="69"/>
        <v>2</v>
      </c>
      <c r="N420" t="str">
        <f t="shared" ca="1" si="70"/>
        <v>Direct Hiring</v>
      </c>
      <c r="O420">
        <f t="shared" ca="1" si="71"/>
        <v>1</v>
      </c>
      <c r="P420" t="str">
        <f t="shared" ca="1" si="72"/>
        <v>No</v>
      </c>
      <c r="Q420" t="str" cm="1">
        <f t="array" aca="1" ref="Q420" ca="1">INDEX(sheet2!$C$2:$C$6, RANDBETWEEN(1, 5))</f>
        <v>Conflict Resolution</v>
      </c>
      <c r="R420" t="str">
        <f t="shared" ca="1" si="65"/>
        <v>Completed</v>
      </c>
      <c r="S420">
        <f ca="1">Table1[[#This Row],[Hire Date]]-Table1[[#This Row],[Job Posting Date]]</f>
        <v>80</v>
      </c>
    </row>
    <row r="421" spans="1:19" x14ac:dyDescent="0.2">
      <c r="A421" t="str">
        <f t="shared" si="66"/>
        <v>EMP420</v>
      </c>
      <c r="B421" t="str">
        <f t="shared" ca="1" si="67"/>
        <v>Female</v>
      </c>
      <c r="C421" t="str" cm="1">
        <f t="array" aca="1" ref="C421" ca="1">INDEX(sheet2!$A$2:$A$6, RANDBETWEEN(1, 5))</f>
        <v>Finance</v>
      </c>
      <c r="D421" t="str">
        <f ca="1">_xlfn.XLOOKUP(Table1[[#This Row],[Department]],sheet2!$A$2:$A$6,sheet2!$B$2:$B$6,_xleta.NA,0)</f>
        <v>Finance Manager</v>
      </c>
      <c r="E421" s="1">
        <f t="shared" ca="1" si="63"/>
        <v>44257</v>
      </c>
      <c r="F421" s="1">
        <f ca="1">Table1[[#This Row],[Job Posting Date]]+ RANDBETWEEN(15, 90)</f>
        <v>44290</v>
      </c>
      <c r="G421" s="1">
        <f ca="1">Table1[[#This Row],[Hire Date]]+ RANDBETWEEN(1, 15)</f>
        <v>44303</v>
      </c>
      <c r="H421" s="1" t="str">
        <f ca="1">IF(RAND() &lt; 0.5,  Table1[[#This Row],[Join Date]]+ RANDBETWEEN(30, TODAY()- Table1[[#This Row],[Join Date]]), "-")</f>
        <v>-</v>
      </c>
      <c r="I421" t="str">
        <f ca="1">IF(Table1[[#This Row],[Exit Date]]= "-", "Active", "Exited")</f>
        <v>Active</v>
      </c>
      <c r="J421" s="5">
        <f t="shared" ca="1" si="64"/>
        <v>3799</v>
      </c>
      <c r="K421">
        <f ca="1">Table1[[#This Row],[Offers Made]]*2</f>
        <v>6</v>
      </c>
      <c r="L421">
        <f t="shared" ca="1" si="68"/>
        <v>3</v>
      </c>
      <c r="M421">
        <f t="shared" ca="1" si="69"/>
        <v>2</v>
      </c>
      <c r="N421" t="str">
        <f t="shared" ca="1" si="70"/>
        <v>Job Portals</v>
      </c>
      <c r="O421">
        <f t="shared" ca="1" si="71"/>
        <v>3</v>
      </c>
      <c r="P421" t="str">
        <f t="shared" ca="1" si="72"/>
        <v>No</v>
      </c>
      <c r="Q421" t="str" cm="1">
        <f t="array" aca="1" ref="Q421" ca="1">INDEX(sheet2!$C$2:$C$6, RANDBETWEEN(1, 5))</f>
        <v>Advanced Excel Skills </v>
      </c>
      <c r="R421" t="str">
        <f t="shared" ca="1" si="65"/>
        <v>Completed</v>
      </c>
      <c r="S421">
        <f ca="1">Table1[[#This Row],[Hire Date]]-Table1[[#This Row],[Job Posting Date]]</f>
        <v>33</v>
      </c>
    </row>
    <row r="422" spans="1:19" x14ac:dyDescent="0.2">
      <c r="A422" t="str">
        <f t="shared" si="66"/>
        <v>EMP421</v>
      </c>
      <c r="B422" t="str">
        <f t="shared" ca="1" si="67"/>
        <v>Female</v>
      </c>
      <c r="C422" t="str" cm="1">
        <f t="array" aca="1" ref="C422" ca="1">INDEX(sheet2!$A$2:$A$6, RANDBETWEEN(1, 5))</f>
        <v>Analytics</v>
      </c>
      <c r="D422" t="str">
        <f ca="1">_xlfn.XLOOKUP(Table1[[#This Row],[Department]],sheet2!$A$2:$A$6,sheet2!$B$2:$B$6,_xleta.NA,0)</f>
        <v>Data Analyst</v>
      </c>
      <c r="E422" s="1">
        <f t="shared" ref="E422:E485" ca="1" si="73">DATE(RANDBETWEEN(2018, 2022), RANDBETWEEN(1, 12), RANDBETWEEN(1, 28))</f>
        <v>44328</v>
      </c>
      <c r="F422" s="1">
        <f ca="1">Table1[[#This Row],[Job Posting Date]]+ RANDBETWEEN(15, 90)</f>
        <v>44369</v>
      </c>
      <c r="G422" s="1">
        <f ca="1">Table1[[#This Row],[Hire Date]]+ RANDBETWEEN(1, 15)</f>
        <v>44377</v>
      </c>
      <c r="H422" s="1">
        <f ca="1">IF(RAND() &lt; 0.5,  Table1[[#This Row],[Join Date]]+ RANDBETWEEN(30, TODAY()- Table1[[#This Row],[Join Date]]), "-")</f>
        <v>44921</v>
      </c>
      <c r="I422" t="str">
        <f ca="1">IF(Table1[[#This Row],[Exit Date]]= "-", "Active", "Exited")</f>
        <v>Exited</v>
      </c>
      <c r="J422" s="5">
        <f t="shared" ref="J422:J485" ca="1" si="74">RANDBETWEEN(1500, 5000)</f>
        <v>2773</v>
      </c>
      <c r="K422">
        <f ca="1">Table1[[#This Row],[Offers Made]]*2</f>
        <v>10</v>
      </c>
      <c r="L422">
        <f t="shared" ca="1" si="68"/>
        <v>5</v>
      </c>
      <c r="M422">
        <f t="shared" ca="1" si="69"/>
        <v>1</v>
      </c>
      <c r="N422" t="str">
        <f t="shared" ca="1" si="70"/>
        <v>Campus Placements</v>
      </c>
      <c r="O422">
        <f t="shared" ca="1" si="71"/>
        <v>1</v>
      </c>
      <c r="P422" t="str">
        <f t="shared" ca="1" si="72"/>
        <v>No</v>
      </c>
      <c r="Q422" t="str" cm="1">
        <f t="array" aca="1" ref="Q422" ca="1">INDEX(sheet2!$C$2:$C$6, RANDBETWEEN(1, 5))</f>
        <v>Ethics and Responsibilities</v>
      </c>
      <c r="R422" t="str">
        <f t="shared" ref="R422:R485" ca="1" si="75">IF(RAND() &lt; 0.7, "Completed", "Not Completed")</f>
        <v>Not Completed</v>
      </c>
      <c r="S422">
        <f ca="1">Table1[[#This Row],[Hire Date]]-Table1[[#This Row],[Job Posting Date]]</f>
        <v>41</v>
      </c>
    </row>
    <row r="423" spans="1:19" x14ac:dyDescent="0.2">
      <c r="A423" t="str">
        <f t="shared" si="66"/>
        <v>EMP422</v>
      </c>
      <c r="B423" t="str">
        <f t="shared" ca="1" si="67"/>
        <v>Male</v>
      </c>
      <c r="C423" t="str" cm="1">
        <f t="array" aca="1" ref="C423" ca="1">INDEX(sheet2!$A$2:$A$6, RANDBETWEEN(1, 5))</f>
        <v>IT</v>
      </c>
      <c r="D423" t="str">
        <f ca="1">_xlfn.XLOOKUP(Table1[[#This Row],[Department]],sheet2!$A$2:$A$6,sheet2!$B$2:$B$6,_xleta.NA,0)</f>
        <v>Software Engineer</v>
      </c>
      <c r="E423" s="1">
        <f t="shared" ca="1" si="73"/>
        <v>43447</v>
      </c>
      <c r="F423" s="1">
        <f ca="1">Table1[[#This Row],[Job Posting Date]]+ RANDBETWEEN(15, 90)</f>
        <v>43524</v>
      </c>
      <c r="G423" s="1">
        <f ca="1">Table1[[#This Row],[Hire Date]]+ RANDBETWEEN(1, 15)</f>
        <v>43539</v>
      </c>
      <c r="H423" s="1" t="str">
        <f ca="1">IF(RAND() &lt; 0.5,  Table1[[#This Row],[Join Date]]+ RANDBETWEEN(30, TODAY()- Table1[[#This Row],[Join Date]]), "-")</f>
        <v>-</v>
      </c>
      <c r="I423" t="str">
        <f ca="1">IF(Table1[[#This Row],[Exit Date]]= "-", "Active", "Exited")</f>
        <v>Active</v>
      </c>
      <c r="J423" s="5">
        <f t="shared" ca="1" si="74"/>
        <v>1641</v>
      </c>
      <c r="K423">
        <f ca="1">Table1[[#This Row],[Offers Made]]*2</f>
        <v>16</v>
      </c>
      <c r="L423">
        <f t="shared" ca="1" si="68"/>
        <v>8</v>
      </c>
      <c r="M423">
        <f t="shared" ca="1" si="69"/>
        <v>1</v>
      </c>
      <c r="N423" t="str">
        <f t="shared" ca="1" si="70"/>
        <v>Job Portals</v>
      </c>
      <c r="O423">
        <f t="shared" ca="1" si="71"/>
        <v>2</v>
      </c>
      <c r="P423" t="str">
        <f t="shared" ca="1" si="72"/>
        <v>Yes</v>
      </c>
      <c r="Q423" t="str" cm="1">
        <f t="array" aca="1" ref="Q423" ca="1">INDEX(sheet2!$C$2:$C$6, RANDBETWEEN(1, 5))</f>
        <v>Ethics and Responsibilities</v>
      </c>
      <c r="R423" t="str">
        <f t="shared" ca="1" si="75"/>
        <v>Completed</v>
      </c>
      <c r="S423">
        <f ca="1">Table1[[#This Row],[Hire Date]]-Table1[[#This Row],[Job Posting Date]]</f>
        <v>77</v>
      </c>
    </row>
    <row r="424" spans="1:19" x14ac:dyDescent="0.2">
      <c r="A424" t="str">
        <f t="shared" si="66"/>
        <v>EMP423</v>
      </c>
      <c r="B424" t="str">
        <f t="shared" ca="1" si="67"/>
        <v>Male</v>
      </c>
      <c r="C424" t="str" cm="1">
        <f t="array" aca="1" ref="C424" ca="1">INDEX(sheet2!$A$2:$A$6, RANDBETWEEN(1, 5))</f>
        <v>Analytics</v>
      </c>
      <c r="D424" t="str">
        <f ca="1">_xlfn.XLOOKUP(Table1[[#This Row],[Department]],sheet2!$A$2:$A$6,sheet2!$B$2:$B$6,_xleta.NA,0)</f>
        <v>Data Analyst</v>
      </c>
      <c r="E424" s="1">
        <f t="shared" ca="1" si="73"/>
        <v>43151</v>
      </c>
      <c r="F424" s="1">
        <f ca="1">Table1[[#This Row],[Job Posting Date]]+ RANDBETWEEN(15, 90)</f>
        <v>43195</v>
      </c>
      <c r="G424" s="1">
        <f ca="1">Table1[[#This Row],[Hire Date]]+ RANDBETWEEN(1, 15)</f>
        <v>43202</v>
      </c>
      <c r="H424" s="1">
        <f ca="1">IF(RAND() &lt; 0.5,  Table1[[#This Row],[Join Date]]+ RANDBETWEEN(30, TODAY()- Table1[[#This Row],[Join Date]]), "-")</f>
        <v>44089</v>
      </c>
      <c r="I424" t="str">
        <f ca="1">IF(Table1[[#This Row],[Exit Date]]= "-", "Active", "Exited")</f>
        <v>Exited</v>
      </c>
      <c r="J424" s="5">
        <f t="shared" ca="1" si="74"/>
        <v>2972</v>
      </c>
      <c r="K424">
        <f ca="1">Table1[[#This Row],[Offers Made]]*2</f>
        <v>10</v>
      </c>
      <c r="L424">
        <f t="shared" ca="1" si="68"/>
        <v>5</v>
      </c>
      <c r="M424">
        <f t="shared" ca="1" si="69"/>
        <v>3</v>
      </c>
      <c r="N424" t="str">
        <f t="shared" ca="1" si="70"/>
        <v>Campus Placements</v>
      </c>
      <c r="O424">
        <f t="shared" ca="1" si="71"/>
        <v>2</v>
      </c>
      <c r="P424" t="str">
        <f t="shared" ca="1" si="72"/>
        <v>Yes</v>
      </c>
      <c r="Q424" t="str" cm="1">
        <f t="array" aca="1" ref="Q424" ca="1">INDEX(sheet2!$C$2:$C$6, RANDBETWEEN(1, 5))</f>
        <v>Communication Skills</v>
      </c>
      <c r="R424" t="str">
        <f t="shared" ca="1" si="75"/>
        <v>Completed</v>
      </c>
      <c r="S424">
        <f ca="1">Table1[[#This Row],[Hire Date]]-Table1[[#This Row],[Job Posting Date]]</f>
        <v>44</v>
      </c>
    </row>
    <row r="425" spans="1:19" x14ac:dyDescent="0.2">
      <c r="A425" t="str">
        <f t="shared" si="66"/>
        <v>EMP424</v>
      </c>
      <c r="B425" t="str">
        <f t="shared" ca="1" si="67"/>
        <v>Male</v>
      </c>
      <c r="C425" t="str" cm="1">
        <f t="array" aca="1" ref="C425" ca="1">INDEX(sheet2!$A$2:$A$6, RANDBETWEEN(1, 5))</f>
        <v>Sales</v>
      </c>
      <c r="D425" t="str">
        <f ca="1">_xlfn.XLOOKUP(Table1[[#This Row],[Department]],sheet2!$A$2:$A$6,sheet2!$B$2:$B$6,_xleta.NA,0)</f>
        <v>Marketing Manager</v>
      </c>
      <c r="E425" s="1">
        <f t="shared" ca="1" si="73"/>
        <v>43772</v>
      </c>
      <c r="F425" s="1">
        <f ca="1">Table1[[#This Row],[Job Posting Date]]+ RANDBETWEEN(15, 90)</f>
        <v>43820</v>
      </c>
      <c r="G425" s="1">
        <f ca="1">Table1[[#This Row],[Hire Date]]+ RANDBETWEEN(1, 15)</f>
        <v>43833</v>
      </c>
      <c r="H425" s="1" t="str">
        <f ca="1">IF(RAND() &lt; 0.5,  Table1[[#This Row],[Join Date]]+ RANDBETWEEN(30, TODAY()- Table1[[#This Row],[Join Date]]), "-")</f>
        <v>-</v>
      </c>
      <c r="I425" t="str">
        <f ca="1">IF(Table1[[#This Row],[Exit Date]]= "-", "Active", "Exited")</f>
        <v>Active</v>
      </c>
      <c r="J425" s="5">
        <f t="shared" ca="1" si="74"/>
        <v>2581</v>
      </c>
      <c r="K425">
        <f ca="1">Table1[[#This Row],[Offers Made]]*2</f>
        <v>12</v>
      </c>
      <c r="L425">
        <f t="shared" ca="1" si="68"/>
        <v>6</v>
      </c>
      <c r="M425">
        <f t="shared" ca="1" si="69"/>
        <v>5</v>
      </c>
      <c r="N425" t="str">
        <f t="shared" ca="1" si="70"/>
        <v>Job Portals</v>
      </c>
      <c r="O425">
        <f t="shared" ca="1" si="71"/>
        <v>4</v>
      </c>
      <c r="P425" t="str">
        <f t="shared" ca="1" si="72"/>
        <v>No</v>
      </c>
      <c r="Q425" t="str" cm="1">
        <f t="array" aca="1" ref="Q425" ca="1">INDEX(sheet2!$C$2:$C$6, RANDBETWEEN(1, 5))</f>
        <v>Ethics and Responsibilities</v>
      </c>
      <c r="R425" t="str">
        <f t="shared" ca="1" si="75"/>
        <v>Completed</v>
      </c>
      <c r="S425">
        <f ca="1">Table1[[#This Row],[Hire Date]]-Table1[[#This Row],[Job Posting Date]]</f>
        <v>48</v>
      </c>
    </row>
    <row r="426" spans="1:19" x14ac:dyDescent="0.2">
      <c r="A426" t="str">
        <f t="shared" si="66"/>
        <v>EMP425</v>
      </c>
      <c r="B426" t="str">
        <f t="shared" ca="1" si="67"/>
        <v>Male</v>
      </c>
      <c r="C426" t="str" cm="1">
        <f t="array" aca="1" ref="C426" ca="1">INDEX(sheet2!$A$2:$A$6, RANDBETWEEN(1, 5))</f>
        <v>HR</v>
      </c>
      <c r="D426" t="str">
        <f ca="1">_xlfn.XLOOKUP(Table1[[#This Row],[Department]],sheet2!$A$2:$A$6,sheet2!$B$2:$B$6,_xleta.NA,0)</f>
        <v>HR Manager</v>
      </c>
      <c r="E426" s="1">
        <f t="shared" ca="1" si="73"/>
        <v>43717</v>
      </c>
      <c r="F426" s="1">
        <f ca="1">Table1[[#This Row],[Job Posting Date]]+ RANDBETWEEN(15, 90)</f>
        <v>43782</v>
      </c>
      <c r="G426" s="1">
        <f ca="1">Table1[[#This Row],[Hire Date]]+ RANDBETWEEN(1, 15)</f>
        <v>43784</v>
      </c>
      <c r="H426" s="1" t="str">
        <f ca="1">IF(RAND() &lt; 0.5,  Table1[[#This Row],[Join Date]]+ RANDBETWEEN(30, TODAY()- Table1[[#This Row],[Join Date]]), "-")</f>
        <v>-</v>
      </c>
      <c r="I426" t="str">
        <f ca="1">IF(Table1[[#This Row],[Exit Date]]= "-", "Active", "Exited")</f>
        <v>Active</v>
      </c>
      <c r="J426" s="5">
        <f t="shared" ca="1" si="74"/>
        <v>2736</v>
      </c>
      <c r="K426">
        <f ca="1">Table1[[#This Row],[Offers Made]]*2</f>
        <v>16</v>
      </c>
      <c r="L426">
        <f t="shared" ca="1" si="68"/>
        <v>8</v>
      </c>
      <c r="M426">
        <f t="shared" ca="1" si="69"/>
        <v>7</v>
      </c>
      <c r="N426" t="str">
        <f t="shared" ca="1" si="70"/>
        <v>Campus Placements</v>
      </c>
      <c r="O426">
        <f t="shared" ca="1" si="71"/>
        <v>3</v>
      </c>
      <c r="P426" t="str">
        <f t="shared" ca="1" si="72"/>
        <v>Yes</v>
      </c>
      <c r="Q426" t="str" cm="1">
        <f t="array" aca="1" ref="Q426" ca="1">INDEX(sheet2!$C$2:$C$6, RANDBETWEEN(1, 5))</f>
        <v>Ethics and Responsibilities</v>
      </c>
      <c r="R426" t="str">
        <f t="shared" ca="1" si="75"/>
        <v>Completed</v>
      </c>
      <c r="S426">
        <f ca="1">Table1[[#This Row],[Hire Date]]-Table1[[#This Row],[Job Posting Date]]</f>
        <v>65</v>
      </c>
    </row>
    <row r="427" spans="1:19" x14ac:dyDescent="0.2">
      <c r="A427" t="str">
        <f t="shared" si="66"/>
        <v>EMP426</v>
      </c>
      <c r="B427" t="str">
        <f t="shared" ca="1" si="67"/>
        <v>Male</v>
      </c>
      <c r="C427" t="str" cm="1">
        <f t="array" aca="1" ref="C427" ca="1">INDEX(sheet2!$A$2:$A$6, RANDBETWEEN(1, 5))</f>
        <v>Sales</v>
      </c>
      <c r="D427" t="str">
        <f ca="1">_xlfn.XLOOKUP(Table1[[#This Row],[Department]],sheet2!$A$2:$A$6,sheet2!$B$2:$B$6,_xleta.NA,0)</f>
        <v>Marketing Manager</v>
      </c>
      <c r="E427" s="1">
        <f t="shared" ca="1" si="73"/>
        <v>43210</v>
      </c>
      <c r="F427" s="1">
        <f ca="1">Table1[[#This Row],[Job Posting Date]]+ RANDBETWEEN(15, 90)</f>
        <v>43229</v>
      </c>
      <c r="G427" s="1">
        <f ca="1">Table1[[#This Row],[Hire Date]]+ RANDBETWEEN(1, 15)</f>
        <v>43233</v>
      </c>
      <c r="H427" s="1">
        <f ca="1">IF(RAND() &lt; 0.5,  Table1[[#This Row],[Join Date]]+ RANDBETWEEN(30, TODAY()- Table1[[#This Row],[Join Date]]), "-")</f>
        <v>43891</v>
      </c>
      <c r="I427" t="str">
        <f ca="1">IF(Table1[[#This Row],[Exit Date]]= "-", "Active", "Exited")</f>
        <v>Exited</v>
      </c>
      <c r="J427" s="5">
        <f t="shared" ca="1" si="74"/>
        <v>3454</v>
      </c>
      <c r="K427">
        <f ca="1">Table1[[#This Row],[Offers Made]]*2</f>
        <v>6</v>
      </c>
      <c r="L427">
        <f t="shared" ca="1" si="68"/>
        <v>3</v>
      </c>
      <c r="M427">
        <f t="shared" ca="1" si="69"/>
        <v>2</v>
      </c>
      <c r="N427" t="str">
        <f t="shared" ca="1" si="70"/>
        <v>Job Portals</v>
      </c>
      <c r="O427">
        <f t="shared" ca="1" si="71"/>
        <v>1</v>
      </c>
      <c r="P427" t="str">
        <f t="shared" ca="1" si="72"/>
        <v>No</v>
      </c>
      <c r="Q427" t="str" cm="1">
        <f t="array" aca="1" ref="Q427" ca="1">INDEX(sheet2!$C$2:$C$6, RANDBETWEEN(1, 5))</f>
        <v>Communication Skills</v>
      </c>
      <c r="R427" t="str">
        <f t="shared" ca="1" si="75"/>
        <v>Not Completed</v>
      </c>
      <c r="S427">
        <f ca="1">Table1[[#This Row],[Hire Date]]-Table1[[#This Row],[Job Posting Date]]</f>
        <v>19</v>
      </c>
    </row>
    <row r="428" spans="1:19" x14ac:dyDescent="0.2">
      <c r="A428" t="str">
        <f t="shared" si="66"/>
        <v>EMP427</v>
      </c>
      <c r="B428" t="str">
        <f t="shared" ca="1" si="67"/>
        <v>Male</v>
      </c>
      <c r="C428" t="str" cm="1">
        <f t="array" aca="1" ref="C428" ca="1">INDEX(sheet2!$A$2:$A$6, RANDBETWEEN(1, 5))</f>
        <v>IT</v>
      </c>
      <c r="D428" t="str">
        <f ca="1">_xlfn.XLOOKUP(Table1[[#This Row],[Department]],sheet2!$A$2:$A$6,sheet2!$B$2:$B$6,_xleta.NA,0)</f>
        <v>Software Engineer</v>
      </c>
      <c r="E428" s="1">
        <f t="shared" ca="1" si="73"/>
        <v>43236</v>
      </c>
      <c r="F428" s="1">
        <f ca="1">Table1[[#This Row],[Job Posting Date]]+ RANDBETWEEN(15, 90)</f>
        <v>43322</v>
      </c>
      <c r="G428" s="1">
        <f ca="1">Table1[[#This Row],[Hire Date]]+ RANDBETWEEN(1, 15)</f>
        <v>43323</v>
      </c>
      <c r="H428" s="1">
        <f ca="1">IF(RAND() &lt; 0.5,  Table1[[#This Row],[Join Date]]+ RANDBETWEEN(30, TODAY()- Table1[[#This Row],[Join Date]]), "-")</f>
        <v>44607</v>
      </c>
      <c r="I428" t="str">
        <f ca="1">IF(Table1[[#This Row],[Exit Date]]= "-", "Active", "Exited")</f>
        <v>Exited</v>
      </c>
      <c r="J428" s="5">
        <f t="shared" ca="1" si="74"/>
        <v>3669</v>
      </c>
      <c r="K428">
        <f ca="1">Table1[[#This Row],[Offers Made]]*2</f>
        <v>6</v>
      </c>
      <c r="L428">
        <f t="shared" ca="1" si="68"/>
        <v>3</v>
      </c>
      <c r="M428">
        <f t="shared" ca="1" si="69"/>
        <v>2</v>
      </c>
      <c r="N428" t="str">
        <f t="shared" ca="1" si="70"/>
        <v>Campus Placements</v>
      </c>
      <c r="O428">
        <f t="shared" ca="1" si="71"/>
        <v>3</v>
      </c>
      <c r="P428" t="str">
        <f t="shared" ca="1" si="72"/>
        <v>Yes</v>
      </c>
      <c r="Q428" t="str" cm="1">
        <f t="array" aca="1" ref="Q428" ca="1">INDEX(sheet2!$C$2:$C$6, RANDBETWEEN(1, 5))</f>
        <v>Conflict Resolution</v>
      </c>
      <c r="R428" t="str">
        <f t="shared" ca="1" si="75"/>
        <v>Not Completed</v>
      </c>
      <c r="S428">
        <f ca="1">Table1[[#This Row],[Hire Date]]-Table1[[#This Row],[Job Posting Date]]</f>
        <v>86</v>
      </c>
    </row>
    <row r="429" spans="1:19" x14ac:dyDescent="0.2">
      <c r="A429" t="str">
        <f t="shared" si="66"/>
        <v>EMP428</v>
      </c>
      <c r="B429" t="str">
        <f t="shared" ca="1" si="67"/>
        <v>Female</v>
      </c>
      <c r="C429" t="str" cm="1">
        <f t="array" aca="1" ref="C429" ca="1">INDEX(sheet2!$A$2:$A$6, RANDBETWEEN(1, 5))</f>
        <v>Finance</v>
      </c>
      <c r="D429" t="str">
        <f ca="1">_xlfn.XLOOKUP(Table1[[#This Row],[Department]],sheet2!$A$2:$A$6,sheet2!$B$2:$B$6,_xleta.NA,0)</f>
        <v>Finance Manager</v>
      </c>
      <c r="E429" s="1">
        <f t="shared" ca="1" si="73"/>
        <v>44363</v>
      </c>
      <c r="F429" s="1">
        <f ca="1">Table1[[#This Row],[Job Posting Date]]+ RANDBETWEEN(15, 90)</f>
        <v>44393</v>
      </c>
      <c r="G429" s="1">
        <f ca="1">Table1[[#This Row],[Hire Date]]+ RANDBETWEEN(1, 15)</f>
        <v>44394</v>
      </c>
      <c r="H429" s="1" t="str">
        <f ca="1">IF(RAND() &lt; 0.5,  Table1[[#This Row],[Join Date]]+ RANDBETWEEN(30, TODAY()- Table1[[#This Row],[Join Date]]), "-")</f>
        <v>-</v>
      </c>
      <c r="I429" t="str">
        <f ca="1">IF(Table1[[#This Row],[Exit Date]]= "-", "Active", "Exited")</f>
        <v>Active</v>
      </c>
      <c r="J429" s="5">
        <f t="shared" ca="1" si="74"/>
        <v>1859</v>
      </c>
      <c r="K429">
        <f ca="1">Table1[[#This Row],[Offers Made]]*2</f>
        <v>6</v>
      </c>
      <c r="L429">
        <f t="shared" ca="1" si="68"/>
        <v>3</v>
      </c>
      <c r="M429">
        <f t="shared" ca="1" si="69"/>
        <v>2</v>
      </c>
      <c r="N429" t="str">
        <f t="shared" ca="1" si="70"/>
        <v>Direct Hiring</v>
      </c>
      <c r="O429">
        <f t="shared" ca="1" si="71"/>
        <v>5</v>
      </c>
      <c r="P429" t="str">
        <f t="shared" ca="1" si="72"/>
        <v>Yes</v>
      </c>
      <c r="Q429" t="str" cm="1">
        <f t="array" aca="1" ref="Q429" ca="1">INDEX(sheet2!$C$2:$C$6, RANDBETWEEN(1, 5))</f>
        <v>Leadership Development</v>
      </c>
      <c r="R429" t="str">
        <f t="shared" ca="1" si="75"/>
        <v>Completed</v>
      </c>
      <c r="S429">
        <f ca="1">Table1[[#This Row],[Hire Date]]-Table1[[#This Row],[Job Posting Date]]</f>
        <v>30</v>
      </c>
    </row>
    <row r="430" spans="1:19" x14ac:dyDescent="0.2">
      <c r="A430" t="str">
        <f t="shared" si="66"/>
        <v>EMP429</v>
      </c>
      <c r="B430" t="str">
        <f t="shared" ca="1" si="67"/>
        <v>Male</v>
      </c>
      <c r="C430" t="str" cm="1">
        <f t="array" aca="1" ref="C430" ca="1">INDEX(sheet2!$A$2:$A$6, RANDBETWEEN(1, 5))</f>
        <v>HR</v>
      </c>
      <c r="D430" t="str">
        <f ca="1">_xlfn.XLOOKUP(Table1[[#This Row],[Department]],sheet2!$A$2:$A$6,sheet2!$B$2:$B$6,_xleta.NA,0)</f>
        <v>HR Manager</v>
      </c>
      <c r="E430" s="1">
        <f t="shared" ca="1" si="73"/>
        <v>44589</v>
      </c>
      <c r="F430" s="1">
        <f ca="1">Table1[[#This Row],[Job Posting Date]]+ RANDBETWEEN(15, 90)</f>
        <v>44647</v>
      </c>
      <c r="G430" s="1">
        <f ca="1">Table1[[#This Row],[Hire Date]]+ RANDBETWEEN(1, 15)</f>
        <v>44648</v>
      </c>
      <c r="H430" s="1" t="str">
        <f ca="1">IF(RAND() &lt; 0.5,  Table1[[#This Row],[Join Date]]+ RANDBETWEEN(30, TODAY()- Table1[[#This Row],[Join Date]]), "-")</f>
        <v>-</v>
      </c>
      <c r="I430" t="str">
        <f ca="1">IF(Table1[[#This Row],[Exit Date]]= "-", "Active", "Exited")</f>
        <v>Active</v>
      </c>
      <c r="J430" s="5">
        <f t="shared" ca="1" si="74"/>
        <v>2986</v>
      </c>
      <c r="K430">
        <f ca="1">Table1[[#This Row],[Offers Made]]*2</f>
        <v>16</v>
      </c>
      <c r="L430">
        <f t="shared" ca="1" si="68"/>
        <v>8</v>
      </c>
      <c r="M430">
        <f t="shared" ca="1" si="69"/>
        <v>2</v>
      </c>
      <c r="N430" t="str">
        <f t="shared" ca="1" si="70"/>
        <v>Direct Hiring</v>
      </c>
      <c r="O430">
        <f t="shared" ca="1" si="71"/>
        <v>5</v>
      </c>
      <c r="P430" t="str">
        <f t="shared" ca="1" si="72"/>
        <v>Yes</v>
      </c>
      <c r="Q430" t="str" cm="1">
        <f t="array" aca="1" ref="Q430" ca="1">INDEX(sheet2!$C$2:$C$6, RANDBETWEEN(1, 5))</f>
        <v>Leadership Development</v>
      </c>
      <c r="R430" t="str">
        <f t="shared" ca="1" si="75"/>
        <v>Completed</v>
      </c>
      <c r="S430">
        <f ca="1">Table1[[#This Row],[Hire Date]]-Table1[[#This Row],[Job Posting Date]]</f>
        <v>58</v>
      </c>
    </row>
    <row r="431" spans="1:19" x14ac:dyDescent="0.2">
      <c r="A431" t="str">
        <f t="shared" si="66"/>
        <v>EMP430</v>
      </c>
      <c r="B431" t="str">
        <f t="shared" ca="1" si="67"/>
        <v>Female</v>
      </c>
      <c r="C431" t="str" cm="1">
        <f t="array" aca="1" ref="C431" ca="1">INDEX(sheet2!$A$2:$A$6, RANDBETWEEN(1, 5))</f>
        <v>Sales</v>
      </c>
      <c r="D431" t="str">
        <f ca="1">_xlfn.XLOOKUP(Table1[[#This Row],[Department]],sheet2!$A$2:$A$6,sheet2!$B$2:$B$6,_xleta.NA,0)</f>
        <v>Marketing Manager</v>
      </c>
      <c r="E431" s="1">
        <f t="shared" ca="1" si="73"/>
        <v>44555</v>
      </c>
      <c r="F431" s="1">
        <f ca="1">Table1[[#This Row],[Job Posting Date]]+ RANDBETWEEN(15, 90)</f>
        <v>44588</v>
      </c>
      <c r="G431" s="1">
        <f ca="1">Table1[[#This Row],[Hire Date]]+ RANDBETWEEN(1, 15)</f>
        <v>44600</v>
      </c>
      <c r="H431" s="1" t="str">
        <f ca="1">IF(RAND() &lt; 0.5,  Table1[[#This Row],[Join Date]]+ RANDBETWEEN(30, TODAY()- Table1[[#This Row],[Join Date]]), "-")</f>
        <v>-</v>
      </c>
      <c r="I431" t="str">
        <f ca="1">IF(Table1[[#This Row],[Exit Date]]= "-", "Active", "Exited")</f>
        <v>Active</v>
      </c>
      <c r="J431" s="5">
        <f t="shared" ca="1" si="74"/>
        <v>3504</v>
      </c>
      <c r="K431">
        <f ca="1">Table1[[#This Row],[Offers Made]]*2</f>
        <v>12</v>
      </c>
      <c r="L431">
        <f t="shared" ca="1" si="68"/>
        <v>6</v>
      </c>
      <c r="M431">
        <f t="shared" ca="1" si="69"/>
        <v>4</v>
      </c>
      <c r="N431" t="str">
        <f t="shared" ca="1" si="70"/>
        <v>Campus Placements</v>
      </c>
      <c r="O431">
        <f t="shared" ca="1" si="71"/>
        <v>5</v>
      </c>
      <c r="P431" t="str">
        <f t="shared" ca="1" si="72"/>
        <v>No</v>
      </c>
      <c r="Q431" t="str" cm="1">
        <f t="array" aca="1" ref="Q431" ca="1">INDEX(sheet2!$C$2:$C$6, RANDBETWEEN(1, 5))</f>
        <v>Ethics and Responsibilities</v>
      </c>
      <c r="R431" t="str">
        <f t="shared" ca="1" si="75"/>
        <v>Completed</v>
      </c>
      <c r="S431">
        <f ca="1">Table1[[#This Row],[Hire Date]]-Table1[[#This Row],[Job Posting Date]]</f>
        <v>33</v>
      </c>
    </row>
    <row r="432" spans="1:19" x14ac:dyDescent="0.2">
      <c r="A432" t="str">
        <f t="shared" si="66"/>
        <v>EMP431</v>
      </c>
      <c r="B432" t="str">
        <f t="shared" ca="1" si="67"/>
        <v>Male</v>
      </c>
      <c r="C432" t="str" cm="1">
        <f t="array" aca="1" ref="C432" ca="1">INDEX(sheet2!$A$2:$A$6, RANDBETWEEN(1, 5))</f>
        <v>IT</v>
      </c>
      <c r="D432" t="str">
        <f ca="1">_xlfn.XLOOKUP(Table1[[#This Row],[Department]],sheet2!$A$2:$A$6,sheet2!$B$2:$B$6,_xleta.NA,0)</f>
        <v>Software Engineer</v>
      </c>
      <c r="E432" s="1">
        <f t="shared" ca="1" si="73"/>
        <v>44830</v>
      </c>
      <c r="F432" s="1">
        <f ca="1">Table1[[#This Row],[Job Posting Date]]+ RANDBETWEEN(15, 90)</f>
        <v>44891</v>
      </c>
      <c r="G432" s="1">
        <f ca="1">Table1[[#This Row],[Hire Date]]+ RANDBETWEEN(1, 15)</f>
        <v>44899</v>
      </c>
      <c r="H432" s="1" t="str">
        <f ca="1">IF(RAND() &lt; 0.5,  Table1[[#This Row],[Join Date]]+ RANDBETWEEN(30, TODAY()- Table1[[#This Row],[Join Date]]), "-")</f>
        <v>-</v>
      </c>
      <c r="I432" t="str">
        <f ca="1">IF(Table1[[#This Row],[Exit Date]]= "-", "Active", "Exited")</f>
        <v>Active</v>
      </c>
      <c r="J432" s="5">
        <f t="shared" ca="1" si="74"/>
        <v>4636</v>
      </c>
      <c r="K432">
        <f ca="1">Table1[[#This Row],[Offers Made]]*2</f>
        <v>6</v>
      </c>
      <c r="L432">
        <f t="shared" ca="1" si="68"/>
        <v>3</v>
      </c>
      <c r="M432">
        <f t="shared" ca="1" si="69"/>
        <v>1</v>
      </c>
      <c r="N432" t="str">
        <f t="shared" ca="1" si="70"/>
        <v>Direct Hiring</v>
      </c>
      <c r="O432">
        <f t="shared" ca="1" si="71"/>
        <v>2</v>
      </c>
      <c r="P432" t="str">
        <f t="shared" ca="1" si="72"/>
        <v>Yes</v>
      </c>
      <c r="Q432" t="str" cm="1">
        <f t="array" aca="1" ref="Q432" ca="1">INDEX(sheet2!$C$2:$C$6, RANDBETWEEN(1, 5))</f>
        <v>Communication Skills</v>
      </c>
      <c r="R432" t="str">
        <f t="shared" ca="1" si="75"/>
        <v>Completed</v>
      </c>
      <c r="S432">
        <f ca="1">Table1[[#This Row],[Hire Date]]-Table1[[#This Row],[Job Posting Date]]</f>
        <v>61</v>
      </c>
    </row>
    <row r="433" spans="1:19" x14ac:dyDescent="0.2">
      <c r="A433" t="str">
        <f t="shared" si="66"/>
        <v>EMP432</v>
      </c>
      <c r="B433" t="str">
        <f t="shared" ca="1" si="67"/>
        <v>Female</v>
      </c>
      <c r="C433" t="str" cm="1">
        <f t="array" aca="1" ref="C433" ca="1">INDEX(sheet2!$A$2:$A$6, RANDBETWEEN(1, 5))</f>
        <v>Sales</v>
      </c>
      <c r="D433" t="str">
        <f ca="1">_xlfn.XLOOKUP(Table1[[#This Row],[Department]],sheet2!$A$2:$A$6,sheet2!$B$2:$B$6,_xleta.NA,0)</f>
        <v>Marketing Manager</v>
      </c>
      <c r="E433" s="1">
        <f t="shared" ca="1" si="73"/>
        <v>44036</v>
      </c>
      <c r="F433" s="1">
        <f ca="1">Table1[[#This Row],[Job Posting Date]]+ RANDBETWEEN(15, 90)</f>
        <v>44068</v>
      </c>
      <c r="G433" s="1">
        <f ca="1">Table1[[#This Row],[Hire Date]]+ RANDBETWEEN(1, 15)</f>
        <v>44075</v>
      </c>
      <c r="H433" s="1" t="str">
        <f ca="1">IF(RAND() &lt; 0.5,  Table1[[#This Row],[Join Date]]+ RANDBETWEEN(30, TODAY()- Table1[[#This Row],[Join Date]]), "-")</f>
        <v>-</v>
      </c>
      <c r="I433" t="str">
        <f ca="1">IF(Table1[[#This Row],[Exit Date]]= "-", "Active", "Exited")</f>
        <v>Active</v>
      </c>
      <c r="J433" s="5">
        <f t="shared" ca="1" si="74"/>
        <v>2608</v>
      </c>
      <c r="K433">
        <f ca="1">Table1[[#This Row],[Offers Made]]*2</f>
        <v>6</v>
      </c>
      <c r="L433">
        <f t="shared" ca="1" si="68"/>
        <v>3</v>
      </c>
      <c r="M433">
        <f t="shared" ca="1" si="69"/>
        <v>1</v>
      </c>
      <c r="N433" t="str">
        <f t="shared" ca="1" si="70"/>
        <v>Direct Hiring</v>
      </c>
      <c r="O433">
        <f t="shared" ca="1" si="71"/>
        <v>3</v>
      </c>
      <c r="P433" t="str">
        <f t="shared" ca="1" si="72"/>
        <v>Yes</v>
      </c>
      <c r="Q433" t="str" cm="1">
        <f t="array" aca="1" ref="Q433" ca="1">INDEX(sheet2!$C$2:$C$6, RANDBETWEEN(1, 5))</f>
        <v>Conflict Resolution</v>
      </c>
      <c r="R433" t="str">
        <f t="shared" ca="1" si="75"/>
        <v>Not Completed</v>
      </c>
      <c r="S433">
        <f ca="1">Table1[[#This Row],[Hire Date]]-Table1[[#This Row],[Job Posting Date]]</f>
        <v>32</v>
      </c>
    </row>
    <row r="434" spans="1:19" x14ac:dyDescent="0.2">
      <c r="A434" t="str">
        <f t="shared" si="66"/>
        <v>EMP433</v>
      </c>
      <c r="B434" t="str">
        <f t="shared" ca="1" si="67"/>
        <v>Male</v>
      </c>
      <c r="C434" t="str" cm="1">
        <f t="array" aca="1" ref="C434" ca="1">INDEX(sheet2!$A$2:$A$6, RANDBETWEEN(1, 5))</f>
        <v>HR</v>
      </c>
      <c r="D434" t="str">
        <f ca="1">_xlfn.XLOOKUP(Table1[[#This Row],[Department]],sheet2!$A$2:$A$6,sheet2!$B$2:$B$6,_xleta.NA,0)</f>
        <v>HR Manager</v>
      </c>
      <c r="E434" s="1">
        <f t="shared" ca="1" si="73"/>
        <v>43273</v>
      </c>
      <c r="F434" s="1">
        <f ca="1">Table1[[#This Row],[Job Posting Date]]+ RANDBETWEEN(15, 90)</f>
        <v>43341</v>
      </c>
      <c r="G434" s="1">
        <f ca="1">Table1[[#This Row],[Hire Date]]+ RANDBETWEEN(1, 15)</f>
        <v>43354</v>
      </c>
      <c r="H434" s="1" t="str">
        <f ca="1">IF(RAND() &lt; 0.5,  Table1[[#This Row],[Join Date]]+ RANDBETWEEN(30, TODAY()- Table1[[#This Row],[Join Date]]), "-")</f>
        <v>-</v>
      </c>
      <c r="I434" t="str">
        <f ca="1">IF(Table1[[#This Row],[Exit Date]]= "-", "Active", "Exited")</f>
        <v>Active</v>
      </c>
      <c r="J434" s="5">
        <f t="shared" ca="1" si="74"/>
        <v>4380</v>
      </c>
      <c r="K434">
        <f ca="1">Table1[[#This Row],[Offers Made]]*2</f>
        <v>16</v>
      </c>
      <c r="L434">
        <f t="shared" ca="1" si="68"/>
        <v>8</v>
      </c>
      <c r="M434">
        <f t="shared" ca="1" si="69"/>
        <v>5</v>
      </c>
      <c r="N434" t="str">
        <f t="shared" ca="1" si="70"/>
        <v>Direct Hiring</v>
      </c>
      <c r="O434">
        <f t="shared" ca="1" si="71"/>
        <v>5</v>
      </c>
      <c r="P434" t="str">
        <f t="shared" ca="1" si="72"/>
        <v>Yes</v>
      </c>
      <c r="Q434" t="str" cm="1">
        <f t="array" aca="1" ref="Q434" ca="1">INDEX(sheet2!$C$2:$C$6, RANDBETWEEN(1, 5))</f>
        <v>Communication Skills</v>
      </c>
      <c r="R434" t="str">
        <f t="shared" ca="1" si="75"/>
        <v>Not Completed</v>
      </c>
      <c r="S434">
        <f ca="1">Table1[[#This Row],[Hire Date]]-Table1[[#This Row],[Job Posting Date]]</f>
        <v>68</v>
      </c>
    </row>
    <row r="435" spans="1:19" x14ac:dyDescent="0.2">
      <c r="A435" t="str">
        <f t="shared" si="66"/>
        <v>EMP434</v>
      </c>
      <c r="B435" t="str">
        <f t="shared" ca="1" si="67"/>
        <v>Male</v>
      </c>
      <c r="C435" t="str" cm="1">
        <f t="array" aca="1" ref="C435" ca="1">INDEX(sheet2!$A$2:$A$6, RANDBETWEEN(1, 5))</f>
        <v>IT</v>
      </c>
      <c r="D435" t="str">
        <f ca="1">_xlfn.XLOOKUP(Table1[[#This Row],[Department]],sheet2!$A$2:$A$6,sheet2!$B$2:$B$6,_xleta.NA,0)</f>
        <v>Software Engineer</v>
      </c>
      <c r="E435" s="1">
        <f t="shared" ca="1" si="73"/>
        <v>44880</v>
      </c>
      <c r="F435" s="1">
        <f ca="1">Table1[[#This Row],[Job Posting Date]]+ RANDBETWEEN(15, 90)</f>
        <v>44911</v>
      </c>
      <c r="G435" s="1">
        <f ca="1">Table1[[#This Row],[Hire Date]]+ RANDBETWEEN(1, 15)</f>
        <v>44912</v>
      </c>
      <c r="H435" s="1" t="str">
        <f ca="1">IF(RAND() &lt; 0.5,  Table1[[#This Row],[Join Date]]+ RANDBETWEEN(30, TODAY()- Table1[[#This Row],[Join Date]]), "-")</f>
        <v>-</v>
      </c>
      <c r="I435" t="str">
        <f ca="1">IF(Table1[[#This Row],[Exit Date]]= "-", "Active", "Exited")</f>
        <v>Active</v>
      </c>
      <c r="J435" s="5">
        <f t="shared" ca="1" si="74"/>
        <v>3449</v>
      </c>
      <c r="K435">
        <f ca="1">Table1[[#This Row],[Offers Made]]*2</f>
        <v>12</v>
      </c>
      <c r="L435">
        <f t="shared" ca="1" si="68"/>
        <v>6</v>
      </c>
      <c r="M435">
        <f t="shared" ca="1" si="69"/>
        <v>3</v>
      </c>
      <c r="N435" t="str">
        <f t="shared" ca="1" si="70"/>
        <v>Job Portals</v>
      </c>
      <c r="O435">
        <f t="shared" ca="1" si="71"/>
        <v>4</v>
      </c>
      <c r="P435" t="str">
        <f t="shared" ca="1" si="72"/>
        <v>No</v>
      </c>
      <c r="Q435" t="str" cm="1">
        <f t="array" aca="1" ref="Q435" ca="1">INDEX(sheet2!$C$2:$C$6, RANDBETWEEN(1, 5))</f>
        <v>Communication Skills</v>
      </c>
      <c r="R435" t="str">
        <f t="shared" ca="1" si="75"/>
        <v>Completed</v>
      </c>
      <c r="S435">
        <f ca="1">Table1[[#This Row],[Hire Date]]-Table1[[#This Row],[Job Posting Date]]</f>
        <v>31</v>
      </c>
    </row>
    <row r="436" spans="1:19" x14ac:dyDescent="0.2">
      <c r="A436" t="str">
        <f t="shared" si="66"/>
        <v>EMP435</v>
      </c>
      <c r="B436" t="str">
        <f t="shared" ca="1" si="67"/>
        <v>Male</v>
      </c>
      <c r="C436" t="str" cm="1">
        <f t="array" aca="1" ref="C436" ca="1">INDEX(sheet2!$A$2:$A$6, RANDBETWEEN(1, 5))</f>
        <v>Finance</v>
      </c>
      <c r="D436" t="str">
        <f ca="1">_xlfn.XLOOKUP(Table1[[#This Row],[Department]],sheet2!$A$2:$A$6,sheet2!$B$2:$B$6,_xleta.NA,0)</f>
        <v>Finance Manager</v>
      </c>
      <c r="E436" s="1">
        <f t="shared" ca="1" si="73"/>
        <v>44688</v>
      </c>
      <c r="F436" s="1">
        <f ca="1">Table1[[#This Row],[Job Posting Date]]+ RANDBETWEEN(15, 90)</f>
        <v>44705</v>
      </c>
      <c r="G436" s="1">
        <f ca="1">Table1[[#This Row],[Hire Date]]+ RANDBETWEEN(1, 15)</f>
        <v>44715</v>
      </c>
      <c r="H436" s="1">
        <f ca="1">IF(RAND() &lt; 0.5,  Table1[[#This Row],[Join Date]]+ RANDBETWEEN(30, TODAY()- Table1[[#This Row],[Join Date]]), "-")</f>
        <v>45248</v>
      </c>
      <c r="I436" t="str">
        <f ca="1">IF(Table1[[#This Row],[Exit Date]]= "-", "Active", "Exited")</f>
        <v>Exited</v>
      </c>
      <c r="J436" s="5">
        <f t="shared" ca="1" si="74"/>
        <v>4569</v>
      </c>
      <c r="K436">
        <f ca="1">Table1[[#This Row],[Offers Made]]*2</f>
        <v>14</v>
      </c>
      <c r="L436">
        <f t="shared" ca="1" si="68"/>
        <v>7</v>
      </c>
      <c r="M436">
        <f t="shared" ca="1" si="69"/>
        <v>2</v>
      </c>
      <c r="N436" t="str">
        <f t="shared" ca="1" si="70"/>
        <v>Campus Placements</v>
      </c>
      <c r="O436">
        <f t="shared" ca="1" si="71"/>
        <v>1</v>
      </c>
      <c r="P436" t="str">
        <f t="shared" ca="1" si="72"/>
        <v>Yes</v>
      </c>
      <c r="Q436" t="str" cm="1">
        <f t="array" aca="1" ref="Q436" ca="1">INDEX(sheet2!$C$2:$C$6, RANDBETWEEN(1, 5))</f>
        <v>Ethics and Responsibilities</v>
      </c>
      <c r="R436" t="str">
        <f t="shared" ca="1" si="75"/>
        <v>Completed</v>
      </c>
      <c r="S436">
        <f ca="1">Table1[[#This Row],[Hire Date]]-Table1[[#This Row],[Job Posting Date]]</f>
        <v>17</v>
      </c>
    </row>
    <row r="437" spans="1:19" x14ac:dyDescent="0.2">
      <c r="A437" t="str">
        <f t="shared" si="66"/>
        <v>EMP436</v>
      </c>
      <c r="B437" t="str">
        <f t="shared" ca="1" si="67"/>
        <v>Female</v>
      </c>
      <c r="C437" t="str" cm="1">
        <f t="array" aca="1" ref="C437" ca="1">INDEX(sheet2!$A$2:$A$6, RANDBETWEEN(1, 5))</f>
        <v>HR</v>
      </c>
      <c r="D437" t="str">
        <f ca="1">_xlfn.XLOOKUP(Table1[[#This Row],[Department]],sheet2!$A$2:$A$6,sheet2!$B$2:$B$6,_xleta.NA,0)</f>
        <v>HR Manager</v>
      </c>
      <c r="E437" s="1">
        <f t="shared" ca="1" si="73"/>
        <v>43655</v>
      </c>
      <c r="F437" s="1">
        <f ca="1">Table1[[#This Row],[Job Posting Date]]+ RANDBETWEEN(15, 90)</f>
        <v>43701</v>
      </c>
      <c r="G437" s="1">
        <f ca="1">Table1[[#This Row],[Hire Date]]+ RANDBETWEEN(1, 15)</f>
        <v>43711</v>
      </c>
      <c r="H437" s="1">
        <f ca="1">IF(RAND() &lt; 0.5,  Table1[[#This Row],[Join Date]]+ RANDBETWEEN(30, TODAY()- Table1[[#This Row],[Join Date]]), "-")</f>
        <v>45667</v>
      </c>
      <c r="I437" t="str">
        <f ca="1">IF(Table1[[#This Row],[Exit Date]]= "-", "Active", "Exited")</f>
        <v>Exited</v>
      </c>
      <c r="J437" s="5">
        <f t="shared" ca="1" si="74"/>
        <v>2763</v>
      </c>
      <c r="K437">
        <f ca="1">Table1[[#This Row],[Offers Made]]*2</f>
        <v>8</v>
      </c>
      <c r="L437">
        <f t="shared" ca="1" si="68"/>
        <v>4</v>
      </c>
      <c r="M437">
        <f t="shared" ca="1" si="69"/>
        <v>3</v>
      </c>
      <c r="N437" t="str">
        <f t="shared" ca="1" si="70"/>
        <v>Campus Placements</v>
      </c>
      <c r="O437">
        <f t="shared" ca="1" si="71"/>
        <v>2</v>
      </c>
      <c r="P437" t="str">
        <f t="shared" ca="1" si="72"/>
        <v>No</v>
      </c>
      <c r="Q437" t="str" cm="1">
        <f t="array" aca="1" ref="Q437" ca="1">INDEX(sheet2!$C$2:$C$6, RANDBETWEEN(1, 5))</f>
        <v>Advanced Excel Skills </v>
      </c>
      <c r="R437" t="str">
        <f t="shared" ca="1" si="75"/>
        <v>Completed</v>
      </c>
      <c r="S437">
        <f ca="1">Table1[[#This Row],[Hire Date]]-Table1[[#This Row],[Job Posting Date]]</f>
        <v>46</v>
      </c>
    </row>
    <row r="438" spans="1:19" x14ac:dyDescent="0.2">
      <c r="A438" t="str">
        <f t="shared" si="66"/>
        <v>EMP437</v>
      </c>
      <c r="B438" t="str">
        <f t="shared" ca="1" si="67"/>
        <v>Male</v>
      </c>
      <c r="C438" t="str" cm="1">
        <f t="array" aca="1" ref="C438" ca="1">INDEX(sheet2!$A$2:$A$6, RANDBETWEEN(1, 5))</f>
        <v>HR</v>
      </c>
      <c r="D438" t="str">
        <f ca="1">_xlfn.XLOOKUP(Table1[[#This Row],[Department]],sheet2!$A$2:$A$6,sheet2!$B$2:$B$6,_xleta.NA,0)</f>
        <v>HR Manager</v>
      </c>
      <c r="E438" s="1">
        <f t="shared" ca="1" si="73"/>
        <v>43591</v>
      </c>
      <c r="F438" s="1">
        <f ca="1">Table1[[#This Row],[Job Posting Date]]+ RANDBETWEEN(15, 90)</f>
        <v>43610</v>
      </c>
      <c r="G438" s="1">
        <f ca="1">Table1[[#This Row],[Hire Date]]+ RANDBETWEEN(1, 15)</f>
        <v>43623</v>
      </c>
      <c r="H438" s="1">
        <f ca="1">IF(RAND() &lt; 0.5,  Table1[[#This Row],[Join Date]]+ RANDBETWEEN(30, TODAY()- Table1[[#This Row],[Join Date]]), "-")</f>
        <v>45028</v>
      </c>
      <c r="I438" t="str">
        <f ca="1">IF(Table1[[#This Row],[Exit Date]]= "-", "Active", "Exited")</f>
        <v>Exited</v>
      </c>
      <c r="J438" s="5">
        <f t="shared" ca="1" si="74"/>
        <v>1633</v>
      </c>
      <c r="K438">
        <f ca="1">Table1[[#This Row],[Offers Made]]*2</f>
        <v>10</v>
      </c>
      <c r="L438">
        <f t="shared" ca="1" si="68"/>
        <v>5</v>
      </c>
      <c r="M438">
        <f t="shared" ca="1" si="69"/>
        <v>2</v>
      </c>
      <c r="N438" t="str">
        <f t="shared" ca="1" si="70"/>
        <v>Employee Referrals</v>
      </c>
      <c r="O438">
        <f t="shared" ca="1" si="71"/>
        <v>3</v>
      </c>
      <c r="P438" t="str">
        <f t="shared" ca="1" si="72"/>
        <v>Yes</v>
      </c>
      <c r="Q438" t="str" cm="1">
        <f t="array" aca="1" ref="Q438" ca="1">INDEX(sheet2!$C$2:$C$6, RANDBETWEEN(1, 5))</f>
        <v>Communication Skills</v>
      </c>
      <c r="R438" t="str">
        <f t="shared" ca="1" si="75"/>
        <v>Completed</v>
      </c>
      <c r="S438">
        <f ca="1">Table1[[#This Row],[Hire Date]]-Table1[[#This Row],[Job Posting Date]]</f>
        <v>19</v>
      </c>
    </row>
    <row r="439" spans="1:19" x14ac:dyDescent="0.2">
      <c r="A439" t="str">
        <f t="shared" si="66"/>
        <v>EMP438</v>
      </c>
      <c r="B439" t="str">
        <f t="shared" ca="1" si="67"/>
        <v>Female</v>
      </c>
      <c r="C439" t="str" cm="1">
        <f t="array" aca="1" ref="C439" ca="1">INDEX(sheet2!$A$2:$A$6, RANDBETWEEN(1, 5))</f>
        <v>HR</v>
      </c>
      <c r="D439" t="str">
        <f ca="1">_xlfn.XLOOKUP(Table1[[#This Row],[Department]],sheet2!$A$2:$A$6,sheet2!$B$2:$B$6,_xleta.NA,0)</f>
        <v>HR Manager</v>
      </c>
      <c r="E439" s="1">
        <f t="shared" ca="1" si="73"/>
        <v>43894</v>
      </c>
      <c r="F439" s="1">
        <f ca="1">Table1[[#This Row],[Job Posting Date]]+ RANDBETWEEN(15, 90)</f>
        <v>43936</v>
      </c>
      <c r="G439" s="1">
        <f ca="1">Table1[[#This Row],[Hire Date]]+ RANDBETWEEN(1, 15)</f>
        <v>43938</v>
      </c>
      <c r="H439" s="1" t="str">
        <f ca="1">IF(RAND() &lt; 0.5,  Table1[[#This Row],[Join Date]]+ RANDBETWEEN(30, TODAY()- Table1[[#This Row],[Join Date]]), "-")</f>
        <v>-</v>
      </c>
      <c r="I439" t="str">
        <f ca="1">IF(Table1[[#This Row],[Exit Date]]= "-", "Active", "Exited")</f>
        <v>Active</v>
      </c>
      <c r="J439" s="5">
        <f t="shared" ca="1" si="74"/>
        <v>4066</v>
      </c>
      <c r="K439">
        <f ca="1">Table1[[#This Row],[Offers Made]]*2</f>
        <v>6</v>
      </c>
      <c r="L439">
        <f t="shared" ca="1" si="68"/>
        <v>3</v>
      </c>
      <c r="M439">
        <f t="shared" ca="1" si="69"/>
        <v>1</v>
      </c>
      <c r="N439" t="str">
        <f t="shared" ca="1" si="70"/>
        <v>Direct Hiring</v>
      </c>
      <c r="O439">
        <f t="shared" ca="1" si="71"/>
        <v>1</v>
      </c>
      <c r="P439" t="str">
        <f t="shared" ca="1" si="72"/>
        <v>Yes</v>
      </c>
      <c r="Q439" t="str" cm="1">
        <f t="array" aca="1" ref="Q439" ca="1">INDEX(sheet2!$C$2:$C$6, RANDBETWEEN(1, 5))</f>
        <v>Leadership Development</v>
      </c>
      <c r="R439" t="str">
        <f t="shared" ca="1" si="75"/>
        <v>Not Completed</v>
      </c>
      <c r="S439">
        <f ca="1">Table1[[#This Row],[Hire Date]]-Table1[[#This Row],[Job Posting Date]]</f>
        <v>42</v>
      </c>
    </row>
    <row r="440" spans="1:19" x14ac:dyDescent="0.2">
      <c r="A440" t="str">
        <f t="shared" si="66"/>
        <v>EMP439</v>
      </c>
      <c r="B440" t="str">
        <f t="shared" ca="1" si="67"/>
        <v>Male</v>
      </c>
      <c r="C440" t="str" cm="1">
        <f t="array" aca="1" ref="C440" ca="1">INDEX(sheet2!$A$2:$A$6, RANDBETWEEN(1, 5))</f>
        <v>Analytics</v>
      </c>
      <c r="D440" t="str">
        <f ca="1">_xlfn.XLOOKUP(Table1[[#This Row],[Department]],sheet2!$A$2:$A$6,sheet2!$B$2:$B$6,_xleta.NA,0)</f>
        <v>Data Analyst</v>
      </c>
      <c r="E440" s="1">
        <f t="shared" ca="1" si="73"/>
        <v>44882</v>
      </c>
      <c r="F440" s="1">
        <f ca="1">Table1[[#This Row],[Job Posting Date]]+ RANDBETWEEN(15, 90)</f>
        <v>44920</v>
      </c>
      <c r="G440" s="1">
        <f ca="1">Table1[[#This Row],[Hire Date]]+ RANDBETWEEN(1, 15)</f>
        <v>44934</v>
      </c>
      <c r="H440" s="1" t="str">
        <f ca="1">IF(RAND() &lt; 0.5,  Table1[[#This Row],[Join Date]]+ RANDBETWEEN(30, TODAY()- Table1[[#This Row],[Join Date]]), "-")</f>
        <v>-</v>
      </c>
      <c r="I440" t="str">
        <f ca="1">IF(Table1[[#This Row],[Exit Date]]= "-", "Active", "Exited")</f>
        <v>Active</v>
      </c>
      <c r="J440" s="5">
        <f t="shared" ca="1" si="74"/>
        <v>3324</v>
      </c>
      <c r="K440">
        <f ca="1">Table1[[#This Row],[Offers Made]]*2</f>
        <v>12</v>
      </c>
      <c r="L440">
        <f t="shared" ca="1" si="68"/>
        <v>6</v>
      </c>
      <c r="M440">
        <f t="shared" ca="1" si="69"/>
        <v>1</v>
      </c>
      <c r="N440" t="str">
        <f t="shared" ca="1" si="70"/>
        <v>Direct Hiring</v>
      </c>
      <c r="O440">
        <f t="shared" ca="1" si="71"/>
        <v>5</v>
      </c>
      <c r="P440" t="str">
        <f t="shared" ca="1" si="72"/>
        <v>Yes</v>
      </c>
      <c r="Q440" t="str" cm="1">
        <f t="array" aca="1" ref="Q440" ca="1">INDEX(sheet2!$C$2:$C$6, RANDBETWEEN(1, 5))</f>
        <v>Leadership Development</v>
      </c>
      <c r="R440" t="str">
        <f t="shared" ca="1" si="75"/>
        <v>Completed</v>
      </c>
      <c r="S440">
        <f ca="1">Table1[[#This Row],[Hire Date]]-Table1[[#This Row],[Job Posting Date]]</f>
        <v>38</v>
      </c>
    </row>
    <row r="441" spans="1:19" x14ac:dyDescent="0.2">
      <c r="A441" t="str">
        <f t="shared" si="66"/>
        <v>EMP440</v>
      </c>
      <c r="B441" t="str">
        <f t="shared" ca="1" si="67"/>
        <v>Male</v>
      </c>
      <c r="C441" t="str" cm="1">
        <f t="array" aca="1" ref="C441" ca="1">INDEX(sheet2!$A$2:$A$6, RANDBETWEEN(1, 5))</f>
        <v>IT</v>
      </c>
      <c r="D441" t="str">
        <f ca="1">_xlfn.XLOOKUP(Table1[[#This Row],[Department]],sheet2!$A$2:$A$6,sheet2!$B$2:$B$6,_xleta.NA,0)</f>
        <v>Software Engineer</v>
      </c>
      <c r="E441" s="1">
        <f t="shared" ca="1" si="73"/>
        <v>44536</v>
      </c>
      <c r="F441" s="1">
        <f ca="1">Table1[[#This Row],[Job Posting Date]]+ RANDBETWEEN(15, 90)</f>
        <v>44602</v>
      </c>
      <c r="G441" s="1">
        <f ca="1">Table1[[#This Row],[Hire Date]]+ RANDBETWEEN(1, 15)</f>
        <v>44616</v>
      </c>
      <c r="H441" s="1" t="str">
        <f ca="1">IF(RAND() &lt; 0.5,  Table1[[#This Row],[Join Date]]+ RANDBETWEEN(30, TODAY()- Table1[[#This Row],[Join Date]]), "-")</f>
        <v>-</v>
      </c>
      <c r="I441" t="str">
        <f ca="1">IF(Table1[[#This Row],[Exit Date]]= "-", "Active", "Exited")</f>
        <v>Active</v>
      </c>
      <c r="J441" s="5">
        <f t="shared" ca="1" si="74"/>
        <v>4619</v>
      </c>
      <c r="K441">
        <f ca="1">Table1[[#This Row],[Offers Made]]*2</f>
        <v>14</v>
      </c>
      <c r="L441">
        <f t="shared" ca="1" si="68"/>
        <v>7</v>
      </c>
      <c r="M441">
        <f t="shared" ca="1" si="69"/>
        <v>1</v>
      </c>
      <c r="N441" t="str">
        <f t="shared" ca="1" si="70"/>
        <v>Employee Referrals</v>
      </c>
      <c r="O441">
        <f t="shared" ca="1" si="71"/>
        <v>1</v>
      </c>
      <c r="P441" t="str">
        <f t="shared" ca="1" si="72"/>
        <v>Yes</v>
      </c>
      <c r="Q441" t="str" cm="1">
        <f t="array" aca="1" ref="Q441" ca="1">INDEX(sheet2!$C$2:$C$6, RANDBETWEEN(1, 5))</f>
        <v>Conflict Resolution</v>
      </c>
      <c r="R441" t="str">
        <f t="shared" ca="1" si="75"/>
        <v>Completed</v>
      </c>
      <c r="S441">
        <f ca="1">Table1[[#This Row],[Hire Date]]-Table1[[#This Row],[Job Posting Date]]</f>
        <v>66</v>
      </c>
    </row>
    <row r="442" spans="1:19" x14ac:dyDescent="0.2">
      <c r="A442" t="str">
        <f t="shared" si="66"/>
        <v>EMP441</v>
      </c>
      <c r="B442" t="str">
        <f t="shared" ca="1" si="67"/>
        <v>Male</v>
      </c>
      <c r="C442" t="str" cm="1">
        <f t="array" aca="1" ref="C442" ca="1">INDEX(sheet2!$A$2:$A$6, RANDBETWEEN(1, 5))</f>
        <v>Analytics</v>
      </c>
      <c r="D442" t="str">
        <f ca="1">_xlfn.XLOOKUP(Table1[[#This Row],[Department]],sheet2!$A$2:$A$6,sheet2!$B$2:$B$6,_xleta.NA,0)</f>
        <v>Data Analyst</v>
      </c>
      <c r="E442" s="1">
        <f t="shared" ca="1" si="73"/>
        <v>43715</v>
      </c>
      <c r="F442" s="1">
        <f ca="1">Table1[[#This Row],[Job Posting Date]]+ RANDBETWEEN(15, 90)</f>
        <v>43750</v>
      </c>
      <c r="G442" s="1">
        <f ca="1">Table1[[#This Row],[Hire Date]]+ RANDBETWEEN(1, 15)</f>
        <v>43758</v>
      </c>
      <c r="H442" s="1">
        <f ca="1">IF(RAND() &lt; 0.5,  Table1[[#This Row],[Join Date]]+ RANDBETWEEN(30, TODAY()- Table1[[#This Row],[Join Date]]), "-")</f>
        <v>44160</v>
      </c>
      <c r="I442" t="str">
        <f ca="1">IF(Table1[[#This Row],[Exit Date]]= "-", "Active", "Exited")</f>
        <v>Exited</v>
      </c>
      <c r="J442" s="5">
        <f t="shared" ca="1" si="74"/>
        <v>1997</v>
      </c>
      <c r="K442">
        <f ca="1">Table1[[#This Row],[Offers Made]]*2</f>
        <v>12</v>
      </c>
      <c r="L442">
        <f t="shared" ca="1" si="68"/>
        <v>6</v>
      </c>
      <c r="M442">
        <f t="shared" ca="1" si="69"/>
        <v>3</v>
      </c>
      <c r="N442" t="str">
        <f t="shared" ca="1" si="70"/>
        <v>Job Portals</v>
      </c>
      <c r="O442">
        <f t="shared" ca="1" si="71"/>
        <v>5</v>
      </c>
      <c r="P442" t="str">
        <f t="shared" ca="1" si="72"/>
        <v>Yes</v>
      </c>
      <c r="Q442" t="str" cm="1">
        <f t="array" aca="1" ref="Q442" ca="1">INDEX(sheet2!$C$2:$C$6, RANDBETWEEN(1, 5))</f>
        <v>Advanced Excel Skills </v>
      </c>
      <c r="R442" t="str">
        <f t="shared" ca="1" si="75"/>
        <v>Completed</v>
      </c>
      <c r="S442">
        <f ca="1">Table1[[#This Row],[Hire Date]]-Table1[[#This Row],[Job Posting Date]]</f>
        <v>35</v>
      </c>
    </row>
    <row r="443" spans="1:19" x14ac:dyDescent="0.2">
      <c r="A443" t="str">
        <f t="shared" si="66"/>
        <v>EMP442</v>
      </c>
      <c r="B443" t="str">
        <f t="shared" ca="1" si="67"/>
        <v>Male</v>
      </c>
      <c r="C443" t="str" cm="1">
        <f t="array" aca="1" ref="C443" ca="1">INDEX(sheet2!$A$2:$A$6, RANDBETWEEN(1, 5))</f>
        <v>HR</v>
      </c>
      <c r="D443" t="str">
        <f ca="1">_xlfn.XLOOKUP(Table1[[#This Row],[Department]],sheet2!$A$2:$A$6,sheet2!$B$2:$B$6,_xleta.NA,0)</f>
        <v>HR Manager</v>
      </c>
      <c r="E443" s="1">
        <f t="shared" ca="1" si="73"/>
        <v>43761</v>
      </c>
      <c r="F443" s="1">
        <f ca="1">Table1[[#This Row],[Job Posting Date]]+ RANDBETWEEN(15, 90)</f>
        <v>43799</v>
      </c>
      <c r="G443" s="1">
        <f ca="1">Table1[[#This Row],[Hire Date]]+ RANDBETWEEN(1, 15)</f>
        <v>43801</v>
      </c>
      <c r="H443" s="1" t="str">
        <f ca="1">IF(RAND() &lt; 0.5,  Table1[[#This Row],[Join Date]]+ RANDBETWEEN(30, TODAY()- Table1[[#This Row],[Join Date]]), "-")</f>
        <v>-</v>
      </c>
      <c r="I443" t="str">
        <f ca="1">IF(Table1[[#This Row],[Exit Date]]= "-", "Active", "Exited")</f>
        <v>Active</v>
      </c>
      <c r="J443" s="5">
        <f t="shared" ca="1" si="74"/>
        <v>3308</v>
      </c>
      <c r="K443">
        <f ca="1">Table1[[#This Row],[Offers Made]]*2</f>
        <v>8</v>
      </c>
      <c r="L443">
        <f t="shared" ca="1" si="68"/>
        <v>4</v>
      </c>
      <c r="M443">
        <f t="shared" ca="1" si="69"/>
        <v>2</v>
      </c>
      <c r="N443" t="str">
        <f t="shared" ca="1" si="70"/>
        <v>Campus Placements</v>
      </c>
      <c r="O443">
        <f t="shared" ca="1" si="71"/>
        <v>1</v>
      </c>
      <c r="P443" t="str">
        <f t="shared" ca="1" si="72"/>
        <v>No</v>
      </c>
      <c r="Q443" t="str" cm="1">
        <f t="array" aca="1" ref="Q443" ca="1">INDEX(sheet2!$C$2:$C$6, RANDBETWEEN(1, 5))</f>
        <v>Conflict Resolution</v>
      </c>
      <c r="R443" t="str">
        <f t="shared" ca="1" si="75"/>
        <v>Completed</v>
      </c>
      <c r="S443">
        <f ca="1">Table1[[#This Row],[Hire Date]]-Table1[[#This Row],[Job Posting Date]]</f>
        <v>38</v>
      </c>
    </row>
    <row r="444" spans="1:19" x14ac:dyDescent="0.2">
      <c r="A444" t="str">
        <f t="shared" si="66"/>
        <v>EMP443</v>
      </c>
      <c r="B444" t="str">
        <f t="shared" ca="1" si="67"/>
        <v>Male</v>
      </c>
      <c r="C444" t="str" cm="1">
        <f t="array" aca="1" ref="C444" ca="1">INDEX(sheet2!$A$2:$A$6, RANDBETWEEN(1, 5))</f>
        <v>HR</v>
      </c>
      <c r="D444" t="str">
        <f ca="1">_xlfn.XLOOKUP(Table1[[#This Row],[Department]],sheet2!$A$2:$A$6,sheet2!$B$2:$B$6,_xleta.NA,0)</f>
        <v>HR Manager</v>
      </c>
      <c r="E444" s="1">
        <f t="shared" ca="1" si="73"/>
        <v>44189</v>
      </c>
      <c r="F444" s="1">
        <f ca="1">Table1[[#This Row],[Job Posting Date]]+ RANDBETWEEN(15, 90)</f>
        <v>44260</v>
      </c>
      <c r="G444" s="1">
        <f ca="1">Table1[[#This Row],[Hire Date]]+ RANDBETWEEN(1, 15)</f>
        <v>44263</v>
      </c>
      <c r="H444" s="1">
        <f ca="1">IF(RAND() &lt; 0.5,  Table1[[#This Row],[Join Date]]+ RANDBETWEEN(30, TODAY()- Table1[[#This Row],[Join Date]]), "-")</f>
        <v>44304</v>
      </c>
      <c r="I444" t="str">
        <f ca="1">IF(Table1[[#This Row],[Exit Date]]= "-", "Active", "Exited")</f>
        <v>Exited</v>
      </c>
      <c r="J444" s="5">
        <f t="shared" ca="1" si="74"/>
        <v>2477</v>
      </c>
      <c r="K444">
        <f ca="1">Table1[[#This Row],[Offers Made]]*2</f>
        <v>6</v>
      </c>
      <c r="L444">
        <f t="shared" ca="1" si="68"/>
        <v>3</v>
      </c>
      <c r="M444">
        <f t="shared" ca="1" si="69"/>
        <v>2</v>
      </c>
      <c r="N444" t="str">
        <f t="shared" ca="1" si="70"/>
        <v>Campus Placements</v>
      </c>
      <c r="O444">
        <f t="shared" ca="1" si="71"/>
        <v>1</v>
      </c>
      <c r="P444" t="str">
        <f t="shared" ca="1" si="72"/>
        <v>Yes</v>
      </c>
      <c r="Q444" t="str" cm="1">
        <f t="array" aca="1" ref="Q444" ca="1">INDEX(sheet2!$C$2:$C$6, RANDBETWEEN(1, 5))</f>
        <v>Ethics and Responsibilities</v>
      </c>
      <c r="R444" t="str">
        <f t="shared" ca="1" si="75"/>
        <v>Completed</v>
      </c>
      <c r="S444">
        <f ca="1">Table1[[#This Row],[Hire Date]]-Table1[[#This Row],[Job Posting Date]]</f>
        <v>71</v>
      </c>
    </row>
    <row r="445" spans="1:19" x14ac:dyDescent="0.2">
      <c r="A445" t="str">
        <f t="shared" si="66"/>
        <v>EMP444</v>
      </c>
      <c r="B445" t="str">
        <f t="shared" ca="1" si="67"/>
        <v>Female</v>
      </c>
      <c r="C445" t="str" cm="1">
        <f t="array" aca="1" ref="C445" ca="1">INDEX(sheet2!$A$2:$A$6, RANDBETWEEN(1, 5))</f>
        <v>HR</v>
      </c>
      <c r="D445" t="str">
        <f ca="1">_xlfn.XLOOKUP(Table1[[#This Row],[Department]],sheet2!$A$2:$A$6,sheet2!$B$2:$B$6,_xleta.NA,0)</f>
        <v>HR Manager</v>
      </c>
      <c r="E445" s="1">
        <f t="shared" ca="1" si="73"/>
        <v>43102</v>
      </c>
      <c r="F445" s="1">
        <f ca="1">Table1[[#This Row],[Job Posting Date]]+ RANDBETWEEN(15, 90)</f>
        <v>43135</v>
      </c>
      <c r="G445" s="1">
        <f ca="1">Table1[[#This Row],[Hire Date]]+ RANDBETWEEN(1, 15)</f>
        <v>43146</v>
      </c>
      <c r="H445" s="1" t="str">
        <f ca="1">IF(RAND() &lt; 0.5,  Table1[[#This Row],[Join Date]]+ RANDBETWEEN(30, TODAY()- Table1[[#This Row],[Join Date]]), "-")</f>
        <v>-</v>
      </c>
      <c r="I445" t="str">
        <f ca="1">IF(Table1[[#This Row],[Exit Date]]= "-", "Active", "Exited")</f>
        <v>Active</v>
      </c>
      <c r="J445" s="5">
        <f t="shared" ca="1" si="74"/>
        <v>4737</v>
      </c>
      <c r="K445">
        <f ca="1">Table1[[#This Row],[Offers Made]]*2</f>
        <v>8</v>
      </c>
      <c r="L445">
        <f t="shared" ca="1" si="68"/>
        <v>4</v>
      </c>
      <c r="M445">
        <f t="shared" ca="1" si="69"/>
        <v>1</v>
      </c>
      <c r="N445" t="str">
        <f t="shared" ca="1" si="70"/>
        <v>Direct Hiring</v>
      </c>
      <c r="O445">
        <f t="shared" ca="1" si="71"/>
        <v>5</v>
      </c>
      <c r="P445" t="str">
        <f t="shared" ca="1" si="72"/>
        <v>Yes</v>
      </c>
      <c r="Q445" t="str" cm="1">
        <f t="array" aca="1" ref="Q445" ca="1">INDEX(sheet2!$C$2:$C$6, RANDBETWEEN(1, 5))</f>
        <v>Communication Skills</v>
      </c>
      <c r="R445" t="str">
        <f t="shared" ca="1" si="75"/>
        <v>Completed</v>
      </c>
      <c r="S445">
        <f ca="1">Table1[[#This Row],[Hire Date]]-Table1[[#This Row],[Job Posting Date]]</f>
        <v>33</v>
      </c>
    </row>
    <row r="446" spans="1:19" x14ac:dyDescent="0.2">
      <c r="A446" t="str">
        <f t="shared" si="66"/>
        <v>EMP445</v>
      </c>
      <c r="B446" t="str">
        <f t="shared" ca="1" si="67"/>
        <v>Male</v>
      </c>
      <c r="C446" t="str" cm="1">
        <f t="array" aca="1" ref="C446" ca="1">INDEX(sheet2!$A$2:$A$6, RANDBETWEEN(1, 5))</f>
        <v>Analytics</v>
      </c>
      <c r="D446" t="str">
        <f ca="1">_xlfn.XLOOKUP(Table1[[#This Row],[Department]],sheet2!$A$2:$A$6,sheet2!$B$2:$B$6,_xleta.NA,0)</f>
        <v>Data Analyst</v>
      </c>
      <c r="E446" s="1">
        <f t="shared" ca="1" si="73"/>
        <v>43303</v>
      </c>
      <c r="F446" s="1">
        <f ca="1">Table1[[#This Row],[Job Posting Date]]+ RANDBETWEEN(15, 90)</f>
        <v>43376</v>
      </c>
      <c r="G446" s="1">
        <f ca="1">Table1[[#This Row],[Hire Date]]+ RANDBETWEEN(1, 15)</f>
        <v>43388</v>
      </c>
      <c r="H446" s="1">
        <f ca="1">IF(RAND() &lt; 0.5,  Table1[[#This Row],[Join Date]]+ RANDBETWEEN(30, TODAY()- Table1[[#This Row],[Join Date]]), "-")</f>
        <v>44183</v>
      </c>
      <c r="I446" t="str">
        <f ca="1">IF(Table1[[#This Row],[Exit Date]]= "-", "Active", "Exited")</f>
        <v>Exited</v>
      </c>
      <c r="J446" s="5">
        <f t="shared" ca="1" si="74"/>
        <v>2942</v>
      </c>
      <c r="K446">
        <f ca="1">Table1[[#This Row],[Offers Made]]*2</f>
        <v>16</v>
      </c>
      <c r="L446">
        <f t="shared" ca="1" si="68"/>
        <v>8</v>
      </c>
      <c r="M446">
        <f t="shared" ca="1" si="69"/>
        <v>6</v>
      </c>
      <c r="N446" t="str">
        <f t="shared" ca="1" si="70"/>
        <v>Campus Placements</v>
      </c>
      <c r="O446">
        <f t="shared" ca="1" si="71"/>
        <v>5</v>
      </c>
      <c r="P446" t="str">
        <f t="shared" ca="1" si="72"/>
        <v>No</v>
      </c>
      <c r="Q446" t="str" cm="1">
        <f t="array" aca="1" ref="Q446" ca="1">INDEX(sheet2!$C$2:$C$6, RANDBETWEEN(1, 5))</f>
        <v>Ethics and Responsibilities</v>
      </c>
      <c r="R446" t="str">
        <f t="shared" ca="1" si="75"/>
        <v>Not Completed</v>
      </c>
      <c r="S446">
        <f ca="1">Table1[[#This Row],[Hire Date]]-Table1[[#This Row],[Job Posting Date]]</f>
        <v>73</v>
      </c>
    </row>
    <row r="447" spans="1:19" x14ac:dyDescent="0.2">
      <c r="A447" t="str">
        <f t="shared" si="66"/>
        <v>EMP446</v>
      </c>
      <c r="B447" t="str">
        <f t="shared" ca="1" si="67"/>
        <v>Female</v>
      </c>
      <c r="C447" t="str" cm="1">
        <f t="array" aca="1" ref="C447" ca="1">INDEX(sheet2!$A$2:$A$6, RANDBETWEEN(1, 5))</f>
        <v>Sales</v>
      </c>
      <c r="D447" t="str">
        <f ca="1">_xlfn.XLOOKUP(Table1[[#This Row],[Department]],sheet2!$A$2:$A$6,sheet2!$B$2:$B$6,_xleta.NA,0)</f>
        <v>Marketing Manager</v>
      </c>
      <c r="E447" s="1">
        <f t="shared" ca="1" si="73"/>
        <v>44691</v>
      </c>
      <c r="F447" s="1">
        <f ca="1">Table1[[#This Row],[Job Posting Date]]+ RANDBETWEEN(15, 90)</f>
        <v>44710</v>
      </c>
      <c r="G447" s="1">
        <f ca="1">Table1[[#This Row],[Hire Date]]+ RANDBETWEEN(1, 15)</f>
        <v>44717</v>
      </c>
      <c r="H447" s="1" t="str">
        <f ca="1">IF(RAND() &lt; 0.5,  Table1[[#This Row],[Join Date]]+ RANDBETWEEN(30, TODAY()- Table1[[#This Row],[Join Date]]), "-")</f>
        <v>-</v>
      </c>
      <c r="I447" t="str">
        <f ca="1">IF(Table1[[#This Row],[Exit Date]]= "-", "Active", "Exited")</f>
        <v>Active</v>
      </c>
      <c r="J447" s="5">
        <f t="shared" ca="1" si="74"/>
        <v>4844</v>
      </c>
      <c r="K447">
        <f ca="1">Table1[[#This Row],[Offers Made]]*2</f>
        <v>6</v>
      </c>
      <c r="L447">
        <f t="shared" ca="1" si="68"/>
        <v>3</v>
      </c>
      <c r="M447">
        <f t="shared" ca="1" si="69"/>
        <v>2</v>
      </c>
      <c r="N447" t="str">
        <f t="shared" ca="1" si="70"/>
        <v>Employee Referrals</v>
      </c>
      <c r="O447">
        <f t="shared" ca="1" si="71"/>
        <v>2</v>
      </c>
      <c r="P447" t="str">
        <f t="shared" ca="1" si="72"/>
        <v>No</v>
      </c>
      <c r="Q447" t="str" cm="1">
        <f t="array" aca="1" ref="Q447" ca="1">INDEX(sheet2!$C$2:$C$6, RANDBETWEEN(1, 5))</f>
        <v>Conflict Resolution</v>
      </c>
      <c r="R447" t="str">
        <f t="shared" ca="1" si="75"/>
        <v>Completed</v>
      </c>
      <c r="S447">
        <f ca="1">Table1[[#This Row],[Hire Date]]-Table1[[#This Row],[Job Posting Date]]</f>
        <v>19</v>
      </c>
    </row>
    <row r="448" spans="1:19" x14ac:dyDescent="0.2">
      <c r="A448" t="str">
        <f t="shared" si="66"/>
        <v>EMP447</v>
      </c>
      <c r="B448" t="str">
        <f t="shared" ca="1" si="67"/>
        <v>Male</v>
      </c>
      <c r="C448" t="str" cm="1">
        <f t="array" aca="1" ref="C448" ca="1">INDEX(sheet2!$A$2:$A$6, RANDBETWEEN(1, 5))</f>
        <v>Finance</v>
      </c>
      <c r="D448" t="str">
        <f ca="1">_xlfn.XLOOKUP(Table1[[#This Row],[Department]],sheet2!$A$2:$A$6,sheet2!$B$2:$B$6,_xleta.NA,0)</f>
        <v>Finance Manager</v>
      </c>
      <c r="E448" s="1">
        <f t="shared" ca="1" si="73"/>
        <v>44275</v>
      </c>
      <c r="F448" s="1">
        <f ca="1">Table1[[#This Row],[Job Posting Date]]+ RANDBETWEEN(15, 90)</f>
        <v>44305</v>
      </c>
      <c r="G448" s="1">
        <f ca="1">Table1[[#This Row],[Hire Date]]+ RANDBETWEEN(1, 15)</f>
        <v>44308</v>
      </c>
      <c r="H448" s="1" t="str">
        <f ca="1">IF(RAND() &lt; 0.5,  Table1[[#This Row],[Join Date]]+ RANDBETWEEN(30, TODAY()- Table1[[#This Row],[Join Date]]), "-")</f>
        <v>-</v>
      </c>
      <c r="I448" t="str">
        <f ca="1">IF(Table1[[#This Row],[Exit Date]]= "-", "Active", "Exited")</f>
        <v>Active</v>
      </c>
      <c r="J448" s="5">
        <f t="shared" ca="1" si="74"/>
        <v>4925</v>
      </c>
      <c r="K448">
        <f ca="1">Table1[[#This Row],[Offers Made]]*2</f>
        <v>10</v>
      </c>
      <c r="L448">
        <f t="shared" ca="1" si="68"/>
        <v>5</v>
      </c>
      <c r="M448">
        <f t="shared" ca="1" si="69"/>
        <v>4</v>
      </c>
      <c r="N448" t="str">
        <f t="shared" ca="1" si="70"/>
        <v>Campus Placements</v>
      </c>
      <c r="O448">
        <f t="shared" ca="1" si="71"/>
        <v>3</v>
      </c>
      <c r="P448" t="str">
        <f t="shared" ca="1" si="72"/>
        <v>No</v>
      </c>
      <c r="Q448" t="str" cm="1">
        <f t="array" aca="1" ref="Q448" ca="1">INDEX(sheet2!$C$2:$C$6, RANDBETWEEN(1, 5))</f>
        <v>Leadership Development</v>
      </c>
      <c r="R448" t="str">
        <f t="shared" ca="1" si="75"/>
        <v>Completed</v>
      </c>
      <c r="S448">
        <f ca="1">Table1[[#This Row],[Hire Date]]-Table1[[#This Row],[Job Posting Date]]</f>
        <v>30</v>
      </c>
    </row>
    <row r="449" spans="1:19" x14ac:dyDescent="0.2">
      <c r="A449" t="str">
        <f t="shared" si="66"/>
        <v>EMP448</v>
      </c>
      <c r="B449" t="str">
        <f t="shared" ca="1" si="67"/>
        <v>Male</v>
      </c>
      <c r="C449" t="str" cm="1">
        <f t="array" aca="1" ref="C449" ca="1">INDEX(sheet2!$A$2:$A$6, RANDBETWEEN(1, 5))</f>
        <v>Finance</v>
      </c>
      <c r="D449" t="str">
        <f ca="1">_xlfn.XLOOKUP(Table1[[#This Row],[Department]],sheet2!$A$2:$A$6,sheet2!$B$2:$B$6,_xleta.NA,0)</f>
        <v>Finance Manager</v>
      </c>
      <c r="E449" s="1">
        <f t="shared" ca="1" si="73"/>
        <v>43468</v>
      </c>
      <c r="F449" s="1">
        <f ca="1">Table1[[#This Row],[Job Posting Date]]+ RANDBETWEEN(15, 90)</f>
        <v>43523</v>
      </c>
      <c r="G449" s="1">
        <f ca="1">Table1[[#This Row],[Hire Date]]+ RANDBETWEEN(1, 15)</f>
        <v>43535</v>
      </c>
      <c r="H449" s="1">
        <f ca="1">IF(RAND() &lt; 0.5,  Table1[[#This Row],[Join Date]]+ RANDBETWEEN(30, TODAY()- Table1[[#This Row],[Join Date]]), "-")</f>
        <v>45540</v>
      </c>
      <c r="I449" t="str">
        <f ca="1">IF(Table1[[#This Row],[Exit Date]]= "-", "Active", "Exited")</f>
        <v>Exited</v>
      </c>
      <c r="J449" s="5">
        <f t="shared" ca="1" si="74"/>
        <v>3960</v>
      </c>
      <c r="K449">
        <f ca="1">Table1[[#This Row],[Offers Made]]*2</f>
        <v>8</v>
      </c>
      <c r="L449">
        <f t="shared" ca="1" si="68"/>
        <v>4</v>
      </c>
      <c r="M449">
        <f t="shared" ca="1" si="69"/>
        <v>2</v>
      </c>
      <c r="N449" t="str">
        <f t="shared" ca="1" si="70"/>
        <v>Job Portals</v>
      </c>
      <c r="O449">
        <f t="shared" ca="1" si="71"/>
        <v>5</v>
      </c>
      <c r="P449" t="str">
        <f t="shared" ca="1" si="72"/>
        <v>Yes</v>
      </c>
      <c r="Q449" t="str" cm="1">
        <f t="array" aca="1" ref="Q449" ca="1">INDEX(sheet2!$C$2:$C$6, RANDBETWEEN(1, 5))</f>
        <v>Ethics and Responsibilities</v>
      </c>
      <c r="R449" t="str">
        <f t="shared" ca="1" si="75"/>
        <v>Completed</v>
      </c>
      <c r="S449">
        <f ca="1">Table1[[#This Row],[Hire Date]]-Table1[[#This Row],[Job Posting Date]]</f>
        <v>55</v>
      </c>
    </row>
    <row r="450" spans="1:19" x14ac:dyDescent="0.2">
      <c r="A450" t="str">
        <f t="shared" ref="A450:A501" si="76">"EMP" &amp; TEXT(ROW(A449), "000")</f>
        <v>EMP449</v>
      </c>
      <c r="B450" t="str">
        <f t="shared" ref="B450:B501" ca="1" si="77">CHOOSE(RANDBETWEEN(1, 2), "Male", "Female")</f>
        <v>Female</v>
      </c>
      <c r="C450" t="str" cm="1">
        <f t="array" aca="1" ref="C450" ca="1">INDEX(sheet2!$A$2:$A$6, RANDBETWEEN(1, 5))</f>
        <v>Analytics</v>
      </c>
      <c r="D450" t="str">
        <f ca="1">_xlfn.XLOOKUP(Table1[[#This Row],[Department]],sheet2!$A$2:$A$6,sheet2!$B$2:$B$6,_xleta.NA,0)</f>
        <v>Data Analyst</v>
      </c>
      <c r="E450" s="1">
        <f t="shared" ca="1" si="73"/>
        <v>44392</v>
      </c>
      <c r="F450" s="1">
        <f ca="1">Table1[[#This Row],[Job Posting Date]]+ RANDBETWEEN(15, 90)</f>
        <v>44407</v>
      </c>
      <c r="G450" s="1">
        <f ca="1">Table1[[#This Row],[Hire Date]]+ RANDBETWEEN(1, 15)</f>
        <v>44419</v>
      </c>
      <c r="H450" s="1" t="str">
        <f ca="1">IF(RAND() &lt; 0.5,  Table1[[#This Row],[Join Date]]+ RANDBETWEEN(30, TODAY()- Table1[[#This Row],[Join Date]]), "-")</f>
        <v>-</v>
      </c>
      <c r="I450" t="str">
        <f ca="1">IF(Table1[[#This Row],[Exit Date]]= "-", "Active", "Exited")</f>
        <v>Active</v>
      </c>
      <c r="J450" s="5">
        <f t="shared" ca="1" si="74"/>
        <v>2526</v>
      </c>
      <c r="K450">
        <f ca="1">Table1[[#This Row],[Offers Made]]*2</f>
        <v>8</v>
      </c>
      <c r="L450">
        <f t="shared" ref="L450:L501" ca="1" si="78">RANDBETWEEN(3, 8)</f>
        <v>4</v>
      </c>
      <c r="M450">
        <f t="shared" ref="M450:M501" ca="1" si="79">RANDBETWEEN(1, L450-1)</f>
        <v>2</v>
      </c>
      <c r="N450" t="str">
        <f t="shared" ref="N450:N501" ca="1" si="80">CHOOSE(RANDBETWEEN(1, 4), "Job Portals", "Campus Placements", "Employee Referrals", "Direct Hiring")</f>
        <v>Direct Hiring</v>
      </c>
      <c r="O450">
        <f t="shared" ref="O450:O501" ca="1" si="81">RANDBETWEEN(1,5)</f>
        <v>2</v>
      </c>
      <c r="P450" t="str">
        <f t="shared" ref="P450:P501" ca="1" si="82">CHOOSE(RANDBETWEEN(1, 2), "Yes", "No")</f>
        <v>Yes</v>
      </c>
      <c r="Q450" t="str" cm="1">
        <f t="array" aca="1" ref="Q450" ca="1">INDEX(sheet2!$C$2:$C$6, RANDBETWEEN(1, 5))</f>
        <v>Communication Skills</v>
      </c>
      <c r="R450" t="str">
        <f t="shared" ca="1" si="75"/>
        <v>Completed</v>
      </c>
      <c r="S450">
        <f ca="1">Table1[[#This Row],[Hire Date]]-Table1[[#This Row],[Job Posting Date]]</f>
        <v>15</v>
      </c>
    </row>
    <row r="451" spans="1:19" x14ac:dyDescent="0.2">
      <c r="A451" t="str">
        <f t="shared" si="76"/>
        <v>EMP450</v>
      </c>
      <c r="B451" t="str">
        <f t="shared" ca="1" si="77"/>
        <v>Male</v>
      </c>
      <c r="C451" t="str" cm="1">
        <f t="array" aca="1" ref="C451" ca="1">INDEX(sheet2!$A$2:$A$6, RANDBETWEEN(1, 5))</f>
        <v>Sales</v>
      </c>
      <c r="D451" t="str">
        <f ca="1">_xlfn.XLOOKUP(Table1[[#This Row],[Department]],sheet2!$A$2:$A$6,sheet2!$B$2:$B$6,_xleta.NA,0)</f>
        <v>Marketing Manager</v>
      </c>
      <c r="E451" s="1">
        <f t="shared" ca="1" si="73"/>
        <v>44636</v>
      </c>
      <c r="F451" s="1">
        <f ca="1">Table1[[#This Row],[Job Posting Date]]+ RANDBETWEEN(15, 90)</f>
        <v>44714</v>
      </c>
      <c r="G451" s="1">
        <f ca="1">Table1[[#This Row],[Hire Date]]+ RANDBETWEEN(1, 15)</f>
        <v>44716</v>
      </c>
      <c r="H451" s="1">
        <f ca="1">IF(RAND() &lt; 0.5,  Table1[[#This Row],[Join Date]]+ RANDBETWEEN(30, TODAY()- Table1[[#This Row],[Join Date]]), "-")</f>
        <v>45485</v>
      </c>
      <c r="I451" t="str">
        <f ca="1">IF(Table1[[#This Row],[Exit Date]]= "-", "Active", "Exited")</f>
        <v>Exited</v>
      </c>
      <c r="J451" s="5">
        <f t="shared" ca="1" si="74"/>
        <v>3092</v>
      </c>
      <c r="K451">
        <f ca="1">Table1[[#This Row],[Offers Made]]*2</f>
        <v>16</v>
      </c>
      <c r="L451">
        <f t="shared" ca="1" si="78"/>
        <v>8</v>
      </c>
      <c r="M451">
        <f t="shared" ca="1" si="79"/>
        <v>2</v>
      </c>
      <c r="N451" t="str">
        <f t="shared" ca="1" si="80"/>
        <v>Campus Placements</v>
      </c>
      <c r="O451">
        <f t="shared" ca="1" si="81"/>
        <v>1</v>
      </c>
      <c r="P451" t="str">
        <f t="shared" ca="1" si="82"/>
        <v>No</v>
      </c>
      <c r="Q451" t="str" cm="1">
        <f t="array" aca="1" ref="Q451" ca="1">INDEX(sheet2!$C$2:$C$6, RANDBETWEEN(1, 5))</f>
        <v>Ethics and Responsibilities</v>
      </c>
      <c r="R451" t="str">
        <f t="shared" ca="1" si="75"/>
        <v>Completed</v>
      </c>
      <c r="S451">
        <f ca="1">Table1[[#This Row],[Hire Date]]-Table1[[#This Row],[Job Posting Date]]</f>
        <v>78</v>
      </c>
    </row>
    <row r="452" spans="1:19" x14ac:dyDescent="0.2">
      <c r="A452" t="str">
        <f t="shared" si="76"/>
        <v>EMP451</v>
      </c>
      <c r="B452" t="str">
        <f t="shared" ca="1" si="77"/>
        <v>Male</v>
      </c>
      <c r="C452" t="str" cm="1">
        <f t="array" aca="1" ref="C452" ca="1">INDEX(sheet2!$A$2:$A$6, RANDBETWEEN(1, 5))</f>
        <v>IT</v>
      </c>
      <c r="D452" t="str">
        <f ca="1">_xlfn.XLOOKUP(Table1[[#This Row],[Department]],sheet2!$A$2:$A$6,sheet2!$B$2:$B$6,_xleta.NA,0)</f>
        <v>Software Engineer</v>
      </c>
      <c r="E452" s="1">
        <f t="shared" ca="1" si="73"/>
        <v>44199</v>
      </c>
      <c r="F452" s="1">
        <f ca="1">Table1[[#This Row],[Job Posting Date]]+ RANDBETWEEN(15, 90)</f>
        <v>44262</v>
      </c>
      <c r="G452" s="1">
        <f ca="1">Table1[[#This Row],[Hire Date]]+ RANDBETWEEN(1, 15)</f>
        <v>44272</v>
      </c>
      <c r="H452" s="1">
        <f ca="1">IF(RAND() &lt; 0.5,  Table1[[#This Row],[Join Date]]+ RANDBETWEEN(30, TODAY()- Table1[[#This Row],[Join Date]]), "-")</f>
        <v>45643</v>
      </c>
      <c r="I452" t="str">
        <f ca="1">IF(Table1[[#This Row],[Exit Date]]= "-", "Active", "Exited")</f>
        <v>Exited</v>
      </c>
      <c r="J452" s="5">
        <f t="shared" ca="1" si="74"/>
        <v>4358</v>
      </c>
      <c r="K452">
        <f ca="1">Table1[[#This Row],[Offers Made]]*2</f>
        <v>6</v>
      </c>
      <c r="L452">
        <f t="shared" ca="1" si="78"/>
        <v>3</v>
      </c>
      <c r="M452">
        <f t="shared" ca="1" si="79"/>
        <v>2</v>
      </c>
      <c r="N452" t="str">
        <f t="shared" ca="1" si="80"/>
        <v>Job Portals</v>
      </c>
      <c r="O452">
        <f t="shared" ca="1" si="81"/>
        <v>4</v>
      </c>
      <c r="P452" t="str">
        <f t="shared" ca="1" si="82"/>
        <v>Yes</v>
      </c>
      <c r="Q452" t="str" cm="1">
        <f t="array" aca="1" ref="Q452" ca="1">INDEX(sheet2!$C$2:$C$6, RANDBETWEEN(1, 5))</f>
        <v>Communication Skills</v>
      </c>
      <c r="R452" t="str">
        <f t="shared" ca="1" si="75"/>
        <v>Not Completed</v>
      </c>
      <c r="S452">
        <f ca="1">Table1[[#This Row],[Hire Date]]-Table1[[#This Row],[Job Posting Date]]</f>
        <v>63</v>
      </c>
    </row>
    <row r="453" spans="1:19" x14ac:dyDescent="0.2">
      <c r="A453" t="str">
        <f t="shared" si="76"/>
        <v>EMP452</v>
      </c>
      <c r="B453" t="str">
        <f t="shared" ca="1" si="77"/>
        <v>Female</v>
      </c>
      <c r="C453" t="str" cm="1">
        <f t="array" aca="1" ref="C453" ca="1">INDEX(sheet2!$A$2:$A$6, RANDBETWEEN(1, 5))</f>
        <v>HR</v>
      </c>
      <c r="D453" t="str">
        <f ca="1">_xlfn.XLOOKUP(Table1[[#This Row],[Department]],sheet2!$A$2:$A$6,sheet2!$B$2:$B$6,_xleta.NA,0)</f>
        <v>HR Manager</v>
      </c>
      <c r="E453" s="1">
        <f t="shared" ca="1" si="73"/>
        <v>43739</v>
      </c>
      <c r="F453" s="1">
        <f ca="1">Table1[[#This Row],[Job Posting Date]]+ RANDBETWEEN(15, 90)</f>
        <v>43819</v>
      </c>
      <c r="G453" s="1">
        <f ca="1">Table1[[#This Row],[Hire Date]]+ RANDBETWEEN(1, 15)</f>
        <v>43824</v>
      </c>
      <c r="H453" s="1">
        <f ca="1">IF(RAND() &lt; 0.5,  Table1[[#This Row],[Join Date]]+ RANDBETWEEN(30, TODAY()- Table1[[#This Row],[Join Date]]), "-")</f>
        <v>44160</v>
      </c>
      <c r="I453" t="str">
        <f ca="1">IF(Table1[[#This Row],[Exit Date]]= "-", "Active", "Exited")</f>
        <v>Exited</v>
      </c>
      <c r="J453" s="5">
        <f t="shared" ca="1" si="74"/>
        <v>3370</v>
      </c>
      <c r="K453">
        <f ca="1">Table1[[#This Row],[Offers Made]]*2</f>
        <v>6</v>
      </c>
      <c r="L453">
        <f t="shared" ca="1" si="78"/>
        <v>3</v>
      </c>
      <c r="M453">
        <f t="shared" ca="1" si="79"/>
        <v>1</v>
      </c>
      <c r="N453" t="str">
        <f t="shared" ca="1" si="80"/>
        <v>Direct Hiring</v>
      </c>
      <c r="O453">
        <f t="shared" ca="1" si="81"/>
        <v>3</v>
      </c>
      <c r="P453" t="str">
        <f t="shared" ca="1" si="82"/>
        <v>No</v>
      </c>
      <c r="Q453" t="str" cm="1">
        <f t="array" aca="1" ref="Q453" ca="1">INDEX(sheet2!$C$2:$C$6, RANDBETWEEN(1, 5))</f>
        <v>Ethics and Responsibilities</v>
      </c>
      <c r="R453" t="str">
        <f t="shared" ca="1" si="75"/>
        <v>Completed</v>
      </c>
      <c r="S453">
        <f ca="1">Table1[[#This Row],[Hire Date]]-Table1[[#This Row],[Job Posting Date]]</f>
        <v>80</v>
      </c>
    </row>
    <row r="454" spans="1:19" x14ac:dyDescent="0.2">
      <c r="A454" t="str">
        <f t="shared" si="76"/>
        <v>EMP453</v>
      </c>
      <c r="B454" t="str">
        <f t="shared" ca="1" si="77"/>
        <v>Male</v>
      </c>
      <c r="C454" t="str" cm="1">
        <f t="array" aca="1" ref="C454" ca="1">INDEX(sheet2!$A$2:$A$6, RANDBETWEEN(1, 5))</f>
        <v>Finance</v>
      </c>
      <c r="D454" t="str">
        <f ca="1">_xlfn.XLOOKUP(Table1[[#This Row],[Department]],sheet2!$A$2:$A$6,sheet2!$B$2:$B$6,_xleta.NA,0)</f>
        <v>Finance Manager</v>
      </c>
      <c r="E454" s="1">
        <f t="shared" ca="1" si="73"/>
        <v>44836</v>
      </c>
      <c r="F454" s="1">
        <f ca="1">Table1[[#This Row],[Job Posting Date]]+ RANDBETWEEN(15, 90)</f>
        <v>44869</v>
      </c>
      <c r="G454" s="1">
        <f ca="1">Table1[[#This Row],[Hire Date]]+ RANDBETWEEN(1, 15)</f>
        <v>44881</v>
      </c>
      <c r="H454" s="1" t="str">
        <f ca="1">IF(RAND() &lt; 0.5,  Table1[[#This Row],[Join Date]]+ RANDBETWEEN(30, TODAY()- Table1[[#This Row],[Join Date]]), "-")</f>
        <v>-</v>
      </c>
      <c r="I454" t="str">
        <f ca="1">IF(Table1[[#This Row],[Exit Date]]= "-", "Active", "Exited")</f>
        <v>Active</v>
      </c>
      <c r="J454" s="5">
        <f t="shared" ca="1" si="74"/>
        <v>4978</v>
      </c>
      <c r="K454">
        <f ca="1">Table1[[#This Row],[Offers Made]]*2</f>
        <v>16</v>
      </c>
      <c r="L454">
        <f t="shared" ca="1" si="78"/>
        <v>8</v>
      </c>
      <c r="M454">
        <f t="shared" ca="1" si="79"/>
        <v>2</v>
      </c>
      <c r="N454" t="str">
        <f t="shared" ca="1" si="80"/>
        <v>Employee Referrals</v>
      </c>
      <c r="O454">
        <f t="shared" ca="1" si="81"/>
        <v>1</v>
      </c>
      <c r="P454" t="str">
        <f t="shared" ca="1" si="82"/>
        <v>Yes</v>
      </c>
      <c r="Q454" t="str" cm="1">
        <f t="array" aca="1" ref="Q454" ca="1">INDEX(sheet2!$C$2:$C$6, RANDBETWEEN(1, 5))</f>
        <v>Conflict Resolution</v>
      </c>
      <c r="R454" t="str">
        <f t="shared" ca="1" si="75"/>
        <v>Completed</v>
      </c>
      <c r="S454">
        <f ca="1">Table1[[#This Row],[Hire Date]]-Table1[[#This Row],[Job Posting Date]]</f>
        <v>33</v>
      </c>
    </row>
    <row r="455" spans="1:19" x14ac:dyDescent="0.2">
      <c r="A455" t="str">
        <f t="shared" si="76"/>
        <v>EMP454</v>
      </c>
      <c r="B455" t="str">
        <f t="shared" ca="1" si="77"/>
        <v>Male</v>
      </c>
      <c r="C455" t="str" cm="1">
        <f t="array" aca="1" ref="C455" ca="1">INDEX(sheet2!$A$2:$A$6, RANDBETWEEN(1, 5))</f>
        <v>Sales</v>
      </c>
      <c r="D455" t="str">
        <f ca="1">_xlfn.XLOOKUP(Table1[[#This Row],[Department]],sheet2!$A$2:$A$6,sheet2!$B$2:$B$6,_xleta.NA,0)</f>
        <v>Marketing Manager</v>
      </c>
      <c r="E455" s="1">
        <f t="shared" ca="1" si="73"/>
        <v>43640</v>
      </c>
      <c r="F455" s="1">
        <f ca="1">Table1[[#This Row],[Job Posting Date]]+ RANDBETWEEN(15, 90)</f>
        <v>43690</v>
      </c>
      <c r="G455" s="1">
        <f ca="1">Table1[[#This Row],[Hire Date]]+ RANDBETWEEN(1, 15)</f>
        <v>43695</v>
      </c>
      <c r="H455" s="1" t="str">
        <f ca="1">IF(RAND() &lt; 0.5,  Table1[[#This Row],[Join Date]]+ RANDBETWEEN(30, TODAY()- Table1[[#This Row],[Join Date]]), "-")</f>
        <v>-</v>
      </c>
      <c r="I455" t="str">
        <f ca="1">IF(Table1[[#This Row],[Exit Date]]= "-", "Active", "Exited")</f>
        <v>Active</v>
      </c>
      <c r="J455" s="5">
        <f t="shared" ca="1" si="74"/>
        <v>4940</v>
      </c>
      <c r="K455">
        <f ca="1">Table1[[#This Row],[Offers Made]]*2</f>
        <v>16</v>
      </c>
      <c r="L455">
        <f t="shared" ca="1" si="78"/>
        <v>8</v>
      </c>
      <c r="M455">
        <f t="shared" ca="1" si="79"/>
        <v>7</v>
      </c>
      <c r="N455" t="str">
        <f t="shared" ca="1" si="80"/>
        <v>Job Portals</v>
      </c>
      <c r="O455">
        <f t="shared" ca="1" si="81"/>
        <v>2</v>
      </c>
      <c r="P455" t="str">
        <f t="shared" ca="1" si="82"/>
        <v>Yes</v>
      </c>
      <c r="Q455" t="str" cm="1">
        <f t="array" aca="1" ref="Q455" ca="1">INDEX(sheet2!$C$2:$C$6, RANDBETWEEN(1, 5))</f>
        <v>Advanced Excel Skills </v>
      </c>
      <c r="R455" t="str">
        <f t="shared" ca="1" si="75"/>
        <v>Completed</v>
      </c>
      <c r="S455">
        <f ca="1">Table1[[#This Row],[Hire Date]]-Table1[[#This Row],[Job Posting Date]]</f>
        <v>50</v>
      </c>
    </row>
    <row r="456" spans="1:19" x14ac:dyDescent="0.2">
      <c r="A456" t="str">
        <f t="shared" si="76"/>
        <v>EMP455</v>
      </c>
      <c r="B456" t="str">
        <f t="shared" ca="1" si="77"/>
        <v>Female</v>
      </c>
      <c r="C456" t="str" cm="1">
        <f t="array" aca="1" ref="C456" ca="1">INDEX(sheet2!$A$2:$A$6, RANDBETWEEN(1, 5))</f>
        <v>HR</v>
      </c>
      <c r="D456" t="str">
        <f ca="1">_xlfn.XLOOKUP(Table1[[#This Row],[Department]],sheet2!$A$2:$A$6,sheet2!$B$2:$B$6,_xleta.NA,0)</f>
        <v>HR Manager</v>
      </c>
      <c r="E456" s="1">
        <f t="shared" ca="1" si="73"/>
        <v>44152</v>
      </c>
      <c r="F456" s="1">
        <f ca="1">Table1[[#This Row],[Job Posting Date]]+ RANDBETWEEN(15, 90)</f>
        <v>44219</v>
      </c>
      <c r="G456" s="1">
        <f ca="1">Table1[[#This Row],[Hire Date]]+ RANDBETWEEN(1, 15)</f>
        <v>44232</v>
      </c>
      <c r="H456" s="1" t="str">
        <f ca="1">IF(RAND() &lt; 0.5,  Table1[[#This Row],[Join Date]]+ RANDBETWEEN(30, TODAY()- Table1[[#This Row],[Join Date]]), "-")</f>
        <v>-</v>
      </c>
      <c r="I456" t="str">
        <f ca="1">IF(Table1[[#This Row],[Exit Date]]= "-", "Active", "Exited")</f>
        <v>Active</v>
      </c>
      <c r="J456" s="5">
        <f t="shared" ca="1" si="74"/>
        <v>2266</v>
      </c>
      <c r="K456">
        <f ca="1">Table1[[#This Row],[Offers Made]]*2</f>
        <v>10</v>
      </c>
      <c r="L456">
        <f t="shared" ca="1" si="78"/>
        <v>5</v>
      </c>
      <c r="M456">
        <f t="shared" ca="1" si="79"/>
        <v>2</v>
      </c>
      <c r="N456" t="str">
        <f t="shared" ca="1" si="80"/>
        <v>Employee Referrals</v>
      </c>
      <c r="O456">
        <f t="shared" ca="1" si="81"/>
        <v>5</v>
      </c>
      <c r="P456" t="str">
        <f t="shared" ca="1" si="82"/>
        <v>Yes</v>
      </c>
      <c r="Q456" t="str" cm="1">
        <f t="array" aca="1" ref="Q456" ca="1">INDEX(sheet2!$C$2:$C$6, RANDBETWEEN(1, 5))</f>
        <v>Communication Skills</v>
      </c>
      <c r="R456" t="str">
        <f t="shared" ca="1" si="75"/>
        <v>Completed</v>
      </c>
      <c r="S456">
        <f ca="1">Table1[[#This Row],[Hire Date]]-Table1[[#This Row],[Job Posting Date]]</f>
        <v>67</v>
      </c>
    </row>
    <row r="457" spans="1:19" x14ac:dyDescent="0.2">
      <c r="A457" t="str">
        <f t="shared" si="76"/>
        <v>EMP456</v>
      </c>
      <c r="B457" t="str">
        <f t="shared" ca="1" si="77"/>
        <v>Male</v>
      </c>
      <c r="C457" t="str" cm="1">
        <f t="array" aca="1" ref="C457" ca="1">INDEX(sheet2!$A$2:$A$6, RANDBETWEEN(1, 5))</f>
        <v>IT</v>
      </c>
      <c r="D457" t="str">
        <f ca="1">_xlfn.XLOOKUP(Table1[[#This Row],[Department]],sheet2!$A$2:$A$6,sheet2!$B$2:$B$6,_xleta.NA,0)</f>
        <v>Software Engineer</v>
      </c>
      <c r="E457" s="1">
        <f t="shared" ca="1" si="73"/>
        <v>44278</v>
      </c>
      <c r="F457" s="1">
        <f ca="1">Table1[[#This Row],[Job Posting Date]]+ RANDBETWEEN(15, 90)</f>
        <v>44356</v>
      </c>
      <c r="G457" s="1">
        <f ca="1">Table1[[#This Row],[Hire Date]]+ RANDBETWEEN(1, 15)</f>
        <v>44363</v>
      </c>
      <c r="H457" s="1" t="str">
        <f ca="1">IF(RAND() &lt; 0.5,  Table1[[#This Row],[Join Date]]+ RANDBETWEEN(30, TODAY()- Table1[[#This Row],[Join Date]]), "-")</f>
        <v>-</v>
      </c>
      <c r="I457" t="str">
        <f ca="1">IF(Table1[[#This Row],[Exit Date]]= "-", "Active", "Exited")</f>
        <v>Active</v>
      </c>
      <c r="J457" s="5">
        <f t="shared" ca="1" si="74"/>
        <v>1730</v>
      </c>
      <c r="K457">
        <f ca="1">Table1[[#This Row],[Offers Made]]*2</f>
        <v>16</v>
      </c>
      <c r="L457">
        <f t="shared" ca="1" si="78"/>
        <v>8</v>
      </c>
      <c r="M457">
        <f t="shared" ca="1" si="79"/>
        <v>3</v>
      </c>
      <c r="N457" t="str">
        <f t="shared" ca="1" si="80"/>
        <v>Direct Hiring</v>
      </c>
      <c r="O457">
        <f t="shared" ca="1" si="81"/>
        <v>4</v>
      </c>
      <c r="P457" t="str">
        <f t="shared" ca="1" si="82"/>
        <v>Yes</v>
      </c>
      <c r="Q457" t="str" cm="1">
        <f t="array" aca="1" ref="Q457" ca="1">INDEX(sheet2!$C$2:$C$6, RANDBETWEEN(1, 5))</f>
        <v>Advanced Excel Skills </v>
      </c>
      <c r="R457" t="str">
        <f t="shared" ca="1" si="75"/>
        <v>Completed</v>
      </c>
      <c r="S457">
        <f ca="1">Table1[[#This Row],[Hire Date]]-Table1[[#This Row],[Job Posting Date]]</f>
        <v>78</v>
      </c>
    </row>
    <row r="458" spans="1:19" x14ac:dyDescent="0.2">
      <c r="A458" t="str">
        <f t="shared" si="76"/>
        <v>EMP457</v>
      </c>
      <c r="B458" t="str">
        <f t="shared" ca="1" si="77"/>
        <v>Female</v>
      </c>
      <c r="C458" t="str" cm="1">
        <f t="array" aca="1" ref="C458" ca="1">INDEX(sheet2!$A$2:$A$6, RANDBETWEEN(1, 5))</f>
        <v>Analytics</v>
      </c>
      <c r="D458" t="str">
        <f ca="1">_xlfn.XLOOKUP(Table1[[#This Row],[Department]],sheet2!$A$2:$A$6,sheet2!$B$2:$B$6,_xleta.NA,0)</f>
        <v>Data Analyst</v>
      </c>
      <c r="E458" s="1">
        <f t="shared" ca="1" si="73"/>
        <v>43839</v>
      </c>
      <c r="F458" s="1">
        <f ca="1">Table1[[#This Row],[Job Posting Date]]+ RANDBETWEEN(15, 90)</f>
        <v>43854</v>
      </c>
      <c r="G458" s="1">
        <f ca="1">Table1[[#This Row],[Hire Date]]+ RANDBETWEEN(1, 15)</f>
        <v>43867</v>
      </c>
      <c r="H458" s="1">
        <f ca="1">IF(RAND() &lt; 0.5,  Table1[[#This Row],[Join Date]]+ RANDBETWEEN(30, TODAY()- Table1[[#This Row],[Join Date]]), "-")</f>
        <v>45651</v>
      </c>
      <c r="I458" t="str">
        <f ca="1">IF(Table1[[#This Row],[Exit Date]]= "-", "Active", "Exited")</f>
        <v>Exited</v>
      </c>
      <c r="J458" s="5">
        <f t="shared" ca="1" si="74"/>
        <v>3317</v>
      </c>
      <c r="K458">
        <f ca="1">Table1[[#This Row],[Offers Made]]*2</f>
        <v>12</v>
      </c>
      <c r="L458">
        <f t="shared" ca="1" si="78"/>
        <v>6</v>
      </c>
      <c r="M458">
        <f t="shared" ca="1" si="79"/>
        <v>5</v>
      </c>
      <c r="N458" t="str">
        <f t="shared" ca="1" si="80"/>
        <v>Job Portals</v>
      </c>
      <c r="O458">
        <f t="shared" ca="1" si="81"/>
        <v>2</v>
      </c>
      <c r="P458" t="str">
        <f t="shared" ca="1" si="82"/>
        <v>No</v>
      </c>
      <c r="Q458" t="str" cm="1">
        <f t="array" aca="1" ref="Q458" ca="1">INDEX(sheet2!$C$2:$C$6, RANDBETWEEN(1, 5))</f>
        <v>Conflict Resolution</v>
      </c>
      <c r="R458" t="str">
        <f t="shared" ca="1" si="75"/>
        <v>Completed</v>
      </c>
      <c r="S458">
        <f ca="1">Table1[[#This Row],[Hire Date]]-Table1[[#This Row],[Job Posting Date]]</f>
        <v>15</v>
      </c>
    </row>
    <row r="459" spans="1:19" x14ac:dyDescent="0.2">
      <c r="A459" t="str">
        <f t="shared" si="76"/>
        <v>EMP458</v>
      </c>
      <c r="B459" t="str">
        <f t="shared" ca="1" si="77"/>
        <v>Male</v>
      </c>
      <c r="C459" t="str" cm="1">
        <f t="array" aca="1" ref="C459" ca="1">INDEX(sheet2!$A$2:$A$6, RANDBETWEEN(1, 5))</f>
        <v>HR</v>
      </c>
      <c r="D459" t="str">
        <f ca="1">_xlfn.XLOOKUP(Table1[[#This Row],[Department]],sheet2!$A$2:$A$6,sheet2!$B$2:$B$6,_xleta.NA,0)</f>
        <v>HR Manager</v>
      </c>
      <c r="E459" s="1">
        <f t="shared" ca="1" si="73"/>
        <v>43571</v>
      </c>
      <c r="F459" s="1">
        <f ca="1">Table1[[#This Row],[Job Posting Date]]+ RANDBETWEEN(15, 90)</f>
        <v>43647</v>
      </c>
      <c r="G459" s="1">
        <f ca="1">Table1[[#This Row],[Hire Date]]+ RANDBETWEEN(1, 15)</f>
        <v>43652</v>
      </c>
      <c r="H459" s="1">
        <f ca="1">IF(RAND() &lt; 0.5,  Table1[[#This Row],[Join Date]]+ RANDBETWEEN(30, TODAY()- Table1[[#This Row],[Join Date]]), "-")</f>
        <v>45442</v>
      </c>
      <c r="I459" t="str">
        <f ca="1">IF(Table1[[#This Row],[Exit Date]]= "-", "Active", "Exited")</f>
        <v>Exited</v>
      </c>
      <c r="J459" s="5">
        <f t="shared" ca="1" si="74"/>
        <v>3550</v>
      </c>
      <c r="K459">
        <f ca="1">Table1[[#This Row],[Offers Made]]*2</f>
        <v>8</v>
      </c>
      <c r="L459">
        <f t="shared" ca="1" si="78"/>
        <v>4</v>
      </c>
      <c r="M459">
        <f t="shared" ca="1" si="79"/>
        <v>3</v>
      </c>
      <c r="N459" t="str">
        <f t="shared" ca="1" si="80"/>
        <v>Campus Placements</v>
      </c>
      <c r="O459">
        <f t="shared" ca="1" si="81"/>
        <v>2</v>
      </c>
      <c r="P459" t="str">
        <f t="shared" ca="1" si="82"/>
        <v>Yes</v>
      </c>
      <c r="Q459" t="str" cm="1">
        <f t="array" aca="1" ref="Q459" ca="1">INDEX(sheet2!$C$2:$C$6, RANDBETWEEN(1, 5))</f>
        <v>Advanced Excel Skills </v>
      </c>
      <c r="R459" t="str">
        <f t="shared" ca="1" si="75"/>
        <v>Completed</v>
      </c>
      <c r="S459">
        <f ca="1">Table1[[#This Row],[Hire Date]]-Table1[[#This Row],[Job Posting Date]]</f>
        <v>76</v>
      </c>
    </row>
    <row r="460" spans="1:19" x14ac:dyDescent="0.2">
      <c r="A460" t="str">
        <f t="shared" si="76"/>
        <v>EMP459</v>
      </c>
      <c r="B460" t="str">
        <f t="shared" ca="1" si="77"/>
        <v>Female</v>
      </c>
      <c r="C460" t="str" cm="1">
        <f t="array" aca="1" ref="C460" ca="1">INDEX(sheet2!$A$2:$A$6, RANDBETWEEN(1, 5))</f>
        <v>Analytics</v>
      </c>
      <c r="D460" t="str">
        <f ca="1">_xlfn.XLOOKUP(Table1[[#This Row],[Department]],sheet2!$A$2:$A$6,sheet2!$B$2:$B$6,_xleta.NA,0)</f>
        <v>Data Analyst</v>
      </c>
      <c r="E460" s="1">
        <f t="shared" ca="1" si="73"/>
        <v>44914</v>
      </c>
      <c r="F460" s="1">
        <f ca="1">Table1[[#This Row],[Job Posting Date]]+ RANDBETWEEN(15, 90)</f>
        <v>45001</v>
      </c>
      <c r="G460" s="1">
        <f ca="1">Table1[[#This Row],[Hire Date]]+ RANDBETWEEN(1, 15)</f>
        <v>45003</v>
      </c>
      <c r="H460" s="1">
        <f ca="1">IF(RAND() &lt; 0.5,  Table1[[#This Row],[Join Date]]+ RANDBETWEEN(30, TODAY()- Table1[[#This Row],[Join Date]]), "-")</f>
        <v>45225</v>
      </c>
      <c r="I460" t="str">
        <f ca="1">IF(Table1[[#This Row],[Exit Date]]= "-", "Active", "Exited")</f>
        <v>Exited</v>
      </c>
      <c r="J460" s="5">
        <f t="shared" ca="1" si="74"/>
        <v>2319</v>
      </c>
      <c r="K460">
        <f ca="1">Table1[[#This Row],[Offers Made]]*2</f>
        <v>14</v>
      </c>
      <c r="L460">
        <f t="shared" ca="1" si="78"/>
        <v>7</v>
      </c>
      <c r="M460">
        <f t="shared" ca="1" si="79"/>
        <v>6</v>
      </c>
      <c r="N460" t="str">
        <f t="shared" ca="1" si="80"/>
        <v>Campus Placements</v>
      </c>
      <c r="O460">
        <f t="shared" ca="1" si="81"/>
        <v>1</v>
      </c>
      <c r="P460" t="str">
        <f t="shared" ca="1" si="82"/>
        <v>No</v>
      </c>
      <c r="Q460" t="str" cm="1">
        <f t="array" aca="1" ref="Q460" ca="1">INDEX(sheet2!$C$2:$C$6, RANDBETWEEN(1, 5))</f>
        <v>Communication Skills</v>
      </c>
      <c r="R460" t="str">
        <f t="shared" ca="1" si="75"/>
        <v>Not Completed</v>
      </c>
      <c r="S460">
        <f ca="1">Table1[[#This Row],[Hire Date]]-Table1[[#This Row],[Job Posting Date]]</f>
        <v>87</v>
      </c>
    </row>
    <row r="461" spans="1:19" x14ac:dyDescent="0.2">
      <c r="A461" t="str">
        <f t="shared" si="76"/>
        <v>EMP460</v>
      </c>
      <c r="B461" t="str">
        <f t="shared" ca="1" si="77"/>
        <v>Female</v>
      </c>
      <c r="C461" t="str" cm="1">
        <f t="array" aca="1" ref="C461" ca="1">INDEX(sheet2!$A$2:$A$6, RANDBETWEEN(1, 5))</f>
        <v>IT</v>
      </c>
      <c r="D461" t="str">
        <f ca="1">_xlfn.XLOOKUP(Table1[[#This Row],[Department]],sheet2!$A$2:$A$6,sheet2!$B$2:$B$6,_xleta.NA,0)</f>
        <v>Software Engineer</v>
      </c>
      <c r="E461" s="1">
        <f t="shared" ca="1" si="73"/>
        <v>44019</v>
      </c>
      <c r="F461" s="1">
        <f ca="1">Table1[[#This Row],[Job Posting Date]]+ RANDBETWEEN(15, 90)</f>
        <v>44047</v>
      </c>
      <c r="G461" s="1">
        <f ca="1">Table1[[#This Row],[Hire Date]]+ RANDBETWEEN(1, 15)</f>
        <v>44058</v>
      </c>
      <c r="H461" s="1">
        <f ca="1">IF(RAND() &lt; 0.5,  Table1[[#This Row],[Join Date]]+ RANDBETWEEN(30, TODAY()- Table1[[#This Row],[Join Date]]), "-")</f>
        <v>45389</v>
      </c>
      <c r="I461" t="str">
        <f ca="1">IF(Table1[[#This Row],[Exit Date]]= "-", "Active", "Exited")</f>
        <v>Exited</v>
      </c>
      <c r="J461" s="5">
        <f t="shared" ca="1" si="74"/>
        <v>3510</v>
      </c>
      <c r="K461">
        <f ca="1">Table1[[#This Row],[Offers Made]]*2</f>
        <v>8</v>
      </c>
      <c r="L461">
        <f t="shared" ca="1" si="78"/>
        <v>4</v>
      </c>
      <c r="M461">
        <f t="shared" ca="1" si="79"/>
        <v>2</v>
      </c>
      <c r="N461" t="str">
        <f t="shared" ca="1" si="80"/>
        <v>Employee Referrals</v>
      </c>
      <c r="O461">
        <f t="shared" ca="1" si="81"/>
        <v>4</v>
      </c>
      <c r="P461" t="str">
        <f t="shared" ca="1" si="82"/>
        <v>No</v>
      </c>
      <c r="Q461" t="str" cm="1">
        <f t="array" aca="1" ref="Q461" ca="1">INDEX(sheet2!$C$2:$C$6, RANDBETWEEN(1, 5))</f>
        <v>Ethics and Responsibilities</v>
      </c>
      <c r="R461" t="str">
        <f t="shared" ca="1" si="75"/>
        <v>Completed</v>
      </c>
      <c r="S461">
        <f ca="1">Table1[[#This Row],[Hire Date]]-Table1[[#This Row],[Job Posting Date]]</f>
        <v>28</v>
      </c>
    </row>
    <row r="462" spans="1:19" x14ac:dyDescent="0.2">
      <c r="A462" t="str">
        <f t="shared" si="76"/>
        <v>EMP461</v>
      </c>
      <c r="B462" t="str">
        <f t="shared" ca="1" si="77"/>
        <v>Female</v>
      </c>
      <c r="C462" t="str" cm="1">
        <f t="array" aca="1" ref="C462" ca="1">INDEX(sheet2!$A$2:$A$6, RANDBETWEEN(1, 5))</f>
        <v>Finance</v>
      </c>
      <c r="D462" t="str">
        <f ca="1">_xlfn.XLOOKUP(Table1[[#This Row],[Department]],sheet2!$A$2:$A$6,sheet2!$B$2:$B$6,_xleta.NA,0)</f>
        <v>Finance Manager</v>
      </c>
      <c r="E462" s="1">
        <f t="shared" ca="1" si="73"/>
        <v>43157</v>
      </c>
      <c r="F462" s="1">
        <f ca="1">Table1[[#This Row],[Job Posting Date]]+ RANDBETWEEN(15, 90)</f>
        <v>43183</v>
      </c>
      <c r="G462" s="1">
        <f ca="1">Table1[[#This Row],[Hire Date]]+ RANDBETWEEN(1, 15)</f>
        <v>43191</v>
      </c>
      <c r="H462" s="1" t="str">
        <f ca="1">IF(RAND() &lt; 0.5,  Table1[[#This Row],[Join Date]]+ RANDBETWEEN(30, TODAY()- Table1[[#This Row],[Join Date]]), "-")</f>
        <v>-</v>
      </c>
      <c r="I462" t="str">
        <f ca="1">IF(Table1[[#This Row],[Exit Date]]= "-", "Active", "Exited")</f>
        <v>Active</v>
      </c>
      <c r="J462" s="5">
        <f t="shared" ca="1" si="74"/>
        <v>1659</v>
      </c>
      <c r="K462">
        <f ca="1">Table1[[#This Row],[Offers Made]]*2</f>
        <v>10</v>
      </c>
      <c r="L462">
        <f t="shared" ca="1" si="78"/>
        <v>5</v>
      </c>
      <c r="M462">
        <f t="shared" ca="1" si="79"/>
        <v>3</v>
      </c>
      <c r="N462" t="str">
        <f t="shared" ca="1" si="80"/>
        <v>Direct Hiring</v>
      </c>
      <c r="O462">
        <f t="shared" ca="1" si="81"/>
        <v>4</v>
      </c>
      <c r="P462" t="str">
        <f t="shared" ca="1" si="82"/>
        <v>No</v>
      </c>
      <c r="Q462" t="str" cm="1">
        <f t="array" aca="1" ref="Q462" ca="1">INDEX(sheet2!$C$2:$C$6, RANDBETWEEN(1, 5))</f>
        <v>Communication Skills</v>
      </c>
      <c r="R462" t="str">
        <f t="shared" ca="1" si="75"/>
        <v>Completed</v>
      </c>
      <c r="S462">
        <f ca="1">Table1[[#This Row],[Hire Date]]-Table1[[#This Row],[Job Posting Date]]</f>
        <v>26</v>
      </c>
    </row>
    <row r="463" spans="1:19" x14ac:dyDescent="0.2">
      <c r="A463" t="str">
        <f t="shared" si="76"/>
        <v>EMP462</v>
      </c>
      <c r="B463" t="str">
        <f t="shared" ca="1" si="77"/>
        <v>Male</v>
      </c>
      <c r="C463" t="str" cm="1">
        <f t="array" aca="1" ref="C463" ca="1">INDEX(sheet2!$A$2:$A$6, RANDBETWEEN(1, 5))</f>
        <v>Sales</v>
      </c>
      <c r="D463" t="str">
        <f ca="1">_xlfn.XLOOKUP(Table1[[#This Row],[Department]],sheet2!$A$2:$A$6,sheet2!$B$2:$B$6,_xleta.NA,0)</f>
        <v>Marketing Manager</v>
      </c>
      <c r="E463" s="1">
        <f t="shared" ca="1" si="73"/>
        <v>44298</v>
      </c>
      <c r="F463" s="1">
        <f ca="1">Table1[[#This Row],[Job Posting Date]]+ RANDBETWEEN(15, 90)</f>
        <v>44365</v>
      </c>
      <c r="G463" s="1">
        <f ca="1">Table1[[#This Row],[Hire Date]]+ RANDBETWEEN(1, 15)</f>
        <v>44374</v>
      </c>
      <c r="H463" s="1">
        <f ca="1">IF(RAND() &lt; 0.5,  Table1[[#This Row],[Join Date]]+ RANDBETWEEN(30, TODAY()- Table1[[#This Row],[Join Date]]), "-")</f>
        <v>45461</v>
      </c>
      <c r="I463" t="str">
        <f ca="1">IF(Table1[[#This Row],[Exit Date]]= "-", "Active", "Exited")</f>
        <v>Exited</v>
      </c>
      <c r="J463" s="5">
        <f t="shared" ca="1" si="74"/>
        <v>3409</v>
      </c>
      <c r="K463">
        <f ca="1">Table1[[#This Row],[Offers Made]]*2</f>
        <v>12</v>
      </c>
      <c r="L463">
        <f t="shared" ca="1" si="78"/>
        <v>6</v>
      </c>
      <c r="M463">
        <f t="shared" ca="1" si="79"/>
        <v>1</v>
      </c>
      <c r="N463" t="str">
        <f t="shared" ca="1" si="80"/>
        <v>Campus Placements</v>
      </c>
      <c r="O463">
        <f t="shared" ca="1" si="81"/>
        <v>5</v>
      </c>
      <c r="P463" t="str">
        <f t="shared" ca="1" si="82"/>
        <v>Yes</v>
      </c>
      <c r="Q463" t="str" cm="1">
        <f t="array" aca="1" ref="Q463" ca="1">INDEX(sheet2!$C$2:$C$6, RANDBETWEEN(1, 5))</f>
        <v>Conflict Resolution</v>
      </c>
      <c r="R463" t="str">
        <f t="shared" ca="1" si="75"/>
        <v>Completed</v>
      </c>
      <c r="S463">
        <f ca="1">Table1[[#This Row],[Hire Date]]-Table1[[#This Row],[Job Posting Date]]</f>
        <v>67</v>
      </c>
    </row>
    <row r="464" spans="1:19" x14ac:dyDescent="0.2">
      <c r="A464" t="str">
        <f t="shared" si="76"/>
        <v>EMP463</v>
      </c>
      <c r="B464" t="str">
        <f t="shared" ca="1" si="77"/>
        <v>Female</v>
      </c>
      <c r="C464" t="str" cm="1">
        <f t="array" aca="1" ref="C464" ca="1">INDEX(sheet2!$A$2:$A$6, RANDBETWEEN(1, 5))</f>
        <v>Analytics</v>
      </c>
      <c r="D464" t="str">
        <f ca="1">_xlfn.XLOOKUP(Table1[[#This Row],[Department]],sheet2!$A$2:$A$6,sheet2!$B$2:$B$6,_xleta.NA,0)</f>
        <v>Data Analyst</v>
      </c>
      <c r="E464" s="1">
        <f t="shared" ca="1" si="73"/>
        <v>44157</v>
      </c>
      <c r="F464" s="1">
        <f ca="1">Table1[[#This Row],[Job Posting Date]]+ RANDBETWEEN(15, 90)</f>
        <v>44186</v>
      </c>
      <c r="G464" s="1">
        <f ca="1">Table1[[#This Row],[Hire Date]]+ RANDBETWEEN(1, 15)</f>
        <v>44193</v>
      </c>
      <c r="H464" s="1">
        <f ca="1">IF(RAND() &lt; 0.5,  Table1[[#This Row],[Join Date]]+ RANDBETWEEN(30, TODAY()- Table1[[#This Row],[Join Date]]), "-")</f>
        <v>44372</v>
      </c>
      <c r="I464" t="str">
        <f ca="1">IF(Table1[[#This Row],[Exit Date]]= "-", "Active", "Exited")</f>
        <v>Exited</v>
      </c>
      <c r="J464" s="5">
        <f t="shared" ca="1" si="74"/>
        <v>3777</v>
      </c>
      <c r="K464">
        <f ca="1">Table1[[#This Row],[Offers Made]]*2</f>
        <v>12</v>
      </c>
      <c r="L464">
        <f t="shared" ca="1" si="78"/>
        <v>6</v>
      </c>
      <c r="M464">
        <f t="shared" ca="1" si="79"/>
        <v>3</v>
      </c>
      <c r="N464" t="str">
        <f t="shared" ca="1" si="80"/>
        <v>Employee Referrals</v>
      </c>
      <c r="O464">
        <f t="shared" ca="1" si="81"/>
        <v>4</v>
      </c>
      <c r="P464" t="str">
        <f t="shared" ca="1" si="82"/>
        <v>Yes</v>
      </c>
      <c r="Q464" t="str" cm="1">
        <f t="array" aca="1" ref="Q464" ca="1">INDEX(sheet2!$C$2:$C$6, RANDBETWEEN(1, 5))</f>
        <v>Ethics and Responsibilities</v>
      </c>
      <c r="R464" t="str">
        <f t="shared" ca="1" si="75"/>
        <v>Completed</v>
      </c>
      <c r="S464">
        <f ca="1">Table1[[#This Row],[Hire Date]]-Table1[[#This Row],[Job Posting Date]]</f>
        <v>29</v>
      </c>
    </row>
    <row r="465" spans="1:19" x14ac:dyDescent="0.2">
      <c r="A465" t="str">
        <f t="shared" si="76"/>
        <v>EMP464</v>
      </c>
      <c r="B465" t="str">
        <f t="shared" ca="1" si="77"/>
        <v>Male</v>
      </c>
      <c r="C465" t="str" cm="1">
        <f t="array" aca="1" ref="C465" ca="1">INDEX(sheet2!$A$2:$A$6, RANDBETWEEN(1, 5))</f>
        <v>Sales</v>
      </c>
      <c r="D465" t="str">
        <f ca="1">_xlfn.XLOOKUP(Table1[[#This Row],[Department]],sheet2!$A$2:$A$6,sheet2!$B$2:$B$6,_xleta.NA,0)</f>
        <v>Marketing Manager</v>
      </c>
      <c r="E465" s="1">
        <f t="shared" ca="1" si="73"/>
        <v>43578</v>
      </c>
      <c r="F465" s="1">
        <f ca="1">Table1[[#This Row],[Job Posting Date]]+ RANDBETWEEN(15, 90)</f>
        <v>43607</v>
      </c>
      <c r="G465" s="1">
        <f ca="1">Table1[[#This Row],[Hire Date]]+ RANDBETWEEN(1, 15)</f>
        <v>43620</v>
      </c>
      <c r="H465" s="1" t="str">
        <f ca="1">IF(RAND() &lt; 0.5,  Table1[[#This Row],[Join Date]]+ RANDBETWEEN(30, TODAY()- Table1[[#This Row],[Join Date]]), "-")</f>
        <v>-</v>
      </c>
      <c r="I465" t="str">
        <f ca="1">IF(Table1[[#This Row],[Exit Date]]= "-", "Active", "Exited")</f>
        <v>Active</v>
      </c>
      <c r="J465" s="5">
        <f t="shared" ca="1" si="74"/>
        <v>2542</v>
      </c>
      <c r="K465">
        <f ca="1">Table1[[#This Row],[Offers Made]]*2</f>
        <v>14</v>
      </c>
      <c r="L465">
        <f t="shared" ca="1" si="78"/>
        <v>7</v>
      </c>
      <c r="M465">
        <f t="shared" ca="1" si="79"/>
        <v>5</v>
      </c>
      <c r="N465" t="str">
        <f t="shared" ca="1" si="80"/>
        <v>Job Portals</v>
      </c>
      <c r="O465">
        <f t="shared" ca="1" si="81"/>
        <v>2</v>
      </c>
      <c r="P465" t="str">
        <f t="shared" ca="1" si="82"/>
        <v>Yes</v>
      </c>
      <c r="Q465" t="str" cm="1">
        <f t="array" aca="1" ref="Q465" ca="1">INDEX(sheet2!$C$2:$C$6, RANDBETWEEN(1, 5))</f>
        <v>Ethics and Responsibilities</v>
      </c>
      <c r="R465" t="str">
        <f t="shared" ca="1" si="75"/>
        <v>Completed</v>
      </c>
      <c r="S465">
        <f ca="1">Table1[[#This Row],[Hire Date]]-Table1[[#This Row],[Job Posting Date]]</f>
        <v>29</v>
      </c>
    </row>
    <row r="466" spans="1:19" x14ac:dyDescent="0.2">
      <c r="A466" t="str">
        <f t="shared" si="76"/>
        <v>EMP465</v>
      </c>
      <c r="B466" t="str">
        <f t="shared" ca="1" si="77"/>
        <v>Male</v>
      </c>
      <c r="C466" t="str" cm="1">
        <f t="array" aca="1" ref="C466" ca="1">INDEX(sheet2!$A$2:$A$6, RANDBETWEEN(1, 5))</f>
        <v>Analytics</v>
      </c>
      <c r="D466" t="str">
        <f ca="1">_xlfn.XLOOKUP(Table1[[#This Row],[Department]],sheet2!$A$2:$A$6,sheet2!$B$2:$B$6,_xleta.NA,0)</f>
        <v>Data Analyst</v>
      </c>
      <c r="E466" s="1">
        <f t="shared" ca="1" si="73"/>
        <v>43260</v>
      </c>
      <c r="F466" s="1">
        <f ca="1">Table1[[#This Row],[Job Posting Date]]+ RANDBETWEEN(15, 90)</f>
        <v>43349</v>
      </c>
      <c r="G466" s="1">
        <f ca="1">Table1[[#This Row],[Hire Date]]+ RANDBETWEEN(1, 15)</f>
        <v>43364</v>
      </c>
      <c r="H466" s="1">
        <f ca="1">IF(RAND() &lt; 0.5,  Table1[[#This Row],[Join Date]]+ RANDBETWEEN(30, TODAY()- Table1[[#This Row],[Join Date]]), "-")</f>
        <v>44495</v>
      </c>
      <c r="I466" t="str">
        <f ca="1">IF(Table1[[#This Row],[Exit Date]]= "-", "Active", "Exited")</f>
        <v>Exited</v>
      </c>
      <c r="J466" s="5">
        <f t="shared" ca="1" si="74"/>
        <v>3772</v>
      </c>
      <c r="K466">
        <f ca="1">Table1[[#This Row],[Offers Made]]*2</f>
        <v>10</v>
      </c>
      <c r="L466">
        <f t="shared" ca="1" si="78"/>
        <v>5</v>
      </c>
      <c r="M466">
        <f t="shared" ca="1" si="79"/>
        <v>2</v>
      </c>
      <c r="N466" t="str">
        <f t="shared" ca="1" si="80"/>
        <v>Employee Referrals</v>
      </c>
      <c r="O466">
        <f t="shared" ca="1" si="81"/>
        <v>3</v>
      </c>
      <c r="P466" t="str">
        <f t="shared" ca="1" si="82"/>
        <v>Yes</v>
      </c>
      <c r="Q466" t="str" cm="1">
        <f t="array" aca="1" ref="Q466" ca="1">INDEX(sheet2!$C$2:$C$6, RANDBETWEEN(1, 5))</f>
        <v>Conflict Resolution</v>
      </c>
      <c r="R466" t="str">
        <f t="shared" ca="1" si="75"/>
        <v>Not Completed</v>
      </c>
      <c r="S466">
        <f ca="1">Table1[[#This Row],[Hire Date]]-Table1[[#This Row],[Job Posting Date]]</f>
        <v>89</v>
      </c>
    </row>
    <row r="467" spans="1:19" x14ac:dyDescent="0.2">
      <c r="A467" t="str">
        <f t="shared" si="76"/>
        <v>EMP466</v>
      </c>
      <c r="B467" t="str">
        <f t="shared" ca="1" si="77"/>
        <v>Female</v>
      </c>
      <c r="C467" t="str" cm="1">
        <f t="array" aca="1" ref="C467" ca="1">INDEX(sheet2!$A$2:$A$6, RANDBETWEEN(1, 5))</f>
        <v>HR</v>
      </c>
      <c r="D467" t="str">
        <f ca="1">_xlfn.XLOOKUP(Table1[[#This Row],[Department]],sheet2!$A$2:$A$6,sheet2!$B$2:$B$6,_xleta.NA,0)</f>
        <v>HR Manager</v>
      </c>
      <c r="E467" s="1">
        <f t="shared" ca="1" si="73"/>
        <v>44085</v>
      </c>
      <c r="F467" s="1">
        <f ca="1">Table1[[#This Row],[Job Posting Date]]+ RANDBETWEEN(15, 90)</f>
        <v>44147</v>
      </c>
      <c r="G467" s="1">
        <f ca="1">Table1[[#This Row],[Hire Date]]+ RANDBETWEEN(1, 15)</f>
        <v>44149</v>
      </c>
      <c r="H467" s="1" t="str">
        <f ca="1">IF(RAND() &lt; 0.5,  Table1[[#This Row],[Join Date]]+ RANDBETWEEN(30, TODAY()- Table1[[#This Row],[Join Date]]), "-")</f>
        <v>-</v>
      </c>
      <c r="I467" t="str">
        <f ca="1">IF(Table1[[#This Row],[Exit Date]]= "-", "Active", "Exited")</f>
        <v>Active</v>
      </c>
      <c r="J467" s="5">
        <f t="shared" ca="1" si="74"/>
        <v>1780</v>
      </c>
      <c r="K467">
        <f ca="1">Table1[[#This Row],[Offers Made]]*2</f>
        <v>6</v>
      </c>
      <c r="L467">
        <f t="shared" ca="1" si="78"/>
        <v>3</v>
      </c>
      <c r="M467">
        <f t="shared" ca="1" si="79"/>
        <v>1</v>
      </c>
      <c r="N467" t="str">
        <f t="shared" ca="1" si="80"/>
        <v>Employee Referrals</v>
      </c>
      <c r="O467">
        <f t="shared" ca="1" si="81"/>
        <v>2</v>
      </c>
      <c r="P467" t="str">
        <f t="shared" ca="1" si="82"/>
        <v>Yes</v>
      </c>
      <c r="Q467" t="str" cm="1">
        <f t="array" aca="1" ref="Q467" ca="1">INDEX(sheet2!$C$2:$C$6, RANDBETWEEN(1, 5))</f>
        <v>Communication Skills</v>
      </c>
      <c r="R467" t="str">
        <f t="shared" ca="1" si="75"/>
        <v>Not Completed</v>
      </c>
      <c r="S467">
        <f ca="1">Table1[[#This Row],[Hire Date]]-Table1[[#This Row],[Job Posting Date]]</f>
        <v>62</v>
      </c>
    </row>
    <row r="468" spans="1:19" x14ac:dyDescent="0.2">
      <c r="A468" t="str">
        <f t="shared" si="76"/>
        <v>EMP467</v>
      </c>
      <c r="B468" t="str">
        <f t="shared" ca="1" si="77"/>
        <v>Female</v>
      </c>
      <c r="C468" t="str" cm="1">
        <f t="array" aca="1" ref="C468" ca="1">INDEX(sheet2!$A$2:$A$6, RANDBETWEEN(1, 5))</f>
        <v>Sales</v>
      </c>
      <c r="D468" t="str">
        <f ca="1">_xlfn.XLOOKUP(Table1[[#This Row],[Department]],sheet2!$A$2:$A$6,sheet2!$B$2:$B$6,_xleta.NA,0)</f>
        <v>Marketing Manager</v>
      </c>
      <c r="E468" s="1">
        <f t="shared" ca="1" si="73"/>
        <v>44454</v>
      </c>
      <c r="F468" s="1">
        <f ca="1">Table1[[#This Row],[Job Posting Date]]+ RANDBETWEEN(15, 90)</f>
        <v>44496</v>
      </c>
      <c r="G468" s="1">
        <f ca="1">Table1[[#This Row],[Hire Date]]+ RANDBETWEEN(1, 15)</f>
        <v>44502</v>
      </c>
      <c r="H468" s="1" t="str">
        <f ca="1">IF(RAND() &lt; 0.5,  Table1[[#This Row],[Join Date]]+ RANDBETWEEN(30, TODAY()- Table1[[#This Row],[Join Date]]), "-")</f>
        <v>-</v>
      </c>
      <c r="I468" t="str">
        <f ca="1">IF(Table1[[#This Row],[Exit Date]]= "-", "Active", "Exited")</f>
        <v>Active</v>
      </c>
      <c r="J468" s="5">
        <f t="shared" ca="1" si="74"/>
        <v>1804</v>
      </c>
      <c r="K468">
        <f ca="1">Table1[[#This Row],[Offers Made]]*2</f>
        <v>14</v>
      </c>
      <c r="L468">
        <f t="shared" ca="1" si="78"/>
        <v>7</v>
      </c>
      <c r="M468">
        <f t="shared" ca="1" si="79"/>
        <v>2</v>
      </c>
      <c r="N468" t="str">
        <f t="shared" ca="1" si="80"/>
        <v>Direct Hiring</v>
      </c>
      <c r="O468">
        <f t="shared" ca="1" si="81"/>
        <v>3</v>
      </c>
      <c r="P468" t="str">
        <f t="shared" ca="1" si="82"/>
        <v>Yes</v>
      </c>
      <c r="Q468" t="str" cm="1">
        <f t="array" aca="1" ref="Q468" ca="1">INDEX(sheet2!$C$2:$C$6, RANDBETWEEN(1, 5))</f>
        <v>Advanced Excel Skills </v>
      </c>
      <c r="R468" t="str">
        <f t="shared" ca="1" si="75"/>
        <v>Completed</v>
      </c>
      <c r="S468">
        <f ca="1">Table1[[#This Row],[Hire Date]]-Table1[[#This Row],[Job Posting Date]]</f>
        <v>42</v>
      </c>
    </row>
    <row r="469" spans="1:19" x14ac:dyDescent="0.2">
      <c r="A469" t="str">
        <f t="shared" si="76"/>
        <v>EMP468</v>
      </c>
      <c r="B469" t="str">
        <f t="shared" ca="1" si="77"/>
        <v>Female</v>
      </c>
      <c r="C469" t="str" cm="1">
        <f t="array" aca="1" ref="C469" ca="1">INDEX(sheet2!$A$2:$A$6, RANDBETWEEN(1, 5))</f>
        <v>Sales</v>
      </c>
      <c r="D469" t="str">
        <f ca="1">_xlfn.XLOOKUP(Table1[[#This Row],[Department]],sheet2!$A$2:$A$6,sheet2!$B$2:$B$6,_xleta.NA,0)</f>
        <v>Marketing Manager</v>
      </c>
      <c r="E469" s="1">
        <f t="shared" ca="1" si="73"/>
        <v>43996</v>
      </c>
      <c r="F469" s="1">
        <f ca="1">Table1[[#This Row],[Job Posting Date]]+ RANDBETWEEN(15, 90)</f>
        <v>44073</v>
      </c>
      <c r="G469" s="1">
        <f ca="1">Table1[[#This Row],[Hire Date]]+ RANDBETWEEN(1, 15)</f>
        <v>44074</v>
      </c>
      <c r="H469" s="1" t="str">
        <f ca="1">IF(RAND() &lt; 0.5,  Table1[[#This Row],[Join Date]]+ RANDBETWEEN(30, TODAY()- Table1[[#This Row],[Join Date]]), "-")</f>
        <v>-</v>
      </c>
      <c r="I469" t="str">
        <f ca="1">IF(Table1[[#This Row],[Exit Date]]= "-", "Active", "Exited")</f>
        <v>Active</v>
      </c>
      <c r="J469" s="5">
        <f t="shared" ca="1" si="74"/>
        <v>3079</v>
      </c>
      <c r="K469">
        <f ca="1">Table1[[#This Row],[Offers Made]]*2</f>
        <v>12</v>
      </c>
      <c r="L469">
        <f t="shared" ca="1" si="78"/>
        <v>6</v>
      </c>
      <c r="M469">
        <f t="shared" ca="1" si="79"/>
        <v>2</v>
      </c>
      <c r="N469" t="str">
        <f t="shared" ca="1" si="80"/>
        <v>Job Portals</v>
      </c>
      <c r="O469">
        <f t="shared" ca="1" si="81"/>
        <v>4</v>
      </c>
      <c r="P469" t="str">
        <f t="shared" ca="1" si="82"/>
        <v>Yes</v>
      </c>
      <c r="Q469" t="str" cm="1">
        <f t="array" aca="1" ref="Q469" ca="1">INDEX(sheet2!$C$2:$C$6, RANDBETWEEN(1, 5))</f>
        <v>Ethics and Responsibilities</v>
      </c>
      <c r="R469" t="str">
        <f t="shared" ca="1" si="75"/>
        <v>Not Completed</v>
      </c>
      <c r="S469">
        <f ca="1">Table1[[#This Row],[Hire Date]]-Table1[[#This Row],[Job Posting Date]]</f>
        <v>77</v>
      </c>
    </row>
    <row r="470" spans="1:19" x14ac:dyDescent="0.2">
      <c r="A470" t="str">
        <f t="shared" si="76"/>
        <v>EMP469</v>
      </c>
      <c r="B470" t="str">
        <f t="shared" ca="1" si="77"/>
        <v>Female</v>
      </c>
      <c r="C470" t="str" cm="1">
        <f t="array" aca="1" ref="C470" ca="1">INDEX(sheet2!$A$2:$A$6, RANDBETWEEN(1, 5))</f>
        <v>Sales</v>
      </c>
      <c r="D470" t="str">
        <f ca="1">_xlfn.XLOOKUP(Table1[[#This Row],[Department]],sheet2!$A$2:$A$6,sheet2!$B$2:$B$6,_xleta.NA,0)</f>
        <v>Marketing Manager</v>
      </c>
      <c r="E470" s="1">
        <f t="shared" ca="1" si="73"/>
        <v>43329</v>
      </c>
      <c r="F470" s="1">
        <f ca="1">Table1[[#This Row],[Job Posting Date]]+ RANDBETWEEN(15, 90)</f>
        <v>43413</v>
      </c>
      <c r="G470" s="1">
        <f ca="1">Table1[[#This Row],[Hire Date]]+ RANDBETWEEN(1, 15)</f>
        <v>43425</v>
      </c>
      <c r="H470" s="1" t="str">
        <f ca="1">IF(RAND() &lt; 0.5,  Table1[[#This Row],[Join Date]]+ RANDBETWEEN(30, TODAY()- Table1[[#This Row],[Join Date]]), "-")</f>
        <v>-</v>
      </c>
      <c r="I470" t="str">
        <f ca="1">IF(Table1[[#This Row],[Exit Date]]= "-", "Active", "Exited")</f>
        <v>Active</v>
      </c>
      <c r="J470" s="5">
        <f t="shared" ca="1" si="74"/>
        <v>1616</v>
      </c>
      <c r="K470">
        <f ca="1">Table1[[#This Row],[Offers Made]]*2</f>
        <v>6</v>
      </c>
      <c r="L470">
        <f t="shared" ca="1" si="78"/>
        <v>3</v>
      </c>
      <c r="M470">
        <f t="shared" ca="1" si="79"/>
        <v>1</v>
      </c>
      <c r="N470" t="str">
        <f t="shared" ca="1" si="80"/>
        <v>Employee Referrals</v>
      </c>
      <c r="O470">
        <f t="shared" ca="1" si="81"/>
        <v>1</v>
      </c>
      <c r="P470" t="str">
        <f t="shared" ca="1" si="82"/>
        <v>Yes</v>
      </c>
      <c r="Q470" t="str" cm="1">
        <f t="array" aca="1" ref="Q470" ca="1">INDEX(sheet2!$C$2:$C$6, RANDBETWEEN(1, 5))</f>
        <v>Ethics and Responsibilities</v>
      </c>
      <c r="R470" t="str">
        <f t="shared" ca="1" si="75"/>
        <v>Completed</v>
      </c>
      <c r="S470">
        <f ca="1">Table1[[#This Row],[Hire Date]]-Table1[[#This Row],[Job Posting Date]]</f>
        <v>84</v>
      </c>
    </row>
    <row r="471" spans="1:19" x14ac:dyDescent="0.2">
      <c r="A471" t="str">
        <f t="shared" si="76"/>
        <v>EMP470</v>
      </c>
      <c r="B471" t="str">
        <f t="shared" ca="1" si="77"/>
        <v>Male</v>
      </c>
      <c r="C471" t="str" cm="1">
        <f t="array" aca="1" ref="C471" ca="1">INDEX(sheet2!$A$2:$A$6, RANDBETWEEN(1, 5))</f>
        <v>HR</v>
      </c>
      <c r="D471" t="str">
        <f ca="1">_xlfn.XLOOKUP(Table1[[#This Row],[Department]],sheet2!$A$2:$A$6,sheet2!$B$2:$B$6,_xleta.NA,0)</f>
        <v>HR Manager</v>
      </c>
      <c r="E471" s="1">
        <f t="shared" ca="1" si="73"/>
        <v>44715</v>
      </c>
      <c r="F471" s="1">
        <f ca="1">Table1[[#This Row],[Job Posting Date]]+ RANDBETWEEN(15, 90)</f>
        <v>44764</v>
      </c>
      <c r="G471" s="1">
        <f ca="1">Table1[[#This Row],[Hire Date]]+ RANDBETWEEN(1, 15)</f>
        <v>44775</v>
      </c>
      <c r="H471" s="1" t="str">
        <f ca="1">IF(RAND() &lt; 0.5,  Table1[[#This Row],[Join Date]]+ RANDBETWEEN(30, TODAY()- Table1[[#This Row],[Join Date]]), "-")</f>
        <v>-</v>
      </c>
      <c r="I471" t="str">
        <f ca="1">IF(Table1[[#This Row],[Exit Date]]= "-", "Active", "Exited")</f>
        <v>Active</v>
      </c>
      <c r="J471" s="5">
        <f t="shared" ca="1" si="74"/>
        <v>4006</v>
      </c>
      <c r="K471">
        <f ca="1">Table1[[#This Row],[Offers Made]]*2</f>
        <v>16</v>
      </c>
      <c r="L471">
        <f t="shared" ca="1" si="78"/>
        <v>8</v>
      </c>
      <c r="M471">
        <f t="shared" ca="1" si="79"/>
        <v>7</v>
      </c>
      <c r="N471" t="str">
        <f t="shared" ca="1" si="80"/>
        <v>Direct Hiring</v>
      </c>
      <c r="O471">
        <f t="shared" ca="1" si="81"/>
        <v>3</v>
      </c>
      <c r="P471" t="str">
        <f t="shared" ca="1" si="82"/>
        <v>Yes</v>
      </c>
      <c r="Q471" t="str" cm="1">
        <f t="array" aca="1" ref="Q471" ca="1">INDEX(sheet2!$C$2:$C$6, RANDBETWEEN(1, 5))</f>
        <v>Communication Skills</v>
      </c>
      <c r="R471" t="str">
        <f t="shared" ca="1" si="75"/>
        <v>Not Completed</v>
      </c>
      <c r="S471">
        <f ca="1">Table1[[#This Row],[Hire Date]]-Table1[[#This Row],[Job Posting Date]]</f>
        <v>49</v>
      </c>
    </row>
    <row r="472" spans="1:19" x14ac:dyDescent="0.2">
      <c r="A472" t="str">
        <f t="shared" si="76"/>
        <v>EMP471</v>
      </c>
      <c r="B472" t="str">
        <f t="shared" ca="1" si="77"/>
        <v>Male</v>
      </c>
      <c r="C472" t="str" cm="1">
        <f t="array" aca="1" ref="C472" ca="1">INDEX(sheet2!$A$2:$A$6, RANDBETWEEN(1, 5))</f>
        <v>Finance</v>
      </c>
      <c r="D472" t="str">
        <f ca="1">_xlfn.XLOOKUP(Table1[[#This Row],[Department]],sheet2!$A$2:$A$6,sheet2!$B$2:$B$6,_xleta.NA,0)</f>
        <v>Finance Manager</v>
      </c>
      <c r="E472" s="1">
        <f t="shared" ca="1" si="73"/>
        <v>44533</v>
      </c>
      <c r="F472" s="1">
        <f ca="1">Table1[[#This Row],[Job Posting Date]]+ RANDBETWEEN(15, 90)</f>
        <v>44616</v>
      </c>
      <c r="G472" s="1">
        <f ca="1">Table1[[#This Row],[Hire Date]]+ RANDBETWEEN(1, 15)</f>
        <v>44630</v>
      </c>
      <c r="H472" s="1">
        <f ca="1">IF(RAND() &lt; 0.5,  Table1[[#This Row],[Join Date]]+ RANDBETWEEN(30, TODAY()- Table1[[#This Row],[Join Date]]), "-")</f>
        <v>44681</v>
      </c>
      <c r="I472" t="str">
        <f ca="1">IF(Table1[[#This Row],[Exit Date]]= "-", "Active", "Exited")</f>
        <v>Exited</v>
      </c>
      <c r="J472" s="5">
        <f t="shared" ca="1" si="74"/>
        <v>3285</v>
      </c>
      <c r="K472">
        <f ca="1">Table1[[#This Row],[Offers Made]]*2</f>
        <v>14</v>
      </c>
      <c r="L472">
        <f t="shared" ca="1" si="78"/>
        <v>7</v>
      </c>
      <c r="M472">
        <f t="shared" ca="1" si="79"/>
        <v>4</v>
      </c>
      <c r="N472" t="str">
        <f t="shared" ca="1" si="80"/>
        <v>Direct Hiring</v>
      </c>
      <c r="O472">
        <f t="shared" ca="1" si="81"/>
        <v>4</v>
      </c>
      <c r="P472" t="str">
        <f t="shared" ca="1" si="82"/>
        <v>Yes</v>
      </c>
      <c r="Q472" t="str" cm="1">
        <f t="array" aca="1" ref="Q472" ca="1">INDEX(sheet2!$C$2:$C$6, RANDBETWEEN(1, 5))</f>
        <v>Leadership Development</v>
      </c>
      <c r="R472" t="str">
        <f t="shared" ca="1" si="75"/>
        <v>Completed</v>
      </c>
      <c r="S472">
        <f ca="1">Table1[[#This Row],[Hire Date]]-Table1[[#This Row],[Job Posting Date]]</f>
        <v>83</v>
      </c>
    </row>
    <row r="473" spans="1:19" x14ac:dyDescent="0.2">
      <c r="A473" t="str">
        <f t="shared" si="76"/>
        <v>EMP472</v>
      </c>
      <c r="B473" t="str">
        <f t="shared" ca="1" si="77"/>
        <v>Female</v>
      </c>
      <c r="C473" t="str" cm="1">
        <f t="array" aca="1" ref="C473" ca="1">INDEX(sheet2!$A$2:$A$6, RANDBETWEEN(1, 5))</f>
        <v>Analytics</v>
      </c>
      <c r="D473" t="str">
        <f ca="1">_xlfn.XLOOKUP(Table1[[#This Row],[Department]],sheet2!$A$2:$A$6,sheet2!$B$2:$B$6,_xleta.NA,0)</f>
        <v>Data Analyst</v>
      </c>
      <c r="E473" s="1">
        <f t="shared" ca="1" si="73"/>
        <v>44766</v>
      </c>
      <c r="F473" s="1">
        <f ca="1">Table1[[#This Row],[Job Posting Date]]+ RANDBETWEEN(15, 90)</f>
        <v>44794</v>
      </c>
      <c r="G473" s="1">
        <f ca="1">Table1[[#This Row],[Hire Date]]+ RANDBETWEEN(1, 15)</f>
        <v>44807</v>
      </c>
      <c r="H473" s="1">
        <f ca="1">IF(RAND() &lt; 0.5,  Table1[[#This Row],[Join Date]]+ RANDBETWEEN(30, TODAY()- Table1[[#This Row],[Join Date]]), "-")</f>
        <v>45537</v>
      </c>
      <c r="I473" t="str">
        <f ca="1">IF(Table1[[#This Row],[Exit Date]]= "-", "Active", "Exited")</f>
        <v>Exited</v>
      </c>
      <c r="J473" s="5">
        <f t="shared" ca="1" si="74"/>
        <v>3006</v>
      </c>
      <c r="K473">
        <f ca="1">Table1[[#This Row],[Offers Made]]*2</f>
        <v>10</v>
      </c>
      <c r="L473">
        <f t="shared" ca="1" si="78"/>
        <v>5</v>
      </c>
      <c r="M473">
        <f t="shared" ca="1" si="79"/>
        <v>4</v>
      </c>
      <c r="N473" t="str">
        <f t="shared" ca="1" si="80"/>
        <v>Employee Referrals</v>
      </c>
      <c r="O473">
        <f t="shared" ca="1" si="81"/>
        <v>3</v>
      </c>
      <c r="P473" t="str">
        <f t="shared" ca="1" si="82"/>
        <v>Yes</v>
      </c>
      <c r="Q473" t="str" cm="1">
        <f t="array" aca="1" ref="Q473" ca="1">INDEX(sheet2!$C$2:$C$6, RANDBETWEEN(1, 5))</f>
        <v>Advanced Excel Skills </v>
      </c>
      <c r="R473" t="str">
        <f t="shared" ca="1" si="75"/>
        <v>Not Completed</v>
      </c>
      <c r="S473">
        <f ca="1">Table1[[#This Row],[Hire Date]]-Table1[[#This Row],[Job Posting Date]]</f>
        <v>28</v>
      </c>
    </row>
    <row r="474" spans="1:19" x14ac:dyDescent="0.2">
      <c r="A474" t="str">
        <f t="shared" si="76"/>
        <v>EMP473</v>
      </c>
      <c r="B474" t="str">
        <f t="shared" ca="1" si="77"/>
        <v>Female</v>
      </c>
      <c r="C474" t="str" cm="1">
        <f t="array" aca="1" ref="C474" ca="1">INDEX(sheet2!$A$2:$A$6, RANDBETWEEN(1, 5))</f>
        <v>Sales</v>
      </c>
      <c r="D474" t="str">
        <f ca="1">_xlfn.XLOOKUP(Table1[[#This Row],[Department]],sheet2!$A$2:$A$6,sheet2!$B$2:$B$6,_xleta.NA,0)</f>
        <v>Marketing Manager</v>
      </c>
      <c r="E474" s="1">
        <f t="shared" ca="1" si="73"/>
        <v>43806</v>
      </c>
      <c r="F474" s="1">
        <f ca="1">Table1[[#This Row],[Job Posting Date]]+ RANDBETWEEN(15, 90)</f>
        <v>43881</v>
      </c>
      <c r="G474" s="1">
        <f ca="1">Table1[[#This Row],[Hire Date]]+ RANDBETWEEN(1, 15)</f>
        <v>43882</v>
      </c>
      <c r="H474" s="1" t="str">
        <f ca="1">IF(RAND() &lt; 0.5,  Table1[[#This Row],[Join Date]]+ RANDBETWEEN(30, TODAY()- Table1[[#This Row],[Join Date]]), "-")</f>
        <v>-</v>
      </c>
      <c r="I474" t="str">
        <f ca="1">IF(Table1[[#This Row],[Exit Date]]= "-", "Active", "Exited")</f>
        <v>Active</v>
      </c>
      <c r="J474" s="5">
        <f t="shared" ca="1" si="74"/>
        <v>4835</v>
      </c>
      <c r="K474">
        <f ca="1">Table1[[#This Row],[Offers Made]]*2</f>
        <v>14</v>
      </c>
      <c r="L474">
        <f t="shared" ca="1" si="78"/>
        <v>7</v>
      </c>
      <c r="M474">
        <f t="shared" ca="1" si="79"/>
        <v>1</v>
      </c>
      <c r="N474" t="str">
        <f t="shared" ca="1" si="80"/>
        <v>Direct Hiring</v>
      </c>
      <c r="O474">
        <f t="shared" ca="1" si="81"/>
        <v>3</v>
      </c>
      <c r="P474" t="str">
        <f t="shared" ca="1" si="82"/>
        <v>No</v>
      </c>
      <c r="Q474" t="str" cm="1">
        <f t="array" aca="1" ref="Q474" ca="1">INDEX(sheet2!$C$2:$C$6, RANDBETWEEN(1, 5))</f>
        <v>Conflict Resolution</v>
      </c>
      <c r="R474" t="str">
        <f t="shared" ca="1" si="75"/>
        <v>Completed</v>
      </c>
      <c r="S474">
        <f ca="1">Table1[[#This Row],[Hire Date]]-Table1[[#This Row],[Job Posting Date]]</f>
        <v>75</v>
      </c>
    </row>
    <row r="475" spans="1:19" x14ac:dyDescent="0.2">
      <c r="A475" t="str">
        <f t="shared" si="76"/>
        <v>EMP474</v>
      </c>
      <c r="B475" t="str">
        <f t="shared" ca="1" si="77"/>
        <v>Male</v>
      </c>
      <c r="C475" t="str" cm="1">
        <f t="array" aca="1" ref="C475" ca="1">INDEX(sheet2!$A$2:$A$6, RANDBETWEEN(1, 5))</f>
        <v>Analytics</v>
      </c>
      <c r="D475" t="str">
        <f ca="1">_xlfn.XLOOKUP(Table1[[#This Row],[Department]],sheet2!$A$2:$A$6,sheet2!$B$2:$B$6,_xleta.NA,0)</f>
        <v>Data Analyst</v>
      </c>
      <c r="E475" s="1">
        <f t="shared" ca="1" si="73"/>
        <v>44116</v>
      </c>
      <c r="F475" s="1">
        <f ca="1">Table1[[#This Row],[Job Posting Date]]+ RANDBETWEEN(15, 90)</f>
        <v>44147</v>
      </c>
      <c r="G475" s="1">
        <f ca="1">Table1[[#This Row],[Hire Date]]+ RANDBETWEEN(1, 15)</f>
        <v>44153</v>
      </c>
      <c r="H475" s="1" t="str">
        <f ca="1">IF(RAND() &lt; 0.5,  Table1[[#This Row],[Join Date]]+ RANDBETWEEN(30, TODAY()- Table1[[#This Row],[Join Date]]), "-")</f>
        <v>-</v>
      </c>
      <c r="I475" t="str">
        <f ca="1">IF(Table1[[#This Row],[Exit Date]]= "-", "Active", "Exited")</f>
        <v>Active</v>
      </c>
      <c r="J475" s="5">
        <f t="shared" ca="1" si="74"/>
        <v>4401</v>
      </c>
      <c r="K475">
        <f ca="1">Table1[[#This Row],[Offers Made]]*2</f>
        <v>6</v>
      </c>
      <c r="L475">
        <f t="shared" ca="1" si="78"/>
        <v>3</v>
      </c>
      <c r="M475">
        <f t="shared" ca="1" si="79"/>
        <v>2</v>
      </c>
      <c r="N475" t="str">
        <f t="shared" ca="1" si="80"/>
        <v>Campus Placements</v>
      </c>
      <c r="O475">
        <f t="shared" ca="1" si="81"/>
        <v>5</v>
      </c>
      <c r="P475" t="str">
        <f t="shared" ca="1" si="82"/>
        <v>No</v>
      </c>
      <c r="Q475" t="str" cm="1">
        <f t="array" aca="1" ref="Q475" ca="1">INDEX(sheet2!$C$2:$C$6, RANDBETWEEN(1, 5))</f>
        <v>Ethics and Responsibilities</v>
      </c>
      <c r="R475" t="str">
        <f t="shared" ca="1" si="75"/>
        <v>Completed</v>
      </c>
      <c r="S475">
        <f ca="1">Table1[[#This Row],[Hire Date]]-Table1[[#This Row],[Job Posting Date]]</f>
        <v>31</v>
      </c>
    </row>
    <row r="476" spans="1:19" x14ac:dyDescent="0.2">
      <c r="A476" t="str">
        <f t="shared" si="76"/>
        <v>EMP475</v>
      </c>
      <c r="B476" t="str">
        <f t="shared" ca="1" si="77"/>
        <v>Male</v>
      </c>
      <c r="C476" t="str" cm="1">
        <f t="array" aca="1" ref="C476" ca="1">INDEX(sheet2!$A$2:$A$6, RANDBETWEEN(1, 5))</f>
        <v>Finance</v>
      </c>
      <c r="D476" t="str">
        <f ca="1">_xlfn.XLOOKUP(Table1[[#This Row],[Department]],sheet2!$A$2:$A$6,sheet2!$B$2:$B$6,_xleta.NA,0)</f>
        <v>Finance Manager</v>
      </c>
      <c r="E476" s="1">
        <f t="shared" ca="1" si="73"/>
        <v>44287</v>
      </c>
      <c r="F476" s="1">
        <f ca="1">Table1[[#This Row],[Job Posting Date]]+ RANDBETWEEN(15, 90)</f>
        <v>44308</v>
      </c>
      <c r="G476" s="1">
        <f ca="1">Table1[[#This Row],[Hire Date]]+ RANDBETWEEN(1, 15)</f>
        <v>44316</v>
      </c>
      <c r="H476" s="1" t="str">
        <f ca="1">IF(RAND() &lt; 0.5,  Table1[[#This Row],[Join Date]]+ RANDBETWEEN(30, TODAY()- Table1[[#This Row],[Join Date]]), "-")</f>
        <v>-</v>
      </c>
      <c r="I476" t="str">
        <f ca="1">IF(Table1[[#This Row],[Exit Date]]= "-", "Active", "Exited")</f>
        <v>Active</v>
      </c>
      <c r="J476" s="5">
        <f t="shared" ca="1" si="74"/>
        <v>2364</v>
      </c>
      <c r="K476">
        <f ca="1">Table1[[#This Row],[Offers Made]]*2</f>
        <v>8</v>
      </c>
      <c r="L476">
        <f t="shared" ca="1" si="78"/>
        <v>4</v>
      </c>
      <c r="M476">
        <f t="shared" ca="1" si="79"/>
        <v>1</v>
      </c>
      <c r="N476" t="str">
        <f t="shared" ca="1" si="80"/>
        <v>Employee Referrals</v>
      </c>
      <c r="O476">
        <f t="shared" ca="1" si="81"/>
        <v>2</v>
      </c>
      <c r="P476" t="str">
        <f t="shared" ca="1" si="82"/>
        <v>No</v>
      </c>
      <c r="Q476" t="str" cm="1">
        <f t="array" aca="1" ref="Q476" ca="1">INDEX(sheet2!$C$2:$C$6, RANDBETWEEN(1, 5))</f>
        <v>Leadership Development</v>
      </c>
      <c r="R476" t="str">
        <f t="shared" ca="1" si="75"/>
        <v>Completed</v>
      </c>
      <c r="S476">
        <f ca="1">Table1[[#This Row],[Hire Date]]-Table1[[#This Row],[Job Posting Date]]</f>
        <v>21</v>
      </c>
    </row>
    <row r="477" spans="1:19" x14ac:dyDescent="0.2">
      <c r="A477" t="str">
        <f t="shared" si="76"/>
        <v>EMP476</v>
      </c>
      <c r="B477" t="str">
        <f t="shared" ca="1" si="77"/>
        <v>Male</v>
      </c>
      <c r="C477" t="str" cm="1">
        <f t="array" aca="1" ref="C477" ca="1">INDEX(sheet2!$A$2:$A$6, RANDBETWEEN(1, 5))</f>
        <v>Sales</v>
      </c>
      <c r="D477" t="str">
        <f ca="1">_xlfn.XLOOKUP(Table1[[#This Row],[Department]],sheet2!$A$2:$A$6,sheet2!$B$2:$B$6,_xleta.NA,0)</f>
        <v>Marketing Manager</v>
      </c>
      <c r="E477" s="1">
        <f t="shared" ca="1" si="73"/>
        <v>44774</v>
      </c>
      <c r="F477" s="1">
        <f ca="1">Table1[[#This Row],[Job Posting Date]]+ RANDBETWEEN(15, 90)</f>
        <v>44800</v>
      </c>
      <c r="G477" s="1">
        <f ca="1">Table1[[#This Row],[Hire Date]]+ RANDBETWEEN(1, 15)</f>
        <v>44814</v>
      </c>
      <c r="H477" s="1" t="str">
        <f ca="1">IF(RAND() &lt; 0.5,  Table1[[#This Row],[Join Date]]+ RANDBETWEEN(30, TODAY()- Table1[[#This Row],[Join Date]]), "-")</f>
        <v>-</v>
      </c>
      <c r="I477" t="str">
        <f ca="1">IF(Table1[[#This Row],[Exit Date]]= "-", "Active", "Exited")</f>
        <v>Active</v>
      </c>
      <c r="J477" s="5">
        <f t="shared" ca="1" si="74"/>
        <v>1846</v>
      </c>
      <c r="K477">
        <f ca="1">Table1[[#This Row],[Offers Made]]*2</f>
        <v>14</v>
      </c>
      <c r="L477">
        <f t="shared" ca="1" si="78"/>
        <v>7</v>
      </c>
      <c r="M477">
        <f t="shared" ca="1" si="79"/>
        <v>6</v>
      </c>
      <c r="N477" t="str">
        <f t="shared" ca="1" si="80"/>
        <v>Campus Placements</v>
      </c>
      <c r="O477">
        <f t="shared" ca="1" si="81"/>
        <v>1</v>
      </c>
      <c r="P477" t="str">
        <f t="shared" ca="1" si="82"/>
        <v>Yes</v>
      </c>
      <c r="Q477" t="str" cm="1">
        <f t="array" aca="1" ref="Q477" ca="1">INDEX(sheet2!$C$2:$C$6, RANDBETWEEN(1, 5))</f>
        <v>Leadership Development</v>
      </c>
      <c r="R477" t="str">
        <f t="shared" ca="1" si="75"/>
        <v>Completed</v>
      </c>
      <c r="S477">
        <f ca="1">Table1[[#This Row],[Hire Date]]-Table1[[#This Row],[Job Posting Date]]</f>
        <v>26</v>
      </c>
    </row>
    <row r="478" spans="1:19" x14ac:dyDescent="0.2">
      <c r="A478" t="str">
        <f t="shared" si="76"/>
        <v>EMP477</v>
      </c>
      <c r="B478" t="str">
        <f t="shared" ca="1" si="77"/>
        <v>Female</v>
      </c>
      <c r="C478" t="str" cm="1">
        <f t="array" aca="1" ref="C478" ca="1">INDEX(sheet2!$A$2:$A$6, RANDBETWEEN(1, 5))</f>
        <v>Analytics</v>
      </c>
      <c r="D478" t="str">
        <f ca="1">_xlfn.XLOOKUP(Table1[[#This Row],[Department]],sheet2!$A$2:$A$6,sheet2!$B$2:$B$6,_xleta.NA,0)</f>
        <v>Data Analyst</v>
      </c>
      <c r="E478" s="1">
        <f t="shared" ca="1" si="73"/>
        <v>43892</v>
      </c>
      <c r="F478" s="1">
        <f ca="1">Table1[[#This Row],[Job Posting Date]]+ RANDBETWEEN(15, 90)</f>
        <v>43910</v>
      </c>
      <c r="G478" s="1">
        <f ca="1">Table1[[#This Row],[Hire Date]]+ RANDBETWEEN(1, 15)</f>
        <v>43918</v>
      </c>
      <c r="H478" s="1" t="str">
        <f ca="1">IF(RAND() &lt; 0.5,  Table1[[#This Row],[Join Date]]+ RANDBETWEEN(30, TODAY()- Table1[[#This Row],[Join Date]]), "-")</f>
        <v>-</v>
      </c>
      <c r="I478" t="str">
        <f ca="1">IF(Table1[[#This Row],[Exit Date]]= "-", "Active", "Exited")</f>
        <v>Active</v>
      </c>
      <c r="J478" s="5">
        <f t="shared" ca="1" si="74"/>
        <v>3301</v>
      </c>
      <c r="K478">
        <f ca="1">Table1[[#This Row],[Offers Made]]*2</f>
        <v>14</v>
      </c>
      <c r="L478">
        <f t="shared" ca="1" si="78"/>
        <v>7</v>
      </c>
      <c r="M478">
        <f t="shared" ca="1" si="79"/>
        <v>6</v>
      </c>
      <c r="N478" t="str">
        <f t="shared" ca="1" si="80"/>
        <v>Job Portals</v>
      </c>
      <c r="O478">
        <f t="shared" ca="1" si="81"/>
        <v>1</v>
      </c>
      <c r="P478" t="str">
        <f t="shared" ca="1" si="82"/>
        <v>No</v>
      </c>
      <c r="Q478" t="str" cm="1">
        <f t="array" aca="1" ref="Q478" ca="1">INDEX(sheet2!$C$2:$C$6, RANDBETWEEN(1, 5))</f>
        <v>Communication Skills</v>
      </c>
      <c r="R478" t="str">
        <f t="shared" ca="1" si="75"/>
        <v>Not Completed</v>
      </c>
      <c r="S478">
        <f ca="1">Table1[[#This Row],[Hire Date]]-Table1[[#This Row],[Job Posting Date]]</f>
        <v>18</v>
      </c>
    </row>
    <row r="479" spans="1:19" x14ac:dyDescent="0.2">
      <c r="A479" t="str">
        <f t="shared" si="76"/>
        <v>EMP478</v>
      </c>
      <c r="B479" t="str">
        <f t="shared" ca="1" si="77"/>
        <v>Female</v>
      </c>
      <c r="C479" t="str" cm="1">
        <f t="array" aca="1" ref="C479" ca="1">INDEX(sheet2!$A$2:$A$6, RANDBETWEEN(1, 5))</f>
        <v>Sales</v>
      </c>
      <c r="D479" t="str">
        <f ca="1">_xlfn.XLOOKUP(Table1[[#This Row],[Department]],sheet2!$A$2:$A$6,sheet2!$B$2:$B$6,_xleta.NA,0)</f>
        <v>Marketing Manager</v>
      </c>
      <c r="E479" s="1">
        <f t="shared" ca="1" si="73"/>
        <v>43977</v>
      </c>
      <c r="F479" s="1">
        <f ca="1">Table1[[#This Row],[Job Posting Date]]+ RANDBETWEEN(15, 90)</f>
        <v>44028</v>
      </c>
      <c r="G479" s="1">
        <f ca="1">Table1[[#This Row],[Hire Date]]+ RANDBETWEEN(1, 15)</f>
        <v>44033</v>
      </c>
      <c r="H479" s="1">
        <f ca="1">IF(RAND() &lt; 0.5,  Table1[[#This Row],[Join Date]]+ RANDBETWEEN(30, TODAY()- Table1[[#This Row],[Join Date]]), "-")</f>
        <v>44684</v>
      </c>
      <c r="I479" t="str">
        <f ca="1">IF(Table1[[#This Row],[Exit Date]]= "-", "Active", "Exited")</f>
        <v>Exited</v>
      </c>
      <c r="J479" s="5">
        <f t="shared" ca="1" si="74"/>
        <v>3898</v>
      </c>
      <c r="K479">
        <f ca="1">Table1[[#This Row],[Offers Made]]*2</f>
        <v>8</v>
      </c>
      <c r="L479">
        <f t="shared" ca="1" si="78"/>
        <v>4</v>
      </c>
      <c r="M479">
        <f t="shared" ca="1" si="79"/>
        <v>3</v>
      </c>
      <c r="N479" t="str">
        <f t="shared" ca="1" si="80"/>
        <v>Employee Referrals</v>
      </c>
      <c r="O479">
        <f t="shared" ca="1" si="81"/>
        <v>5</v>
      </c>
      <c r="P479" t="str">
        <f t="shared" ca="1" si="82"/>
        <v>No</v>
      </c>
      <c r="Q479" t="str" cm="1">
        <f t="array" aca="1" ref="Q479" ca="1">INDEX(sheet2!$C$2:$C$6, RANDBETWEEN(1, 5))</f>
        <v>Conflict Resolution</v>
      </c>
      <c r="R479" t="str">
        <f t="shared" ca="1" si="75"/>
        <v>Completed</v>
      </c>
      <c r="S479">
        <f ca="1">Table1[[#This Row],[Hire Date]]-Table1[[#This Row],[Job Posting Date]]</f>
        <v>51</v>
      </c>
    </row>
    <row r="480" spans="1:19" x14ac:dyDescent="0.2">
      <c r="A480" t="str">
        <f t="shared" si="76"/>
        <v>EMP479</v>
      </c>
      <c r="B480" t="str">
        <f t="shared" ca="1" si="77"/>
        <v>Male</v>
      </c>
      <c r="C480" t="str" cm="1">
        <f t="array" aca="1" ref="C480" ca="1">INDEX(sheet2!$A$2:$A$6, RANDBETWEEN(1, 5))</f>
        <v>Sales</v>
      </c>
      <c r="D480" t="str">
        <f ca="1">_xlfn.XLOOKUP(Table1[[#This Row],[Department]],sheet2!$A$2:$A$6,sheet2!$B$2:$B$6,_xleta.NA,0)</f>
        <v>Marketing Manager</v>
      </c>
      <c r="E480" s="1">
        <f t="shared" ca="1" si="73"/>
        <v>44015</v>
      </c>
      <c r="F480" s="1">
        <f ca="1">Table1[[#This Row],[Job Posting Date]]+ RANDBETWEEN(15, 90)</f>
        <v>44051</v>
      </c>
      <c r="G480" s="1">
        <f ca="1">Table1[[#This Row],[Hire Date]]+ RANDBETWEEN(1, 15)</f>
        <v>44053</v>
      </c>
      <c r="H480" s="1" t="str">
        <f ca="1">IF(RAND() &lt; 0.5,  Table1[[#This Row],[Join Date]]+ RANDBETWEEN(30, TODAY()- Table1[[#This Row],[Join Date]]), "-")</f>
        <v>-</v>
      </c>
      <c r="I480" t="str">
        <f ca="1">IF(Table1[[#This Row],[Exit Date]]= "-", "Active", "Exited")</f>
        <v>Active</v>
      </c>
      <c r="J480" s="5">
        <f t="shared" ca="1" si="74"/>
        <v>2000</v>
      </c>
      <c r="K480">
        <f ca="1">Table1[[#This Row],[Offers Made]]*2</f>
        <v>6</v>
      </c>
      <c r="L480">
        <f t="shared" ca="1" si="78"/>
        <v>3</v>
      </c>
      <c r="M480">
        <f t="shared" ca="1" si="79"/>
        <v>2</v>
      </c>
      <c r="N480" t="str">
        <f t="shared" ca="1" si="80"/>
        <v>Job Portals</v>
      </c>
      <c r="O480">
        <f t="shared" ca="1" si="81"/>
        <v>3</v>
      </c>
      <c r="P480" t="str">
        <f t="shared" ca="1" si="82"/>
        <v>No</v>
      </c>
      <c r="Q480" t="str" cm="1">
        <f t="array" aca="1" ref="Q480" ca="1">INDEX(sheet2!$C$2:$C$6, RANDBETWEEN(1, 5))</f>
        <v>Advanced Excel Skills </v>
      </c>
      <c r="R480" t="str">
        <f t="shared" ca="1" si="75"/>
        <v>Completed</v>
      </c>
      <c r="S480">
        <f ca="1">Table1[[#This Row],[Hire Date]]-Table1[[#This Row],[Job Posting Date]]</f>
        <v>36</v>
      </c>
    </row>
    <row r="481" spans="1:19" x14ac:dyDescent="0.2">
      <c r="A481" t="str">
        <f t="shared" si="76"/>
        <v>EMP480</v>
      </c>
      <c r="B481" t="str">
        <f t="shared" ca="1" si="77"/>
        <v>Female</v>
      </c>
      <c r="C481" t="str" cm="1">
        <f t="array" aca="1" ref="C481" ca="1">INDEX(sheet2!$A$2:$A$6, RANDBETWEEN(1, 5))</f>
        <v>IT</v>
      </c>
      <c r="D481" t="str">
        <f ca="1">_xlfn.XLOOKUP(Table1[[#This Row],[Department]],sheet2!$A$2:$A$6,sheet2!$B$2:$B$6,_xleta.NA,0)</f>
        <v>Software Engineer</v>
      </c>
      <c r="E481" s="1">
        <f t="shared" ca="1" si="73"/>
        <v>44620</v>
      </c>
      <c r="F481" s="1">
        <f ca="1">Table1[[#This Row],[Job Posting Date]]+ RANDBETWEEN(15, 90)</f>
        <v>44707</v>
      </c>
      <c r="G481" s="1">
        <f ca="1">Table1[[#This Row],[Hire Date]]+ RANDBETWEEN(1, 15)</f>
        <v>44719</v>
      </c>
      <c r="H481" s="1">
        <f ca="1">IF(RAND() &lt; 0.5,  Table1[[#This Row],[Join Date]]+ RANDBETWEEN(30, TODAY()- Table1[[#This Row],[Join Date]]), "-")</f>
        <v>45322</v>
      </c>
      <c r="I481" t="str">
        <f ca="1">IF(Table1[[#This Row],[Exit Date]]= "-", "Active", "Exited")</f>
        <v>Exited</v>
      </c>
      <c r="J481" s="5">
        <f t="shared" ca="1" si="74"/>
        <v>3218</v>
      </c>
      <c r="K481">
        <f ca="1">Table1[[#This Row],[Offers Made]]*2</f>
        <v>10</v>
      </c>
      <c r="L481">
        <f t="shared" ca="1" si="78"/>
        <v>5</v>
      </c>
      <c r="M481">
        <f t="shared" ca="1" si="79"/>
        <v>3</v>
      </c>
      <c r="N481" t="str">
        <f t="shared" ca="1" si="80"/>
        <v>Employee Referrals</v>
      </c>
      <c r="O481">
        <f t="shared" ca="1" si="81"/>
        <v>5</v>
      </c>
      <c r="P481" t="str">
        <f t="shared" ca="1" si="82"/>
        <v>Yes</v>
      </c>
      <c r="Q481" t="str" cm="1">
        <f t="array" aca="1" ref="Q481" ca="1">INDEX(sheet2!$C$2:$C$6, RANDBETWEEN(1, 5))</f>
        <v>Leadership Development</v>
      </c>
      <c r="R481" t="str">
        <f t="shared" ca="1" si="75"/>
        <v>Completed</v>
      </c>
      <c r="S481">
        <f ca="1">Table1[[#This Row],[Hire Date]]-Table1[[#This Row],[Job Posting Date]]</f>
        <v>87</v>
      </c>
    </row>
    <row r="482" spans="1:19" x14ac:dyDescent="0.2">
      <c r="A482" t="str">
        <f t="shared" si="76"/>
        <v>EMP481</v>
      </c>
      <c r="B482" t="str">
        <f t="shared" ca="1" si="77"/>
        <v>Female</v>
      </c>
      <c r="C482" t="str" cm="1">
        <f t="array" aca="1" ref="C482" ca="1">INDEX(sheet2!$A$2:$A$6, RANDBETWEEN(1, 5))</f>
        <v>Sales</v>
      </c>
      <c r="D482" t="str">
        <f ca="1">_xlfn.XLOOKUP(Table1[[#This Row],[Department]],sheet2!$A$2:$A$6,sheet2!$B$2:$B$6,_xleta.NA,0)</f>
        <v>Marketing Manager</v>
      </c>
      <c r="E482" s="1">
        <f t="shared" ca="1" si="73"/>
        <v>43279</v>
      </c>
      <c r="F482" s="1">
        <f ca="1">Table1[[#This Row],[Job Posting Date]]+ RANDBETWEEN(15, 90)</f>
        <v>43326</v>
      </c>
      <c r="G482" s="1">
        <f ca="1">Table1[[#This Row],[Hire Date]]+ RANDBETWEEN(1, 15)</f>
        <v>43340</v>
      </c>
      <c r="H482" s="1" t="str">
        <f ca="1">IF(RAND() &lt; 0.5,  Table1[[#This Row],[Join Date]]+ RANDBETWEEN(30, TODAY()- Table1[[#This Row],[Join Date]]), "-")</f>
        <v>-</v>
      </c>
      <c r="I482" t="str">
        <f ca="1">IF(Table1[[#This Row],[Exit Date]]= "-", "Active", "Exited")</f>
        <v>Active</v>
      </c>
      <c r="J482" s="5">
        <f t="shared" ca="1" si="74"/>
        <v>2972</v>
      </c>
      <c r="K482">
        <f ca="1">Table1[[#This Row],[Offers Made]]*2</f>
        <v>14</v>
      </c>
      <c r="L482">
        <f t="shared" ca="1" si="78"/>
        <v>7</v>
      </c>
      <c r="M482">
        <f t="shared" ca="1" si="79"/>
        <v>4</v>
      </c>
      <c r="N482" t="str">
        <f t="shared" ca="1" si="80"/>
        <v>Direct Hiring</v>
      </c>
      <c r="O482">
        <f t="shared" ca="1" si="81"/>
        <v>3</v>
      </c>
      <c r="P482" t="str">
        <f t="shared" ca="1" si="82"/>
        <v>No</v>
      </c>
      <c r="Q482" t="str" cm="1">
        <f t="array" aca="1" ref="Q482" ca="1">INDEX(sheet2!$C$2:$C$6, RANDBETWEEN(1, 5))</f>
        <v>Advanced Excel Skills </v>
      </c>
      <c r="R482" t="str">
        <f t="shared" ca="1" si="75"/>
        <v>Completed</v>
      </c>
      <c r="S482">
        <f ca="1">Table1[[#This Row],[Hire Date]]-Table1[[#This Row],[Job Posting Date]]</f>
        <v>47</v>
      </c>
    </row>
    <row r="483" spans="1:19" x14ac:dyDescent="0.2">
      <c r="A483" t="str">
        <f t="shared" si="76"/>
        <v>EMP482</v>
      </c>
      <c r="B483" t="str">
        <f t="shared" ca="1" si="77"/>
        <v>Male</v>
      </c>
      <c r="C483" t="str" cm="1">
        <f t="array" aca="1" ref="C483" ca="1">INDEX(sheet2!$A$2:$A$6, RANDBETWEEN(1, 5))</f>
        <v>IT</v>
      </c>
      <c r="D483" t="str">
        <f ca="1">_xlfn.XLOOKUP(Table1[[#This Row],[Department]],sheet2!$A$2:$A$6,sheet2!$B$2:$B$6,_xleta.NA,0)</f>
        <v>Software Engineer</v>
      </c>
      <c r="E483" s="1">
        <f t="shared" ca="1" si="73"/>
        <v>43973</v>
      </c>
      <c r="F483" s="1">
        <f ca="1">Table1[[#This Row],[Job Posting Date]]+ RANDBETWEEN(15, 90)</f>
        <v>44061</v>
      </c>
      <c r="G483" s="1">
        <f ca="1">Table1[[#This Row],[Hire Date]]+ RANDBETWEEN(1, 15)</f>
        <v>44067</v>
      </c>
      <c r="H483" s="1" t="str">
        <f ca="1">IF(RAND() &lt; 0.5,  Table1[[#This Row],[Join Date]]+ RANDBETWEEN(30, TODAY()- Table1[[#This Row],[Join Date]]), "-")</f>
        <v>-</v>
      </c>
      <c r="I483" t="str">
        <f ca="1">IF(Table1[[#This Row],[Exit Date]]= "-", "Active", "Exited")</f>
        <v>Active</v>
      </c>
      <c r="J483" s="5">
        <f t="shared" ca="1" si="74"/>
        <v>2807</v>
      </c>
      <c r="K483">
        <f ca="1">Table1[[#This Row],[Offers Made]]*2</f>
        <v>6</v>
      </c>
      <c r="L483">
        <f t="shared" ca="1" si="78"/>
        <v>3</v>
      </c>
      <c r="M483">
        <f t="shared" ca="1" si="79"/>
        <v>1</v>
      </c>
      <c r="N483" t="str">
        <f t="shared" ca="1" si="80"/>
        <v>Job Portals</v>
      </c>
      <c r="O483">
        <f t="shared" ca="1" si="81"/>
        <v>5</v>
      </c>
      <c r="P483" t="str">
        <f t="shared" ca="1" si="82"/>
        <v>Yes</v>
      </c>
      <c r="Q483" t="str" cm="1">
        <f t="array" aca="1" ref="Q483" ca="1">INDEX(sheet2!$C$2:$C$6, RANDBETWEEN(1, 5))</f>
        <v>Ethics and Responsibilities</v>
      </c>
      <c r="R483" t="str">
        <f t="shared" ca="1" si="75"/>
        <v>Completed</v>
      </c>
      <c r="S483">
        <f ca="1">Table1[[#This Row],[Hire Date]]-Table1[[#This Row],[Job Posting Date]]</f>
        <v>88</v>
      </c>
    </row>
    <row r="484" spans="1:19" x14ac:dyDescent="0.2">
      <c r="A484" t="str">
        <f t="shared" si="76"/>
        <v>EMP483</v>
      </c>
      <c r="B484" t="str">
        <f t="shared" ca="1" si="77"/>
        <v>Male</v>
      </c>
      <c r="C484" t="str" cm="1">
        <f t="array" aca="1" ref="C484" ca="1">INDEX(sheet2!$A$2:$A$6, RANDBETWEEN(1, 5))</f>
        <v>Finance</v>
      </c>
      <c r="D484" t="str">
        <f ca="1">_xlfn.XLOOKUP(Table1[[#This Row],[Department]],sheet2!$A$2:$A$6,sheet2!$B$2:$B$6,_xleta.NA,0)</f>
        <v>Finance Manager</v>
      </c>
      <c r="E484" s="1">
        <f t="shared" ca="1" si="73"/>
        <v>43934</v>
      </c>
      <c r="F484" s="1">
        <f ca="1">Table1[[#This Row],[Job Posting Date]]+ RANDBETWEEN(15, 90)</f>
        <v>44007</v>
      </c>
      <c r="G484" s="1">
        <f ca="1">Table1[[#This Row],[Hire Date]]+ RANDBETWEEN(1, 15)</f>
        <v>44015</v>
      </c>
      <c r="H484" s="1" t="str">
        <f ca="1">IF(RAND() &lt; 0.5,  Table1[[#This Row],[Join Date]]+ RANDBETWEEN(30, TODAY()- Table1[[#This Row],[Join Date]]), "-")</f>
        <v>-</v>
      </c>
      <c r="I484" t="str">
        <f ca="1">IF(Table1[[#This Row],[Exit Date]]= "-", "Active", "Exited")</f>
        <v>Active</v>
      </c>
      <c r="J484" s="5">
        <f t="shared" ca="1" si="74"/>
        <v>2131</v>
      </c>
      <c r="K484">
        <f ca="1">Table1[[#This Row],[Offers Made]]*2</f>
        <v>6</v>
      </c>
      <c r="L484">
        <f t="shared" ca="1" si="78"/>
        <v>3</v>
      </c>
      <c r="M484">
        <f t="shared" ca="1" si="79"/>
        <v>2</v>
      </c>
      <c r="N484" t="str">
        <f t="shared" ca="1" si="80"/>
        <v>Campus Placements</v>
      </c>
      <c r="O484">
        <f t="shared" ca="1" si="81"/>
        <v>4</v>
      </c>
      <c r="P484" t="str">
        <f t="shared" ca="1" si="82"/>
        <v>Yes</v>
      </c>
      <c r="Q484" t="str" cm="1">
        <f t="array" aca="1" ref="Q484" ca="1">INDEX(sheet2!$C$2:$C$6, RANDBETWEEN(1, 5))</f>
        <v>Conflict Resolution</v>
      </c>
      <c r="R484" t="str">
        <f t="shared" ca="1" si="75"/>
        <v>Not Completed</v>
      </c>
      <c r="S484">
        <f ca="1">Table1[[#This Row],[Hire Date]]-Table1[[#This Row],[Job Posting Date]]</f>
        <v>73</v>
      </c>
    </row>
    <row r="485" spans="1:19" x14ac:dyDescent="0.2">
      <c r="A485" t="str">
        <f t="shared" si="76"/>
        <v>EMP484</v>
      </c>
      <c r="B485" t="str">
        <f t="shared" ca="1" si="77"/>
        <v>Female</v>
      </c>
      <c r="C485" t="str" cm="1">
        <f t="array" aca="1" ref="C485" ca="1">INDEX(sheet2!$A$2:$A$6, RANDBETWEEN(1, 5))</f>
        <v>Finance</v>
      </c>
      <c r="D485" t="str">
        <f ca="1">_xlfn.XLOOKUP(Table1[[#This Row],[Department]],sheet2!$A$2:$A$6,sheet2!$B$2:$B$6,_xleta.NA,0)</f>
        <v>Finance Manager</v>
      </c>
      <c r="E485" s="1">
        <f t="shared" ca="1" si="73"/>
        <v>43937</v>
      </c>
      <c r="F485" s="1">
        <f ca="1">Table1[[#This Row],[Job Posting Date]]+ RANDBETWEEN(15, 90)</f>
        <v>44005</v>
      </c>
      <c r="G485" s="1">
        <f ca="1">Table1[[#This Row],[Hire Date]]+ RANDBETWEEN(1, 15)</f>
        <v>44010</v>
      </c>
      <c r="H485" s="1" t="str">
        <f ca="1">IF(RAND() &lt; 0.5,  Table1[[#This Row],[Join Date]]+ RANDBETWEEN(30, TODAY()- Table1[[#This Row],[Join Date]]), "-")</f>
        <v>-</v>
      </c>
      <c r="I485" t="str">
        <f ca="1">IF(Table1[[#This Row],[Exit Date]]= "-", "Active", "Exited")</f>
        <v>Active</v>
      </c>
      <c r="J485" s="5">
        <f t="shared" ca="1" si="74"/>
        <v>1979</v>
      </c>
      <c r="K485">
        <f ca="1">Table1[[#This Row],[Offers Made]]*2</f>
        <v>8</v>
      </c>
      <c r="L485">
        <f t="shared" ca="1" si="78"/>
        <v>4</v>
      </c>
      <c r="M485">
        <f t="shared" ca="1" si="79"/>
        <v>3</v>
      </c>
      <c r="N485" t="str">
        <f t="shared" ca="1" si="80"/>
        <v>Campus Placements</v>
      </c>
      <c r="O485">
        <f t="shared" ca="1" si="81"/>
        <v>4</v>
      </c>
      <c r="P485" t="str">
        <f t="shared" ca="1" si="82"/>
        <v>Yes</v>
      </c>
      <c r="Q485" t="str" cm="1">
        <f t="array" aca="1" ref="Q485" ca="1">INDEX(sheet2!$C$2:$C$6, RANDBETWEEN(1, 5))</f>
        <v>Advanced Excel Skills </v>
      </c>
      <c r="R485" t="str">
        <f t="shared" ca="1" si="75"/>
        <v>Completed</v>
      </c>
      <c r="S485">
        <f ca="1">Table1[[#This Row],[Hire Date]]-Table1[[#This Row],[Job Posting Date]]</f>
        <v>68</v>
      </c>
    </row>
    <row r="486" spans="1:19" x14ac:dyDescent="0.2">
      <c r="A486" t="str">
        <f t="shared" si="76"/>
        <v>EMP485</v>
      </c>
      <c r="B486" t="str">
        <f t="shared" ca="1" si="77"/>
        <v>Male</v>
      </c>
      <c r="C486" t="str" cm="1">
        <f t="array" aca="1" ref="C486" ca="1">INDEX(sheet2!$A$2:$A$6, RANDBETWEEN(1, 5))</f>
        <v>HR</v>
      </c>
      <c r="D486" t="str">
        <f ca="1">_xlfn.XLOOKUP(Table1[[#This Row],[Department]],sheet2!$A$2:$A$6,sheet2!$B$2:$B$6,_xleta.NA,0)</f>
        <v>HR Manager</v>
      </c>
      <c r="E486" s="1">
        <f t="shared" ref="E486:E501" ca="1" si="83">DATE(RANDBETWEEN(2018, 2022), RANDBETWEEN(1, 12), RANDBETWEEN(1, 28))</f>
        <v>43142</v>
      </c>
      <c r="F486" s="1">
        <f ca="1">Table1[[#This Row],[Job Posting Date]]+ RANDBETWEEN(15, 90)</f>
        <v>43223</v>
      </c>
      <c r="G486" s="1">
        <f ca="1">Table1[[#This Row],[Hire Date]]+ RANDBETWEEN(1, 15)</f>
        <v>43227</v>
      </c>
      <c r="H486" s="1">
        <f ca="1">IF(RAND() &lt; 0.5,  Table1[[#This Row],[Join Date]]+ RANDBETWEEN(30, TODAY()- Table1[[#This Row],[Join Date]]), "-")</f>
        <v>45305</v>
      </c>
      <c r="I486" t="str">
        <f ca="1">IF(Table1[[#This Row],[Exit Date]]= "-", "Active", "Exited")</f>
        <v>Exited</v>
      </c>
      <c r="J486" s="5">
        <f t="shared" ref="J486:J501" ca="1" si="84">RANDBETWEEN(1500, 5000)</f>
        <v>2399</v>
      </c>
      <c r="K486">
        <f ca="1">Table1[[#This Row],[Offers Made]]*2</f>
        <v>10</v>
      </c>
      <c r="L486">
        <f t="shared" ca="1" si="78"/>
        <v>5</v>
      </c>
      <c r="M486">
        <f t="shared" ca="1" si="79"/>
        <v>4</v>
      </c>
      <c r="N486" t="str">
        <f t="shared" ca="1" si="80"/>
        <v>Campus Placements</v>
      </c>
      <c r="O486">
        <f t="shared" ca="1" si="81"/>
        <v>2</v>
      </c>
      <c r="P486" t="str">
        <f t="shared" ca="1" si="82"/>
        <v>Yes</v>
      </c>
      <c r="Q486" t="str" cm="1">
        <f t="array" aca="1" ref="Q486" ca="1">INDEX(sheet2!$C$2:$C$6, RANDBETWEEN(1, 5))</f>
        <v>Advanced Excel Skills </v>
      </c>
      <c r="R486" t="str">
        <f t="shared" ref="R486:R501" ca="1" si="85">IF(RAND() &lt; 0.7, "Completed", "Not Completed")</f>
        <v>Completed</v>
      </c>
      <c r="S486">
        <f ca="1">Table1[[#This Row],[Hire Date]]-Table1[[#This Row],[Job Posting Date]]</f>
        <v>81</v>
      </c>
    </row>
    <row r="487" spans="1:19" x14ac:dyDescent="0.2">
      <c r="A487" t="str">
        <f t="shared" si="76"/>
        <v>EMP486</v>
      </c>
      <c r="B487" t="str">
        <f t="shared" ca="1" si="77"/>
        <v>Female</v>
      </c>
      <c r="C487" t="str" cm="1">
        <f t="array" aca="1" ref="C487" ca="1">INDEX(sheet2!$A$2:$A$6, RANDBETWEEN(1, 5))</f>
        <v>HR</v>
      </c>
      <c r="D487" t="str">
        <f ca="1">_xlfn.XLOOKUP(Table1[[#This Row],[Department]],sheet2!$A$2:$A$6,sheet2!$B$2:$B$6,_xleta.NA,0)</f>
        <v>HR Manager</v>
      </c>
      <c r="E487" s="1">
        <f t="shared" ca="1" si="83"/>
        <v>44186</v>
      </c>
      <c r="F487" s="1">
        <f ca="1">Table1[[#This Row],[Job Posting Date]]+ RANDBETWEEN(15, 90)</f>
        <v>44227</v>
      </c>
      <c r="G487" s="1">
        <f ca="1">Table1[[#This Row],[Hire Date]]+ RANDBETWEEN(1, 15)</f>
        <v>44231</v>
      </c>
      <c r="H487" s="1">
        <f ca="1">IF(RAND() &lt; 0.5,  Table1[[#This Row],[Join Date]]+ RANDBETWEEN(30, TODAY()- Table1[[#This Row],[Join Date]]), "-")</f>
        <v>44895</v>
      </c>
      <c r="I487" t="str">
        <f ca="1">IF(Table1[[#This Row],[Exit Date]]= "-", "Active", "Exited")</f>
        <v>Exited</v>
      </c>
      <c r="J487" s="5">
        <f t="shared" ca="1" si="84"/>
        <v>2621</v>
      </c>
      <c r="K487">
        <f ca="1">Table1[[#This Row],[Offers Made]]*2</f>
        <v>16</v>
      </c>
      <c r="L487">
        <f t="shared" ca="1" si="78"/>
        <v>8</v>
      </c>
      <c r="M487">
        <f t="shared" ca="1" si="79"/>
        <v>2</v>
      </c>
      <c r="N487" t="str">
        <f t="shared" ca="1" si="80"/>
        <v>Campus Placements</v>
      </c>
      <c r="O487">
        <f t="shared" ca="1" si="81"/>
        <v>4</v>
      </c>
      <c r="P487" t="str">
        <f t="shared" ca="1" si="82"/>
        <v>No</v>
      </c>
      <c r="Q487" t="str" cm="1">
        <f t="array" aca="1" ref="Q487" ca="1">INDEX(sheet2!$C$2:$C$6, RANDBETWEEN(1, 5))</f>
        <v>Ethics and Responsibilities</v>
      </c>
      <c r="R487" t="str">
        <f t="shared" ca="1" si="85"/>
        <v>Completed</v>
      </c>
      <c r="S487">
        <f ca="1">Table1[[#This Row],[Hire Date]]-Table1[[#This Row],[Job Posting Date]]</f>
        <v>41</v>
      </c>
    </row>
    <row r="488" spans="1:19" x14ac:dyDescent="0.2">
      <c r="A488" t="str">
        <f t="shared" si="76"/>
        <v>EMP487</v>
      </c>
      <c r="B488" t="str">
        <f t="shared" ca="1" si="77"/>
        <v>Male</v>
      </c>
      <c r="C488" t="str" cm="1">
        <f t="array" aca="1" ref="C488" ca="1">INDEX(sheet2!$A$2:$A$6, RANDBETWEEN(1, 5))</f>
        <v>Analytics</v>
      </c>
      <c r="D488" t="str">
        <f ca="1">_xlfn.XLOOKUP(Table1[[#This Row],[Department]],sheet2!$A$2:$A$6,sheet2!$B$2:$B$6,_xleta.NA,0)</f>
        <v>Data Analyst</v>
      </c>
      <c r="E488" s="1">
        <f t="shared" ca="1" si="83"/>
        <v>43701</v>
      </c>
      <c r="F488" s="1">
        <f ca="1">Table1[[#This Row],[Job Posting Date]]+ RANDBETWEEN(15, 90)</f>
        <v>43758</v>
      </c>
      <c r="G488" s="1">
        <f ca="1">Table1[[#This Row],[Hire Date]]+ RANDBETWEEN(1, 15)</f>
        <v>43760</v>
      </c>
      <c r="H488" s="1">
        <f ca="1">IF(RAND() &lt; 0.5,  Table1[[#This Row],[Join Date]]+ RANDBETWEEN(30, TODAY()- Table1[[#This Row],[Join Date]]), "-")</f>
        <v>43936</v>
      </c>
      <c r="I488" t="str">
        <f ca="1">IF(Table1[[#This Row],[Exit Date]]= "-", "Active", "Exited")</f>
        <v>Exited</v>
      </c>
      <c r="J488" s="5">
        <f t="shared" ca="1" si="84"/>
        <v>3629</v>
      </c>
      <c r="K488">
        <f ca="1">Table1[[#This Row],[Offers Made]]*2</f>
        <v>10</v>
      </c>
      <c r="L488">
        <f t="shared" ca="1" si="78"/>
        <v>5</v>
      </c>
      <c r="M488">
        <f t="shared" ca="1" si="79"/>
        <v>1</v>
      </c>
      <c r="N488" t="str">
        <f t="shared" ca="1" si="80"/>
        <v>Employee Referrals</v>
      </c>
      <c r="O488">
        <f t="shared" ca="1" si="81"/>
        <v>3</v>
      </c>
      <c r="P488" t="str">
        <f t="shared" ca="1" si="82"/>
        <v>No</v>
      </c>
      <c r="Q488" t="str" cm="1">
        <f t="array" aca="1" ref="Q488" ca="1">INDEX(sheet2!$C$2:$C$6, RANDBETWEEN(1, 5))</f>
        <v>Advanced Excel Skills </v>
      </c>
      <c r="R488" t="str">
        <f t="shared" ca="1" si="85"/>
        <v>Completed</v>
      </c>
      <c r="S488">
        <f ca="1">Table1[[#This Row],[Hire Date]]-Table1[[#This Row],[Job Posting Date]]</f>
        <v>57</v>
      </c>
    </row>
    <row r="489" spans="1:19" x14ac:dyDescent="0.2">
      <c r="A489" t="str">
        <f t="shared" si="76"/>
        <v>EMP488</v>
      </c>
      <c r="B489" t="str">
        <f t="shared" ca="1" si="77"/>
        <v>Male</v>
      </c>
      <c r="C489" t="str" cm="1">
        <f t="array" aca="1" ref="C489" ca="1">INDEX(sheet2!$A$2:$A$6, RANDBETWEEN(1, 5))</f>
        <v>Sales</v>
      </c>
      <c r="D489" t="str">
        <f ca="1">_xlfn.XLOOKUP(Table1[[#This Row],[Department]],sheet2!$A$2:$A$6,sheet2!$B$2:$B$6,_xleta.NA,0)</f>
        <v>Marketing Manager</v>
      </c>
      <c r="E489" s="1">
        <f t="shared" ca="1" si="83"/>
        <v>44463</v>
      </c>
      <c r="F489" s="1">
        <f ca="1">Table1[[#This Row],[Job Posting Date]]+ RANDBETWEEN(15, 90)</f>
        <v>44486</v>
      </c>
      <c r="G489" s="1">
        <f ca="1">Table1[[#This Row],[Hire Date]]+ RANDBETWEEN(1, 15)</f>
        <v>44494</v>
      </c>
      <c r="H489" s="1">
        <f ca="1">IF(RAND() &lt; 0.5,  Table1[[#This Row],[Join Date]]+ RANDBETWEEN(30, TODAY()- Table1[[#This Row],[Join Date]]), "-")</f>
        <v>44736</v>
      </c>
      <c r="I489" t="str">
        <f ca="1">IF(Table1[[#This Row],[Exit Date]]= "-", "Active", "Exited")</f>
        <v>Exited</v>
      </c>
      <c r="J489" s="5">
        <f t="shared" ca="1" si="84"/>
        <v>1509</v>
      </c>
      <c r="K489">
        <f ca="1">Table1[[#This Row],[Offers Made]]*2</f>
        <v>12</v>
      </c>
      <c r="L489">
        <f t="shared" ca="1" si="78"/>
        <v>6</v>
      </c>
      <c r="M489">
        <f t="shared" ca="1" si="79"/>
        <v>4</v>
      </c>
      <c r="N489" t="str">
        <f t="shared" ca="1" si="80"/>
        <v>Campus Placements</v>
      </c>
      <c r="O489">
        <f t="shared" ca="1" si="81"/>
        <v>4</v>
      </c>
      <c r="P489" t="str">
        <f t="shared" ca="1" si="82"/>
        <v>Yes</v>
      </c>
      <c r="Q489" t="str" cm="1">
        <f t="array" aca="1" ref="Q489" ca="1">INDEX(sheet2!$C$2:$C$6, RANDBETWEEN(1, 5))</f>
        <v>Advanced Excel Skills </v>
      </c>
      <c r="R489" t="str">
        <f t="shared" ca="1" si="85"/>
        <v>Completed</v>
      </c>
      <c r="S489">
        <f ca="1">Table1[[#This Row],[Hire Date]]-Table1[[#This Row],[Job Posting Date]]</f>
        <v>23</v>
      </c>
    </row>
    <row r="490" spans="1:19" x14ac:dyDescent="0.2">
      <c r="A490" t="str">
        <f t="shared" si="76"/>
        <v>EMP489</v>
      </c>
      <c r="B490" t="str">
        <f t="shared" ca="1" si="77"/>
        <v>Male</v>
      </c>
      <c r="C490" t="str" cm="1">
        <f t="array" aca="1" ref="C490" ca="1">INDEX(sheet2!$A$2:$A$6, RANDBETWEEN(1, 5))</f>
        <v>IT</v>
      </c>
      <c r="D490" t="str">
        <f ca="1">_xlfn.XLOOKUP(Table1[[#This Row],[Department]],sheet2!$A$2:$A$6,sheet2!$B$2:$B$6,_xleta.NA,0)</f>
        <v>Software Engineer</v>
      </c>
      <c r="E490" s="1">
        <f t="shared" ca="1" si="83"/>
        <v>44239</v>
      </c>
      <c r="F490" s="1">
        <f ca="1">Table1[[#This Row],[Job Posting Date]]+ RANDBETWEEN(15, 90)</f>
        <v>44272</v>
      </c>
      <c r="G490" s="1">
        <f ca="1">Table1[[#This Row],[Hire Date]]+ RANDBETWEEN(1, 15)</f>
        <v>44273</v>
      </c>
      <c r="H490" s="1" t="str">
        <f ca="1">IF(RAND() &lt; 0.5,  Table1[[#This Row],[Join Date]]+ RANDBETWEEN(30, TODAY()- Table1[[#This Row],[Join Date]]), "-")</f>
        <v>-</v>
      </c>
      <c r="I490" t="str">
        <f ca="1">IF(Table1[[#This Row],[Exit Date]]= "-", "Active", "Exited")</f>
        <v>Active</v>
      </c>
      <c r="J490" s="5">
        <f t="shared" ca="1" si="84"/>
        <v>4728</v>
      </c>
      <c r="K490">
        <f ca="1">Table1[[#This Row],[Offers Made]]*2</f>
        <v>12</v>
      </c>
      <c r="L490">
        <f t="shared" ca="1" si="78"/>
        <v>6</v>
      </c>
      <c r="M490">
        <f t="shared" ca="1" si="79"/>
        <v>2</v>
      </c>
      <c r="N490" t="str">
        <f t="shared" ca="1" si="80"/>
        <v>Employee Referrals</v>
      </c>
      <c r="O490">
        <f t="shared" ca="1" si="81"/>
        <v>3</v>
      </c>
      <c r="P490" t="str">
        <f t="shared" ca="1" si="82"/>
        <v>No</v>
      </c>
      <c r="Q490" t="str" cm="1">
        <f t="array" aca="1" ref="Q490" ca="1">INDEX(sheet2!$C$2:$C$6, RANDBETWEEN(1, 5))</f>
        <v>Advanced Excel Skills </v>
      </c>
      <c r="R490" t="str">
        <f t="shared" ca="1" si="85"/>
        <v>Not Completed</v>
      </c>
      <c r="S490">
        <f ca="1">Table1[[#This Row],[Hire Date]]-Table1[[#This Row],[Job Posting Date]]</f>
        <v>33</v>
      </c>
    </row>
    <row r="491" spans="1:19" x14ac:dyDescent="0.2">
      <c r="A491" t="str">
        <f t="shared" si="76"/>
        <v>EMP490</v>
      </c>
      <c r="B491" t="str">
        <f t="shared" ca="1" si="77"/>
        <v>Female</v>
      </c>
      <c r="C491" t="str" cm="1">
        <f t="array" aca="1" ref="C491" ca="1">INDEX(sheet2!$A$2:$A$6, RANDBETWEEN(1, 5))</f>
        <v>Finance</v>
      </c>
      <c r="D491" t="str">
        <f ca="1">_xlfn.XLOOKUP(Table1[[#This Row],[Department]],sheet2!$A$2:$A$6,sheet2!$B$2:$B$6,_xleta.NA,0)</f>
        <v>Finance Manager</v>
      </c>
      <c r="E491" s="1">
        <f t="shared" ca="1" si="83"/>
        <v>44631</v>
      </c>
      <c r="F491" s="1">
        <f ca="1">Table1[[#This Row],[Job Posting Date]]+ RANDBETWEEN(15, 90)</f>
        <v>44715</v>
      </c>
      <c r="G491" s="1">
        <f ca="1">Table1[[#This Row],[Hire Date]]+ RANDBETWEEN(1, 15)</f>
        <v>44730</v>
      </c>
      <c r="H491" s="1" t="str">
        <f ca="1">IF(RAND() &lt; 0.5,  Table1[[#This Row],[Join Date]]+ RANDBETWEEN(30, TODAY()- Table1[[#This Row],[Join Date]]), "-")</f>
        <v>-</v>
      </c>
      <c r="I491" t="str">
        <f ca="1">IF(Table1[[#This Row],[Exit Date]]= "-", "Active", "Exited")</f>
        <v>Active</v>
      </c>
      <c r="J491" s="5">
        <f t="shared" ca="1" si="84"/>
        <v>2244</v>
      </c>
      <c r="K491">
        <f ca="1">Table1[[#This Row],[Offers Made]]*2</f>
        <v>12</v>
      </c>
      <c r="L491">
        <f t="shared" ca="1" si="78"/>
        <v>6</v>
      </c>
      <c r="M491">
        <f t="shared" ca="1" si="79"/>
        <v>2</v>
      </c>
      <c r="N491" t="str">
        <f t="shared" ca="1" si="80"/>
        <v>Employee Referrals</v>
      </c>
      <c r="O491">
        <f t="shared" ca="1" si="81"/>
        <v>4</v>
      </c>
      <c r="P491" t="str">
        <f t="shared" ca="1" si="82"/>
        <v>Yes</v>
      </c>
      <c r="Q491" t="str" cm="1">
        <f t="array" aca="1" ref="Q491" ca="1">INDEX(sheet2!$C$2:$C$6, RANDBETWEEN(1, 5))</f>
        <v>Ethics and Responsibilities</v>
      </c>
      <c r="R491" t="str">
        <f t="shared" ca="1" si="85"/>
        <v>Completed</v>
      </c>
      <c r="S491">
        <f ca="1">Table1[[#This Row],[Hire Date]]-Table1[[#This Row],[Job Posting Date]]</f>
        <v>84</v>
      </c>
    </row>
    <row r="492" spans="1:19" x14ac:dyDescent="0.2">
      <c r="A492" t="str">
        <f t="shared" si="76"/>
        <v>EMP491</v>
      </c>
      <c r="B492" t="str">
        <f t="shared" ca="1" si="77"/>
        <v>Male</v>
      </c>
      <c r="C492" t="str" cm="1">
        <f t="array" aca="1" ref="C492" ca="1">INDEX(sheet2!$A$2:$A$6, RANDBETWEEN(1, 5))</f>
        <v>HR</v>
      </c>
      <c r="D492" t="str">
        <f ca="1">_xlfn.XLOOKUP(Table1[[#This Row],[Department]],sheet2!$A$2:$A$6,sheet2!$B$2:$B$6,_xleta.NA,0)</f>
        <v>HR Manager</v>
      </c>
      <c r="E492" s="1">
        <f t="shared" ca="1" si="83"/>
        <v>43582</v>
      </c>
      <c r="F492" s="1">
        <f ca="1">Table1[[#This Row],[Job Posting Date]]+ RANDBETWEEN(15, 90)</f>
        <v>43623</v>
      </c>
      <c r="G492" s="1">
        <f ca="1">Table1[[#This Row],[Hire Date]]+ RANDBETWEEN(1, 15)</f>
        <v>43626</v>
      </c>
      <c r="H492" s="1" t="str">
        <f ca="1">IF(RAND() &lt; 0.5,  Table1[[#This Row],[Join Date]]+ RANDBETWEEN(30, TODAY()- Table1[[#This Row],[Join Date]]), "-")</f>
        <v>-</v>
      </c>
      <c r="I492" t="str">
        <f ca="1">IF(Table1[[#This Row],[Exit Date]]= "-", "Active", "Exited")</f>
        <v>Active</v>
      </c>
      <c r="J492" s="5">
        <f t="shared" ca="1" si="84"/>
        <v>4384</v>
      </c>
      <c r="K492">
        <f ca="1">Table1[[#This Row],[Offers Made]]*2</f>
        <v>12</v>
      </c>
      <c r="L492">
        <f t="shared" ca="1" si="78"/>
        <v>6</v>
      </c>
      <c r="M492">
        <f t="shared" ca="1" si="79"/>
        <v>5</v>
      </c>
      <c r="N492" t="str">
        <f t="shared" ca="1" si="80"/>
        <v>Campus Placements</v>
      </c>
      <c r="O492">
        <f t="shared" ca="1" si="81"/>
        <v>4</v>
      </c>
      <c r="P492" t="str">
        <f t="shared" ca="1" si="82"/>
        <v>Yes</v>
      </c>
      <c r="Q492" t="str" cm="1">
        <f t="array" aca="1" ref="Q492" ca="1">INDEX(sheet2!$C$2:$C$6, RANDBETWEEN(1, 5))</f>
        <v>Ethics and Responsibilities</v>
      </c>
      <c r="R492" t="str">
        <f t="shared" ca="1" si="85"/>
        <v>Completed</v>
      </c>
      <c r="S492">
        <f ca="1">Table1[[#This Row],[Hire Date]]-Table1[[#This Row],[Job Posting Date]]</f>
        <v>41</v>
      </c>
    </row>
    <row r="493" spans="1:19" x14ac:dyDescent="0.2">
      <c r="A493" t="str">
        <f t="shared" si="76"/>
        <v>EMP492</v>
      </c>
      <c r="B493" t="str">
        <f t="shared" ca="1" si="77"/>
        <v>Female</v>
      </c>
      <c r="C493" t="str" cm="1">
        <f t="array" aca="1" ref="C493" ca="1">INDEX(sheet2!$A$2:$A$6, RANDBETWEEN(1, 5))</f>
        <v>IT</v>
      </c>
      <c r="D493" t="str">
        <f ca="1">_xlfn.XLOOKUP(Table1[[#This Row],[Department]],sheet2!$A$2:$A$6,sheet2!$B$2:$B$6,_xleta.NA,0)</f>
        <v>Software Engineer</v>
      </c>
      <c r="E493" s="1">
        <f t="shared" ca="1" si="83"/>
        <v>43458</v>
      </c>
      <c r="F493" s="1">
        <f ca="1">Table1[[#This Row],[Job Posting Date]]+ RANDBETWEEN(15, 90)</f>
        <v>43506</v>
      </c>
      <c r="G493" s="1">
        <f ca="1">Table1[[#This Row],[Hire Date]]+ RANDBETWEEN(1, 15)</f>
        <v>43511</v>
      </c>
      <c r="H493" s="1" t="str">
        <f ca="1">IF(RAND() &lt; 0.5,  Table1[[#This Row],[Join Date]]+ RANDBETWEEN(30, TODAY()- Table1[[#This Row],[Join Date]]), "-")</f>
        <v>-</v>
      </c>
      <c r="I493" t="str">
        <f ca="1">IF(Table1[[#This Row],[Exit Date]]= "-", "Active", "Exited")</f>
        <v>Active</v>
      </c>
      <c r="J493" s="5">
        <f t="shared" ca="1" si="84"/>
        <v>2455</v>
      </c>
      <c r="K493">
        <f ca="1">Table1[[#This Row],[Offers Made]]*2</f>
        <v>8</v>
      </c>
      <c r="L493">
        <f t="shared" ca="1" si="78"/>
        <v>4</v>
      </c>
      <c r="M493">
        <f t="shared" ca="1" si="79"/>
        <v>2</v>
      </c>
      <c r="N493" t="str">
        <f t="shared" ca="1" si="80"/>
        <v>Job Portals</v>
      </c>
      <c r="O493">
        <f t="shared" ca="1" si="81"/>
        <v>5</v>
      </c>
      <c r="P493" t="str">
        <f t="shared" ca="1" si="82"/>
        <v>Yes</v>
      </c>
      <c r="Q493" t="str" cm="1">
        <f t="array" aca="1" ref="Q493" ca="1">INDEX(sheet2!$C$2:$C$6, RANDBETWEEN(1, 5))</f>
        <v>Advanced Excel Skills </v>
      </c>
      <c r="R493" t="str">
        <f t="shared" ca="1" si="85"/>
        <v>Completed</v>
      </c>
      <c r="S493">
        <f ca="1">Table1[[#This Row],[Hire Date]]-Table1[[#This Row],[Job Posting Date]]</f>
        <v>48</v>
      </c>
    </row>
    <row r="494" spans="1:19" x14ac:dyDescent="0.2">
      <c r="A494" t="str">
        <f t="shared" si="76"/>
        <v>EMP493</v>
      </c>
      <c r="B494" t="str">
        <f t="shared" ca="1" si="77"/>
        <v>Male</v>
      </c>
      <c r="C494" t="str" cm="1">
        <f t="array" aca="1" ref="C494" ca="1">INDEX(sheet2!$A$2:$A$6, RANDBETWEEN(1, 5))</f>
        <v>Finance</v>
      </c>
      <c r="D494" t="str">
        <f ca="1">_xlfn.XLOOKUP(Table1[[#This Row],[Department]],sheet2!$A$2:$A$6,sheet2!$B$2:$B$6,_xleta.NA,0)</f>
        <v>Finance Manager</v>
      </c>
      <c r="E494" s="1">
        <f t="shared" ca="1" si="83"/>
        <v>44571</v>
      </c>
      <c r="F494" s="1">
        <f ca="1">Table1[[#This Row],[Job Posting Date]]+ RANDBETWEEN(15, 90)</f>
        <v>44606</v>
      </c>
      <c r="G494" s="1">
        <f ca="1">Table1[[#This Row],[Hire Date]]+ RANDBETWEEN(1, 15)</f>
        <v>44607</v>
      </c>
      <c r="H494" s="1" t="str">
        <f ca="1">IF(RAND() &lt; 0.5,  Table1[[#This Row],[Join Date]]+ RANDBETWEEN(30, TODAY()- Table1[[#This Row],[Join Date]]), "-")</f>
        <v>-</v>
      </c>
      <c r="I494" t="str">
        <f ca="1">IF(Table1[[#This Row],[Exit Date]]= "-", "Active", "Exited")</f>
        <v>Active</v>
      </c>
      <c r="J494" s="5">
        <f t="shared" ca="1" si="84"/>
        <v>4313</v>
      </c>
      <c r="K494">
        <f ca="1">Table1[[#This Row],[Offers Made]]*2</f>
        <v>12</v>
      </c>
      <c r="L494">
        <f t="shared" ca="1" si="78"/>
        <v>6</v>
      </c>
      <c r="M494">
        <f t="shared" ca="1" si="79"/>
        <v>4</v>
      </c>
      <c r="N494" t="str">
        <f t="shared" ca="1" si="80"/>
        <v>Direct Hiring</v>
      </c>
      <c r="O494">
        <f t="shared" ca="1" si="81"/>
        <v>1</v>
      </c>
      <c r="P494" t="str">
        <f t="shared" ca="1" si="82"/>
        <v>No</v>
      </c>
      <c r="Q494" t="str" cm="1">
        <f t="array" aca="1" ref="Q494" ca="1">INDEX(sheet2!$C$2:$C$6, RANDBETWEEN(1, 5))</f>
        <v>Advanced Excel Skills </v>
      </c>
      <c r="R494" t="str">
        <f t="shared" ca="1" si="85"/>
        <v>Not Completed</v>
      </c>
      <c r="S494">
        <f ca="1">Table1[[#This Row],[Hire Date]]-Table1[[#This Row],[Job Posting Date]]</f>
        <v>35</v>
      </c>
    </row>
    <row r="495" spans="1:19" x14ac:dyDescent="0.2">
      <c r="A495" t="str">
        <f t="shared" si="76"/>
        <v>EMP494</v>
      </c>
      <c r="B495" t="str">
        <f t="shared" ca="1" si="77"/>
        <v>Female</v>
      </c>
      <c r="C495" t="str" cm="1">
        <f t="array" aca="1" ref="C495" ca="1">INDEX(sheet2!$A$2:$A$6, RANDBETWEEN(1, 5))</f>
        <v>Analytics</v>
      </c>
      <c r="D495" t="str">
        <f ca="1">_xlfn.XLOOKUP(Table1[[#This Row],[Department]],sheet2!$A$2:$A$6,sheet2!$B$2:$B$6,_xleta.NA,0)</f>
        <v>Data Analyst</v>
      </c>
      <c r="E495" s="1">
        <f t="shared" ca="1" si="83"/>
        <v>43193</v>
      </c>
      <c r="F495" s="1">
        <f ca="1">Table1[[#This Row],[Job Posting Date]]+ RANDBETWEEN(15, 90)</f>
        <v>43271</v>
      </c>
      <c r="G495" s="1">
        <f ca="1">Table1[[#This Row],[Hire Date]]+ RANDBETWEEN(1, 15)</f>
        <v>43275</v>
      </c>
      <c r="H495" s="1">
        <f ca="1">IF(RAND() &lt; 0.5,  Table1[[#This Row],[Join Date]]+ RANDBETWEEN(30, TODAY()- Table1[[#This Row],[Join Date]]), "-")</f>
        <v>45066</v>
      </c>
      <c r="I495" t="str">
        <f ca="1">IF(Table1[[#This Row],[Exit Date]]= "-", "Active", "Exited")</f>
        <v>Exited</v>
      </c>
      <c r="J495" s="5">
        <f t="shared" ca="1" si="84"/>
        <v>3725</v>
      </c>
      <c r="K495">
        <f ca="1">Table1[[#This Row],[Offers Made]]*2</f>
        <v>14</v>
      </c>
      <c r="L495">
        <f t="shared" ca="1" si="78"/>
        <v>7</v>
      </c>
      <c r="M495">
        <f t="shared" ca="1" si="79"/>
        <v>6</v>
      </c>
      <c r="N495" t="str">
        <f t="shared" ca="1" si="80"/>
        <v>Job Portals</v>
      </c>
      <c r="O495">
        <f t="shared" ca="1" si="81"/>
        <v>2</v>
      </c>
      <c r="P495" t="str">
        <f t="shared" ca="1" si="82"/>
        <v>Yes</v>
      </c>
      <c r="Q495" t="str" cm="1">
        <f t="array" aca="1" ref="Q495" ca="1">INDEX(sheet2!$C$2:$C$6, RANDBETWEEN(1, 5))</f>
        <v>Conflict Resolution</v>
      </c>
      <c r="R495" t="str">
        <f t="shared" ca="1" si="85"/>
        <v>Completed</v>
      </c>
      <c r="S495">
        <f ca="1">Table1[[#This Row],[Hire Date]]-Table1[[#This Row],[Job Posting Date]]</f>
        <v>78</v>
      </c>
    </row>
    <row r="496" spans="1:19" x14ac:dyDescent="0.2">
      <c r="A496" t="str">
        <f t="shared" si="76"/>
        <v>EMP495</v>
      </c>
      <c r="B496" t="str">
        <f t="shared" ca="1" si="77"/>
        <v>Female</v>
      </c>
      <c r="C496" t="str" cm="1">
        <f t="array" aca="1" ref="C496" ca="1">INDEX(sheet2!$A$2:$A$6, RANDBETWEEN(1, 5))</f>
        <v>Finance</v>
      </c>
      <c r="D496" t="str">
        <f ca="1">_xlfn.XLOOKUP(Table1[[#This Row],[Department]],sheet2!$A$2:$A$6,sheet2!$B$2:$B$6,_xleta.NA,0)</f>
        <v>Finance Manager</v>
      </c>
      <c r="E496" s="1">
        <f t="shared" ca="1" si="83"/>
        <v>44331</v>
      </c>
      <c r="F496" s="1">
        <f ca="1">Table1[[#This Row],[Job Posting Date]]+ RANDBETWEEN(15, 90)</f>
        <v>44397</v>
      </c>
      <c r="G496" s="1">
        <f ca="1">Table1[[#This Row],[Hire Date]]+ RANDBETWEEN(1, 15)</f>
        <v>44407</v>
      </c>
      <c r="H496" s="1" t="str">
        <f ca="1">IF(RAND() &lt; 0.5,  Table1[[#This Row],[Join Date]]+ RANDBETWEEN(30, TODAY()- Table1[[#This Row],[Join Date]]), "-")</f>
        <v>-</v>
      </c>
      <c r="I496" t="str">
        <f ca="1">IF(Table1[[#This Row],[Exit Date]]= "-", "Active", "Exited")</f>
        <v>Active</v>
      </c>
      <c r="J496" s="5">
        <f t="shared" ca="1" si="84"/>
        <v>3551</v>
      </c>
      <c r="K496">
        <f ca="1">Table1[[#This Row],[Offers Made]]*2</f>
        <v>12</v>
      </c>
      <c r="L496">
        <f t="shared" ca="1" si="78"/>
        <v>6</v>
      </c>
      <c r="M496">
        <f t="shared" ca="1" si="79"/>
        <v>4</v>
      </c>
      <c r="N496" t="str">
        <f t="shared" ca="1" si="80"/>
        <v>Job Portals</v>
      </c>
      <c r="O496">
        <f t="shared" ca="1" si="81"/>
        <v>4</v>
      </c>
      <c r="P496" t="str">
        <f t="shared" ca="1" si="82"/>
        <v>Yes</v>
      </c>
      <c r="Q496" t="str" cm="1">
        <f t="array" aca="1" ref="Q496" ca="1">INDEX(sheet2!$C$2:$C$6, RANDBETWEEN(1, 5))</f>
        <v>Advanced Excel Skills </v>
      </c>
      <c r="R496" t="str">
        <f t="shared" ca="1" si="85"/>
        <v>Completed</v>
      </c>
      <c r="S496">
        <f ca="1">Table1[[#This Row],[Hire Date]]-Table1[[#This Row],[Job Posting Date]]</f>
        <v>66</v>
      </c>
    </row>
    <row r="497" spans="1:19" x14ac:dyDescent="0.2">
      <c r="A497" t="str">
        <f t="shared" si="76"/>
        <v>EMP496</v>
      </c>
      <c r="B497" t="str">
        <f t="shared" ca="1" si="77"/>
        <v>Male</v>
      </c>
      <c r="C497" t="str" cm="1">
        <f t="array" aca="1" ref="C497" ca="1">INDEX(sheet2!$A$2:$A$6, RANDBETWEEN(1, 5))</f>
        <v>IT</v>
      </c>
      <c r="D497" t="str">
        <f ca="1">_xlfn.XLOOKUP(Table1[[#This Row],[Department]],sheet2!$A$2:$A$6,sheet2!$B$2:$B$6,_xleta.NA,0)</f>
        <v>Software Engineer</v>
      </c>
      <c r="E497" s="1">
        <f t="shared" ca="1" si="83"/>
        <v>44876</v>
      </c>
      <c r="F497" s="1">
        <f ca="1">Table1[[#This Row],[Job Posting Date]]+ RANDBETWEEN(15, 90)</f>
        <v>44939</v>
      </c>
      <c r="G497" s="1">
        <f ca="1">Table1[[#This Row],[Hire Date]]+ RANDBETWEEN(1, 15)</f>
        <v>44950</v>
      </c>
      <c r="H497" s="1">
        <f ca="1">IF(RAND() &lt; 0.5,  Table1[[#This Row],[Join Date]]+ RANDBETWEEN(30, TODAY()- Table1[[#This Row],[Join Date]]), "-")</f>
        <v>45006</v>
      </c>
      <c r="I497" t="str">
        <f ca="1">IF(Table1[[#This Row],[Exit Date]]= "-", "Active", "Exited")</f>
        <v>Exited</v>
      </c>
      <c r="J497" s="5">
        <f t="shared" ca="1" si="84"/>
        <v>4011</v>
      </c>
      <c r="K497">
        <f ca="1">Table1[[#This Row],[Offers Made]]*2</f>
        <v>6</v>
      </c>
      <c r="L497">
        <f t="shared" ca="1" si="78"/>
        <v>3</v>
      </c>
      <c r="M497">
        <f t="shared" ca="1" si="79"/>
        <v>1</v>
      </c>
      <c r="N497" t="str">
        <f t="shared" ca="1" si="80"/>
        <v>Employee Referrals</v>
      </c>
      <c r="O497">
        <f t="shared" ca="1" si="81"/>
        <v>4</v>
      </c>
      <c r="P497" t="str">
        <f t="shared" ca="1" si="82"/>
        <v>No</v>
      </c>
      <c r="Q497" t="str" cm="1">
        <f t="array" aca="1" ref="Q497" ca="1">INDEX(sheet2!$C$2:$C$6, RANDBETWEEN(1, 5))</f>
        <v>Ethics and Responsibilities</v>
      </c>
      <c r="R497" t="str">
        <f t="shared" ca="1" si="85"/>
        <v>Not Completed</v>
      </c>
      <c r="S497">
        <f ca="1">Table1[[#This Row],[Hire Date]]-Table1[[#This Row],[Job Posting Date]]</f>
        <v>63</v>
      </c>
    </row>
    <row r="498" spans="1:19" x14ac:dyDescent="0.2">
      <c r="A498" t="str">
        <f t="shared" si="76"/>
        <v>EMP497</v>
      </c>
      <c r="B498" t="str">
        <f t="shared" ca="1" si="77"/>
        <v>Female</v>
      </c>
      <c r="C498" t="str" cm="1">
        <f t="array" aca="1" ref="C498" ca="1">INDEX(sheet2!$A$2:$A$6, RANDBETWEEN(1, 5))</f>
        <v>Finance</v>
      </c>
      <c r="D498" t="str">
        <f ca="1">_xlfn.XLOOKUP(Table1[[#This Row],[Department]],sheet2!$A$2:$A$6,sheet2!$B$2:$B$6,_xleta.NA,0)</f>
        <v>Finance Manager</v>
      </c>
      <c r="E498" s="1">
        <f t="shared" ca="1" si="83"/>
        <v>44059</v>
      </c>
      <c r="F498" s="1">
        <f ca="1">Table1[[#This Row],[Job Posting Date]]+ RANDBETWEEN(15, 90)</f>
        <v>44146</v>
      </c>
      <c r="G498" s="1">
        <f ca="1">Table1[[#This Row],[Hire Date]]+ RANDBETWEEN(1, 15)</f>
        <v>44161</v>
      </c>
      <c r="H498" s="1">
        <f ca="1">IF(RAND() &lt; 0.5,  Table1[[#This Row],[Join Date]]+ RANDBETWEEN(30, TODAY()- Table1[[#This Row],[Join Date]]), "-")</f>
        <v>45457</v>
      </c>
      <c r="I498" t="str">
        <f ca="1">IF(Table1[[#This Row],[Exit Date]]= "-", "Active", "Exited")</f>
        <v>Exited</v>
      </c>
      <c r="J498" s="5">
        <f t="shared" ca="1" si="84"/>
        <v>1674</v>
      </c>
      <c r="K498">
        <f ca="1">Table1[[#This Row],[Offers Made]]*2</f>
        <v>8</v>
      </c>
      <c r="L498">
        <f t="shared" ca="1" si="78"/>
        <v>4</v>
      </c>
      <c r="M498">
        <f t="shared" ca="1" si="79"/>
        <v>2</v>
      </c>
      <c r="N498" t="str">
        <f t="shared" ca="1" si="80"/>
        <v>Campus Placements</v>
      </c>
      <c r="O498">
        <f t="shared" ca="1" si="81"/>
        <v>3</v>
      </c>
      <c r="P498" t="str">
        <f t="shared" ca="1" si="82"/>
        <v>Yes</v>
      </c>
      <c r="Q498" t="str" cm="1">
        <f t="array" aca="1" ref="Q498" ca="1">INDEX(sheet2!$C$2:$C$6, RANDBETWEEN(1, 5))</f>
        <v>Advanced Excel Skills </v>
      </c>
      <c r="R498" t="str">
        <f t="shared" ca="1" si="85"/>
        <v>Completed</v>
      </c>
      <c r="S498">
        <f ca="1">Table1[[#This Row],[Hire Date]]-Table1[[#This Row],[Job Posting Date]]</f>
        <v>87</v>
      </c>
    </row>
    <row r="499" spans="1:19" x14ac:dyDescent="0.2">
      <c r="A499" t="str">
        <f t="shared" si="76"/>
        <v>EMP498</v>
      </c>
      <c r="B499" t="str">
        <f t="shared" ca="1" si="77"/>
        <v>Male</v>
      </c>
      <c r="C499" t="str" cm="1">
        <f t="array" aca="1" ref="C499" ca="1">INDEX(sheet2!$A$2:$A$6, RANDBETWEEN(1, 5))</f>
        <v>IT</v>
      </c>
      <c r="D499" t="str">
        <f ca="1">_xlfn.XLOOKUP(Table1[[#This Row],[Department]],sheet2!$A$2:$A$6,sheet2!$B$2:$B$6,_xleta.NA,0)</f>
        <v>Software Engineer</v>
      </c>
      <c r="E499" s="1">
        <f t="shared" ca="1" si="83"/>
        <v>44272</v>
      </c>
      <c r="F499" s="1">
        <f ca="1">Table1[[#This Row],[Job Posting Date]]+ RANDBETWEEN(15, 90)</f>
        <v>44304</v>
      </c>
      <c r="G499" s="1">
        <f ca="1">Table1[[#This Row],[Hire Date]]+ RANDBETWEEN(1, 15)</f>
        <v>44313</v>
      </c>
      <c r="H499" s="1" t="str">
        <f ca="1">IF(RAND() &lt; 0.5,  Table1[[#This Row],[Join Date]]+ RANDBETWEEN(30, TODAY()- Table1[[#This Row],[Join Date]]), "-")</f>
        <v>-</v>
      </c>
      <c r="I499" t="str">
        <f ca="1">IF(Table1[[#This Row],[Exit Date]]= "-", "Active", "Exited")</f>
        <v>Active</v>
      </c>
      <c r="J499" s="5">
        <f t="shared" ca="1" si="84"/>
        <v>1579</v>
      </c>
      <c r="K499">
        <f ca="1">Table1[[#This Row],[Offers Made]]*2</f>
        <v>14</v>
      </c>
      <c r="L499">
        <f t="shared" ca="1" si="78"/>
        <v>7</v>
      </c>
      <c r="M499">
        <f t="shared" ca="1" si="79"/>
        <v>5</v>
      </c>
      <c r="N499" t="str">
        <f t="shared" ca="1" si="80"/>
        <v>Campus Placements</v>
      </c>
      <c r="O499">
        <f t="shared" ca="1" si="81"/>
        <v>4</v>
      </c>
      <c r="P499" t="str">
        <f t="shared" ca="1" si="82"/>
        <v>Yes</v>
      </c>
      <c r="Q499" t="str" cm="1">
        <f t="array" aca="1" ref="Q499" ca="1">INDEX(sheet2!$C$2:$C$6, RANDBETWEEN(1, 5))</f>
        <v>Ethics and Responsibilities</v>
      </c>
      <c r="R499" t="str">
        <f t="shared" ca="1" si="85"/>
        <v>Not Completed</v>
      </c>
      <c r="S499">
        <f ca="1">Table1[[#This Row],[Hire Date]]-Table1[[#This Row],[Job Posting Date]]</f>
        <v>32</v>
      </c>
    </row>
    <row r="500" spans="1:19" x14ac:dyDescent="0.2">
      <c r="A500" t="str">
        <f t="shared" si="76"/>
        <v>EMP499</v>
      </c>
      <c r="B500" t="str">
        <f t="shared" ca="1" si="77"/>
        <v>Male</v>
      </c>
      <c r="C500" t="str" cm="1">
        <f t="array" aca="1" ref="C500" ca="1">INDEX(sheet2!$A$2:$A$6, RANDBETWEEN(1, 5))</f>
        <v>Sales</v>
      </c>
      <c r="D500" t="str">
        <f ca="1">_xlfn.XLOOKUP(Table1[[#This Row],[Department]],sheet2!$A$2:$A$6,sheet2!$B$2:$B$6,_xleta.NA,0)</f>
        <v>Marketing Manager</v>
      </c>
      <c r="E500" s="1">
        <f t="shared" ca="1" si="83"/>
        <v>44896</v>
      </c>
      <c r="F500" s="1">
        <f ca="1">Table1[[#This Row],[Job Posting Date]]+ RANDBETWEEN(15, 90)</f>
        <v>44969</v>
      </c>
      <c r="G500" s="1">
        <f ca="1">Table1[[#This Row],[Hire Date]]+ RANDBETWEEN(1, 15)</f>
        <v>44973</v>
      </c>
      <c r="H500" s="1" t="str">
        <f ca="1">IF(RAND() &lt; 0.5,  Table1[[#This Row],[Join Date]]+ RANDBETWEEN(30, TODAY()- Table1[[#This Row],[Join Date]]), "-")</f>
        <v>-</v>
      </c>
      <c r="I500" t="str">
        <f ca="1">IF(Table1[[#This Row],[Exit Date]]= "-", "Active", "Exited")</f>
        <v>Active</v>
      </c>
      <c r="J500" s="5">
        <f t="shared" ca="1" si="84"/>
        <v>1618</v>
      </c>
      <c r="K500">
        <f ca="1">Table1[[#This Row],[Offers Made]]*2</f>
        <v>6</v>
      </c>
      <c r="L500">
        <f t="shared" ca="1" si="78"/>
        <v>3</v>
      </c>
      <c r="M500">
        <f t="shared" ca="1" si="79"/>
        <v>1</v>
      </c>
      <c r="N500" t="str">
        <f t="shared" ca="1" si="80"/>
        <v>Employee Referrals</v>
      </c>
      <c r="O500">
        <f t="shared" ca="1" si="81"/>
        <v>2</v>
      </c>
      <c r="P500" t="str">
        <f t="shared" ca="1" si="82"/>
        <v>No</v>
      </c>
      <c r="Q500" t="str" cm="1">
        <f t="array" aca="1" ref="Q500" ca="1">INDEX(sheet2!$C$2:$C$6, RANDBETWEEN(1, 5))</f>
        <v>Advanced Excel Skills </v>
      </c>
      <c r="R500" t="str">
        <f t="shared" ca="1" si="85"/>
        <v>Completed</v>
      </c>
      <c r="S500">
        <f ca="1">Table1[[#This Row],[Hire Date]]-Table1[[#This Row],[Job Posting Date]]</f>
        <v>73</v>
      </c>
    </row>
    <row r="501" spans="1:19" x14ac:dyDescent="0.2">
      <c r="A501" t="str">
        <f t="shared" si="76"/>
        <v>EMP500</v>
      </c>
      <c r="B501" t="str">
        <f t="shared" ca="1" si="77"/>
        <v>Male</v>
      </c>
      <c r="C501" t="str" cm="1">
        <f t="array" aca="1" ref="C501" ca="1">INDEX(sheet2!$A$2:$A$6, RANDBETWEEN(1, 5))</f>
        <v>Sales</v>
      </c>
      <c r="D501" t="str">
        <f ca="1">_xlfn.XLOOKUP(Table1[[#This Row],[Department]],sheet2!$A$2:$A$6,sheet2!$B$2:$B$6,_xleta.NA,0)</f>
        <v>Marketing Manager</v>
      </c>
      <c r="E501" s="1">
        <f t="shared" ca="1" si="83"/>
        <v>44084</v>
      </c>
      <c r="F501" s="1">
        <f ca="1">Table1[[#This Row],[Job Posting Date]]+ RANDBETWEEN(15, 90)</f>
        <v>44142</v>
      </c>
      <c r="G501" s="1">
        <f ca="1">Table1[[#This Row],[Hire Date]]+ RANDBETWEEN(1, 15)</f>
        <v>44145</v>
      </c>
      <c r="H501" s="1">
        <f ca="1">IF(RAND() &lt; 0.5,  Table1[[#This Row],[Join Date]]+ RANDBETWEEN(30, TODAY()- Table1[[#This Row],[Join Date]]), "-")</f>
        <v>44446</v>
      </c>
      <c r="I501" t="str">
        <f ca="1">IF(Table1[[#This Row],[Exit Date]]= "-", "Active", "Exited")</f>
        <v>Exited</v>
      </c>
      <c r="J501" s="5">
        <f t="shared" ca="1" si="84"/>
        <v>4756</v>
      </c>
      <c r="K501">
        <f ca="1">Table1[[#This Row],[Offers Made]]*2</f>
        <v>8</v>
      </c>
      <c r="L501">
        <f t="shared" ca="1" si="78"/>
        <v>4</v>
      </c>
      <c r="M501">
        <f t="shared" ca="1" si="79"/>
        <v>1</v>
      </c>
      <c r="N501" t="str">
        <f t="shared" ca="1" si="80"/>
        <v>Employee Referrals</v>
      </c>
      <c r="O501">
        <f t="shared" ca="1" si="81"/>
        <v>2</v>
      </c>
      <c r="P501" t="str">
        <f t="shared" ca="1" si="82"/>
        <v>No</v>
      </c>
      <c r="Q501" t="str" cm="1">
        <f t="array" aca="1" ref="Q501" ca="1">INDEX(sheet2!$C$2:$C$6, RANDBETWEEN(1, 5))</f>
        <v>Ethics and Responsibilities</v>
      </c>
      <c r="R501" t="str">
        <f t="shared" ca="1" si="85"/>
        <v>Not Completed</v>
      </c>
      <c r="S501">
        <f ca="1">Table1[[#This Row],[Hire Date]]-Table1[[#This Row],[Job Posting Date]]</f>
        <v>58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2D30-8959-E549-A99C-C4C87E7EBD1C}">
  <dimension ref="A1:C6"/>
  <sheetViews>
    <sheetView workbookViewId="0">
      <selection activeCell="C10" sqref="C10"/>
    </sheetView>
  </sheetViews>
  <sheetFormatPr baseColWidth="10" defaultColWidth="10.83203125" defaultRowHeight="15.75" customHeight="1" x14ac:dyDescent="0.2"/>
  <cols>
    <col min="1" max="1" width="11" bestFit="1" customWidth="1"/>
    <col min="2" max="2" width="16.6640625" bestFit="1" customWidth="1"/>
    <col min="3" max="3" width="25.5" bestFit="1" customWidth="1"/>
  </cols>
  <sheetData>
    <row r="1" spans="1:3" s="3" customFormat="1" x14ac:dyDescent="0.2">
      <c r="A1" s="3" t="s">
        <v>1</v>
      </c>
      <c r="B1" s="3" t="s">
        <v>2</v>
      </c>
      <c r="C1" s="3" t="s">
        <v>17</v>
      </c>
    </row>
    <row r="2" spans="1:3" x14ac:dyDescent="0.2">
      <c r="A2" t="s">
        <v>18</v>
      </c>
      <c r="B2" t="s">
        <v>19</v>
      </c>
      <c r="C2" s="2" t="s">
        <v>20</v>
      </c>
    </row>
    <row r="3" spans="1:3" x14ac:dyDescent="0.2">
      <c r="A3" t="s">
        <v>21</v>
      </c>
      <c r="B3" t="s">
        <v>22</v>
      </c>
      <c r="C3" s="2" t="s">
        <v>23</v>
      </c>
    </row>
    <row r="4" spans="1:3" x14ac:dyDescent="0.2">
      <c r="A4" t="s">
        <v>24</v>
      </c>
      <c r="B4" t="s">
        <v>25</v>
      </c>
      <c r="C4" s="2" t="s">
        <v>26</v>
      </c>
    </row>
    <row r="5" spans="1:3" x14ac:dyDescent="0.2">
      <c r="A5" t="s">
        <v>27</v>
      </c>
      <c r="B5" t="s">
        <v>28</v>
      </c>
      <c r="C5" s="2" t="s">
        <v>29</v>
      </c>
    </row>
    <row r="6" spans="1:3" x14ac:dyDescent="0.2">
      <c r="A6" t="s">
        <v>30</v>
      </c>
      <c r="B6" t="s">
        <v>31</v>
      </c>
      <c r="C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RandomData</vt:lpstr>
      <vt:lpstr>sheet2</vt:lpstr>
      <vt:lpstr>EmployeeID</vt:lpstr>
      <vt:lpstr>ExitDate</vt:lpstr>
      <vt:lpstr>HireDate</vt:lpstr>
      <vt:lpstr>ID</vt:lpstr>
      <vt:lpstr>JobPostingDate</vt:lpstr>
      <vt:lpstr>JobTitle</vt:lpstr>
      <vt:lpstr>JoinDate</vt:lpstr>
      <vt:lpstr>RecruitmentCost</vt:lpstr>
      <vt:lpstr>Status</vt:lpstr>
      <vt:lpstr>Timetofill</vt:lpstr>
      <vt:lpstr>TrainingCompletionStatus</vt:lpstr>
      <vt:lpstr>TrainingProgram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2024-12-04T05:40:29Z</dcterms:created>
  <dcterms:modified xsi:type="dcterms:W3CDTF">2025-01-24T07:13:38Z</dcterms:modified>
  <cp:category/>
  <cp:contentStatus/>
</cp:coreProperties>
</file>