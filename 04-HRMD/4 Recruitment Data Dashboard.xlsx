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97" documentId="8_{55DBE7F5-040B-194D-BEB6-01F1315A0FFD}" xr6:coauthVersionLast="47" xr6:coauthVersionMax="47" xr10:uidLastSave="{70D16FAC-8EB4-3149-A143-4A7DB3CA88FD}"/>
  <bookViews>
    <workbookView xWindow="0" yWindow="0" windowWidth="38400" windowHeight="21600" xr2:uid="{58FDD918-C894-C646-AAEB-B821FDBAFA6C}"/>
  </bookViews>
  <sheets>
    <sheet name="Recruitmentdata" sheetId="1" r:id="rId1"/>
    <sheet name="Sheet1" sheetId="2" r:id="rId2"/>
  </sheets>
  <definedNames>
    <definedName name="AbsenteeDays">Recruitmentdata!$B:$B</definedName>
    <definedName name="CostofEmployeeTurnover">Recruitmentdata!$AG:$AG</definedName>
    <definedName name="EmployeeID">Recruitmentdata!$A:$A</definedName>
    <definedName name="ExitDate">Recruitmentdata!$H:$H</definedName>
    <definedName name="Gender">Recruitmentdata!$P:$P</definedName>
    <definedName name="HireDate">Recruitmentdata!$F:$F</definedName>
    <definedName name="ID">Recruitmentdata!$A:$A</definedName>
    <definedName name="JobPostingDate">Recruitmentdata!$E:$E</definedName>
    <definedName name="JobTitle">Recruitmentdata!$D:$D</definedName>
    <definedName name="JoinDate">Recruitmentdata!$G:$G</definedName>
    <definedName name="Onboardingcost">Recruitmentdata!$AC:$AC</definedName>
    <definedName name="Pasted">#REF!</definedName>
    <definedName name="RecruitmentCost">Recruitmentdata!$K:$K</definedName>
    <definedName name="RecruitmentCycleTime">Recruitmentdata!$Y:$Y</definedName>
    <definedName name="Status">Recruitmentdata!$I:$I</definedName>
    <definedName name="Table2">#REF!</definedName>
    <definedName name="Timetofill">Recruitmentdata!$U:$U</definedName>
    <definedName name="Timetoonboard">Recruitmentdata!$V:$V</definedName>
    <definedName name="TotalTenure">Recruitmentdata!#REF!</definedName>
    <definedName name="TotalTenureinM">Recruitmentdata!$W:$W</definedName>
    <definedName name="TotalWorkDays">Recruitmentdata!$N:$N</definedName>
    <definedName name="TrainingCompletionStatus">Recruitmentdata!$M:$M</definedName>
    <definedName name="TrainingCost">Recruitmentdata!$Q:$Q</definedName>
    <definedName name="TrainingProgram">Recruitmentdata!$L:$L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AL3" i="1"/>
  <c r="U2" i="1"/>
  <c r="V2" i="1" s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1" i="1"/>
  <c r="V121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3" i="1"/>
  <c r="V133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7" i="1"/>
  <c r="V157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1" i="1"/>
  <c r="V181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3" i="1"/>
  <c r="V193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7" i="1"/>
  <c r="V217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E13" i="2" l="1"/>
  <c r="S5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E22" i="2" l="1"/>
  <c r="AG9" i="1"/>
  <c r="AH9" i="1"/>
  <c r="AG8" i="1"/>
  <c r="AH5" i="1"/>
  <c r="AH2" i="1"/>
  <c r="AH3" i="1"/>
  <c r="AH4" i="1"/>
  <c r="AH6" i="1"/>
  <c r="AH7" i="1"/>
  <c r="AH8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G2" i="1"/>
  <c r="AG3" i="1"/>
  <c r="AG4" i="1"/>
  <c r="AG5" i="1"/>
  <c r="AG6" i="1"/>
  <c r="AG7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AA102" i="1"/>
  <c r="AA2" i="1"/>
  <c r="AA237" i="1"/>
  <c r="AA172" i="1"/>
  <c r="AA86" i="1"/>
  <c r="AA154" i="1"/>
  <c r="AA56" i="1"/>
  <c r="AA108" i="1"/>
  <c r="AA238" i="1"/>
  <c r="AA109" i="1"/>
  <c r="AA210" i="1"/>
  <c r="AA215" i="1"/>
  <c r="AA173" i="1"/>
  <c r="AA228" i="1"/>
  <c r="AA184" i="1"/>
  <c r="AA146" i="1"/>
  <c r="AA93" i="1"/>
  <c r="AA221" i="1"/>
  <c r="AA30" i="1"/>
  <c r="AA39" i="1"/>
  <c r="AA26" i="1"/>
  <c r="AA3" i="1"/>
  <c r="AA147" i="1"/>
  <c r="AA128" i="1"/>
  <c r="AA179" i="1"/>
  <c r="AA191" i="1"/>
  <c r="AA4" i="1"/>
  <c r="AA61" i="1"/>
  <c r="AA77" i="1"/>
  <c r="AA167" i="1"/>
  <c r="AA135" i="1"/>
  <c r="AA94" i="1"/>
  <c r="AA120" i="1"/>
  <c r="AA35" i="1"/>
  <c r="AA185" i="1"/>
  <c r="AA40" i="1"/>
  <c r="AA27" i="1"/>
  <c r="AA239" i="1"/>
  <c r="AA244" i="1"/>
  <c r="AA136" i="1"/>
  <c r="AA95" i="1"/>
  <c r="AA121" i="1"/>
  <c r="AA211" i="1"/>
  <c r="AA245" i="1"/>
  <c r="AA186" i="1"/>
  <c r="AA57" i="1"/>
  <c r="AA13" i="1"/>
  <c r="AA62" i="1"/>
  <c r="AA129" i="1"/>
  <c r="AA41" i="1"/>
  <c r="AA203" i="1"/>
  <c r="AA155" i="1"/>
  <c r="AA148" i="1"/>
  <c r="AA187" i="1"/>
  <c r="AA5" i="1"/>
  <c r="AA240" i="1"/>
  <c r="AA14" i="1"/>
  <c r="AA110" i="1"/>
  <c r="AA192" i="1"/>
  <c r="AA246" i="1"/>
  <c r="AA130" i="1"/>
  <c r="AA87" i="1"/>
  <c r="AA174" i="1"/>
  <c r="AA216" i="1"/>
  <c r="AA15" i="1"/>
  <c r="AA88" i="1"/>
  <c r="AA6" i="1"/>
  <c r="AA23" i="1"/>
  <c r="AA63" i="1"/>
  <c r="AA131" i="1"/>
  <c r="AA111" i="1"/>
  <c r="AA70" i="1"/>
  <c r="AA247" i="1"/>
  <c r="AA149" i="1"/>
  <c r="AA112" i="1"/>
  <c r="AA113" i="1"/>
  <c r="AA42" i="1"/>
  <c r="AA122" i="1"/>
  <c r="AA43" i="1"/>
  <c r="AA96" i="1"/>
  <c r="AA114" i="1"/>
  <c r="AA132" i="1"/>
  <c r="AA232" i="1"/>
  <c r="AA24" i="1"/>
  <c r="AA193" i="1"/>
  <c r="AA115" i="1"/>
  <c r="AA156" i="1"/>
  <c r="AA64" i="1"/>
  <c r="AA49" i="1"/>
  <c r="AA71" i="1"/>
  <c r="AA194" i="1"/>
  <c r="AA31" i="1"/>
  <c r="AA204" i="1"/>
  <c r="AA143" i="1"/>
  <c r="AA133" i="1"/>
  <c r="AA229" i="1"/>
  <c r="AA65" i="1"/>
  <c r="AA72" i="1"/>
  <c r="AA157" i="1"/>
  <c r="AA163" i="1"/>
  <c r="AA150" i="1"/>
  <c r="AA195" i="1"/>
  <c r="AA248" i="1"/>
  <c r="AA137" i="1"/>
  <c r="AA7" i="1"/>
  <c r="AA97" i="1"/>
  <c r="AA164" i="1"/>
  <c r="AA241" i="1"/>
  <c r="AA222" i="1"/>
  <c r="AA144" i="1"/>
  <c r="AA16" i="1"/>
  <c r="AA89" i="1"/>
  <c r="AA233" i="1"/>
  <c r="AA90" i="1"/>
  <c r="AA196" i="1"/>
  <c r="AA17" i="1"/>
  <c r="AA168" i="1"/>
  <c r="AA205" i="1"/>
  <c r="AA123" i="1"/>
  <c r="AA103" i="1"/>
  <c r="AA66" i="1"/>
  <c r="AA151" i="1"/>
  <c r="AA50" i="1"/>
  <c r="AA104" i="1"/>
  <c r="AA32" i="1"/>
  <c r="AA223" i="1"/>
  <c r="AA200" i="1"/>
  <c r="AA18" i="1"/>
  <c r="AA158" i="1"/>
  <c r="AA124" i="1"/>
  <c r="AA175" i="1"/>
  <c r="AA212" i="1"/>
  <c r="AA197" i="1"/>
  <c r="AA159" i="1"/>
  <c r="AA249" i="1"/>
  <c r="AA73" i="1"/>
  <c r="AA206" i="1"/>
  <c r="AA138" i="1"/>
  <c r="AA105" i="1"/>
  <c r="AA67" i="1"/>
  <c r="AA81" i="1"/>
  <c r="AA116" i="1"/>
  <c r="AA139" i="1"/>
  <c r="AA188" i="1"/>
  <c r="AA224" i="1"/>
  <c r="AA250" i="1"/>
  <c r="AA140" i="1"/>
  <c r="AA74" i="1"/>
  <c r="AA51" i="1"/>
  <c r="AA58" i="1"/>
  <c r="AA78" i="1"/>
  <c r="AA217" i="1"/>
  <c r="AA152" i="1"/>
  <c r="AA36" i="1"/>
  <c r="AA44" i="1"/>
  <c r="AA160" i="1"/>
  <c r="AA234" i="1"/>
  <c r="AA98" i="1"/>
  <c r="AA52" i="1"/>
  <c r="AA180" i="1"/>
  <c r="AA176" i="1"/>
  <c r="AA68" i="1"/>
  <c r="AA141" i="1"/>
  <c r="AA91" i="1"/>
  <c r="AA165" i="1"/>
  <c r="AA28" i="1"/>
  <c r="AA230" i="1"/>
  <c r="AA117" i="1"/>
  <c r="AA99" i="1"/>
  <c r="AA45" i="1"/>
  <c r="AA189" i="1"/>
  <c r="AA79" i="1"/>
  <c r="AA153" i="1"/>
  <c r="AA201" i="1"/>
  <c r="AA198" i="1"/>
  <c r="AA213" i="1"/>
  <c r="AA33" i="1"/>
  <c r="AA59" i="1"/>
  <c r="AA19" i="1"/>
  <c r="AA9" i="1"/>
  <c r="AA169" i="1"/>
  <c r="AA235" i="1"/>
  <c r="AA177" i="1"/>
  <c r="AA60" i="1"/>
  <c r="AA202" i="1"/>
  <c r="AA142" i="1"/>
  <c r="AA242" i="1"/>
  <c r="AA8" i="1"/>
  <c r="AA161" i="1"/>
  <c r="AA100" i="1"/>
  <c r="AA10" i="1"/>
  <c r="AA134" i="1"/>
  <c r="AA251" i="1"/>
  <c r="AA225" i="1"/>
  <c r="AA46" i="1"/>
  <c r="AA231" i="1"/>
  <c r="AA125" i="1"/>
  <c r="AA126" i="1"/>
  <c r="AA20" i="1"/>
  <c r="AA218" i="1"/>
  <c r="AA118" i="1"/>
  <c r="AA145" i="1"/>
  <c r="AA236" i="1"/>
  <c r="AA11" i="1"/>
  <c r="AA170" i="1"/>
  <c r="AA181" i="1"/>
  <c r="AA75" i="1"/>
  <c r="AA127" i="1"/>
  <c r="AA53" i="1"/>
  <c r="AA226" i="1"/>
  <c r="AA182" i="1"/>
  <c r="AA183" i="1"/>
  <c r="AA207" i="1"/>
  <c r="AA227" i="1"/>
  <c r="AA80" i="1"/>
  <c r="AA21" i="1"/>
  <c r="AA101" i="1"/>
  <c r="AA34" i="1"/>
  <c r="AA82" i="1"/>
  <c r="AA69" i="1"/>
  <c r="AA106" i="1"/>
  <c r="AA25" i="1"/>
  <c r="AA83" i="1"/>
  <c r="AA92" i="1"/>
  <c r="AA208" i="1"/>
  <c r="AA107" i="1"/>
  <c r="AA243" i="1"/>
  <c r="AA76" i="1"/>
  <c r="AA47" i="1"/>
  <c r="AA54" i="1"/>
  <c r="AA29" i="1"/>
  <c r="AA219" i="1"/>
  <c r="AA166" i="1"/>
  <c r="AA84" i="1"/>
  <c r="AA190" i="1"/>
  <c r="AA209" i="1"/>
  <c r="AA220" i="1"/>
  <c r="AA178" i="1"/>
  <c r="AA171" i="1"/>
  <c r="AA214" i="1"/>
  <c r="AA37" i="1"/>
  <c r="AA119" i="1"/>
  <c r="AA55" i="1"/>
  <c r="AA162" i="1"/>
  <c r="AA199" i="1"/>
  <c r="AA38" i="1"/>
  <c r="AA12" i="1"/>
  <c r="AA85" i="1"/>
  <c r="AA48" i="1"/>
  <c r="AA22" i="1"/>
  <c r="AB102" i="1"/>
  <c r="AB2" i="1"/>
  <c r="AB237" i="1"/>
  <c r="AB172" i="1"/>
  <c r="AB86" i="1"/>
  <c r="AB154" i="1"/>
  <c r="AB56" i="1"/>
  <c r="AB108" i="1"/>
  <c r="AB238" i="1"/>
  <c r="AB109" i="1"/>
  <c r="AB210" i="1"/>
  <c r="AB215" i="1"/>
  <c r="AB173" i="1"/>
  <c r="AB228" i="1"/>
  <c r="AB184" i="1"/>
  <c r="AB146" i="1"/>
  <c r="AB93" i="1"/>
  <c r="AB221" i="1"/>
  <c r="AB30" i="1"/>
  <c r="AB39" i="1"/>
  <c r="AB26" i="1"/>
  <c r="AB3" i="1"/>
  <c r="AB147" i="1"/>
  <c r="AB128" i="1"/>
  <c r="AB179" i="1"/>
  <c r="AB191" i="1"/>
  <c r="AB4" i="1"/>
  <c r="AB61" i="1"/>
  <c r="AB77" i="1"/>
  <c r="AB167" i="1"/>
  <c r="AB135" i="1"/>
  <c r="AB94" i="1"/>
  <c r="AB120" i="1"/>
  <c r="AB35" i="1"/>
  <c r="AB185" i="1"/>
  <c r="AB40" i="1"/>
  <c r="AB27" i="1"/>
  <c r="AB239" i="1"/>
  <c r="AB244" i="1"/>
  <c r="AB136" i="1"/>
  <c r="AB95" i="1"/>
  <c r="AB121" i="1"/>
  <c r="AB211" i="1"/>
  <c r="AB245" i="1"/>
  <c r="AB186" i="1"/>
  <c r="AB57" i="1"/>
  <c r="AB13" i="1"/>
  <c r="AB62" i="1"/>
  <c r="AB129" i="1"/>
  <c r="AB41" i="1"/>
  <c r="AB203" i="1"/>
  <c r="AB155" i="1"/>
  <c r="AB148" i="1"/>
  <c r="AB187" i="1"/>
  <c r="AB5" i="1"/>
  <c r="AB240" i="1"/>
  <c r="AB14" i="1"/>
  <c r="AB110" i="1"/>
  <c r="AB192" i="1"/>
  <c r="AB246" i="1"/>
  <c r="AB130" i="1"/>
  <c r="AB87" i="1"/>
  <c r="AB174" i="1"/>
  <c r="AB216" i="1"/>
  <c r="AB15" i="1"/>
  <c r="AB88" i="1"/>
  <c r="AB6" i="1"/>
  <c r="AB23" i="1"/>
  <c r="AB63" i="1"/>
  <c r="AB131" i="1"/>
  <c r="AB111" i="1"/>
  <c r="AB70" i="1"/>
  <c r="AB247" i="1"/>
  <c r="AB149" i="1"/>
  <c r="AB112" i="1"/>
  <c r="AB113" i="1"/>
  <c r="AB42" i="1"/>
  <c r="AB122" i="1"/>
  <c r="AB43" i="1"/>
  <c r="AB96" i="1"/>
  <c r="AB114" i="1"/>
  <c r="AB132" i="1"/>
  <c r="AB232" i="1"/>
  <c r="AB24" i="1"/>
  <c r="AB193" i="1"/>
  <c r="AB115" i="1"/>
  <c r="AB156" i="1"/>
  <c r="AB64" i="1"/>
  <c r="AB49" i="1"/>
  <c r="AB71" i="1"/>
  <c r="AB194" i="1"/>
  <c r="AB31" i="1"/>
  <c r="AB204" i="1"/>
  <c r="AB143" i="1"/>
  <c r="AB133" i="1"/>
  <c r="AB229" i="1"/>
  <c r="AB65" i="1"/>
  <c r="AB72" i="1"/>
  <c r="AB157" i="1"/>
  <c r="AB163" i="1"/>
  <c r="AB150" i="1"/>
  <c r="AB195" i="1"/>
  <c r="AB248" i="1"/>
  <c r="AB137" i="1"/>
  <c r="AB7" i="1"/>
  <c r="AB97" i="1"/>
  <c r="AB164" i="1"/>
  <c r="AB241" i="1"/>
  <c r="AB222" i="1"/>
  <c r="AB144" i="1"/>
  <c r="AB16" i="1"/>
  <c r="AB89" i="1"/>
  <c r="AB233" i="1"/>
  <c r="AB90" i="1"/>
  <c r="AB196" i="1"/>
  <c r="AB17" i="1"/>
  <c r="AB168" i="1"/>
  <c r="AB205" i="1"/>
  <c r="AB123" i="1"/>
  <c r="AB103" i="1"/>
  <c r="AB66" i="1"/>
  <c r="AB151" i="1"/>
  <c r="AB50" i="1"/>
  <c r="AB104" i="1"/>
  <c r="AB32" i="1"/>
  <c r="AB223" i="1"/>
  <c r="AB200" i="1"/>
  <c r="AB18" i="1"/>
  <c r="AB158" i="1"/>
  <c r="AB124" i="1"/>
  <c r="AB175" i="1"/>
  <c r="AB212" i="1"/>
  <c r="AB197" i="1"/>
  <c r="AB159" i="1"/>
  <c r="AB249" i="1"/>
  <c r="AB73" i="1"/>
  <c r="AB206" i="1"/>
  <c r="AB138" i="1"/>
  <c r="AB105" i="1"/>
  <c r="AB67" i="1"/>
  <c r="AB81" i="1"/>
  <c r="AB116" i="1"/>
  <c r="AB139" i="1"/>
  <c r="AB188" i="1"/>
  <c r="AB224" i="1"/>
  <c r="AB250" i="1"/>
  <c r="AB140" i="1"/>
  <c r="AB74" i="1"/>
  <c r="AB51" i="1"/>
  <c r="AB58" i="1"/>
  <c r="AB78" i="1"/>
  <c r="AB217" i="1"/>
  <c r="AB152" i="1"/>
  <c r="AB36" i="1"/>
  <c r="AB44" i="1"/>
  <c r="AB160" i="1"/>
  <c r="AB234" i="1"/>
  <c r="AB98" i="1"/>
  <c r="AB52" i="1"/>
  <c r="AB180" i="1"/>
  <c r="AB176" i="1"/>
  <c r="AB68" i="1"/>
  <c r="AB141" i="1"/>
  <c r="AB91" i="1"/>
  <c r="AB165" i="1"/>
  <c r="AB28" i="1"/>
  <c r="AB230" i="1"/>
  <c r="AB117" i="1"/>
  <c r="AB99" i="1"/>
  <c r="AB45" i="1"/>
  <c r="AB189" i="1"/>
  <c r="AB79" i="1"/>
  <c r="AB153" i="1"/>
  <c r="AB201" i="1"/>
  <c r="AB198" i="1"/>
  <c r="AB213" i="1"/>
  <c r="AB33" i="1"/>
  <c r="AB59" i="1"/>
  <c r="AB19" i="1"/>
  <c r="AB9" i="1"/>
  <c r="AB169" i="1"/>
  <c r="AB235" i="1"/>
  <c r="AB177" i="1"/>
  <c r="AB60" i="1"/>
  <c r="AB202" i="1"/>
  <c r="AB142" i="1"/>
  <c r="AB242" i="1"/>
  <c r="AB8" i="1"/>
  <c r="AB161" i="1"/>
  <c r="AB100" i="1"/>
  <c r="AB10" i="1"/>
  <c r="AB134" i="1"/>
  <c r="AB251" i="1"/>
  <c r="AB225" i="1"/>
  <c r="AB46" i="1"/>
  <c r="AB231" i="1"/>
  <c r="AB125" i="1"/>
  <c r="AB126" i="1"/>
  <c r="AB20" i="1"/>
  <c r="AB218" i="1"/>
  <c r="AB118" i="1"/>
  <c r="AB145" i="1"/>
  <c r="AB236" i="1"/>
  <c r="AB11" i="1"/>
  <c r="AB170" i="1"/>
  <c r="AB181" i="1"/>
  <c r="AB75" i="1"/>
  <c r="AB127" i="1"/>
  <c r="AB53" i="1"/>
  <c r="AB226" i="1"/>
  <c r="AB182" i="1"/>
  <c r="AB183" i="1"/>
  <c r="AB207" i="1"/>
  <c r="AB227" i="1"/>
  <c r="AB80" i="1"/>
  <c r="AB21" i="1"/>
  <c r="AB101" i="1"/>
  <c r="AB34" i="1"/>
  <c r="AB82" i="1"/>
  <c r="AB69" i="1"/>
  <c r="AB106" i="1"/>
  <c r="AB25" i="1"/>
  <c r="AB83" i="1"/>
  <c r="AB92" i="1"/>
  <c r="AB208" i="1"/>
  <c r="AB107" i="1"/>
  <c r="AB243" i="1"/>
  <c r="AB76" i="1"/>
  <c r="AB47" i="1"/>
  <c r="AB54" i="1"/>
  <c r="AB29" i="1"/>
  <c r="AB219" i="1"/>
  <c r="AB166" i="1"/>
  <c r="AB84" i="1"/>
  <c r="AB190" i="1"/>
  <c r="AB209" i="1"/>
  <c r="AB220" i="1"/>
  <c r="AB178" i="1"/>
  <c r="AB171" i="1"/>
  <c r="AB214" i="1"/>
  <c r="AB37" i="1"/>
  <c r="AB119" i="1"/>
  <c r="AB55" i="1"/>
  <c r="AB162" i="1"/>
  <c r="AB199" i="1"/>
  <c r="AB38" i="1"/>
  <c r="AB12" i="1"/>
  <c r="AB85" i="1"/>
  <c r="AB48" i="1"/>
  <c r="AB22" i="1"/>
  <c r="AF86" i="1"/>
  <c r="AF2" i="1"/>
  <c r="AF237" i="1"/>
  <c r="AF172" i="1"/>
  <c r="AF155" i="1"/>
  <c r="AF148" i="1"/>
  <c r="AF187" i="1"/>
  <c r="AF5" i="1"/>
  <c r="AF240" i="1"/>
  <c r="AF14" i="1"/>
  <c r="AF110" i="1"/>
  <c r="AF192" i="1"/>
  <c r="AF246" i="1"/>
  <c r="AF130" i="1"/>
  <c r="AF87" i="1"/>
  <c r="AF174" i="1"/>
  <c r="AF216" i="1"/>
  <c r="AF15" i="1"/>
  <c r="AF88" i="1"/>
  <c r="AF6" i="1"/>
  <c r="AF23" i="1"/>
  <c r="AF63" i="1"/>
  <c r="AF131" i="1"/>
  <c r="AF111" i="1"/>
  <c r="AF70" i="1"/>
  <c r="AF247" i="1"/>
  <c r="AF149" i="1"/>
  <c r="AF112" i="1"/>
  <c r="AF113" i="1"/>
  <c r="AF42" i="1"/>
  <c r="AF122" i="1"/>
  <c r="AF43" i="1"/>
  <c r="AF96" i="1"/>
  <c r="AF114" i="1"/>
  <c r="AF132" i="1"/>
  <c r="AF232" i="1"/>
  <c r="AF24" i="1"/>
  <c r="AF193" i="1"/>
  <c r="AF115" i="1"/>
  <c r="AF156" i="1"/>
  <c r="AF64" i="1"/>
  <c r="AF49" i="1"/>
  <c r="AF71" i="1"/>
  <c r="AF194" i="1"/>
  <c r="AF31" i="1"/>
  <c r="AF204" i="1"/>
  <c r="AF143" i="1"/>
  <c r="AF133" i="1"/>
  <c r="AF229" i="1"/>
  <c r="AF65" i="1"/>
  <c r="AF72" i="1"/>
  <c r="AF157" i="1"/>
  <c r="AF163" i="1"/>
  <c r="AF150" i="1"/>
  <c r="AF195" i="1"/>
  <c r="AF248" i="1"/>
  <c r="AF137" i="1"/>
  <c r="AF7" i="1"/>
  <c r="AF97" i="1"/>
  <c r="AF164" i="1"/>
  <c r="AF241" i="1"/>
  <c r="AF222" i="1"/>
  <c r="AF144" i="1"/>
  <c r="AF16" i="1"/>
  <c r="AF89" i="1"/>
  <c r="AF233" i="1"/>
  <c r="AF90" i="1"/>
  <c r="AF196" i="1"/>
  <c r="AF17" i="1"/>
  <c r="AF168" i="1"/>
  <c r="AF205" i="1"/>
  <c r="AF123" i="1"/>
  <c r="AF103" i="1"/>
  <c r="AF66" i="1"/>
  <c r="AF151" i="1"/>
  <c r="AF50" i="1"/>
  <c r="AF104" i="1"/>
  <c r="AF32" i="1"/>
  <c r="AF223" i="1"/>
  <c r="AF200" i="1"/>
  <c r="AF18" i="1"/>
  <c r="AF158" i="1"/>
  <c r="AF124" i="1"/>
  <c r="AF175" i="1"/>
  <c r="AF212" i="1"/>
  <c r="AF197" i="1"/>
  <c r="AF159" i="1"/>
  <c r="AF249" i="1"/>
  <c r="AF73" i="1"/>
  <c r="AF206" i="1"/>
  <c r="AF138" i="1"/>
  <c r="AF105" i="1"/>
  <c r="AF67" i="1"/>
  <c r="AF81" i="1"/>
  <c r="AF116" i="1"/>
  <c r="AF139" i="1"/>
  <c r="AF188" i="1"/>
  <c r="AF224" i="1"/>
  <c r="AF250" i="1"/>
  <c r="AF140" i="1"/>
  <c r="AF74" i="1"/>
  <c r="AF51" i="1"/>
  <c r="AF58" i="1"/>
  <c r="AF78" i="1"/>
  <c r="AF217" i="1"/>
  <c r="AF152" i="1"/>
  <c r="AF36" i="1"/>
  <c r="AF44" i="1"/>
  <c r="AF160" i="1"/>
  <c r="AF234" i="1"/>
  <c r="AF98" i="1"/>
  <c r="AF52" i="1"/>
  <c r="AF180" i="1"/>
  <c r="AF176" i="1"/>
  <c r="AF68" i="1"/>
  <c r="AF141" i="1"/>
  <c r="AF91" i="1"/>
  <c r="AF165" i="1"/>
  <c r="AF28" i="1"/>
  <c r="AF230" i="1"/>
  <c r="AF117" i="1"/>
  <c r="AF99" i="1"/>
  <c r="AF45" i="1"/>
  <c r="AF189" i="1"/>
  <c r="AF79" i="1"/>
  <c r="AF153" i="1"/>
  <c r="AF201" i="1"/>
  <c r="AF198" i="1"/>
  <c r="AF213" i="1"/>
  <c r="AF33" i="1"/>
  <c r="AF59" i="1"/>
  <c r="AF19" i="1"/>
  <c r="AF9" i="1"/>
  <c r="AF169" i="1"/>
  <c r="AF235" i="1"/>
  <c r="AF177" i="1"/>
  <c r="AF60" i="1"/>
  <c r="AF202" i="1"/>
  <c r="AF142" i="1"/>
  <c r="AF242" i="1"/>
  <c r="AF8" i="1"/>
  <c r="AF161" i="1"/>
  <c r="AF100" i="1"/>
  <c r="AF10" i="1"/>
  <c r="AF134" i="1"/>
  <c r="AF251" i="1"/>
  <c r="AF225" i="1"/>
  <c r="AF46" i="1"/>
  <c r="AF231" i="1"/>
  <c r="AF125" i="1"/>
  <c r="AF126" i="1"/>
  <c r="AF20" i="1"/>
  <c r="AF218" i="1"/>
  <c r="AF118" i="1"/>
  <c r="AF145" i="1"/>
  <c r="AF236" i="1"/>
  <c r="AF11" i="1"/>
  <c r="AF170" i="1"/>
  <c r="AF181" i="1"/>
  <c r="AF75" i="1"/>
  <c r="AF127" i="1"/>
  <c r="AF53" i="1"/>
  <c r="AF226" i="1"/>
  <c r="AF182" i="1"/>
  <c r="AF183" i="1"/>
  <c r="AF207" i="1"/>
  <c r="AF227" i="1"/>
  <c r="AF80" i="1"/>
  <c r="AF21" i="1"/>
  <c r="AF101" i="1"/>
  <c r="AF34" i="1"/>
  <c r="AF82" i="1"/>
  <c r="AF69" i="1"/>
  <c r="AF106" i="1"/>
  <c r="AF25" i="1"/>
  <c r="AF83" i="1"/>
  <c r="AF92" i="1"/>
  <c r="AF208" i="1"/>
  <c r="AF107" i="1"/>
  <c r="AF243" i="1"/>
  <c r="AF76" i="1"/>
  <c r="AF47" i="1"/>
  <c r="AF54" i="1"/>
  <c r="AF29" i="1"/>
  <c r="AF219" i="1"/>
  <c r="AF166" i="1"/>
  <c r="AF84" i="1"/>
  <c r="AF190" i="1"/>
  <c r="AF209" i="1"/>
  <c r="AF220" i="1"/>
  <c r="AF178" i="1"/>
  <c r="AF171" i="1"/>
  <c r="AF214" i="1"/>
  <c r="AF37" i="1"/>
  <c r="AF119" i="1"/>
  <c r="AF55" i="1"/>
  <c r="AF162" i="1"/>
  <c r="AF199" i="1"/>
  <c r="AF38" i="1"/>
  <c r="AF12" i="1"/>
  <c r="AF85" i="1"/>
  <c r="AF48" i="1"/>
  <c r="AF22" i="1"/>
  <c r="AF120" i="1"/>
  <c r="AF35" i="1"/>
  <c r="AF95" i="1"/>
  <c r="AF102" i="1"/>
  <c r="AF3" i="1"/>
  <c r="AF147" i="1"/>
  <c r="AF185" i="1"/>
  <c r="AF173" i="1"/>
  <c r="AF128" i="1"/>
  <c r="AF121" i="1"/>
  <c r="AF211" i="1"/>
  <c r="AF228" i="1"/>
  <c r="AF154" i="1"/>
  <c r="AF184" i="1"/>
  <c r="AF179" i="1"/>
  <c r="AF245" i="1"/>
  <c r="AF186" i="1"/>
  <c r="AF56" i="1"/>
  <c r="AF146" i="1"/>
  <c r="AF93" i="1"/>
  <c r="AF108" i="1"/>
  <c r="AF57" i="1"/>
  <c r="AF13" i="1"/>
  <c r="AF191" i="1"/>
  <c r="AF40" i="1"/>
  <c r="AF221" i="1"/>
  <c r="AF62" i="1"/>
  <c r="AF238" i="1"/>
  <c r="AF129" i="1"/>
  <c r="AF4" i="1"/>
  <c r="AF27" i="1"/>
  <c r="AF109" i="1"/>
  <c r="AF61" i="1"/>
  <c r="AF210" i="1"/>
  <c r="AF41" i="1"/>
  <c r="AF215" i="1"/>
  <c r="AF77" i="1"/>
  <c r="AF30" i="1"/>
  <c r="AF239" i="1"/>
  <c r="AF167" i="1"/>
  <c r="AF39" i="1"/>
  <c r="AF203" i="1"/>
  <c r="AF135" i="1"/>
  <c r="AF244" i="1"/>
  <c r="AF26" i="1"/>
  <c r="AF94" i="1"/>
  <c r="AF136" i="1"/>
  <c r="W80" i="1" l="1"/>
  <c r="AC118" i="1"/>
  <c r="W118" i="1"/>
  <c r="W161" i="1"/>
  <c r="W51" i="1"/>
  <c r="W150" i="1"/>
  <c r="W193" i="1"/>
  <c r="AC111" i="1"/>
  <c r="W111" i="1"/>
  <c r="W178" i="1"/>
  <c r="W84" i="1"/>
  <c r="W53" i="1"/>
  <c r="W125" i="1"/>
  <c r="W177" i="1"/>
  <c r="W45" i="1"/>
  <c r="W91" i="1"/>
  <c r="W188" i="1"/>
  <c r="W105" i="1"/>
  <c r="W18" i="1"/>
  <c r="W229" i="1"/>
  <c r="W64" i="1"/>
  <c r="W132" i="1"/>
  <c r="W113" i="1"/>
  <c r="W88" i="1"/>
  <c r="W246" i="1"/>
  <c r="W5" i="1"/>
  <c r="W135" i="1"/>
  <c r="W39" i="1"/>
  <c r="W30" i="1"/>
  <c r="W61" i="1"/>
  <c r="W191" i="1"/>
  <c r="W108" i="1"/>
  <c r="W146" i="1"/>
  <c r="W245" i="1"/>
  <c r="W172" i="1"/>
  <c r="W128" i="1"/>
  <c r="Z2" i="1"/>
  <c r="W2" i="1"/>
  <c r="W48" i="1"/>
  <c r="W119" i="1"/>
  <c r="W220" i="1"/>
  <c r="W83" i="1"/>
  <c r="W227" i="1"/>
  <c r="W19" i="1"/>
  <c r="W99" i="1"/>
  <c r="W141" i="1"/>
  <c r="W78" i="1"/>
  <c r="W74" i="1"/>
  <c r="W139" i="1"/>
  <c r="W73" i="1"/>
  <c r="W200" i="1"/>
  <c r="W50" i="1"/>
  <c r="W89" i="1"/>
  <c r="W7" i="1"/>
  <c r="W247" i="1"/>
  <c r="W131" i="1"/>
  <c r="W187" i="1"/>
  <c r="W37" i="1"/>
  <c r="W54" i="1"/>
  <c r="W243" i="1"/>
  <c r="W25" i="1"/>
  <c r="W127" i="1"/>
  <c r="W11" i="1"/>
  <c r="W231" i="1"/>
  <c r="W134" i="1"/>
  <c r="W8" i="1"/>
  <c r="W235" i="1"/>
  <c r="W59" i="1"/>
  <c r="W201" i="1"/>
  <c r="W117" i="1"/>
  <c r="W68" i="1"/>
  <c r="W98" i="1"/>
  <c r="W140" i="1"/>
  <c r="W116" i="1"/>
  <c r="W138" i="1"/>
  <c r="W249" i="1"/>
  <c r="W175" i="1"/>
  <c r="W223" i="1"/>
  <c r="W17" i="1"/>
  <c r="W137" i="1"/>
  <c r="W133" i="1"/>
  <c r="W194" i="1"/>
  <c r="W87" i="1"/>
  <c r="W192" i="1"/>
  <c r="W148" i="1"/>
  <c r="W184" i="1"/>
  <c r="W106" i="1"/>
  <c r="W34" i="1"/>
  <c r="W207" i="1"/>
  <c r="W218" i="1"/>
  <c r="W242" i="1"/>
  <c r="W230" i="1"/>
  <c r="W36" i="1"/>
  <c r="W81" i="1"/>
  <c r="W124" i="1"/>
  <c r="W123" i="1"/>
  <c r="W196" i="1"/>
  <c r="W241" i="1"/>
  <c r="W114" i="1"/>
  <c r="W15" i="1"/>
  <c r="W110" i="1"/>
  <c r="W236" i="1"/>
  <c r="W16" i="1"/>
  <c r="W136" i="1"/>
  <c r="W94" i="1"/>
  <c r="W57" i="1"/>
  <c r="W153" i="1"/>
  <c r="W185" i="1"/>
  <c r="W162" i="1"/>
  <c r="W183" i="1"/>
  <c r="W28" i="1"/>
  <c r="W159" i="1"/>
  <c r="W163" i="1"/>
  <c r="W143" i="1"/>
  <c r="W156" i="1"/>
  <c r="W24" i="1"/>
  <c r="W96" i="1"/>
  <c r="W112" i="1"/>
  <c r="W216" i="1"/>
  <c r="W130" i="1"/>
  <c r="W155" i="1"/>
  <c r="W244" i="1"/>
  <c r="W167" i="1"/>
  <c r="W41" i="1"/>
  <c r="W109" i="1"/>
  <c r="W129" i="1"/>
  <c r="W40" i="1"/>
  <c r="W186" i="1"/>
  <c r="W154" i="1"/>
  <c r="W211" i="1"/>
  <c r="W173" i="1"/>
  <c r="W102" i="1"/>
  <c r="W35" i="1"/>
  <c r="W12" i="1"/>
  <c r="W209" i="1"/>
  <c r="W219" i="1"/>
  <c r="W107" i="1"/>
  <c r="W75" i="1"/>
  <c r="W20" i="1"/>
  <c r="W46" i="1"/>
  <c r="Z10" i="1"/>
  <c r="W10" i="1"/>
  <c r="W79" i="1"/>
  <c r="W180" i="1"/>
  <c r="W160" i="1"/>
  <c r="W217" i="1"/>
  <c r="W250" i="1"/>
  <c r="W67" i="1"/>
  <c r="W205" i="1"/>
  <c r="W90" i="1"/>
  <c r="W144" i="1"/>
  <c r="W157" i="1"/>
  <c r="W204" i="1"/>
  <c r="W71" i="1"/>
  <c r="W43" i="1"/>
  <c r="W70" i="1"/>
  <c r="W63" i="1"/>
  <c r="W14" i="1"/>
  <c r="W239" i="1"/>
  <c r="W62" i="1"/>
  <c r="W121" i="1"/>
  <c r="W199" i="1"/>
  <c r="W234" i="1"/>
  <c r="W85" i="1"/>
  <c r="W101" i="1"/>
  <c r="W142" i="1"/>
  <c r="W152" i="1"/>
  <c r="W151" i="1"/>
  <c r="W120" i="1"/>
  <c r="W76" i="1"/>
  <c r="W208" i="1"/>
  <c r="W21" i="1"/>
  <c r="W182" i="1"/>
  <c r="W181" i="1"/>
  <c r="W145" i="1"/>
  <c r="W225" i="1"/>
  <c r="W202" i="1"/>
  <c r="W169" i="1"/>
  <c r="W213" i="1"/>
  <c r="W189" i="1"/>
  <c r="W44" i="1"/>
  <c r="W224" i="1"/>
  <c r="W206" i="1"/>
  <c r="W197" i="1"/>
  <c r="W158" i="1"/>
  <c r="W104" i="1"/>
  <c r="W66" i="1"/>
  <c r="W168" i="1"/>
  <c r="W164" i="1"/>
  <c r="W248" i="1"/>
  <c r="W72" i="1"/>
  <c r="W31" i="1"/>
  <c r="W49" i="1"/>
  <c r="W115" i="1"/>
  <c r="W122" i="1"/>
  <c r="W149" i="1"/>
  <c r="W23" i="1"/>
  <c r="W240" i="1"/>
  <c r="W237" i="1"/>
  <c r="W147" i="1"/>
  <c r="W27" i="1"/>
  <c r="W93" i="1"/>
  <c r="W214" i="1"/>
  <c r="W47" i="1"/>
  <c r="W86" i="1"/>
  <c r="W166" i="1"/>
  <c r="W69" i="1"/>
  <c r="W33" i="1"/>
  <c r="W176" i="1"/>
  <c r="W58" i="1"/>
  <c r="W32" i="1"/>
  <c r="W26" i="1"/>
  <c r="W203" i="1"/>
  <c r="W77" i="1"/>
  <c r="W215" i="1"/>
  <c r="W210" i="1"/>
  <c r="W4" i="1"/>
  <c r="W238" i="1"/>
  <c r="W221" i="1"/>
  <c r="W13" i="1"/>
  <c r="W56" i="1"/>
  <c r="W179" i="1"/>
  <c r="W228" i="1"/>
  <c r="W3" i="1"/>
  <c r="W95" i="1"/>
  <c r="W22" i="1"/>
  <c r="W38" i="1"/>
  <c r="W55" i="1"/>
  <c r="W171" i="1"/>
  <c r="W190" i="1"/>
  <c r="W29" i="1"/>
  <c r="W92" i="1"/>
  <c r="W82" i="1"/>
  <c r="W226" i="1"/>
  <c r="W170" i="1"/>
  <c r="W126" i="1"/>
  <c r="W251" i="1"/>
  <c r="W100" i="1"/>
  <c r="W60" i="1"/>
  <c r="W9" i="1"/>
  <c r="W198" i="1"/>
  <c r="W165" i="1"/>
  <c r="W52" i="1"/>
  <c r="W212" i="1"/>
  <c r="W103" i="1"/>
  <c r="W233" i="1"/>
  <c r="W222" i="1"/>
  <c r="W97" i="1"/>
  <c r="W195" i="1"/>
  <c r="W65" i="1"/>
  <c r="W232" i="1"/>
  <c r="W42" i="1"/>
  <c r="W6" i="1"/>
  <c r="W174" i="1"/>
  <c r="S86" i="1"/>
  <c r="S37" i="1"/>
  <c r="S54" i="1"/>
  <c r="S243" i="1"/>
  <c r="S25" i="1"/>
  <c r="S127" i="1"/>
  <c r="S11" i="1"/>
  <c r="S231" i="1"/>
  <c r="S134" i="1"/>
  <c r="S8" i="1"/>
  <c r="S235" i="1"/>
  <c r="S59" i="1"/>
  <c r="S201" i="1"/>
  <c r="S117" i="1"/>
  <c r="S68" i="1"/>
  <c r="S98" i="1"/>
  <c r="S140" i="1"/>
  <c r="S116" i="1"/>
  <c r="S138" i="1"/>
  <c r="S249" i="1"/>
  <c r="S175" i="1"/>
  <c r="S223" i="1"/>
  <c r="S17" i="1"/>
  <c r="S137" i="1"/>
  <c r="S133" i="1"/>
  <c r="S194" i="1"/>
  <c r="S87" i="1"/>
  <c r="S192" i="1"/>
  <c r="S148" i="1"/>
  <c r="S136" i="1"/>
  <c r="S135" i="1"/>
  <c r="S199" i="1"/>
  <c r="S214" i="1"/>
  <c r="S47" i="1"/>
  <c r="S106" i="1"/>
  <c r="S34" i="1"/>
  <c r="S207" i="1"/>
  <c r="S218" i="1"/>
  <c r="S242" i="1"/>
  <c r="S153" i="1"/>
  <c r="S230" i="1"/>
  <c r="S234" i="1"/>
  <c r="S36" i="1"/>
  <c r="S81" i="1"/>
  <c r="S124" i="1"/>
  <c r="S123" i="1"/>
  <c r="S196" i="1"/>
  <c r="S241" i="1"/>
  <c r="S114" i="1"/>
  <c r="S15" i="1"/>
  <c r="S110" i="1"/>
  <c r="S129" i="1"/>
  <c r="S211" i="1"/>
  <c r="S244" i="1"/>
  <c r="S191" i="1"/>
  <c r="S93" i="1"/>
  <c r="S172" i="1"/>
  <c r="S85" i="1"/>
  <c r="S162" i="1"/>
  <c r="S166" i="1"/>
  <c r="S69" i="1"/>
  <c r="S101" i="1"/>
  <c r="S183" i="1"/>
  <c r="S236" i="1"/>
  <c r="S142" i="1"/>
  <c r="S33" i="1"/>
  <c r="S28" i="1"/>
  <c r="S176" i="1"/>
  <c r="S152" i="1"/>
  <c r="S58" i="1"/>
  <c r="S159" i="1"/>
  <c r="S32" i="1"/>
  <c r="S151" i="1"/>
  <c r="S16" i="1"/>
  <c r="S163" i="1"/>
  <c r="S143" i="1"/>
  <c r="S156" i="1"/>
  <c r="S24" i="1"/>
  <c r="S96" i="1"/>
  <c r="S112" i="1"/>
  <c r="S216" i="1"/>
  <c r="S130" i="1"/>
  <c r="S155" i="1"/>
  <c r="S121" i="1"/>
  <c r="S239" i="1"/>
  <c r="S185" i="1"/>
  <c r="S167" i="1"/>
  <c r="S147" i="1"/>
  <c r="S39" i="1"/>
  <c r="S146" i="1"/>
  <c r="S215" i="1"/>
  <c r="S237" i="1"/>
  <c r="S12" i="1"/>
  <c r="S209" i="1"/>
  <c r="S219" i="1"/>
  <c r="S107" i="1"/>
  <c r="S75" i="1"/>
  <c r="S20" i="1"/>
  <c r="S46" i="1"/>
  <c r="S10" i="1"/>
  <c r="S79" i="1"/>
  <c r="S180" i="1"/>
  <c r="S160" i="1"/>
  <c r="S217" i="1"/>
  <c r="S250" i="1"/>
  <c r="S67" i="1"/>
  <c r="S205" i="1"/>
  <c r="S90" i="1"/>
  <c r="S144" i="1"/>
  <c r="S157" i="1"/>
  <c r="S204" i="1"/>
  <c r="S71" i="1"/>
  <c r="S43" i="1"/>
  <c r="S70" i="1"/>
  <c r="S63" i="1"/>
  <c r="S14" i="1"/>
  <c r="S62" i="1"/>
  <c r="S77" i="1"/>
  <c r="S3" i="1"/>
  <c r="S30" i="1"/>
  <c r="S108" i="1"/>
  <c r="S76" i="1"/>
  <c r="S208" i="1"/>
  <c r="S21" i="1"/>
  <c r="S182" i="1"/>
  <c r="S181" i="1"/>
  <c r="S145" i="1"/>
  <c r="S225" i="1"/>
  <c r="S202" i="1"/>
  <c r="S169" i="1"/>
  <c r="S213" i="1"/>
  <c r="S189" i="1"/>
  <c r="S44" i="1"/>
  <c r="S224" i="1"/>
  <c r="S206" i="1"/>
  <c r="S197" i="1"/>
  <c r="S158" i="1"/>
  <c r="S104" i="1"/>
  <c r="S66" i="1"/>
  <c r="S168" i="1"/>
  <c r="S164" i="1"/>
  <c r="S248" i="1"/>
  <c r="S72" i="1"/>
  <c r="S31" i="1"/>
  <c r="S49" i="1"/>
  <c r="S115" i="1"/>
  <c r="S122" i="1"/>
  <c r="S149" i="1"/>
  <c r="S23" i="1"/>
  <c r="S240" i="1"/>
  <c r="S13" i="1"/>
  <c r="S35" i="1"/>
  <c r="S61" i="1"/>
  <c r="S184" i="1"/>
  <c r="S210" i="1"/>
  <c r="S56" i="1"/>
  <c r="S2" i="1"/>
  <c r="S22" i="1"/>
  <c r="S38" i="1"/>
  <c r="S55" i="1"/>
  <c r="S171" i="1"/>
  <c r="S190" i="1"/>
  <c r="S29" i="1"/>
  <c r="S92" i="1"/>
  <c r="S82" i="1"/>
  <c r="S226" i="1"/>
  <c r="S170" i="1"/>
  <c r="S126" i="1"/>
  <c r="S251" i="1"/>
  <c r="S100" i="1"/>
  <c r="S60" i="1"/>
  <c r="S9" i="1"/>
  <c r="S198" i="1"/>
  <c r="S165" i="1"/>
  <c r="S52" i="1"/>
  <c r="S212" i="1"/>
  <c r="S103" i="1"/>
  <c r="S233" i="1"/>
  <c r="S222" i="1"/>
  <c r="S97" i="1"/>
  <c r="S195" i="1"/>
  <c r="S65" i="1"/>
  <c r="S232" i="1"/>
  <c r="S42" i="1"/>
  <c r="S6" i="1"/>
  <c r="S174" i="1"/>
  <c r="S203" i="1"/>
  <c r="S57" i="1"/>
  <c r="S95" i="1"/>
  <c r="S27" i="1"/>
  <c r="S120" i="1"/>
  <c r="S179" i="1"/>
  <c r="S228" i="1"/>
  <c r="S109" i="1"/>
  <c r="S178" i="1"/>
  <c r="S84" i="1"/>
  <c r="S80" i="1"/>
  <c r="S53" i="1"/>
  <c r="S118" i="1"/>
  <c r="S125" i="1"/>
  <c r="S161" i="1"/>
  <c r="S177" i="1"/>
  <c r="S45" i="1"/>
  <c r="S91" i="1"/>
  <c r="S51" i="1"/>
  <c r="S188" i="1"/>
  <c r="S105" i="1"/>
  <c r="S18" i="1"/>
  <c r="S150" i="1"/>
  <c r="S229" i="1"/>
  <c r="S64" i="1"/>
  <c r="S193" i="1"/>
  <c r="S132" i="1"/>
  <c r="S113" i="1"/>
  <c r="S111" i="1"/>
  <c r="S88" i="1"/>
  <c r="S246" i="1"/>
  <c r="S41" i="1"/>
  <c r="S186" i="1"/>
  <c r="S40" i="1"/>
  <c r="S4" i="1"/>
  <c r="S173" i="1"/>
  <c r="S154" i="1"/>
  <c r="S102" i="1"/>
  <c r="S48" i="1"/>
  <c r="S119" i="1"/>
  <c r="S220" i="1"/>
  <c r="S83" i="1"/>
  <c r="S227" i="1"/>
  <c r="S19" i="1"/>
  <c r="S99" i="1"/>
  <c r="S141" i="1"/>
  <c r="S78" i="1"/>
  <c r="S74" i="1"/>
  <c r="S139" i="1"/>
  <c r="S73" i="1"/>
  <c r="S200" i="1"/>
  <c r="S50" i="1"/>
  <c r="S89" i="1"/>
  <c r="S7" i="1"/>
  <c r="S247" i="1"/>
  <c r="S131" i="1"/>
  <c r="S187" i="1"/>
  <c r="S245" i="1"/>
  <c r="S94" i="1"/>
  <c r="S128" i="1"/>
  <c r="S26" i="1"/>
  <c r="S221" i="1"/>
  <c r="S238" i="1"/>
  <c r="Z6" i="1" l="1"/>
  <c r="AC6" i="1"/>
  <c r="Z232" i="1"/>
  <c r="AC232" i="1"/>
  <c r="Z65" i="1"/>
  <c r="AC65" i="1"/>
  <c r="Z233" i="1"/>
  <c r="AC233" i="1"/>
  <c r="Z52" i="1"/>
  <c r="AC52" i="1"/>
  <c r="Z9" i="1"/>
  <c r="AC9" i="1"/>
  <c r="Z126" i="1"/>
  <c r="AC126" i="1"/>
  <c r="Z29" i="1"/>
  <c r="AC29" i="1"/>
  <c r="Z55" i="1"/>
  <c r="AC55" i="1"/>
  <c r="Z3" i="1"/>
  <c r="AC3" i="1"/>
  <c r="Z4" i="1"/>
  <c r="AC4" i="1"/>
  <c r="Z77" i="1"/>
  <c r="AC77" i="1"/>
  <c r="Z176" i="1"/>
  <c r="AC176" i="1"/>
  <c r="Z69" i="1"/>
  <c r="AC69" i="1"/>
  <c r="Z93" i="1"/>
  <c r="AC93" i="1"/>
  <c r="Z149" i="1"/>
  <c r="AC149" i="1"/>
  <c r="Z49" i="1"/>
  <c r="AC49" i="1"/>
  <c r="Z164" i="1"/>
  <c r="AC164" i="1"/>
  <c r="Z66" i="1"/>
  <c r="AC66" i="1"/>
  <c r="Z206" i="1"/>
  <c r="AC206" i="1"/>
  <c r="Z189" i="1"/>
  <c r="AC189" i="1"/>
  <c r="Z181" i="1"/>
  <c r="AC181" i="1"/>
  <c r="Z208" i="1"/>
  <c r="AC208" i="1"/>
  <c r="Z151" i="1"/>
  <c r="AC151" i="1"/>
  <c r="Z142" i="1"/>
  <c r="AC142" i="1"/>
  <c r="Z199" i="1"/>
  <c r="AC199" i="1"/>
  <c r="Z62" i="1"/>
  <c r="AC62" i="1"/>
  <c r="Z71" i="1"/>
  <c r="AC71" i="1"/>
  <c r="Z217" i="1"/>
  <c r="AC217" i="1"/>
  <c r="Z79" i="1"/>
  <c r="AC79" i="1"/>
  <c r="AC10" i="1"/>
  <c r="Z75" i="1"/>
  <c r="AC75" i="1"/>
  <c r="Z107" i="1"/>
  <c r="AC107" i="1"/>
  <c r="Z35" i="1"/>
  <c r="AC35" i="1"/>
  <c r="Z154" i="1"/>
  <c r="AC154" i="1"/>
  <c r="Z129" i="1"/>
  <c r="AC129" i="1"/>
  <c r="Z216" i="1"/>
  <c r="AC216" i="1"/>
  <c r="Z24" i="1"/>
  <c r="AC24" i="1"/>
  <c r="Z163" i="1"/>
  <c r="AC163" i="1"/>
  <c r="Z183" i="1"/>
  <c r="AC183" i="1"/>
  <c r="Z136" i="1"/>
  <c r="AC136" i="1"/>
  <c r="Z196" i="1"/>
  <c r="AC196" i="1"/>
  <c r="Z124" i="1"/>
  <c r="AC124" i="1"/>
  <c r="Z207" i="1"/>
  <c r="AC207" i="1"/>
  <c r="Z184" i="1"/>
  <c r="AC184" i="1"/>
  <c r="Z133" i="1"/>
  <c r="AC133" i="1"/>
  <c r="Z223" i="1"/>
  <c r="AC223" i="1"/>
  <c r="Z116" i="1"/>
  <c r="AC116" i="1"/>
  <c r="Z98" i="1"/>
  <c r="AC98" i="1"/>
  <c r="Z59" i="1"/>
  <c r="AC59" i="1"/>
  <c r="Z231" i="1"/>
  <c r="AC231" i="1"/>
  <c r="Z54" i="1"/>
  <c r="AC54" i="1"/>
  <c r="Z37" i="1"/>
  <c r="AC37" i="1"/>
  <c r="Z247" i="1"/>
  <c r="AC247" i="1"/>
  <c r="Z7" i="1"/>
  <c r="AC7" i="1"/>
  <c r="Z73" i="1"/>
  <c r="AC73" i="1"/>
  <c r="Z78" i="1"/>
  <c r="AC78" i="1"/>
  <c r="Z99" i="1"/>
  <c r="AC99" i="1"/>
  <c r="Z83" i="1"/>
  <c r="AC83" i="1"/>
  <c r="Z220" i="1"/>
  <c r="AC220" i="1"/>
  <c r="Z48" i="1"/>
  <c r="AC48" i="1"/>
  <c r="Z172" i="1"/>
  <c r="AC172" i="1"/>
  <c r="Z146" i="1"/>
  <c r="AC146" i="1"/>
  <c r="Z135" i="1"/>
  <c r="AC135" i="1"/>
  <c r="Z246" i="1"/>
  <c r="AC246" i="1"/>
  <c r="Z113" i="1"/>
  <c r="AC113" i="1"/>
  <c r="Z229" i="1"/>
  <c r="AC229" i="1"/>
  <c r="Z188" i="1"/>
  <c r="AC188" i="1"/>
  <c r="Z45" i="1"/>
  <c r="AC45" i="1"/>
  <c r="Z125" i="1"/>
  <c r="AC125" i="1"/>
  <c r="Z193" i="1"/>
  <c r="AC193" i="1"/>
  <c r="Z161" i="1"/>
  <c r="AC161" i="1"/>
  <c r="Z195" i="1"/>
  <c r="AC195" i="1"/>
  <c r="Z212" i="1"/>
  <c r="AC212" i="1"/>
  <c r="Z165" i="1"/>
  <c r="AC165" i="1"/>
  <c r="Z60" i="1"/>
  <c r="AC60" i="1"/>
  <c r="Z82" i="1"/>
  <c r="AC82" i="1"/>
  <c r="Z190" i="1"/>
  <c r="AC190" i="1"/>
  <c r="Z38" i="1"/>
  <c r="AC38" i="1"/>
  <c r="Z179" i="1"/>
  <c r="AC179" i="1"/>
  <c r="Z13" i="1"/>
  <c r="AC13" i="1"/>
  <c r="Z32" i="1"/>
  <c r="AC32" i="1"/>
  <c r="Z33" i="1"/>
  <c r="AC33" i="1"/>
  <c r="Z166" i="1"/>
  <c r="AC166" i="1"/>
  <c r="Z47" i="1"/>
  <c r="AC47" i="1"/>
  <c r="Z147" i="1"/>
  <c r="AC147" i="1"/>
  <c r="Z122" i="1"/>
  <c r="AC122" i="1"/>
  <c r="Z31" i="1"/>
  <c r="AC31" i="1"/>
  <c r="Z104" i="1"/>
  <c r="AC104" i="1"/>
  <c r="Z44" i="1"/>
  <c r="AC44" i="1"/>
  <c r="Z213" i="1"/>
  <c r="AC213" i="1"/>
  <c r="Z225" i="1"/>
  <c r="AC225" i="1"/>
  <c r="Z182" i="1"/>
  <c r="AC182" i="1"/>
  <c r="Z76" i="1"/>
  <c r="AC76" i="1"/>
  <c r="Z120" i="1"/>
  <c r="AC120" i="1"/>
  <c r="Z85" i="1"/>
  <c r="AC85" i="1"/>
  <c r="Z121" i="1"/>
  <c r="AC121" i="1"/>
  <c r="Z43" i="1"/>
  <c r="AC43" i="1"/>
  <c r="Z204" i="1"/>
  <c r="AC204" i="1"/>
  <c r="Z144" i="1"/>
  <c r="AC144" i="1"/>
  <c r="Z67" i="1"/>
  <c r="AC67" i="1"/>
  <c r="Z160" i="1"/>
  <c r="AC160" i="1"/>
  <c r="Z46" i="1"/>
  <c r="AC46" i="1"/>
  <c r="Z102" i="1"/>
  <c r="AC102" i="1"/>
  <c r="Z109" i="1"/>
  <c r="AC109" i="1"/>
  <c r="Z167" i="1"/>
  <c r="AC167" i="1"/>
  <c r="Z155" i="1"/>
  <c r="AC155" i="1"/>
  <c r="Z156" i="1"/>
  <c r="AC156" i="1"/>
  <c r="Z28" i="1"/>
  <c r="AC28" i="1"/>
  <c r="Z110" i="1"/>
  <c r="AC110" i="1"/>
  <c r="Z123" i="1"/>
  <c r="AC123" i="1"/>
  <c r="Z218" i="1"/>
  <c r="AC218" i="1"/>
  <c r="Z34" i="1"/>
  <c r="AC34" i="1"/>
  <c r="Z148" i="1"/>
  <c r="AC148" i="1"/>
  <c r="Z17" i="1"/>
  <c r="AC17" i="1"/>
  <c r="Z175" i="1"/>
  <c r="AC175" i="1"/>
  <c r="Z140" i="1"/>
  <c r="AC140" i="1"/>
  <c r="Z68" i="1"/>
  <c r="AC68" i="1"/>
  <c r="Z235" i="1"/>
  <c r="AC235" i="1"/>
  <c r="Z50" i="1"/>
  <c r="AC50" i="1"/>
  <c r="Z108" i="1"/>
  <c r="AC108" i="1"/>
  <c r="Z132" i="1"/>
  <c r="AC132" i="1"/>
  <c r="Z18" i="1"/>
  <c r="AC18" i="1"/>
  <c r="Z150" i="1"/>
  <c r="AC150" i="1"/>
  <c r="Z51" i="1"/>
  <c r="AC51" i="1"/>
  <c r="Z97" i="1"/>
  <c r="AC97" i="1"/>
  <c r="Z103" i="1"/>
  <c r="AC103" i="1"/>
  <c r="Z100" i="1"/>
  <c r="AC100" i="1"/>
  <c r="Z170" i="1"/>
  <c r="AC170" i="1"/>
  <c r="Z92" i="1"/>
  <c r="AC92" i="1"/>
  <c r="Z22" i="1"/>
  <c r="AC22" i="1"/>
  <c r="Z228" i="1"/>
  <c r="AC228" i="1"/>
  <c r="Z56" i="1"/>
  <c r="AC56" i="1"/>
  <c r="Z221" i="1"/>
  <c r="AC221" i="1"/>
  <c r="Z210" i="1"/>
  <c r="AC210" i="1"/>
  <c r="Z203" i="1"/>
  <c r="AC203" i="1"/>
  <c r="Z214" i="1"/>
  <c r="AC214" i="1"/>
  <c r="Z237" i="1"/>
  <c r="AC237" i="1"/>
  <c r="Z23" i="1"/>
  <c r="AC23" i="1"/>
  <c r="Z72" i="1"/>
  <c r="AC72" i="1"/>
  <c r="Z158" i="1"/>
  <c r="AC158" i="1"/>
  <c r="Z224" i="1"/>
  <c r="AC224" i="1"/>
  <c r="Z169" i="1"/>
  <c r="AC169" i="1"/>
  <c r="Z21" i="1"/>
  <c r="AC21" i="1"/>
  <c r="Z152" i="1"/>
  <c r="AC152" i="1"/>
  <c r="Z101" i="1"/>
  <c r="AC101" i="1"/>
  <c r="Z234" i="1"/>
  <c r="AC234" i="1"/>
  <c r="Z239" i="1"/>
  <c r="AC239" i="1"/>
  <c r="Z63" i="1"/>
  <c r="AC63" i="1"/>
  <c r="Z157" i="1"/>
  <c r="AC157" i="1"/>
  <c r="Z90" i="1"/>
  <c r="AC90" i="1"/>
  <c r="Z250" i="1"/>
  <c r="AC250" i="1"/>
  <c r="Z180" i="1"/>
  <c r="AC180" i="1"/>
  <c r="Z20" i="1"/>
  <c r="AC20" i="1"/>
  <c r="Z219" i="1"/>
  <c r="AC219" i="1"/>
  <c r="Z173" i="1"/>
  <c r="AC173" i="1"/>
  <c r="Z186" i="1"/>
  <c r="AC186" i="1"/>
  <c r="Z40" i="1"/>
  <c r="AC40" i="1"/>
  <c r="Z112" i="1"/>
  <c r="AC112" i="1"/>
  <c r="Z159" i="1"/>
  <c r="AC159" i="1"/>
  <c r="Z185" i="1"/>
  <c r="AC185" i="1"/>
  <c r="Z16" i="1"/>
  <c r="AC16" i="1"/>
  <c r="Z241" i="1"/>
  <c r="AC241" i="1"/>
  <c r="Z36" i="1"/>
  <c r="AC36" i="1"/>
  <c r="Z242" i="1"/>
  <c r="AC242" i="1"/>
  <c r="Z106" i="1"/>
  <c r="AC106" i="1"/>
  <c r="Z192" i="1"/>
  <c r="AC192" i="1"/>
  <c r="Z137" i="1"/>
  <c r="AC137" i="1"/>
  <c r="Z249" i="1"/>
  <c r="AC249" i="1"/>
  <c r="Z117" i="1"/>
  <c r="AC117" i="1"/>
  <c r="Z8" i="1"/>
  <c r="AC8" i="1"/>
  <c r="Z11" i="1"/>
  <c r="AC11" i="1"/>
  <c r="Z25" i="1"/>
  <c r="AC25" i="1"/>
  <c r="Z89" i="1"/>
  <c r="AC89" i="1"/>
  <c r="Z200" i="1"/>
  <c r="AC200" i="1"/>
  <c r="Z139" i="1"/>
  <c r="AC139" i="1"/>
  <c r="Z19" i="1"/>
  <c r="AC19" i="1"/>
  <c r="Z227" i="1"/>
  <c r="AC227" i="1"/>
  <c r="Z119" i="1"/>
  <c r="AC119" i="1"/>
  <c r="AC2" i="1"/>
  <c r="Z30" i="1"/>
  <c r="AC30" i="1"/>
  <c r="Z88" i="1"/>
  <c r="AC88" i="1"/>
  <c r="Z64" i="1"/>
  <c r="AC64" i="1"/>
  <c r="Z177" i="1"/>
  <c r="AC177" i="1"/>
  <c r="Z53" i="1"/>
  <c r="AC53" i="1"/>
  <c r="Z84" i="1"/>
  <c r="AC84" i="1"/>
  <c r="Z80" i="1"/>
  <c r="AC80" i="1"/>
  <c r="Z174" i="1"/>
  <c r="AC174" i="1"/>
  <c r="Z42" i="1"/>
  <c r="AC42" i="1"/>
  <c r="Z222" i="1"/>
  <c r="AC222" i="1"/>
  <c r="Z198" i="1"/>
  <c r="AC198" i="1"/>
  <c r="Z251" i="1"/>
  <c r="AC251" i="1"/>
  <c r="Z226" i="1"/>
  <c r="AC226" i="1"/>
  <c r="Z171" i="1"/>
  <c r="AC171" i="1"/>
  <c r="Z95" i="1"/>
  <c r="AC95" i="1"/>
  <c r="Z238" i="1"/>
  <c r="AC238" i="1"/>
  <c r="Z215" i="1"/>
  <c r="AC215" i="1"/>
  <c r="Z26" i="1"/>
  <c r="AC26" i="1"/>
  <c r="Z58" i="1"/>
  <c r="AC58" i="1"/>
  <c r="Z86" i="1"/>
  <c r="AC86" i="1"/>
  <c r="Z27" i="1"/>
  <c r="AC27" i="1"/>
  <c r="Z240" i="1"/>
  <c r="AC240" i="1"/>
  <c r="Z115" i="1"/>
  <c r="AC115" i="1"/>
  <c r="Z248" i="1"/>
  <c r="AC248" i="1"/>
  <c r="Z168" i="1"/>
  <c r="AC168" i="1"/>
  <c r="Z197" i="1"/>
  <c r="AC197" i="1"/>
  <c r="Z202" i="1"/>
  <c r="AC202" i="1"/>
  <c r="Z145" i="1"/>
  <c r="AC145" i="1"/>
  <c r="Z14" i="1"/>
  <c r="AC14" i="1"/>
  <c r="Z70" i="1"/>
  <c r="AC70" i="1"/>
  <c r="Z205" i="1"/>
  <c r="AC205" i="1"/>
  <c r="Z209" i="1"/>
  <c r="AC209" i="1"/>
  <c r="Z12" i="1"/>
  <c r="AC12" i="1"/>
  <c r="Z211" i="1"/>
  <c r="AC211" i="1"/>
  <c r="Z41" i="1"/>
  <c r="AC41" i="1"/>
  <c r="Z244" i="1"/>
  <c r="AC244" i="1"/>
  <c r="Z130" i="1"/>
  <c r="AC130" i="1"/>
  <c r="Z96" i="1"/>
  <c r="AC96" i="1"/>
  <c r="Z143" i="1"/>
  <c r="AC143" i="1"/>
  <c r="Z162" i="1"/>
  <c r="AC162" i="1"/>
  <c r="Z153" i="1"/>
  <c r="AC153" i="1"/>
  <c r="Z57" i="1"/>
  <c r="AC57" i="1"/>
  <c r="Z94" i="1"/>
  <c r="AC94" i="1"/>
  <c r="Z236" i="1"/>
  <c r="AC236" i="1"/>
  <c r="Z15" i="1"/>
  <c r="AC15" i="1"/>
  <c r="Z114" i="1"/>
  <c r="AC114" i="1"/>
  <c r="Z81" i="1"/>
  <c r="AC81" i="1"/>
  <c r="Z230" i="1"/>
  <c r="AC230" i="1"/>
  <c r="Z87" i="1"/>
  <c r="AC87" i="1"/>
  <c r="Z194" i="1"/>
  <c r="AC194" i="1"/>
  <c r="Z138" i="1"/>
  <c r="AC138" i="1"/>
  <c r="Z201" i="1"/>
  <c r="AC201" i="1"/>
  <c r="Z134" i="1"/>
  <c r="AC134" i="1"/>
  <c r="Z127" i="1"/>
  <c r="AC127" i="1"/>
  <c r="Z243" i="1"/>
  <c r="AC243" i="1"/>
  <c r="Z187" i="1"/>
  <c r="AC187" i="1"/>
  <c r="Z131" i="1"/>
  <c r="AC131" i="1"/>
  <c r="Z74" i="1"/>
  <c r="AC74" i="1"/>
  <c r="Z141" i="1"/>
  <c r="AC141" i="1"/>
  <c r="Z128" i="1"/>
  <c r="AC128" i="1"/>
  <c r="Z245" i="1"/>
  <c r="AC245" i="1"/>
  <c r="Z191" i="1"/>
  <c r="AC191" i="1"/>
  <c r="Z61" i="1"/>
  <c r="AC61" i="1"/>
  <c r="Z39" i="1"/>
  <c r="AC39" i="1"/>
  <c r="Z5" i="1"/>
  <c r="AC5" i="1"/>
  <c r="Z105" i="1"/>
  <c r="AC105" i="1"/>
  <c r="Z91" i="1"/>
  <c r="AC91" i="1"/>
  <c r="Z178" i="1"/>
  <c r="AC178" i="1"/>
  <c r="T118" i="1"/>
  <c r="Y118" i="1" s="1"/>
  <c r="Z118" i="1"/>
  <c r="Z111" i="1"/>
  <c r="T103" i="1"/>
  <c r="X103" i="1" s="1"/>
  <c r="T100" i="1"/>
  <c r="Y100" i="1" s="1"/>
  <c r="T126" i="1"/>
  <c r="Y126" i="1" s="1"/>
  <c r="T92" i="1"/>
  <c r="Y92" i="1" s="1"/>
  <c r="T29" i="1"/>
  <c r="X29" i="1" s="1"/>
  <c r="T55" i="1"/>
  <c r="X55" i="1" s="1"/>
  <c r="T22" i="1"/>
  <c r="X22" i="1" s="1"/>
  <c r="T4" i="1"/>
  <c r="X4" i="1" s="1"/>
  <c r="AE77" i="1"/>
  <c r="T237" i="1"/>
  <c r="Y237" i="1" s="1"/>
  <c r="AE164" i="1"/>
  <c r="T224" i="1"/>
  <c r="Y224" i="1" s="1"/>
  <c r="AE62" i="1"/>
  <c r="T186" i="1"/>
  <c r="Y186" i="1" s="1"/>
  <c r="T40" i="1"/>
  <c r="X40" i="1" s="1"/>
  <c r="T184" i="1"/>
  <c r="X184" i="1" s="1"/>
  <c r="T133" i="1"/>
  <c r="Y133" i="1" s="1"/>
  <c r="T116" i="1"/>
  <c r="X116" i="1" s="1"/>
  <c r="T89" i="1"/>
  <c r="Y89" i="1" s="1"/>
  <c r="T78" i="1"/>
  <c r="Y78" i="1" s="1"/>
  <c r="T99" i="1"/>
  <c r="X99" i="1" s="1"/>
  <c r="T19" i="1"/>
  <c r="Y19" i="1" s="1"/>
  <c r="T227" i="1"/>
  <c r="X227" i="1" s="1"/>
  <c r="T135" i="1"/>
  <c r="X135" i="1" s="1"/>
  <c r="T246" i="1"/>
  <c r="Y246" i="1" s="1"/>
  <c r="T64" i="1"/>
  <c r="X64" i="1" s="1"/>
  <c r="T174" i="1"/>
  <c r="Y174" i="1" s="1"/>
  <c r="T42" i="1"/>
  <c r="X42" i="1" s="1"/>
  <c r="T179" i="1"/>
  <c r="X179" i="1" s="1"/>
  <c r="T26" i="1"/>
  <c r="Y26" i="1" s="1"/>
  <c r="T27" i="1"/>
  <c r="Y27" i="1" s="1"/>
  <c r="T168" i="1"/>
  <c r="X168" i="1" s="1"/>
  <c r="T225" i="1"/>
  <c r="X225" i="1" s="1"/>
  <c r="T121" i="1"/>
  <c r="Y121" i="1" s="1"/>
  <c r="T102" i="1"/>
  <c r="X102" i="1" s="1"/>
  <c r="T41" i="1"/>
  <c r="Y41" i="1" s="1"/>
  <c r="T94" i="1"/>
  <c r="Y94" i="1" s="1"/>
  <c r="T194" i="1"/>
  <c r="Y194" i="1" s="1"/>
  <c r="T17" i="1"/>
  <c r="X17" i="1" s="1"/>
  <c r="T140" i="1"/>
  <c r="Y140" i="1" s="1"/>
  <c r="T134" i="1"/>
  <c r="X134" i="1" s="1"/>
  <c r="T187" i="1"/>
  <c r="Y187" i="1" s="1"/>
  <c r="T191" i="1"/>
  <c r="Y191" i="1" s="1"/>
  <c r="T39" i="1"/>
  <c r="X39" i="1" s="1"/>
  <c r="T132" i="1"/>
  <c r="X132" i="1" s="1"/>
  <c r="T18" i="1"/>
  <c r="Y18" i="1" s="1"/>
  <c r="T111" i="1"/>
  <c r="Y111" i="1" s="1"/>
  <c r="T161" i="1"/>
  <c r="T51" i="1"/>
  <c r="T150" i="1"/>
  <c r="T193" i="1"/>
  <c r="T125" i="1"/>
  <c r="T91" i="1"/>
  <c r="T53" i="1"/>
  <c r="T84" i="1"/>
  <c r="T88" i="1"/>
  <c r="T30" i="1"/>
  <c r="T61" i="1"/>
  <c r="T73" i="1"/>
  <c r="T15" i="1"/>
  <c r="T2" i="1"/>
  <c r="T177" i="1"/>
  <c r="T217" i="1"/>
  <c r="T137" i="1"/>
  <c r="T62" i="1"/>
  <c r="T245" i="1"/>
  <c r="T5" i="1"/>
  <c r="T154" i="1"/>
  <c r="T117" i="1"/>
  <c r="T45" i="1"/>
  <c r="T195" i="1"/>
  <c r="T173" i="1"/>
  <c r="T222" i="1"/>
  <c r="T131" i="1"/>
  <c r="T250" i="1"/>
  <c r="T248" i="1"/>
  <c r="T229" i="1"/>
  <c r="T180" i="1"/>
  <c r="T219" i="1"/>
  <c r="T114" i="1"/>
  <c r="T119" i="1"/>
  <c r="T105" i="1"/>
  <c r="T74" i="1"/>
  <c r="T139" i="1"/>
  <c r="T81" i="1"/>
  <c r="T185" i="1"/>
  <c r="T213" i="1"/>
  <c r="T123" i="1"/>
  <c r="T183" i="1"/>
  <c r="T146" i="1"/>
  <c r="T230" i="1"/>
  <c r="T83" i="1"/>
  <c r="T238" i="1"/>
  <c r="T171" i="1"/>
  <c r="T136" i="1"/>
  <c r="T243" i="1"/>
  <c r="T35" i="1"/>
  <c r="T199" i="1"/>
  <c r="T90" i="1"/>
  <c r="T34" i="1"/>
  <c r="T37" i="1"/>
  <c r="T50" i="1"/>
  <c r="T172" i="1"/>
  <c r="T202" i="1"/>
  <c r="T163" i="1"/>
  <c r="T249" i="1"/>
  <c r="T205" i="1"/>
  <c r="T148" i="1"/>
  <c r="T167" i="1"/>
  <c r="T95" i="1"/>
  <c r="T49" i="1"/>
  <c r="T223" i="1"/>
  <c r="T235" i="1"/>
  <c r="T214" i="1"/>
  <c r="T181" i="1"/>
  <c r="T122" i="1"/>
  <c r="T151" i="1"/>
  <c r="T124" i="1"/>
  <c r="T197" i="1"/>
  <c r="T47" i="1"/>
  <c r="T24" i="1"/>
  <c r="T57" i="1"/>
  <c r="T54" i="1"/>
  <c r="T36" i="1"/>
  <c r="T144" i="1"/>
  <c r="T52" i="1"/>
  <c r="T226" i="1"/>
  <c r="T79" i="1"/>
  <c r="T108" i="1"/>
  <c r="T87" i="1"/>
  <c r="T23" i="1"/>
  <c r="T128" i="1"/>
  <c r="T143" i="1"/>
  <c r="T77" i="1"/>
  <c r="T28" i="1"/>
  <c r="T7" i="1"/>
  <c r="T236" i="1"/>
  <c r="T3" i="1"/>
  <c r="T216" i="1"/>
  <c r="T228" i="1"/>
  <c r="T56" i="1"/>
  <c r="T101" i="1"/>
  <c r="T234" i="1"/>
  <c r="T240" i="1"/>
  <c r="T209" i="1"/>
  <c r="T153" i="1"/>
  <c r="T138" i="1"/>
  <c r="T201" i="1"/>
  <c r="T127" i="1"/>
  <c r="T13" i="1"/>
  <c r="T221" i="1"/>
  <c r="T203" i="1"/>
  <c r="T170" i="1"/>
  <c r="T31" i="1"/>
  <c r="T204" i="1"/>
  <c r="T72" i="1"/>
  <c r="T220" i="1"/>
  <c r="T107" i="1"/>
  <c r="T176" i="1"/>
  <c r="T241" i="1"/>
  <c r="T109" i="1"/>
  <c r="T59" i="1"/>
  <c r="T76" i="1"/>
  <c r="T58" i="1"/>
  <c r="T210" i="1"/>
  <c r="T129" i="1"/>
  <c r="T33" i="1"/>
  <c r="T232" i="1"/>
  <c r="T113" i="1"/>
  <c r="T149" i="1"/>
  <c r="T196" i="1"/>
  <c r="T93" i="1"/>
  <c r="T211" i="1"/>
  <c r="T244" i="1"/>
  <c r="T6" i="1"/>
  <c r="T198" i="1"/>
  <c r="T159" i="1"/>
  <c r="T66" i="1"/>
  <c r="T157" i="1"/>
  <c r="T75" i="1"/>
  <c r="T158" i="1"/>
  <c r="T130" i="1"/>
  <c r="T86" i="1"/>
  <c r="T68" i="1"/>
  <c r="T142" i="1"/>
  <c r="T98" i="1"/>
  <c r="T164" i="1"/>
  <c r="T63" i="1"/>
  <c r="T14" i="1"/>
  <c r="T215" i="1"/>
  <c r="T96" i="1"/>
  <c r="T85" i="1"/>
  <c r="T120" i="1"/>
  <c r="T67" i="1"/>
  <c r="T155" i="1"/>
  <c r="T218" i="1"/>
  <c r="T65" i="1"/>
  <c r="T82" i="1"/>
  <c r="T60" i="1"/>
  <c r="T44" i="1"/>
  <c r="T247" i="1"/>
  <c r="T104" i="1"/>
  <c r="T156" i="1"/>
  <c r="T46" i="1"/>
  <c r="T110" i="1"/>
  <c r="T192" i="1"/>
  <c r="T9" i="1"/>
  <c r="T97" i="1"/>
  <c r="T200" i="1"/>
  <c r="T239" i="1"/>
  <c r="T147" i="1"/>
  <c r="T233" i="1"/>
  <c r="T71" i="1"/>
  <c r="T38" i="1"/>
  <c r="T21" i="1"/>
  <c r="T145" i="1"/>
  <c r="T160" i="1"/>
  <c r="T16" i="1"/>
  <c r="T175" i="1"/>
  <c r="T70" i="1"/>
  <c r="T182" i="1"/>
  <c r="T20" i="1"/>
  <c r="T162" i="1"/>
  <c r="T43" i="1"/>
  <c r="T112" i="1"/>
  <c r="T115" i="1"/>
  <c r="T169" i="1"/>
  <c r="T152" i="1"/>
  <c r="T141" i="1"/>
  <c r="AE111" i="1"/>
  <c r="AE65" i="1"/>
  <c r="T48" i="1"/>
  <c r="T10" i="1"/>
  <c r="T189" i="1"/>
  <c r="T206" i="1"/>
  <c r="T12" i="1"/>
  <c r="T178" i="1"/>
  <c r="T11" i="1"/>
  <c r="T190" i="1"/>
  <c r="T165" i="1"/>
  <c r="T212" i="1"/>
  <c r="T231" i="1"/>
  <c r="T207" i="1"/>
  <c r="T8" i="1"/>
  <c r="X8" i="1" s="1"/>
  <c r="T166" i="1"/>
  <c r="T69" i="1"/>
  <c r="T208" i="1"/>
  <c r="T25" i="1"/>
  <c r="T242" i="1"/>
  <c r="T32" i="1"/>
  <c r="T80" i="1"/>
  <c r="T188" i="1"/>
  <c r="T106" i="1"/>
  <c r="T251" i="1"/>
  <c r="X126" i="1" l="1"/>
  <c r="X118" i="1"/>
  <c r="AD164" i="1"/>
  <c r="AD65" i="1"/>
  <c r="AD77" i="1"/>
  <c r="AD62" i="1"/>
  <c r="AD111" i="1"/>
  <c r="AE227" i="1"/>
  <c r="AE182" i="1"/>
  <c r="AE122" i="1"/>
  <c r="AE86" i="1"/>
  <c r="AE215" i="1"/>
  <c r="AE95" i="1"/>
  <c r="AE251" i="1"/>
  <c r="AE177" i="1"/>
  <c r="AE220" i="1"/>
  <c r="AE25" i="1"/>
  <c r="AE241" i="1"/>
  <c r="AE16" i="1"/>
  <c r="AE112" i="1"/>
  <c r="AE75" i="1"/>
  <c r="AE63" i="1"/>
  <c r="AE234" i="1"/>
  <c r="AE49" i="1"/>
  <c r="AE214" i="1"/>
  <c r="AE3" i="1"/>
  <c r="AE99" i="1"/>
  <c r="AE22" i="1"/>
  <c r="AE134" i="1"/>
  <c r="AE92" i="1"/>
  <c r="AE132" i="1"/>
  <c r="AE178" i="1"/>
  <c r="AE105" i="1"/>
  <c r="AE5" i="1"/>
  <c r="AE123" i="1"/>
  <c r="AE244" i="1"/>
  <c r="AE211" i="1"/>
  <c r="AE46" i="1"/>
  <c r="AE144" i="1"/>
  <c r="AE145" i="1"/>
  <c r="AE197" i="1"/>
  <c r="AE166" i="1"/>
  <c r="AE38" i="1"/>
  <c r="AE60" i="1"/>
  <c r="AE193" i="1"/>
  <c r="AE45" i="1"/>
  <c r="AE88" i="1"/>
  <c r="AE247" i="1"/>
  <c r="AE242" i="1"/>
  <c r="AE136" i="1"/>
  <c r="AE216" i="1"/>
  <c r="AE154" i="1"/>
  <c r="AE20" i="1"/>
  <c r="AE210" i="1"/>
  <c r="AE196" i="1"/>
  <c r="AE102" i="1"/>
  <c r="AE18" i="1"/>
  <c r="AE26" i="1"/>
  <c r="AE128" i="1"/>
  <c r="AE50" i="1"/>
  <c r="AE235" i="1"/>
  <c r="AE167" i="1"/>
  <c r="AE104" i="1"/>
  <c r="AE238" i="1"/>
  <c r="AE171" i="1"/>
  <c r="AE198" i="1"/>
  <c r="AE222" i="1"/>
  <c r="AE146" i="1"/>
  <c r="AE83" i="1"/>
  <c r="AE139" i="1"/>
  <c r="AE11" i="1"/>
  <c r="AE249" i="1"/>
  <c r="AE159" i="1"/>
  <c r="AE173" i="1"/>
  <c r="AE10" i="1"/>
  <c r="AE90" i="1"/>
  <c r="AE101" i="1"/>
  <c r="AE208" i="1"/>
  <c r="AE206" i="1"/>
  <c r="AE23" i="1"/>
  <c r="AE69" i="1"/>
  <c r="AE9" i="1"/>
  <c r="AE233" i="1"/>
  <c r="AE245" i="1"/>
  <c r="AE131" i="1"/>
  <c r="AE34" i="1"/>
  <c r="AE232" i="1"/>
  <c r="AE138" i="1"/>
  <c r="AE121" i="1"/>
  <c r="AE27" i="1"/>
  <c r="AE29" i="1"/>
  <c r="AE17" i="1"/>
  <c r="AE68" i="1"/>
  <c r="AE57" i="1"/>
  <c r="AE12" i="1"/>
  <c r="AE204" i="1"/>
  <c r="AE202" i="1"/>
  <c r="AE147" i="1"/>
  <c r="AE33" i="1"/>
  <c r="AE13" i="1"/>
  <c r="AE190" i="1"/>
  <c r="AE165" i="1"/>
  <c r="AE195" i="1"/>
  <c r="AE188" i="1"/>
  <c r="AE73" i="1"/>
  <c r="AE231" i="1"/>
  <c r="AE223" i="1"/>
  <c r="AE192" i="1"/>
  <c r="AE36" i="1"/>
  <c r="AE35" i="1"/>
  <c r="AE142" i="1"/>
  <c r="AE21" i="1"/>
  <c r="AE158" i="1"/>
  <c r="AE221" i="1"/>
  <c r="AE28" i="1"/>
  <c r="AE116" i="1"/>
  <c r="AE153" i="1"/>
  <c r="AE240" i="1"/>
  <c r="AE41" i="1"/>
  <c r="AE103" i="1"/>
  <c r="AE187" i="1"/>
  <c r="AE64" i="1"/>
  <c r="AE191" i="1"/>
  <c r="AE51" i="1"/>
  <c r="AE61" i="1"/>
  <c r="AE230" i="1"/>
  <c r="AE143" i="1"/>
  <c r="AE109" i="1"/>
  <c r="AE213" i="1"/>
  <c r="AE58" i="1"/>
  <c r="AE80" i="1"/>
  <c r="AE84" i="1"/>
  <c r="AE172" i="1"/>
  <c r="AE8" i="1"/>
  <c r="AE79" i="1"/>
  <c r="AE157" i="1"/>
  <c r="AE239" i="1"/>
  <c r="AE151" i="1"/>
  <c r="AE181" i="1"/>
  <c r="AE66" i="1"/>
  <c r="AE176" i="1"/>
  <c r="AE52" i="1"/>
  <c r="AE130" i="1"/>
  <c r="AE14" i="1"/>
  <c r="AE200" i="1"/>
  <c r="AE149" i="1"/>
  <c r="AE184" i="1"/>
  <c r="AE97" i="1"/>
  <c r="AE140" i="1"/>
  <c r="AE135" i="1"/>
  <c r="AE100" i="1"/>
  <c r="AE118" i="1"/>
  <c r="AE169" i="1"/>
  <c r="AE218" i="1"/>
  <c r="AE120" i="1"/>
  <c r="AE126" i="1"/>
  <c r="AE55" i="1"/>
  <c r="AE42" i="1"/>
  <c r="AE19" i="1"/>
  <c r="AE168" i="1"/>
  <c r="AE87" i="1"/>
  <c r="AE114" i="1"/>
  <c r="AE162" i="1"/>
  <c r="AE156" i="1"/>
  <c r="AE160" i="1"/>
  <c r="AE43" i="1"/>
  <c r="AE248" i="1"/>
  <c r="AE32" i="1"/>
  <c r="AE82" i="1"/>
  <c r="AE161" i="1"/>
  <c r="AE30" i="1"/>
  <c r="AE7" i="1"/>
  <c r="AE37" i="1"/>
  <c r="AE59" i="1"/>
  <c r="AE137" i="1"/>
  <c r="AE106" i="1"/>
  <c r="AE185" i="1"/>
  <c r="AE163" i="1"/>
  <c r="AE129" i="1"/>
  <c r="AE219" i="1"/>
  <c r="AE180" i="1"/>
  <c r="AE71" i="1"/>
  <c r="AE56" i="1"/>
  <c r="AE155" i="1"/>
  <c r="AE201" i="1"/>
  <c r="AE133" i="1"/>
  <c r="AE152" i="1"/>
  <c r="AE141" i="1"/>
  <c r="AE186" i="1"/>
  <c r="AE150" i="1"/>
  <c r="AE76" i="1"/>
  <c r="AE44" i="1"/>
  <c r="AE31" i="1"/>
  <c r="AE226" i="1"/>
  <c r="AE53" i="1"/>
  <c r="AE48" i="1"/>
  <c r="AE117" i="1"/>
  <c r="AE207" i="1"/>
  <c r="AE124" i="1"/>
  <c r="AE107" i="1"/>
  <c r="AE217" i="1"/>
  <c r="AE6" i="1"/>
  <c r="AE236" i="1"/>
  <c r="AE205" i="1"/>
  <c r="AE174" i="1"/>
  <c r="AE67" i="1"/>
  <c r="AE113" i="1"/>
  <c r="AE127" i="1"/>
  <c r="AE209" i="1"/>
  <c r="AE78" i="1"/>
  <c r="AE89" i="1"/>
  <c r="AE237" i="1"/>
  <c r="AE179" i="1"/>
  <c r="AE39" i="1"/>
  <c r="AE243" i="1"/>
  <c r="AE175" i="1"/>
  <c r="AE148" i="1"/>
  <c r="AE81" i="1"/>
  <c r="AE15" i="1"/>
  <c r="AE96" i="1"/>
  <c r="AE70" i="1"/>
  <c r="AE194" i="1"/>
  <c r="AE40" i="1"/>
  <c r="AE4" i="1"/>
  <c r="AE225" i="1"/>
  <c r="AE224" i="1"/>
  <c r="AE94" i="1"/>
  <c r="AE246" i="1"/>
  <c r="AE91" i="1"/>
  <c r="AE108" i="1"/>
  <c r="AE74" i="1"/>
  <c r="AE110" i="1"/>
  <c r="AE85" i="1"/>
  <c r="AE115" i="1"/>
  <c r="AE47" i="1"/>
  <c r="AE212" i="1"/>
  <c r="AE125" i="1"/>
  <c r="AE229" i="1"/>
  <c r="AE119" i="1"/>
  <c r="AE54" i="1"/>
  <c r="AE98" i="1"/>
  <c r="AE183" i="1"/>
  <c r="AE24" i="1"/>
  <c r="AE250" i="1"/>
  <c r="AE199" i="1"/>
  <c r="AE189" i="1"/>
  <c r="AE72" i="1"/>
  <c r="AE93" i="1"/>
  <c r="AE203" i="1"/>
  <c r="AE228" i="1"/>
  <c r="AE170" i="1"/>
  <c r="Y55" i="1"/>
  <c r="Y4" i="1"/>
  <c r="X100" i="1"/>
  <c r="Y29" i="1"/>
  <c r="X237" i="1"/>
  <c r="Y22" i="1"/>
  <c r="X92" i="1"/>
  <c r="Y103" i="1"/>
  <c r="Y17" i="1"/>
  <c r="X140" i="1"/>
  <c r="X27" i="1"/>
  <c r="Y168" i="1"/>
  <c r="X78" i="1"/>
  <c r="Y225" i="1"/>
  <c r="Y116" i="1"/>
  <c r="Y64" i="1"/>
  <c r="Y135" i="1"/>
  <c r="X41" i="1"/>
  <c r="X191" i="1"/>
  <c r="Y179" i="1"/>
  <c r="X133" i="1"/>
  <c r="Y102" i="1"/>
  <c r="X174" i="1"/>
  <c r="X246" i="1"/>
  <c r="X111" i="1"/>
  <c r="X121" i="1"/>
  <c r="Y132" i="1"/>
  <c r="Y184" i="1"/>
  <c r="X186" i="1"/>
  <c r="Y39" i="1"/>
  <c r="X194" i="1"/>
  <c r="X18" i="1"/>
  <c r="Y227" i="1"/>
  <c r="Y40" i="1"/>
  <c r="X89" i="1"/>
  <c r="Y99" i="1"/>
  <c r="X26" i="1"/>
  <c r="X19" i="1"/>
  <c r="Y134" i="1"/>
  <c r="Y42" i="1"/>
  <c r="X224" i="1"/>
  <c r="X187" i="1"/>
  <c r="X94" i="1"/>
  <c r="X190" i="1"/>
  <c r="Y190" i="1"/>
  <c r="X9" i="1"/>
  <c r="Y9" i="1"/>
  <c r="X247" i="1"/>
  <c r="Y247" i="1"/>
  <c r="X129" i="1"/>
  <c r="Y129" i="1"/>
  <c r="X58" i="1"/>
  <c r="Y58" i="1"/>
  <c r="X220" i="1"/>
  <c r="Y220" i="1"/>
  <c r="X203" i="1"/>
  <c r="Y203" i="1"/>
  <c r="X101" i="1"/>
  <c r="Y101" i="1"/>
  <c r="X7" i="1"/>
  <c r="Y7" i="1"/>
  <c r="X143" i="1"/>
  <c r="Y143" i="1"/>
  <c r="X36" i="1"/>
  <c r="Y36" i="1"/>
  <c r="X24" i="1"/>
  <c r="Y24" i="1"/>
  <c r="X124" i="1"/>
  <c r="Y124" i="1"/>
  <c r="X181" i="1"/>
  <c r="Y181" i="1"/>
  <c r="X49" i="1"/>
  <c r="Y49" i="1"/>
  <c r="X163" i="1"/>
  <c r="Y163" i="1"/>
  <c r="X50" i="1"/>
  <c r="Y50" i="1"/>
  <c r="X34" i="1"/>
  <c r="Y34" i="1"/>
  <c r="X199" i="1"/>
  <c r="Y199" i="1"/>
  <c r="X243" i="1"/>
  <c r="Y243" i="1"/>
  <c r="X83" i="1"/>
  <c r="Y83" i="1"/>
  <c r="X183" i="1"/>
  <c r="Y183" i="1"/>
  <c r="X213" i="1"/>
  <c r="Y213" i="1"/>
  <c r="X74" i="1"/>
  <c r="Y74" i="1"/>
  <c r="X250" i="1"/>
  <c r="Y250" i="1"/>
  <c r="X195" i="1"/>
  <c r="Y195" i="1"/>
  <c r="X73" i="1"/>
  <c r="Y73" i="1"/>
  <c r="X88" i="1"/>
  <c r="Y88" i="1"/>
  <c r="X84" i="1"/>
  <c r="Y84" i="1"/>
  <c r="X125" i="1"/>
  <c r="Y125" i="1"/>
  <c r="X193" i="1"/>
  <c r="Y193" i="1"/>
  <c r="X51" i="1"/>
  <c r="Y51" i="1"/>
  <c r="X25" i="1"/>
  <c r="Y25" i="1"/>
  <c r="X166" i="1"/>
  <c r="Y166" i="1"/>
  <c r="X75" i="1"/>
  <c r="Y75" i="1"/>
  <c r="X198" i="1"/>
  <c r="Y198" i="1"/>
  <c r="X93" i="1"/>
  <c r="Y93" i="1"/>
  <c r="X208" i="1"/>
  <c r="Y208" i="1"/>
  <c r="X11" i="1"/>
  <c r="Y11" i="1"/>
  <c r="X10" i="1"/>
  <c r="Y10" i="1"/>
  <c r="X169" i="1"/>
  <c r="Y169" i="1"/>
  <c r="X20" i="1"/>
  <c r="Y20" i="1"/>
  <c r="X70" i="1"/>
  <c r="Y70" i="1"/>
  <c r="X233" i="1"/>
  <c r="Y233" i="1"/>
  <c r="X192" i="1"/>
  <c r="Y192" i="1"/>
  <c r="X110" i="1"/>
  <c r="Y110" i="1"/>
  <c r="X156" i="1"/>
  <c r="Y156" i="1"/>
  <c r="X82" i="1"/>
  <c r="Y82" i="1"/>
  <c r="X218" i="1"/>
  <c r="Y218" i="1"/>
  <c r="X155" i="1"/>
  <c r="Y155" i="1"/>
  <c r="X120" i="1"/>
  <c r="Y120" i="1"/>
  <c r="X215" i="1"/>
  <c r="Y215" i="1"/>
  <c r="X164" i="1"/>
  <c r="Y164" i="1"/>
  <c r="X68" i="1"/>
  <c r="Y68" i="1"/>
  <c r="X157" i="1"/>
  <c r="Y157" i="1"/>
  <c r="X66" i="1"/>
  <c r="Y66" i="1"/>
  <c r="X6" i="1"/>
  <c r="Y6" i="1"/>
  <c r="X196" i="1"/>
  <c r="Y196" i="1"/>
  <c r="X76" i="1"/>
  <c r="Y76" i="1"/>
  <c r="X109" i="1"/>
  <c r="Y109" i="1"/>
  <c r="X176" i="1"/>
  <c r="Y176" i="1"/>
  <c r="X221" i="1"/>
  <c r="Y221" i="1"/>
  <c r="X201" i="1"/>
  <c r="Y201" i="1"/>
  <c r="X153" i="1"/>
  <c r="Y153" i="1"/>
  <c r="X240" i="1"/>
  <c r="Y240" i="1"/>
  <c r="X56" i="1"/>
  <c r="Y56" i="1"/>
  <c r="X216" i="1"/>
  <c r="Y216" i="1"/>
  <c r="X77" i="1"/>
  <c r="Y77" i="1"/>
  <c r="X128" i="1"/>
  <c r="Y128" i="1"/>
  <c r="X54" i="1"/>
  <c r="Y54" i="1"/>
  <c r="X167" i="1"/>
  <c r="Y167" i="1"/>
  <c r="X205" i="1"/>
  <c r="Y205" i="1"/>
  <c r="X90" i="1"/>
  <c r="Y90" i="1"/>
  <c r="X185" i="1"/>
  <c r="Y185" i="1"/>
  <c r="X81" i="1"/>
  <c r="Y81" i="1"/>
  <c r="X105" i="1"/>
  <c r="Y105" i="1"/>
  <c r="X114" i="1"/>
  <c r="Y114" i="1"/>
  <c r="X180" i="1"/>
  <c r="Y180" i="1"/>
  <c r="X222" i="1"/>
  <c r="Y222" i="1"/>
  <c r="X154" i="1"/>
  <c r="Y154" i="1"/>
  <c r="X2" i="1"/>
  <c r="Y2" i="1"/>
  <c r="X30" i="1"/>
  <c r="Y30" i="1"/>
  <c r="X53" i="1"/>
  <c r="Y53" i="1"/>
  <c r="X162" i="1"/>
  <c r="Y162" i="1"/>
  <c r="X160" i="1"/>
  <c r="Y160" i="1"/>
  <c r="X239" i="1"/>
  <c r="Y239" i="1"/>
  <c r="X97" i="1"/>
  <c r="Y97" i="1"/>
  <c r="X46" i="1"/>
  <c r="Y46" i="1"/>
  <c r="X60" i="1"/>
  <c r="Y60" i="1"/>
  <c r="X188" i="1"/>
  <c r="Y188" i="1"/>
  <c r="X85" i="1"/>
  <c r="Y85" i="1"/>
  <c r="X14" i="1"/>
  <c r="Y14" i="1"/>
  <c r="X86" i="1"/>
  <c r="Y86" i="1"/>
  <c r="X130" i="1"/>
  <c r="Y130" i="1"/>
  <c r="X159" i="1"/>
  <c r="Y159" i="1"/>
  <c r="X244" i="1"/>
  <c r="Y244" i="1"/>
  <c r="X33" i="1"/>
  <c r="Y33" i="1"/>
  <c r="X210" i="1"/>
  <c r="Y210" i="1"/>
  <c r="X59" i="1"/>
  <c r="Y59" i="1"/>
  <c r="X107" i="1"/>
  <c r="Y107" i="1"/>
  <c r="X204" i="1"/>
  <c r="Y204" i="1"/>
  <c r="X170" i="1"/>
  <c r="Y170" i="1"/>
  <c r="X13" i="1"/>
  <c r="Y13" i="1"/>
  <c r="X228" i="1"/>
  <c r="Y228" i="1"/>
  <c r="X3" i="1"/>
  <c r="Y3" i="1"/>
  <c r="X236" i="1"/>
  <c r="Y236" i="1"/>
  <c r="X23" i="1"/>
  <c r="Y23" i="1"/>
  <c r="X226" i="1"/>
  <c r="Y226" i="1"/>
  <c r="X52" i="1"/>
  <c r="Y52" i="1"/>
  <c r="X144" i="1"/>
  <c r="Y144" i="1"/>
  <c r="X57" i="1"/>
  <c r="Y57" i="1"/>
  <c r="X47" i="1"/>
  <c r="Y47" i="1"/>
  <c r="X151" i="1"/>
  <c r="Y151" i="1"/>
  <c r="X214" i="1"/>
  <c r="Y214" i="1"/>
  <c r="X235" i="1"/>
  <c r="Y235" i="1"/>
  <c r="X148" i="1"/>
  <c r="Y148" i="1"/>
  <c r="X172" i="1"/>
  <c r="Y172" i="1"/>
  <c r="X37" i="1"/>
  <c r="Y37" i="1"/>
  <c r="X35" i="1"/>
  <c r="Y35" i="1"/>
  <c r="X171" i="1"/>
  <c r="Y171" i="1"/>
  <c r="X230" i="1"/>
  <c r="Y230" i="1"/>
  <c r="X119" i="1"/>
  <c r="Y119" i="1"/>
  <c r="X219" i="1"/>
  <c r="Y219" i="1"/>
  <c r="X229" i="1"/>
  <c r="Y229" i="1"/>
  <c r="X131" i="1"/>
  <c r="Y131" i="1"/>
  <c r="X173" i="1"/>
  <c r="Y173" i="1"/>
  <c r="X45" i="1"/>
  <c r="Y45" i="1"/>
  <c r="X5" i="1"/>
  <c r="Y5" i="1"/>
  <c r="X62" i="1"/>
  <c r="Y62" i="1"/>
  <c r="X217" i="1"/>
  <c r="Y217" i="1"/>
  <c r="X177" i="1"/>
  <c r="Y177" i="1"/>
  <c r="X15" i="1"/>
  <c r="Y15" i="1"/>
  <c r="X150" i="1"/>
  <c r="Y150" i="1"/>
  <c r="X106" i="1"/>
  <c r="Y106" i="1"/>
  <c r="X207" i="1"/>
  <c r="Y207" i="1"/>
  <c r="X12" i="1"/>
  <c r="Y12" i="1"/>
  <c r="X48" i="1"/>
  <c r="Y48" i="1"/>
  <c r="X71" i="1"/>
  <c r="Y71" i="1"/>
  <c r="X251" i="1"/>
  <c r="Y251" i="1"/>
  <c r="X32" i="1"/>
  <c r="Y32" i="1"/>
  <c r="X69" i="1"/>
  <c r="Y69" i="1"/>
  <c r="X231" i="1"/>
  <c r="Y231" i="1"/>
  <c r="X212" i="1"/>
  <c r="Y212" i="1"/>
  <c r="X206" i="1"/>
  <c r="Y206" i="1"/>
  <c r="X115" i="1"/>
  <c r="Y115" i="1"/>
  <c r="X43" i="1"/>
  <c r="Y43" i="1"/>
  <c r="X182" i="1"/>
  <c r="Y182" i="1"/>
  <c r="X175" i="1"/>
  <c r="Y175" i="1"/>
  <c r="X16" i="1"/>
  <c r="Y16" i="1"/>
  <c r="X145" i="1"/>
  <c r="Y145" i="1"/>
  <c r="X200" i="1"/>
  <c r="Y200" i="1"/>
  <c r="X44" i="1"/>
  <c r="Y44" i="1"/>
  <c r="X80" i="1"/>
  <c r="Y80" i="1"/>
  <c r="X242" i="1"/>
  <c r="Y242" i="1"/>
  <c r="Y8" i="1"/>
  <c r="X165" i="1"/>
  <c r="Y165" i="1"/>
  <c r="X178" i="1"/>
  <c r="Y178" i="1"/>
  <c r="X189" i="1"/>
  <c r="Y189" i="1"/>
  <c r="X141" i="1"/>
  <c r="Y141" i="1"/>
  <c r="X152" i="1"/>
  <c r="Y152" i="1"/>
  <c r="X112" i="1"/>
  <c r="Y112" i="1"/>
  <c r="X21" i="1"/>
  <c r="Y21" i="1"/>
  <c r="X38" i="1"/>
  <c r="Y38" i="1"/>
  <c r="X147" i="1"/>
  <c r="Y147" i="1"/>
  <c r="X104" i="1"/>
  <c r="Y104" i="1"/>
  <c r="X65" i="1"/>
  <c r="Y65" i="1"/>
  <c r="X67" i="1"/>
  <c r="Y67" i="1"/>
  <c r="X96" i="1"/>
  <c r="Y96" i="1"/>
  <c r="X63" i="1"/>
  <c r="Y63" i="1"/>
  <c r="X98" i="1"/>
  <c r="Y98" i="1"/>
  <c r="X142" i="1"/>
  <c r="Y142" i="1"/>
  <c r="X158" i="1"/>
  <c r="Y158" i="1"/>
  <c r="X211" i="1"/>
  <c r="Y211" i="1"/>
  <c r="X149" i="1"/>
  <c r="Y149" i="1"/>
  <c r="X113" i="1"/>
  <c r="Y113" i="1"/>
  <c r="X232" i="1"/>
  <c r="Y232" i="1"/>
  <c r="X241" i="1"/>
  <c r="Y241" i="1"/>
  <c r="X72" i="1"/>
  <c r="Y72" i="1"/>
  <c r="X31" i="1"/>
  <c r="Y31" i="1"/>
  <c r="X127" i="1"/>
  <c r="Y127" i="1"/>
  <c r="X138" i="1"/>
  <c r="Y138" i="1"/>
  <c r="X209" i="1"/>
  <c r="Y209" i="1"/>
  <c r="X234" i="1"/>
  <c r="Y234" i="1"/>
  <c r="X28" i="1"/>
  <c r="Y28" i="1"/>
  <c r="X87" i="1"/>
  <c r="Y87" i="1"/>
  <c r="X108" i="1"/>
  <c r="Y108" i="1"/>
  <c r="X79" i="1"/>
  <c r="Y79" i="1"/>
  <c r="X197" i="1"/>
  <c r="Y197" i="1"/>
  <c r="X122" i="1"/>
  <c r="Y122" i="1"/>
  <c r="X223" i="1"/>
  <c r="Y223" i="1"/>
  <c r="X95" i="1"/>
  <c r="Y95" i="1"/>
  <c r="X249" i="1"/>
  <c r="Y249" i="1"/>
  <c r="X202" i="1"/>
  <c r="Y202" i="1"/>
  <c r="X136" i="1"/>
  <c r="Y136" i="1"/>
  <c r="X238" i="1"/>
  <c r="Y238" i="1"/>
  <c r="X146" i="1"/>
  <c r="Y146" i="1"/>
  <c r="X123" i="1"/>
  <c r="Y123" i="1"/>
  <c r="X139" i="1"/>
  <c r="Y139" i="1"/>
  <c r="X248" i="1"/>
  <c r="Y248" i="1"/>
  <c r="X117" i="1"/>
  <c r="Y117" i="1"/>
  <c r="X245" i="1"/>
  <c r="Y245" i="1"/>
  <c r="X137" i="1"/>
  <c r="Y137" i="1"/>
  <c r="X61" i="1"/>
  <c r="Y61" i="1"/>
  <c r="X91" i="1"/>
  <c r="Y91" i="1"/>
  <c r="X161" i="1"/>
  <c r="Y161" i="1"/>
  <c r="AE2" i="1" l="1"/>
  <c r="AD203" i="1"/>
  <c r="AD98" i="1"/>
  <c r="AD6" i="1"/>
  <c r="AD217" i="1"/>
  <c r="AD201" i="1"/>
  <c r="AD185" i="1"/>
  <c r="AD82" i="1"/>
  <c r="AD42" i="1"/>
  <c r="AD135" i="1"/>
  <c r="AD149" i="1"/>
  <c r="AD151" i="1"/>
  <c r="AD80" i="1"/>
  <c r="AD230" i="1"/>
  <c r="AD51" i="1"/>
  <c r="AD153" i="1"/>
  <c r="AD158" i="1"/>
  <c r="AD13" i="1"/>
  <c r="AD12" i="1"/>
  <c r="AD138" i="1"/>
  <c r="AD23" i="1"/>
  <c r="AD159" i="1"/>
  <c r="AD83" i="1"/>
  <c r="AD238" i="1"/>
  <c r="AD167" i="1"/>
  <c r="AD26" i="1"/>
  <c r="AD136" i="1"/>
  <c r="AD45" i="1"/>
  <c r="AD244" i="1"/>
  <c r="AD16" i="1"/>
  <c r="AD122" i="1"/>
  <c r="AD93" i="1"/>
  <c r="AD54" i="1"/>
  <c r="AD212" i="1"/>
  <c r="AD85" i="1"/>
  <c r="AD91" i="1"/>
  <c r="AD40" i="1"/>
  <c r="AD15" i="1"/>
  <c r="AD107" i="1"/>
  <c r="AD155" i="1"/>
  <c r="AD2" i="1"/>
  <c r="AD32" i="1"/>
  <c r="AD156" i="1"/>
  <c r="AD218" i="1"/>
  <c r="AD200" i="1"/>
  <c r="AD239" i="1"/>
  <c r="AD21" i="1"/>
  <c r="AD33" i="1"/>
  <c r="AD232" i="1"/>
  <c r="AD245" i="1"/>
  <c r="AD206" i="1"/>
  <c r="AD146" i="1"/>
  <c r="AD18" i="1"/>
  <c r="AD193" i="1"/>
  <c r="AD197" i="1"/>
  <c r="AD5" i="1"/>
  <c r="AD22" i="1"/>
  <c r="AD241" i="1"/>
  <c r="AD177" i="1"/>
  <c r="AD182" i="1"/>
  <c r="AD24" i="1"/>
  <c r="AD81" i="1"/>
  <c r="AD209" i="1"/>
  <c r="AD67" i="1"/>
  <c r="AD48" i="1"/>
  <c r="AD31" i="1"/>
  <c r="AD186" i="1"/>
  <c r="AD30" i="1"/>
  <c r="AD162" i="1"/>
  <c r="AD169" i="1"/>
  <c r="AD14" i="1"/>
  <c r="AD157" i="1"/>
  <c r="AD191" i="1"/>
  <c r="AD28" i="1"/>
  <c r="AD142" i="1"/>
  <c r="AD36" i="1"/>
  <c r="AD188" i="1"/>
  <c r="AD147" i="1"/>
  <c r="AD57" i="1"/>
  <c r="AD17" i="1"/>
  <c r="AD208" i="1"/>
  <c r="AD102" i="1"/>
  <c r="AD242" i="1"/>
  <c r="AD145" i="1"/>
  <c r="AD123" i="1"/>
  <c r="AD105" i="1"/>
  <c r="AD99" i="1"/>
  <c r="AD234" i="1"/>
  <c r="AD72" i="1"/>
  <c r="AD39" i="1"/>
  <c r="AD189" i="1"/>
  <c r="AD183" i="1"/>
  <c r="AD119" i="1"/>
  <c r="AD246" i="1"/>
  <c r="AD194" i="1"/>
  <c r="AD148" i="1"/>
  <c r="AD179" i="1"/>
  <c r="AD127" i="1"/>
  <c r="AD44" i="1"/>
  <c r="AD141" i="1"/>
  <c r="AD71" i="1"/>
  <c r="AD106" i="1"/>
  <c r="AD248" i="1"/>
  <c r="AD114" i="1"/>
  <c r="AD55" i="1"/>
  <c r="AD130" i="1"/>
  <c r="AD79" i="1"/>
  <c r="AD8" i="1"/>
  <c r="AD64" i="1"/>
  <c r="AD192" i="1"/>
  <c r="AD202" i="1"/>
  <c r="AD101" i="1"/>
  <c r="AD104" i="1"/>
  <c r="AD178" i="1"/>
  <c r="AD63" i="1"/>
  <c r="AD175" i="1"/>
  <c r="AD180" i="1"/>
  <c r="AD126" i="1"/>
  <c r="AD140" i="1"/>
  <c r="AD52" i="1"/>
  <c r="AD109" i="1"/>
  <c r="AD187" i="1"/>
  <c r="AD223" i="1"/>
  <c r="AD29" i="1"/>
  <c r="AD34" i="1"/>
  <c r="AD90" i="1"/>
  <c r="AD249" i="1"/>
  <c r="AD235" i="1"/>
  <c r="AD20" i="1"/>
  <c r="AD60" i="1"/>
  <c r="AD251" i="1"/>
  <c r="AD227" i="1"/>
  <c r="AD94" i="1"/>
  <c r="AD174" i="1"/>
  <c r="AD199" i="1"/>
  <c r="AD229" i="1"/>
  <c r="AD47" i="1"/>
  <c r="AD74" i="1"/>
  <c r="AD224" i="1"/>
  <c r="AD70" i="1"/>
  <c r="AD243" i="1"/>
  <c r="AD89" i="1"/>
  <c r="AD205" i="1"/>
  <c r="AD124" i="1"/>
  <c r="AD56" i="1"/>
  <c r="AD219" i="1"/>
  <c r="AD59" i="1"/>
  <c r="AD161" i="1"/>
  <c r="AD43" i="1"/>
  <c r="AD87" i="1"/>
  <c r="AD118" i="1"/>
  <c r="AD97" i="1"/>
  <c r="AD176" i="1"/>
  <c r="AD58" i="1"/>
  <c r="AD143" i="1"/>
  <c r="AD103" i="1"/>
  <c r="AD221" i="1"/>
  <c r="AD35" i="1"/>
  <c r="AD231" i="1"/>
  <c r="AD195" i="1"/>
  <c r="AD27" i="1"/>
  <c r="AD233" i="1"/>
  <c r="AD10" i="1"/>
  <c r="AD11" i="1"/>
  <c r="AD222" i="1"/>
  <c r="AD50" i="1"/>
  <c r="AD196" i="1"/>
  <c r="AD154" i="1"/>
  <c r="AD247" i="1"/>
  <c r="AD38" i="1"/>
  <c r="AD144" i="1"/>
  <c r="AD132" i="1"/>
  <c r="AD3" i="1"/>
  <c r="AD75" i="1"/>
  <c r="AD25" i="1"/>
  <c r="AD95" i="1"/>
  <c r="AD113" i="1"/>
  <c r="AD76" i="1"/>
  <c r="AD170" i="1"/>
  <c r="AD125" i="1"/>
  <c r="AD115" i="1"/>
  <c r="AD225" i="1"/>
  <c r="AD78" i="1"/>
  <c r="AD236" i="1"/>
  <c r="AD207" i="1"/>
  <c r="AD129" i="1"/>
  <c r="AD37" i="1"/>
  <c r="AD160" i="1"/>
  <c r="AD168" i="1"/>
  <c r="AD100" i="1"/>
  <c r="AD66" i="1"/>
  <c r="AD172" i="1"/>
  <c r="AD61" i="1"/>
  <c r="AD41" i="1"/>
  <c r="AD116" i="1"/>
  <c r="AD165" i="1"/>
  <c r="AD204" i="1"/>
  <c r="AD68" i="1"/>
  <c r="AD121" i="1"/>
  <c r="AD131" i="1"/>
  <c r="AD9" i="1"/>
  <c r="AD173" i="1"/>
  <c r="AD198" i="1"/>
  <c r="AD210" i="1"/>
  <c r="AD216" i="1"/>
  <c r="AD46" i="1"/>
  <c r="AD92" i="1"/>
  <c r="AD214" i="1"/>
  <c r="AD112" i="1"/>
  <c r="AD215" i="1"/>
  <c r="AD237" i="1"/>
  <c r="AD53" i="1"/>
  <c r="AD152" i="1"/>
  <c r="AD137" i="1"/>
  <c r="AD228" i="1"/>
  <c r="AD250" i="1"/>
  <c r="AD110" i="1"/>
  <c r="AD108" i="1"/>
  <c r="AD4" i="1"/>
  <c r="AD96" i="1"/>
  <c r="AD117" i="1"/>
  <c r="AD226" i="1"/>
  <c r="AD150" i="1"/>
  <c r="AD133" i="1"/>
  <c r="AD163" i="1"/>
  <c r="AD7" i="1"/>
  <c r="AD19" i="1"/>
  <c r="AD120" i="1"/>
  <c r="AD184" i="1"/>
  <c r="AD181" i="1"/>
  <c r="AD84" i="1"/>
  <c r="AD213" i="1"/>
  <c r="AD240" i="1"/>
  <c r="AD73" i="1"/>
  <c r="AD190" i="1"/>
  <c r="AD69" i="1"/>
  <c r="AD139" i="1"/>
  <c r="AD171" i="1"/>
  <c r="AD128" i="1"/>
  <c r="AD88" i="1"/>
  <c r="AD166" i="1"/>
  <c r="AD211" i="1"/>
  <c r="AD134" i="1"/>
  <c r="AD49" i="1"/>
  <c r="AD220" i="1"/>
  <c r="AD86" i="1"/>
</calcChain>
</file>

<file path=xl/sharedStrings.xml><?xml version="1.0" encoding="utf-8"?>
<sst xmlns="http://schemas.openxmlformats.org/spreadsheetml/2006/main" count="2417" uniqueCount="319">
  <si>
    <t>Employee ID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</si>
  <si>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</si>
  <si>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</si>
  <si>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</si>
  <si>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</si>
  <si>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</si>
  <si>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</si>
  <si>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</si>
  <si>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</si>
  <si>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Training Program</t>
  </si>
  <si>
    <t>Training Completion Status</t>
  </si>
  <si>
    <t>Total Work Days</t>
  </si>
  <si>
    <t>Absentee Days</t>
  </si>
  <si>
    <t>Gender</t>
  </si>
  <si>
    <t>Training Cost</t>
  </si>
  <si>
    <t>Time to Fill</t>
  </si>
  <si>
    <t>Time to Onboard</t>
  </si>
  <si>
    <t>Recruitment Cycle Time</t>
  </si>
  <si>
    <t>Onboarding Efficiency Rate</t>
  </si>
  <si>
    <t>Individual Onboard Efficiency Rate</t>
  </si>
  <si>
    <t>Recruitment Lag</t>
  </si>
  <si>
    <t>Onboarding Cost</t>
  </si>
  <si>
    <t>Absenteeism Rate</t>
  </si>
  <si>
    <t>Year of Joining</t>
  </si>
  <si>
    <t>Retention Status</t>
  </si>
  <si>
    <t>Cost of Employee Turnover</t>
  </si>
  <si>
    <t>IT</t>
  </si>
  <si>
    <t>Software Engineer</t>
  </si>
  <si>
    <t>Leadership Development</t>
  </si>
  <si>
    <t>HR</t>
  </si>
  <si>
    <t>HR Manager</t>
  </si>
  <si>
    <t>Advanced Excel Skills </t>
  </si>
  <si>
    <t>Sales</t>
  </si>
  <si>
    <t>Marketing Manager</t>
  </si>
  <si>
    <t>Conflict Resolution</t>
  </si>
  <si>
    <t>Finance</t>
  </si>
  <si>
    <t>Finance Manager</t>
  </si>
  <si>
    <t>Communication Skills</t>
  </si>
  <si>
    <t>Analytics</t>
  </si>
  <si>
    <t>Data Analyst</t>
  </si>
  <si>
    <t>Ethics and Responsibilities</t>
  </si>
  <si>
    <t>Female</t>
  </si>
  <si>
    <t>Male</t>
  </si>
  <si>
    <t>Other</t>
  </si>
  <si>
    <t>Training completion Status2</t>
  </si>
  <si>
    <t>offers accepted</t>
  </si>
  <si>
    <t>offers made</t>
  </si>
  <si>
    <t>post training performance score</t>
  </si>
  <si>
    <t>pre training performance score</t>
  </si>
  <si>
    <t>E001</t>
  </si>
  <si>
    <t>-</t>
  </si>
  <si>
    <t>Active</t>
  </si>
  <si>
    <t>Completed</t>
  </si>
  <si>
    <t>E002</t>
  </si>
  <si>
    <t>E003</t>
  </si>
  <si>
    <t>Not Completed</t>
  </si>
  <si>
    <t>E004</t>
  </si>
  <si>
    <t>Exited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</si>
  <si>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</si>
  <si>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</si>
  <si>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</si>
  <si>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</si>
  <si>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</si>
  <si>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</si>
  <si>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</si>
  <si>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</si>
  <si>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</si>
  <si>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</si>
  <si>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</si>
  <si>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</si>
  <si>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</si>
  <si>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</si>
  <si>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</si>
  <si>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</si>
  <si>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</si>
  <si>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</si>
  <si>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</si>
  <si>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</si>
  <si>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</si>
  <si>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</si>
  <si>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</si>
  <si>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</si>
  <si>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</si>
  <si>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</si>
  <si>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</si>
  <si>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</si>
  <si>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</si>
  <si>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</si>
  <si>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</si>
  <si>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</si>
  <si>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</si>
  <si>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</si>
  <si>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</si>
  <si>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</si>
  <si>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</si>
  <si>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</si>
  <si>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</si>
  <si>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</si>
  <si>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</si>
  <si>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</si>
  <si>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</si>
  <si>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</si>
  <si>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</si>
  <si>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</si>
  <si>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</si>
  <si>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</si>
  <si>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</si>
  <si>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</si>
  <si>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</si>
  <si>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</si>
  <si>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</si>
  <si>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</si>
  <si>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</si>
  <si>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</si>
  <si>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</si>
  <si>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</si>
  <si>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</si>
  <si>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</si>
  <si>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</si>
  <si>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</si>
  <si>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</si>
  <si>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</si>
  <si>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</si>
  <si>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</si>
  <si>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</si>
  <si>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</si>
  <si>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</si>
  <si>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</si>
  <si>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</si>
  <si>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</si>
  <si>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</si>
  <si>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</si>
  <si>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</si>
  <si>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</si>
  <si>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</si>
  <si>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</si>
  <si>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</si>
  <si>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</si>
  <si>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</si>
  <si>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</si>
  <si>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</si>
  <si>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</si>
  <si>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</si>
  <si>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</si>
  <si>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</si>
  <si>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</si>
  <si>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</si>
  <si>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</si>
  <si>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</si>
  <si>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</si>
  <si>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</si>
  <si>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</si>
  <si>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</si>
  <si>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</si>
  <si>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</si>
  <si>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</si>
  <si>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</si>
  <si>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</si>
  <si>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</si>
  <si>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</si>
  <si>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</si>
  <si>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</si>
  <si>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</si>
  <si>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</si>
  <si>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</si>
  <si>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</si>
  <si>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</si>
  <si>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</si>
  <si>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</si>
  <si>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</si>
  <si>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</si>
  <si>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</si>
  <si>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</si>
  <si>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</si>
  <si>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</si>
  <si>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</si>
  <si>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</si>
  <si>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</si>
  <si>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</si>
  <si>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</si>
  <si>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</si>
  <si>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</si>
  <si>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</si>
  <si>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</si>
  <si>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</si>
  <si>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</si>
  <si>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</si>
  <si>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</si>
  <si>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</si>
  <si>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</si>
  <si>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</si>
  <si>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</si>
  <si>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</si>
  <si>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</si>
  <si>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</si>
  <si>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</si>
  <si>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</si>
  <si>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</si>
  <si>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</si>
  <si>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</si>
  <si>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</si>
  <si>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</si>
  <si>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</si>
  <si>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</si>
  <si>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</si>
  <si>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</si>
  <si>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</si>
  <si>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</si>
  <si>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</si>
  <si>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</si>
  <si>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</si>
  <si>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</si>
  <si>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</si>
  <si>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</si>
  <si>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</si>
  <si>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</si>
  <si>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</si>
  <si>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</si>
  <si>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</si>
  <si>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</si>
  <si>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</si>
  <si>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</si>
  <si>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</si>
  <si>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</si>
  <si>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</si>
  <si>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</si>
  <si>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</si>
  <si>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</si>
  <si>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</si>
  <si>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</si>
  <si>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</si>
  <si>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</si>
  <si>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</si>
  <si>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</si>
  <si>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</si>
  <si>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</si>
  <si>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</si>
  <si>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</si>
  <si>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</si>
  <si>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</si>
  <si>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</si>
  <si>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</si>
  <si>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</si>
  <si>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</si>
  <si>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</si>
  <si>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</si>
  <si>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</si>
  <si>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</si>
  <si>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</si>
  <si>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</si>
  <si>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</si>
  <si>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</si>
  <si>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</si>
  <si>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</si>
  <si>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</si>
  <si>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</si>
  <si>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</si>
  <si>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</si>
  <si>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</si>
  <si>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</si>
  <si>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</si>
  <si>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</si>
  <si>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</si>
  <si>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</si>
  <si>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</si>
  <si>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</si>
  <si>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</si>
  <si>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</si>
  <si>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</si>
  <si>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</si>
  <si>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</si>
  <si>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</si>
  <si>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</si>
  <si>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</si>
  <si>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</si>
  <si>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</si>
  <si>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</si>
  <si>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</si>
  <si>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</si>
  <si>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</si>
  <si>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</si>
  <si>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</si>
  <si>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</si>
  <si>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</si>
  <si>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</si>
  <si>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</si>
  <si>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</si>
  <si>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</si>
  <si>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</si>
  <si>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</si>
  <si>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</si>
  <si>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</si>
  <si>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</si>
  <si>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</si>
  <si>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</si>
  <si>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</si>
  <si>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</si>
  <si>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</si>
  <si>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</si>
  <si>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</si>
  <si>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</si>
  <si>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</si>
  <si>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</si>
  <si>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</si>
  <si>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Candidate Experience Points</t>
  </si>
  <si>
    <t>Recruitment source</t>
  </si>
  <si>
    <t>Job Portals</t>
  </si>
  <si>
    <t>Campus Placements</t>
  </si>
  <si>
    <t>Employee Referrals</t>
  </si>
  <si>
    <r>
      <t xml:space="preserve">Total Tenure in </t>
    </r>
    <r>
      <rPr>
        <sz val="12"/>
        <rFont val="Aptos Narrow"/>
        <family val="2"/>
        <scheme val="minor"/>
      </rPr>
      <t>Days</t>
    </r>
  </si>
  <si>
    <t>new hire retention rate</t>
  </si>
  <si>
    <t>New hire</t>
  </si>
  <si>
    <t>Total number of offers made</t>
  </si>
  <si>
    <t>No. of candidates Interviewed</t>
  </si>
  <si>
    <t>Interview to offer Ratio</t>
  </si>
  <si>
    <t>Candidate Experience Score</t>
  </si>
  <si>
    <t>Internal Hire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</si>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</sst>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_);_(@_)"/>
    <numFmt numFmtId="165" formatCode="_(&quot;₹&quot;* #,##0_);_(&quot;₹&quot;* \(#,##0\);_(&quot;₹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65" formatCode="_(&quot;₹&quot;* #,##0_);_(&quot;₹&quot;* \(#,##0\);_(&quot;₹&quot;* &quot;-&quot;??_);_(@_)"/>
    </dxf>
    <dxf>
      <numFmt numFmtId="165" formatCode="_(&quot;₹&quot;* #,##0_);_(&quot;₹&quot;* \(#,##0\);_(&quot;₹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165" formatCode="_(&quot;₹&quot;* #,##0_);_(&quot;₹&quot;* \(#,##0\);_(&quot;₹&quot;* &quot;-&quot;??_);_(@_)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AJ251" totalsRowShown="0">
  <autoFilter ref="A1:AJ251" xr:uid="{3C997AAA-AEB2-EB41-99FC-7F2A7048EB4B}"/>
  <sortState xmlns:xlrd2="http://schemas.microsoft.com/office/spreadsheetml/2017/richdata2" ref="A2:AE251">
    <sortCondition ref="S1:S251"/>
  </sortState>
  <tableColumns count="36">
    <tableColumn id="1" xr3:uid="{28944547-ACB1-0A46-986E-4CE3614331C6}" name="Employee ID"/>
    <tableColumn id="15" xr3:uid="{75D90FAE-8CED-FC41-8716-1DEC7E02D574}" name="Gender" dataDxfId="1"/>
    <tableColumn id="2" xr3:uid="{6B0937D0-DF93-BC41-8FD3-CE7AFE248391}" name="Department"/>
    <tableColumn id="3" xr3:uid="{4A66CF3B-234C-854B-9C05-04E292CBA290}" name="Job Title" dataDxfId="30"/>
    <tableColumn id="4" xr3:uid="{59950CD3-8362-F649-BAD8-B3B384B45BF7}" name="Job Posting Date" dataDxfId="29"/>
    <tableColumn id="5" xr3:uid="{4768BF98-4D3C-D848-A178-DB24831ACCB9}" name="Hire Date" dataDxfId="28"/>
    <tableColumn id="6" xr3:uid="{631FFA08-58C1-E04C-BAC3-FE9B0E3B6A7F}" name="Join Date" dataDxfId="27"/>
    <tableColumn id="7" xr3:uid="{9E45AC36-3D2B-EC44-92E1-DAC9348E9EAA}" name="Exit Date" dataDxfId="26"/>
    <tableColumn id="8" xr3:uid="{776E110A-3823-3249-B91D-06D5B8EF656C}" name="Status" dataDxfId="25"/>
    <tableColumn id="9" xr3:uid="{0BDCBE97-78F7-6D40-A85D-B58473C5C464}" name="Recruitment Cost" dataDxfId="24"/>
    <tableColumn id="10" xr3:uid="{CE3FECBA-A295-5D43-BCD5-7478B524D5C6}" name="Training Program"/>
    <tableColumn id="11" xr3:uid="{944D628D-C74A-7143-BDE2-1A84DA4188F9}" name="Training Completion Status"/>
    <tableColumn id="13" xr3:uid="{2B35E8D7-528B-BC4E-B5C5-90A17CE6F952}" name="Total Work Days"/>
    <tableColumn id="14" xr3:uid="{D416B69A-9591-2147-9B4D-BB674F4342BB}" name="Absentee Days" dataDxfId="23"/>
    <tableColumn id="17" xr3:uid="{A97D4D68-965B-B445-96C0-B08BEFB10A8E}" name="Training Cost" dataDxfId="22"/>
    <tableColumn id="29" xr3:uid="{B1775927-AEB1-DB48-BAE5-204F042C5EA2}" name="offers made" dataDxfId="8">
      <calculatedColumnFormula>RANDBETWEEN(1,10)</calculatedColumnFormula>
    </tableColumn>
    <tableColumn id="30" xr3:uid="{51F4CEA7-A028-E340-9245-9229FB83971E}" name="offers accepted" dataDxfId="7">
      <calculatedColumnFormula>RANDBETWEEN(0,Table1[[#This Row],[offers made]])</calculatedColumnFormula>
    </tableColumn>
    <tableColumn id="34" xr3:uid="{C021FAFF-83F4-A242-96EC-AC932B3F94C6}" name="Recruitment source" dataDxfId="6"/>
    <tableColumn id="18" xr3:uid="{DED8EF7F-E58D-2447-82EF-FF1008B2271F}" name="Time to Fill" dataDxfId="21">
      <calculatedColumnFormula>Table1[[#This Row],[Hire Date]]-Table1[[#This Row],[Job Posting Date]]</calculatedColumnFormula>
    </tableColumn>
    <tableColumn id="19" xr3:uid="{57D7B9E4-5A5A-4941-8AAD-57C1D7046ECC}" name="Time to Onboard" dataDxfId="5">
      <calculatedColumnFormula>Table1[[#This Row],[Join Date]]-Table1[[#This Row],[Hire Date]]</calculatedColumnFormula>
    </tableColumn>
    <tableColumn id="20" xr3:uid="{0B951FA3-1772-E043-942F-25CB9B309962}" name="Total Tenure in Days" dataDxfId="3">
      <calculatedColumnFormula>IF(Table1[[#This Row],[Status]]="Exited",Table1[[#This Row],[Exit Date]]-Table1[[#This Row],[Join Date]],TODAY()-Table1[[#This Row],[Join Date]])</calculatedColumnFormula>
    </tableColumn>
    <tableColumn id="35" xr3:uid="{E28E689E-9EF4-EB4B-99D3-7178A80D48A0}" name="New hire" dataDxfId="2">
      <calculatedColumnFormula>IF(Table1[[#This Row],[Total Tenure in Days]]&lt;=730, "yes","no")</calculatedColumnFormula>
    </tableColumn>
    <tableColumn id="21" xr3:uid="{8B26287B-1A7B-F84E-AA08-51B89FD5343A}" name="Recruitment Cycle Time" dataDxfId="4">
      <calculatedColumnFormula>Table1[[#This Row],[Hire Date]]-Table1[[#This Row],[Job Posting Date]]</calculatedColumnFormula>
    </tableColumn>
    <tableColumn id="22" xr3:uid="{84788DCB-426F-5640-9A62-49B12A0770D3}" name="Onboarding Efficiency Rate" dataDxfId="20">
      <calculatedColumnFormula>Table1[[#This Row],[Time to Onboard]]/Table1[[#This Row],[Time to Fill]]*100</calculatedColumnFormula>
    </tableColumn>
    <tableColumn id="12" xr3:uid="{67388AE8-3174-874C-ACC3-AF7129A53D51}" name="Individual Onboard Efficiency Rate" dataDxfId="19">
      <calculatedColumnFormula>Table1[[#This Row],[Time to Onboard]]/Table1[[#This Row],[Time to Fill]]*100</calculatedColumnFormula>
    </tableColumn>
    <tableColumn id="16" xr3:uid="{418C4495-DEDA-9346-8389-9CC084C92BCD}" name="Recruitment Lag" dataDxfId="18">
      <calculatedColumnFormula>Table1[[#This Row],[Join Date]]-Table1[[#This Row],[Job Posting Date]]</calculatedColumnFormula>
    </tableColumn>
    <tableColumn id="23" xr3:uid="{4E83D78B-0079-A643-A037-39F083CEB3D8}" name="Onboarding Cost" dataDxfId="17">
      <calculatedColumnFormula>RANDBETWEEN(100,200)</calculatedColumnFormula>
    </tableColumn>
    <tableColumn id="24" xr3:uid="{86910AE5-7EDB-1745-B458-71C6973390A9}" name="Absenteeism Rate" dataDxfId="16">
      <calculatedColumnFormula>Table1[[#This Row],[Absentee Days]]/Table1[[#This Row],[Total Work Days]]*100</calculatedColumnFormula>
    </tableColumn>
    <tableColumn id="25" xr3:uid="{A3AF2EBE-F203-E040-8635-9186E9C06FA0}" name="Year of Joining" dataDxfId="15">
      <calculatedColumnFormula>YEAR(Table1[[#This Row],[Join Date]])</calculatedColumnFormula>
    </tableColumn>
    <tableColumn id="26" xr3:uid="{B05000BB-12E6-8E40-A9C0-162B60BF0A86}" name="Retention Status" dataDxfId="14">
      <calculatedColumnFormula>IF(Table1[[#This Row],[Status]]="Active",1,0)</calculatedColumnFormula>
    </tableColumn>
    <tableColumn id="27" xr3:uid="{4987E269-F768-0144-9A99-D0A94BF4215E}" name="Cost of Employee Turnover" dataDxfId="13">
      <calculatedColumnFormula>IF(Table1[[#This Row],[Status]]="Exited",Table1[[#This Row],[Recruitment Cost]]+Table1[[#This Row],[Onboarding Cost]]+Table1[[#This Row],[Training Cost]],0)</calculatedColumnFormula>
    </tableColumn>
    <tableColumn id="28" xr3:uid="{3C4DEB59-C695-5045-B70F-1B1FED4851D0}" name="Training completion Status2" dataDxfId="12">
      <calculatedColumnFormula>IF(Table1[[#This Row],[Training Completion Status]]="Completed",1,0)</calculatedColumnFormula>
    </tableColumn>
    <tableColumn id="31" xr3:uid="{2EB04090-1DC2-974C-986D-06213E172692}" name="post training performance score" dataDxfId="11">
      <calculatedColumnFormula>RANDBETWEEN(1,5)</calculatedColumnFormula>
    </tableColumn>
    <tableColumn id="32" xr3:uid="{C36588A4-03E9-0C4D-A795-F95E48C294E9}" name="pre training performance score" dataDxfId="10">
      <calculatedColumnFormula>RANDBETWEEN(1,5)</calculatedColumnFormula>
    </tableColumn>
    <tableColumn id="33" xr3:uid="{C686D5AA-6AEC-7443-B99C-04D416C07B01}" name="Candidate Experience Points" dataDxfId="9">
      <calculatedColumnFormula>RANDBETWEEN(1, 5)</calculatedColumnFormula>
    </tableColumn>
    <tableColumn id="36" xr3:uid="{3F5B8339-604B-B343-9CAE-0D702B492780}" name="Internal H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AM251"/>
  <sheetViews>
    <sheetView tabSelected="1" topLeftCell="E1" zoomScale="160" zoomScaleNormal="160" workbookViewId="0">
      <selection activeCell="K1" sqref="K1:K1048576"/>
    </sheetView>
  </sheetViews>
  <sheetFormatPr baseColWidth="10" defaultColWidth="10.83203125" defaultRowHeight="16" x14ac:dyDescent="0.2"/>
  <cols>
    <col min="1" max="1" width="13.83203125" customWidth="1"/>
    <col min="2" max="2" width="16" customWidth="1"/>
    <col min="3" max="3" width="13.6640625" customWidth="1"/>
    <col min="4" max="4" width="16.83203125" customWidth="1"/>
    <col min="5" max="5" width="17.33203125" style="1" customWidth="1"/>
    <col min="6" max="6" width="11.5" style="1" customWidth="1"/>
    <col min="7" max="7" width="11.1640625" style="1" customWidth="1"/>
    <col min="8" max="8" width="11" style="1" customWidth="1"/>
    <col min="9" max="9" width="9" customWidth="1"/>
    <col min="10" max="10" width="19.83203125" bestFit="1" customWidth="1"/>
    <col min="11" max="11" width="19.83203125" style="2" customWidth="1"/>
    <col min="12" max="12" width="23.33203125" customWidth="1"/>
    <col min="13" max="13" width="26.1640625" customWidth="1"/>
    <col min="14" max="14" width="16.83203125" customWidth="1"/>
    <col min="16" max="16" width="9.6640625" customWidth="1"/>
    <col min="17" max="17" width="15.83203125" style="3" customWidth="1"/>
    <col min="18" max="18" width="20.1640625" bestFit="1" customWidth="1"/>
    <col min="19" max="19" width="16.6640625" bestFit="1" customWidth="1"/>
    <col min="20" max="20" width="20.1640625" bestFit="1" customWidth="1"/>
    <col min="21" max="21" width="12.1640625" customWidth="1"/>
    <col min="22" max="22" width="16.6640625" customWidth="1"/>
    <col min="23" max="23" width="19.83203125" bestFit="1" customWidth="1"/>
    <col min="24" max="24" width="11.83203125" bestFit="1" customWidth="1"/>
    <col min="25" max="25" width="23.5" customWidth="1"/>
    <col min="26" max="26" width="26.1640625" customWidth="1"/>
    <col min="27" max="27" width="27" customWidth="1"/>
    <col min="28" max="28" width="22.33203125" customWidth="1"/>
    <col min="29" max="29" width="16.5" customWidth="1"/>
    <col min="30" max="30" width="19" customWidth="1"/>
    <col min="32" max="32" width="17.33203125" customWidth="1"/>
    <col min="33" max="33" width="23" bestFit="1" customWidth="1"/>
    <col min="34" max="34" width="23" customWidth="1"/>
    <col min="35" max="37" width="27.5" bestFit="1" customWidth="1"/>
    <col min="38" max="38" width="23.6640625" bestFit="1" customWidth="1"/>
    <col min="39" max="39" width="26.6640625" customWidth="1"/>
    <col min="40" max="40" width="20.1640625" bestFit="1" customWidth="1"/>
    <col min="41" max="41" width="11.83203125" bestFit="1" customWidth="1"/>
    <col min="42" max="42" width="11.1640625" bestFit="1" customWidth="1"/>
  </cols>
  <sheetData>
    <row r="1" spans="1:39" x14ac:dyDescent="0.2">
      <c r="A1" t="s">
        <v>0</v>
      </c>
      <c r="B1" t="s">
        <v>13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s="3" t="s">
        <v>14</v>
      </c>
      <c r="P1" t="s">
        <v>46</v>
      </c>
      <c r="Q1" t="s">
        <v>45</v>
      </c>
      <c r="R1" t="s">
        <v>305</v>
      </c>
      <c r="S1" s="6" t="s">
        <v>15</v>
      </c>
      <c r="T1" s="6" t="s">
        <v>16</v>
      </c>
      <c r="U1" s="6" t="s">
        <v>309</v>
      </c>
      <c r="V1" s="6" t="s">
        <v>311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6" t="s">
        <v>23</v>
      </c>
      <c r="AD1" s="6" t="s">
        <v>24</v>
      </c>
      <c r="AE1" s="6" t="s">
        <v>25</v>
      </c>
      <c r="AF1" t="s">
        <v>44</v>
      </c>
      <c r="AG1" t="s">
        <v>47</v>
      </c>
      <c r="AH1" t="s">
        <v>48</v>
      </c>
      <c r="AI1" t="s">
        <v>304</v>
      </c>
      <c r="AJ1" t="s">
        <v>316</v>
      </c>
    </row>
    <row r="2" spans="1:39" x14ac:dyDescent="0.2">
      <c r="A2" t="s">
        <v>49</v>
      </c>
      <c r="B2" t="s">
        <v>41</v>
      </c>
      <c r="C2" t="s">
        <v>38</v>
      </c>
      <c r="D2" t="s">
        <v>39</v>
      </c>
      <c r="E2" s="1">
        <v>44466</v>
      </c>
      <c r="F2" s="1">
        <v>44499</v>
      </c>
      <c r="G2" s="1">
        <v>44512</v>
      </c>
      <c r="H2" s="1" t="s">
        <v>50</v>
      </c>
      <c r="I2" t="s">
        <v>51</v>
      </c>
      <c r="J2" s="2">
        <v>4436</v>
      </c>
      <c r="K2" t="s">
        <v>28</v>
      </c>
      <c r="L2" t="s">
        <v>52</v>
      </c>
      <c r="M2">
        <v>260</v>
      </c>
      <c r="N2">
        <v>13</v>
      </c>
      <c r="O2" s="3">
        <v>1685</v>
      </c>
      <c r="P2">
        <f ca="1">RANDBETWEEN(1,10)</f>
        <v>9</v>
      </c>
      <c r="Q2">
        <f ca="1">RANDBETWEEN(0,Table1[[#This Row],[offers made]])</f>
        <v>3</v>
      </c>
      <c r="R2" t="s">
        <v>306</v>
      </c>
      <c r="S2">
        <f>Table1[[#This Row],[Hire Date]]-Table1[[#This Row],[Job Posting Date]]</f>
        <v>33</v>
      </c>
      <c r="T2" s="4">
        <f>Table1[[#This Row],[Join Date]]-Table1[[#This Row],[Hire Date]]</f>
        <v>13</v>
      </c>
      <c r="U2" s="4">
        <f ca="1">IF(Table1[[#This Row],[Status]]="Exited",Table1[[#This Row],[Exit Date]]-Table1[[#This Row],[Join Date]],TODAY()-Table1[[#This Row],[Join Date]])</f>
        <v>1149</v>
      </c>
      <c r="V2" t="str">
        <f ca="1">IF(Table1[[#This Row],[Total Tenure in Days]]&lt;=730, "yes","no")</f>
        <v>no</v>
      </c>
      <c r="W2">
        <f>Table1[[#This Row],[Hire Date]]-Table1[[#This Row],[Job Posting Date]]</f>
        <v>33</v>
      </c>
      <c r="X2" s="4">
        <f>Table1[[#This Row],[Time to Onboard]]/Table1[[#This Row],[Time to Fill]]*100</f>
        <v>39.393939393939391</v>
      </c>
      <c r="Y2" s="5">
        <f>Table1[[#This Row],[Time to Onboard]]/Table1[[#This Row],[Time to Fill]]*100</f>
        <v>39.393939393939391</v>
      </c>
      <c r="Z2">
        <f>Table1[[#This Row],[Join Date]]-Table1[[#This Row],[Job Posting Date]]</f>
        <v>46</v>
      </c>
      <c r="AA2">
        <f t="shared" ref="AA2:AA65" ca="1" si="0">RANDBETWEEN(100,200)</f>
        <v>183</v>
      </c>
      <c r="AB2" s="5">
        <f>Table1[[#This Row],[Absentee Days]]/Table1[[#This Row],[Total Work Days]]*100</f>
        <v>5</v>
      </c>
      <c r="AC2">
        <f>YEAR(Table1[[#This Row],[Join Date]])</f>
        <v>2021</v>
      </c>
      <c r="AD2">
        <f>IF(Table1[[#This Row],[Status]]="Active",1,0)</f>
        <v>1</v>
      </c>
      <c r="AE2">
        <f>IF(Table1[[#This Row],[Status]]="Exited",Table1[[#This Row],[Recruitment Cost]]+Table1[[#This Row],[Onboarding Cost]]+Table1[[#This Row],[Training Cost]],0)</f>
        <v>0</v>
      </c>
      <c r="AF2">
        <f>IF(Table1[[#This Row],[Training Completion Status]]="Completed",1,0)</f>
        <v>1</v>
      </c>
      <c r="AG2">
        <f t="shared" ref="AG2:AG65" ca="1" si="1">RANDBETWEEN(1,5)</f>
        <v>2</v>
      </c>
      <c r="AH2">
        <f t="shared" ref="AH2:AH65" ca="1" si="2">RANDBETWEEN(1,5)</f>
        <v>5</v>
      </c>
      <c r="AI2">
        <f t="shared" ref="AI2:AI65" ca="1" si="3">RANDBETWEEN(1, 5)</f>
        <v>1</v>
      </c>
      <c r="AJ2" t="s">
        <v>317</v>
      </c>
      <c r="AL2" t="s">
        <v>312</v>
      </c>
      <c r="AM2" t="s">
        <v>313</v>
      </c>
    </row>
    <row r="3" spans="1:39" x14ac:dyDescent="0.2">
      <c r="A3" t="s">
        <v>53</v>
      </c>
      <c r="B3" t="s">
        <v>43</v>
      </c>
      <c r="C3" t="s">
        <v>35</v>
      </c>
      <c r="D3" t="s">
        <v>36</v>
      </c>
      <c r="E3" s="1">
        <v>43186</v>
      </c>
      <c r="F3" s="1">
        <v>43253</v>
      </c>
      <c r="G3" s="1">
        <v>43259</v>
      </c>
      <c r="H3" s="1" t="s">
        <v>50</v>
      </c>
      <c r="I3" t="s">
        <v>51</v>
      </c>
      <c r="J3" s="2">
        <v>1807</v>
      </c>
      <c r="K3" t="s">
        <v>31</v>
      </c>
      <c r="L3" t="s">
        <v>52</v>
      </c>
      <c r="M3">
        <v>260</v>
      </c>
      <c r="N3">
        <v>19</v>
      </c>
      <c r="O3" s="3">
        <v>2056</v>
      </c>
      <c r="P3">
        <f t="shared" ref="P3:P65" ca="1" si="4">RANDBETWEEN(1,10)</f>
        <v>8</v>
      </c>
      <c r="Q3">
        <f ca="1">RANDBETWEEN(0,Table1[[#This Row],[offers made]])</f>
        <v>4</v>
      </c>
      <c r="R3" t="s">
        <v>307</v>
      </c>
      <c r="S3">
        <f>Table1[[#This Row],[Hire Date]]-Table1[[#This Row],[Job Posting Date]]</f>
        <v>67</v>
      </c>
      <c r="T3" s="4">
        <f>Table1[[#This Row],[Join Date]]-Table1[[#This Row],[Hire Date]]</f>
        <v>6</v>
      </c>
      <c r="U3" s="4">
        <f ca="1">IF(Table1[[#This Row],[Status]]="Exited",Table1[[#This Row],[Exit Date]]-Table1[[#This Row],[Join Date]],TODAY()-Table1[[#This Row],[Join Date]])</f>
        <v>2402</v>
      </c>
      <c r="V3" t="str">
        <f ca="1">IF(Table1[[#This Row],[Total Tenure in Days]]&lt;=730, "yes","no")</f>
        <v>no</v>
      </c>
      <c r="W3">
        <f>Table1[[#This Row],[Hire Date]]-Table1[[#This Row],[Job Posting Date]]</f>
        <v>67</v>
      </c>
      <c r="X3" s="4">
        <f>Table1[[#This Row],[Time to Onboard]]/Table1[[#This Row],[Time to Fill]]*100</f>
        <v>8.9552238805970141</v>
      </c>
      <c r="Y3" s="5">
        <f>Table1[[#This Row],[Time to Onboard]]/Table1[[#This Row],[Time to Fill]]*100</f>
        <v>8.9552238805970141</v>
      </c>
      <c r="Z3">
        <f>Table1[[#This Row],[Join Date]]-Table1[[#This Row],[Job Posting Date]]</f>
        <v>73</v>
      </c>
      <c r="AA3">
        <f t="shared" ca="1" si="0"/>
        <v>110</v>
      </c>
      <c r="AB3" s="5">
        <f>Table1[[#This Row],[Absentee Days]]/Table1[[#This Row],[Total Work Days]]*100</f>
        <v>7.3076923076923084</v>
      </c>
      <c r="AC3">
        <f>YEAR(Table1[[#This Row],[Join Date]])</f>
        <v>2018</v>
      </c>
      <c r="AD3">
        <f>IF(Table1[[#This Row],[Status]]="Active",1,0)</f>
        <v>1</v>
      </c>
      <c r="AE3">
        <f>IF(Table1[[#This Row],[Status]]="Exited",Table1[[#This Row],[Recruitment Cost]]+Table1[[#This Row],[Onboarding Cost]]+Table1[[#This Row],[Training Cost]],0)</f>
        <v>0</v>
      </c>
      <c r="AF3">
        <f>IF(Table1[[#This Row],[Training Completion Status]]="Completed",1,0)</f>
        <v>1</v>
      </c>
      <c r="AG3">
        <f t="shared" ca="1" si="1"/>
        <v>3</v>
      </c>
      <c r="AH3">
        <f t="shared" ca="1" si="2"/>
        <v>3</v>
      </c>
      <c r="AI3">
        <f t="shared" ca="1" si="3"/>
        <v>3</v>
      </c>
      <c r="AJ3" t="s">
        <v>318</v>
      </c>
      <c r="AL3">
        <f>COUNTA(Table1[Employee ID])</f>
        <v>250</v>
      </c>
      <c r="AM3">
        <v>600</v>
      </c>
    </row>
    <row r="4" spans="1:39" x14ac:dyDescent="0.2">
      <c r="A4" t="s">
        <v>54</v>
      </c>
      <c r="B4" t="s">
        <v>43</v>
      </c>
      <c r="C4" t="s">
        <v>29</v>
      </c>
      <c r="D4" t="s">
        <v>30</v>
      </c>
      <c r="E4" s="1">
        <v>43780</v>
      </c>
      <c r="F4" s="1">
        <v>43817</v>
      </c>
      <c r="G4" s="1">
        <v>43823</v>
      </c>
      <c r="H4" s="1" t="s">
        <v>50</v>
      </c>
      <c r="I4" t="s">
        <v>51</v>
      </c>
      <c r="J4" s="2">
        <v>2345</v>
      </c>
      <c r="K4" t="s">
        <v>37</v>
      </c>
      <c r="L4" t="s">
        <v>55</v>
      </c>
      <c r="M4">
        <v>260</v>
      </c>
      <c r="N4">
        <v>3</v>
      </c>
      <c r="O4" s="3">
        <v>2169</v>
      </c>
      <c r="P4">
        <f t="shared" ca="1" si="4"/>
        <v>10</v>
      </c>
      <c r="Q4">
        <f ca="1">RANDBETWEEN(0,Table1[[#This Row],[offers made]])</f>
        <v>7</v>
      </c>
      <c r="R4" t="s">
        <v>308</v>
      </c>
      <c r="S4">
        <f>Table1[[#This Row],[Hire Date]]-Table1[[#This Row],[Job Posting Date]]</f>
        <v>37</v>
      </c>
      <c r="T4" s="4">
        <f>Table1[[#This Row],[Join Date]]-Table1[[#This Row],[Hire Date]]</f>
        <v>6</v>
      </c>
      <c r="U4" s="4">
        <f ca="1">IF(Table1[[#This Row],[Status]]="Exited",Table1[[#This Row],[Exit Date]]-Table1[[#This Row],[Join Date]],TODAY()-Table1[[#This Row],[Join Date]])</f>
        <v>1838</v>
      </c>
      <c r="V4" t="str">
        <f ca="1">IF(Table1[[#This Row],[Total Tenure in Days]]&lt;=730, "yes","no")</f>
        <v>no</v>
      </c>
      <c r="W4">
        <f>Table1[[#This Row],[Hire Date]]-Table1[[#This Row],[Job Posting Date]]</f>
        <v>37</v>
      </c>
      <c r="X4" s="4">
        <f>Table1[[#This Row],[Time to Onboard]]/Table1[[#This Row],[Time to Fill]]*100</f>
        <v>16.216216216216218</v>
      </c>
      <c r="Y4" s="5">
        <f>Table1[[#This Row],[Time to Onboard]]/Table1[[#This Row],[Time to Fill]]*100</f>
        <v>16.216216216216218</v>
      </c>
      <c r="Z4">
        <f>Table1[[#This Row],[Join Date]]-Table1[[#This Row],[Job Posting Date]]</f>
        <v>43</v>
      </c>
      <c r="AA4">
        <f t="shared" ca="1" si="0"/>
        <v>132</v>
      </c>
      <c r="AB4" s="5">
        <f>Table1[[#This Row],[Absentee Days]]/Table1[[#This Row],[Total Work Days]]*100</f>
        <v>1.153846153846154</v>
      </c>
      <c r="AC4">
        <f>YEAR(Table1[[#This Row],[Join Date]])</f>
        <v>2019</v>
      </c>
      <c r="AD4">
        <f>IF(Table1[[#This Row],[Status]]="Active",1,0)</f>
        <v>1</v>
      </c>
      <c r="AE4">
        <f>IF(Table1[[#This Row],[Status]]="Exited",Table1[[#This Row],[Recruitment Cost]]+Table1[[#This Row],[Onboarding Cost]]+Table1[[#This Row],[Training Cost]],0)</f>
        <v>0</v>
      </c>
      <c r="AF4">
        <f>IF(Table1[[#This Row],[Training Completion Status]]="Completed",1,0)</f>
        <v>0</v>
      </c>
      <c r="AG4">
        <f t="shared" ca="1" si="1"/>
        <v>3</v>
      </c>
      <c r="AH4">
        <f t="shared" ca="1" si="2"/>
        <v>4</v>
      </c>
      <c r="AI4">
        <f t="shared" ca="1" si="3"/>
        <v>1</v>
      </c>
      <c r="AJ4" t="s">
        <v>317</v>
      </c>
    </row>
    <row r="5" spans="1:39" x14ac:dyDescent="0.2">
      <c r="A5" t="s">
        <v>56</v>
      </c>
      <c r="B5" t="s">
        <v>41</v>
      </c>
      <c r="C5" t="s">
        <v>38</v>
      </c>
      <c r="D5" t="s">
        <v>39</v>
      </c>
      <c r="E5" s="1">
        <v>43304</v>
      </c>
      <c r="F5" s="1">
        <v>43382</v>
      </c>
      <c r="G5" s="1">
        <v>43392</v>
      </c>
      <c r="H5" s="1">
        <v>44040</v>
      </c>
      <c r="I5" t="s">
        <v>57</v>
      </c>
      <c r="J5" s="2">
        <v>2914</v>
      </c>
      <c r="K5" t="s">
        <v>28</v>
      </c>
      <c r="L5" t="s">
        <v>52</v>
      </c>
      <c r="M5">
        <v>260</v>
      </c>
      <c r="N5">
        <v>13</v>
      </c>
      <c r="O5" s="3">
        <v>2392</v>
      </c>
      <c r="P5">
        <f t="shared" ca="1" si="4"/>
        <v>7</v>
      </c>
      <c r="Q5">
        <f ca="1">RANDBETWEEN(0,Table1[[#This Row],[offers made]])</f>
        <v>2</v>
      </c>
      <c r="R5" t="s">
        <v>308</v>
      </c>
      <c r="S5">
        <f>Table1[[#This Row],[Hire Date]]-Table1[[#This Row],[Job Posting Date]]</f>
        <v>78</v>
      </c>
      <c r="T5" s="4">
        <f>Table1[[#This Row],[Join Date]]-Table1[[#This Row],[Hire Date]]</f>
        <v>10</v>
      </c>
      <c r="U5" s="4">
        <f ca="1">IF(Table1[[#This Row],[Status]]="Exited",Table1[[#This Row],[Exit Date]]-Table1[[#This Row],[Join Date]],TODAY()-Table1[[#This Row],[Join Date]])</f>
        <v>648</v>
      </c>
      <c r="V5" t="str">
        <f ca="1">IF(Table1[[#This Row],[Total Tenure in Days]]&lt;=730, "yes","no")</f>
        <v>yes</v>
      </c>
      <c r="W5">
        <f>Table1[[#This Row],[Hire Date]]-Table1[[#This Row],[Job Posting Date]]</f>
        <v>78</v>
      </c>
      <c r="X5" s="4">
        <f>Table1[[#This Row],[Time to Onboard]]/Table1[[#This Row],[Time to Fill]]*100</f>
        <v>12.820512820512819</v>
      </c>
      <c r="Y5" s="5">
        <f>Table1[[#This Row],[Time to Onboard]]/Table1[[#This Row],[Time to Fill]]*100</f>
        <v>12.820512820512819</v>
      </c>
      <c r="Z5">
        <f>Table1[[#This Row],[Join Date]]-Table1[[#This Row],[Job Posting Date]]</f>
        <v>88</v>
      </c>
      <c r="AA5">
        <f t="shared" ca="1" si="0"/>
        <v>118</v>
      </c>
      <c r="AB5" s="5">
        <f>Table1[[#This Row],[Absentee Days]]/Table1[[#This Row],[Total Work Days]]*100</f>
        <v>5</v>
      </c>
      <c r="AC5">
        <f>YEAR(Table1[[#This Row],[Join Date]])</f>
        <v>2018</v>
      </c>
      <c r="AD5">
        <f>IF(Table1[[#This Row],[Status]]="Active",1,0)</f>
        <v>0</v>
      </c>
      <c r="AE5">
        <f ca="1">IF(Table1[[#This Row],[Status]]="Exited",Table1[[#This Row],[Recruitment Cost]]+Table1[[#This Row],[Onboarding Cost]]+Table1[[#This Row],[Training Cost]],0)</f>
        <v>5424</v>
      </c>
      <c r="AF5">
        <f>IF(Table1[[#This Row],[Training Completion Status]]="Completed",1,0)</f>
        <v>1</v>
      </c>
      <c r="AG5">
        <f t="shared" ca="1" si="1"/>
        <v>3</v>
      </c>
      <c r="AH5">
        <f ca="1">RANDBETWEEN(1,5)</f>
        <v>1</v>
      </c>
      <c r="AI5">
        <f t="shared" ca="1" si="3"/>
        <v>3</v>
      </c>
      <c r="AJ5" t="s">
        <v>318</v>
      </c>
    </row>
    <row r="6" spans="1:39" x14ac:dyDescent="0.2">
      <c r="A6" t="s">
        <v>58</v>
      </c>
      <c r="B6" t="s">
        <v>41</v>
      </c>
      <c r="C6" t="s">
        <v>35</v>
      </c>
      <c r="D6" t="s">
        <v>36</v>
      </c>
      <c r="E6" s="1">
        <v>44052</v>
      </c>
      <c r="F6" s="1">
        <v>44139</v>
      </c>
      <c r="G6" s="1">
        <v>44143</v>
      </c>
      <c r="H6" s="1" t="s">
        <v>50</v>
      </c>
      <c r="I6" t="s">
        <v>51</v>
      </c>
      <c r="J6" s="2">
        <v>4229</v>
      </c>
      <c r="K6" t="s">
        <v>40</v>
      </c>
      <c r="L6" t="s">
        <v>55</v>
      </c>
      <c r="M6">
        <v>260</v>
      </c>
      <c r="N6">
        <v>11</v>
      </c>
      <c r="O6" s="3">
        <v>1911</v>
      </c>
      <c r="P6">
        <f t="shared" ca="1" si="4"/>
        <v>10</v>
      </c>
      <c r="Q6">
        <f ca="1">RANDBETWEEN(0,Table1[[#This Row],[offers made]])</f>
        <v>3</v>
      </c>
      <c r="R6" t="s">
        <v>307</v>
      </c>
      <c r="S6">
        <f>Table1[[#This Row],[Hire Date]]-Table1[[#This Row],[Job Posting Date]]</f>
        <v>87</v>
      </c>
      <c r="T6" s="4">
        <f>Table1[[#This Row],[Join Date]]-Table1[[#This Row],[Hire Date]]</f>
        <v>4</v>
      </c>
      <c r="U6" s="4">
        <f ca="1">IF(Table1[[#This Row],[Status]]="Exited",Table1[[#This Row],[Exit Date]]-Table1[[#This Row],[Join Date]],TODAY()-Table1[[#This Row],[Join Date]])</f>
        <v>1518</v>
      </c>
      <c r="V6" t="str">
        <f ca="1">IF(Table1[[#This Row],[Total Tenure in Days]]&lt;=730, "yes","no")</f>
        <v>no</v>
      </c>
      <c r="W6">
        <f>Table1[[#This Row],[Hire Date]]-Table1[[#This Row],[Job Posting Date]]</f>
        <v>87</v>
      </c>
      <c r="X6" s="4">
        <f>Table1[[#This Row],[Time to Onboard]]/Table1[[#This Row],[Time to Fill]]*100</f>
        <v>4.5977011494252871</v>
      </c>
      <c r="Y6" s="5">
        <f>Table1[[#This Row],[Time to Onboard]]/Table1[[#This Row],[Time to Fill]]*100</f>
        <v>4.5977011494252871</v>
      </c>
      <c r="Z6">
        <f>Table1[[#This Row],[Join Date]]-Table1[[#This Row],[Job Posting Date]]</f>
        <v>91</v>
      </c>
      <c r="AA6">
        <f t="shared" ca="1" si="0"/>
        <v>183</v>
      </c>
      <c r="AB6" s="5">
        <f>Table1[[#This Row],[Absentee Days]]/Table1[[#This Row],[Total Work Days]]*100</f>
        <v>4.2307692307692308</v>
      </c>
      <c r="AC6">
        <f>YEAR(Table1[[#This Row],[Join Date]])</f>
        <v>2020</v>
      </c>
      <c r="AD6">
        <f>IF(Table1[[#This Row],[Status]]="Active",1,0)</f>
        <v>1</v>
      </c>
      <c r="AE6">
        <f>IF(Table1[[#This Row],[Status]]="Exited",Table1[[#This Row],[Recruitment Cost]]+Table1[[#This Row],[Onboarding Cost]]+Table1[[#This Row],[Training Cost]],0)</f>
        <v>0</v>
      </c>
      <c r="AF6">
        <f>IF(Table1[[#This Row],[Training Completion Status]]="Completed",1,0)</f>
        <v>0</v>
      </c>
      <c r="AG6">
        <f t="shared" ca="1" si="1"/>
        <v>3</v>
      </c>
      <c r="AH6">
        <f t="shared" ca="1" si="2"/>
        <v>2</v>
      </c>
      <c r="AI6">
        <f t="shared" ca="1" si="3"/>
        <v>5</v>
      </c>
      <c r="AJ6" t="s">
        <v>317</v>
      </c>
    </row>
    <row r="7" spans="1:39" x14ac:dyDescent="0.2">
      <c r="A7" t="s">
        <v>59</v>
      </c>
      <c r="B7" t="s">
        <v>41</v>
      </c>
      <c r="C7" t="s">
        <v>32</v>
      </c>
      <c r="D7" t="s">
        <v>33</v>
      </c>
      <c r="E7" s="1">
        <v>43654</v>
      </c>
      <c r="F7" s="1">
        <v>43710</v>
      </c>
      <c r="G7" s="1">
        <v>43711</v>
      </c>
      <c r="H7" s="1">
        <v>44771</v>
      </c>
      <c r="I7" t="s">
        <v>57</v>
      </c>
      <c r="J7" s="2">
        <v>3552</v>
      </c>
      <c r="K7" t="s">
        <v>40</v>
      </c>
      <c r="L7" t="s">
        <v>52</v>
      </c>
      <c r="M7">
        <v>260</v>
      </c>
      <c r="N7">
        <v>20</v>
      </c>
      <c r="O7" s="3">
        <v>2489</v>
      </c>
      <c r="P7">
        <f t="shared" ca="1" si="4"/>
        <v>1</v>
      </c>
      <c r="Q7">
        <f ca="1">RANDBETWEEN(0,Table1[[#This Row],[offers made]])</f>
        <v>1</v>
      </c>
      <c r="R7" t="s">
        <v>307</v>
      </c>
      <c r="S7">
        <f>Table1[[#This Row],[Hire Date]]-Table1[[#This Row],[Job Posting Date]]</f>
        <v>56</v>
      </c>
      <c r="T7" s="4">
        <f>Table1[[#This Row],[Join Date]]-Table1[[#This Row],[Hire Date]]</f>
        <v>1</v>
      </c>
      <c r="U7" s="4">
        <f ca="1">IF(Table1[[#This Row],[Status]]="Exited",Table1[[#This Row],[Exit Date]]-Table1[[#This Row],[Join Date]],TODAY()-Table1[[#This Row],[Join Date]])</f>
        <v>1060</v>
      </c>
      <c r="V7" t="str">
        <f ca="1">IF(Table1[[#This Row],[Total Tenure in Days]]&lt;=730, "yes","no")</f>
        <v>no</v>
      </c>
      <c r="W7">
        <f>Table1[[#This Row],[Hire Date]]-Table1[[#This Row],[Job Posting Date]]</f>
        <v>56</v>
      </c>
      <c r="X7" s="4">
        <f>Table1[[#This Row],[Time to Onboard]]/Table1[[#This Row],[Time to Fill]]*100</f>
        <v>1.7857142857142856</v>
      </c>
      <c r="Y7" s="5">
        <f>Table1[[#This Row],[Time to Onboard]]/Table1[[#This Row],[Time to Fill]]*100</f>
        <v>1.7857142857142856</v>
      </c>
      <c r="Z7">
        <f>Table1[[#This Row],[Join Date]]-Table1[[#This Row],[Job Posting Date]]</f>
        <v>57</v>
      </c>
      <c r="AA7">
        <f t="shared" ca="1" si="0"/>
        <v>164</v>
      </c>
      <c r="AB7" s="5">
        <f>Table1[[#This Row],[Absentee Days]]/Table1[[#This Row],[Total Work Days]]*100</f>
        <v>7.6923076923076925</v>
      </c>
      <c r="AC7">
        <f>YEAR(Table1[[#This Row],[Join Date]])</f>
        <v>2019</v>
      </c>
      <c r="AD7">
        <f>IF(Table1[[#This Row],[Status]]="Active",1,0)</f>
        <v>0</v>
      </c>
      <c r="AE7">
        <f ca="1">IF(Table1[[#This Row],[Status]]="Exited",Table1[[#This Row],[Recruitment Cost]]+Table1[[#This Row],[Onboarding Cost]]+Table1[[#This Row],[Training Cost]],0)</f>
        <v>6205</v>
      </c>
      <c r="AF7">
        <f>IF(Table1[[#This Row],[Training Completion Status]]="Completed",1,0)</f>
        <v>1</v>
      </c>
      <c r="AG7">
        <f t="shared" ca="1" si="1"/>
        <v>5</v>
      </c>
      <c r="AH7">
        <f t="shared" ca="1" si="2"/>
        <v>1</v>
      </c>
      <c r="AI7">
        <f t="shared" ca="1" si="3"/>
        <v>5</v>
      </c>
      <c r="AJ7" t="s">
        <v>318</v>
      </c>
    </row>
    <row r="8" spans="1:39" x14ac:dyDescent="0.2">
      <c r="A8" t="s">
        <v>60</v>
      </c>
      <c r="B8" t="s">
        <v>42</v>
      </c>
      <c r="C8" t="s">
        <v>26</v>
      </c>
      <c r="D8" t="s">
        <v>27</v>
      </c>
      <c r="E8" s="1">
        <v>44215</v>
      </c>
      <c r="F8" s="1">
        <v>44280</v>
      </c>
      <c r="G8" s="1">
        <v>44283</v>
      </c>
      <c r="H8" s="1" t="s">
        <v>50</v>
      </c>
      <c r="I8" t="s">
        <v>51</v>
      </c>
      <c r="J8" s="2">
        <v>4027</v>
      </c>
      <c r="K8" t="s">
        <v>34</v>
      </c>
      <c r="L8" t="s">
        <v>52</v>
      </c>
      <c r="M8">
        <v>260</v>
      </c>
      <c r="N8">
        <v>3</v>
      </c>
      <c r="O8" s="3">
        <v>1430</v>
      </c>
      <c r="P8">
        <f t="shared" ca="1" si="4"/>
        <v>1</v>
      </c>
      <c r="Q8">
        <f ca="1">RANDBETWEEN(0,Table1[[#This Row],[offers made]])</f>
        <v>0</v>
      </c>
      <c r="R8" t="s">
        <v>306</v>
      </c>
      <c r="S8">
        <f>Table1[[#This Row],[Hire Date]]-Table1[[#This Row],[Job Posting Date]]</f>
        <v>65</v>
      </c>
      <c r="T8" s="4">
        <f>Table1[[#This Row],[Join Date]]-Table1[[#This Row],[Hire Date]]</f>
        <v>3</v>
      </c>
      <c r="U8" s="4">
        <f ca="1">IF(Table1[[#This Row],[Status]]="Exited",Table1[[#This Row],[Exit Date]]-Table1[[#This Row],[Join Date]],TODAY()-Table1[[#This Row],[Join Date]])</f>
        <v>1378</v>
      </c>
      <c r="V8" t="str">
        <f ca="1">IF(Table1[[#This Row],[Total Tenure in Days]]&lt;=730, "yes","no")</f>
        <v>no</v>
      </c>
      <c r="W8">
        <f>Table1[[#This Row],[Hire Date]]-Table1[[#This Row],[Job Posting Date]]</f>
        <v>65</v>
      </c>
      <c r="X8" s="4">
        <f>Table1[[#This Row],[Time to Onboard]]/Table1[[#This Row],[Time to Fill]]*100</f>
        <v>4.6153846153846159</v>
      </c>
      <c r="Y8" s="5">
        <f>Table1[[#This Row],[Time to Onboard]]/Table1[[#This Row],[Time to Fill]]*100</f>
        <v>4.6153846153846159</v>
      </c>
      <c r="Z8">
        <f>Table1[[#This Row],[Join Date]]-Table1[[#This Row],[Job Posting Date]]</f>
        <v>68</v>
      </c>
      <c r="AA8">
        <f t="shared" ca="1" si="0"/>
        <v>164</v>
      </c>
      <c r="AB8" s="5">
        <f>Table1[[#This Row],[Absentee Days]]/Table1[[#This Row],[Total Work Days]]*100</f>
        <v>1.153846153846154</v>
      </c>
      <c r="AC8">
        <f>YEAR(Table1[[#This Row],[Join Date]])</f>
        <v>2021</v>
      </c>
      <c r="AD8">
        <f>IF(Table1[[#This Row],[Status]]="Active",1,0)</f>
        <v>1</v>
      </c>
      <c r="AE8">
        <f>IF(Table1[[#This Row],[Status]]="Exited",Table1[[#This Row],[Recruitment Cost]]+Table1[[#This Row],[Onboarding Cost]]+Table1[[#This Row],[Training Cost]],0)</f>
        <v>0</v>
      </c>
      <c r="AF8">
        <f>IF(Table1[[#This Row],[Training Completion Status]]="Completed",1,0)</f>
        <v>1</v>
      </c>
      <c r="AG8">
        <f ca="1">RANDBETWEEN(1,5)</f>
        <v>1</v>
      </c>
      <c r="AH8">
        <f t="shared" ca="1" si="2"/>
        <v>4</v>
      </c>
      <c r="AI8">
        <f t="shared" ca="1" si="3"/>
        <v>2</v>
      </c>
      <c r="AJ8" t="s">
        <v>317</v>
      </c>
    </row>
    <row r="9" spans="1:39" x14ac:dyDescent="0.2">
      <c r="A9" t="s">
        <v>61</v>
      </c>
      <c r="B9" t="s">
        <v>43</v>
      </c>
      <c r="C9" t="s">
        <v>38</v>
      </c>
      <c r="D9" t="s">
        <v>39</v>
      </c>
      <c r="E9" s="1">
        <v>44119</v>
      </c>
      <c r="F9" s="1">
        <v>44137</v>
      </c>
      <c r="G9" s="1">
        <v>44151</v>
      </c>
      <c r="H9" s="1">
        <v>44707</v>
      </c>
      <c r="I9" t="s">
        <v>57</v>
      </c>
      <c r="J9" s="2">
        <v>1791</v>
      </c>
      <c r="K9" t="s">
        <v>34</v>
      </c>
      <c r="L9" t="s">
        <v>52</v>
      </c>
      <c r="M9">
        <v>260</v>
      </c>
      <c r="N9">
        <v>15</v>
      </c>
      <c r="O9" s="3">
        <v>2393</v>
      </c>
      <c r="P9">
        <f t="shared" ca="1" si="4"/>
        <v>7</v>
      </c>
      <c r="Q9">
        <f ca="1">RANDBETWEEN(0,Table1[[#This Row],[offers made]])</f>
        <v>6</v>
      </c>
      <c r="R9" t="s">
        <v>307</v>
      </c>
      <c r="S9">
        <f>Table1[[#This Row],[Hire Date]]-Table1[[#This Row],[Job Posting Date]]</f>
        <v>18</v>
      </c>
      <c r="T9" s="4">
        <f>Table1[[#This Row],[Join Date]]-Table1[[#This Row],[Hire Date]]</f>
        <v>14</v>
      </c>
      <c r="U9" s="4">
        <f ca="1">IF(Table1[[#This Row],[Status]]="Exited",Table1[[#This Row],[Exit Date]]-Table1[[#This Row],[Join Date]],TODAY()-Table1[[#This Row],[Join Date]])</f>
        <v>556</v>
      </c>
      <c r="V9" t="str">
        <f ca="1">IF(Table1[[#This Row],[Total Tenure in Days]]&lt;=730, "yes","no")</f>
        <v>yes</v>
      </c>
      <c r="W9">
        <f>Table1[[#This Row],[Hire Date]]-Table1[[#This Row],[Job Posting Date]]</f>
        <v>18</v>
      </c>
      <c r="X9" s="4">
        <f>Table1[[#This Row],[Time to Onboard]]/Table1[[#This Row],[Time to Fill]]*100</f>
        <v>77.777777777777786</v>
      </c>
      <c r="Y9" s="5">
        <f>Table1[[#This Row],[Time to Onboard]]/Table1[[#This Row],[Time to Fill]]*100</f>
        <v>77.777777777777786</v>
      </c>
      <c r="Z9">
        <f>Table1[[#This Row],[Join Date]]-Table1[[#This Row],[Job Posting Date]]</f>
        <v>32</v>
      </c>
      <c r="AA9">
        <f t="shared" ca="1" si="0"/>
        <v>131</v>
      </c>
      <c r="AB9" s="5">
        <f>Table1[[#This Row],[Absentee Days]]/Table1[[#This Row],[Total Work Days]]*100</f>
        <v>5.7692307692307692</v>
      </c>
      <c r="AC9">
        <f>YEAR(Table1[[#This Row],[Join Date]])</f>
        <v>2020</v>
      </c>
      <c r="AD9">
        <f>IF(Table1[[#This Row],[Status]]="Active",1,0)</f>
        <v>0</v>
      </c>
      <c r="AE9">
        <f ca="1">IF(Table1[[#This Row],[Status]]="Exited",Table1[[#This Row],[Recruitment Cost]]+Table1[[#This Row],[Onboarding Cost]]+Table1[[#This Row],[Training Cost]],0)</f>
        <v>4315</v>
      </c>
      <c r="AF9">
        <f>IF(Table1[[#This Row],[Training Completion Status]]="Completed",1,0)</f>
        <v>1</v>
      </c>
      <c r="AG9">
        <f ca="1">RANDBETWEEN(1,5)</f>
        <v>1</v>
      </c>
      <c r="AH9">
        <f ca="1">RANDBETWEEN(1,5)</f>
        <v>5</v>
      </c>
      <c r="AI9">
        <f t="shared" ca="1" si="3"/>
        <v>2</v>
      </c>
      <c r="AJ9" t="s">
        <v>318</v>
      </c>
    </row>
    <row r="10" spans="1:39" x14ac:dyDescent="0.2">
      <c r="A10" t="s">
        <v>62</v>
      </c>
      <c r="B10" t="s">
        <v>41</v>
      </c>
      <c r="C10" t="s">
        <v>38</v>
      </c>
      <c r="D10" t="s">
        <v>39</v>
      </c>
      <c r="E10" s="1">
        <v>43989</v>
      </c>
      <c r="F10" s="1">
        <v>44027</v>
      </c>
      <c r="G10" s="1">
        <v>44032</v>
      </c>
      <c r="H10" s="1">
        <v>45483</v>
      </c>
      <c r="I10" t="s">
        <v>57</v>
      </c>
      <c r="J10" s="2">
        <v>2878</v>
      </c>
      <c r="K10" t="s">
        <v>31</v>
      </c>
      <c r="L10" t="s">
        <v>52</v>
      </c>
      <c r="M10">
        <v>260</v>
      </c>
      <c r="N10">
        <v>2</v>
      </c>
      <c r="O10" s="3">
        <v>2411</v>
      </c>
      <c r="P10">
        <f t="shared" ca="1" si="4"/>
        <v>3</v>
      </c>
      <c r="Q10">
        <f ca="1">RANDBETWEEN(0,Table1[[#This Row],[offers made]])</f>
        <v>2</v>
      </c>
      <c r="R10" t="s">
        <v>308</v>
      </c>
      <c r="S10">
        <f>Table1[[#This Row],[Hire Date]]-Table1[[#This Row],[Job Posting Date]]</f>
        <v>38</v>
      </c>
      <c r="T10" s="4">
        <f>Table1[[#This Row],[Join Date]]-Table1[[#This Row],[Hire Date]]</f>
        <v>5</v>
      </c>
      <c r="U10" s="4">
        <f ca="1">IF(Table1[[#This Row],[Status]]="Exited",Table1[[#This Row],[Exit Date]]-Table1[[#This Row],[Join Date]],TODAY()-Table1[[#This Row],[Join Date]])</f>
        <v>1451</v>
      </c>
      <c r="V10" t="str">
        <f ca="1">IF(Table1[[#This Row],[Total Tenure in Days]]&lt;=730, "yes","no")</f>
        <v>no</v>
      </c>
      <c r="W10">
        <f>Table1[[#This Row],[Hire Date]]-Table1[[#This Row],[Job Posting Date]]</f>
        <v>38</v>
      </c>
      <c r="X10" s="4">
        <f>Table1[[#This Row],[Time to Onboard]]/Table1[[#This Row],[Time to Fill]]*100</f>
        <v>13.157894736842104</v>
      </c>
      <c r="Y10" s="5">
        <f>Table1[[#This Row],[Time to Onboard]]/Table1[[#This Row],[Time to Fill]]*100</f>
        <v>13.157894736842104</v>
      </c>
      <c r="Z10">
        <f>Table1[[#This Row],[Join Date]]-Table1[[#This Row],[Job Posting Date]]</f>
        <v>43</v>
      </c>
      <c r="AA10">
        <f t="shared" ca="1" si="0"/>
        <v>184</v>
      </c>
      <c r="AB10" s="5">
        <f>Table1[[#This Row],[Absentee Days]]/Table1[[#This Row],[Total Work Days]]*100</f>
        <v>0.76923076923076927</v>
      </c>
      <c r="AC10">
        <f>YEAR(Table1[[#This Row],[Join Date]])</f>
        <v>2020</v>
      </c>
      <c r="AD10">
        <f>IF(Table1[[#This Row],[Status]]="Active",1,0)</f>
        <v>0</v>
      </c>
      <c r="AE10">
        <f ca="1">IF(Table1[[#This Row],[Status]]="Exited",Table1[[#This Row],[Recruitment Cost]]+Table1[[#This Row],[Onboarding Cost]]+Table1[[#This Row],[Training Cost]],0)</f>
        <v>5473</v>
      </c>
      <c r="AF10">
        <f>IF(Table1[[#This Row],[Training Completion Status]]="Completed",1,0)</f>
        <v>1</v>
      </c>
      <c r="AG10">
        <f t="shared" ca="1" si="1"/>
        <v>5</v>
      </c>
      <c r="AH10">
        <f t="shared" ca="1" si="2"/>
        <v>5</v>
      </c>
      <c r="AI10">
        <f t="shared" ca="1" si="3"/>
        <v>1</v>
      </c>
      <c r="AJ10" t="s">
        <v>318</v>
      </c>
    </row>
    <row r="11" spans="1:39" x14ac:dyDescent="0.2">
      <c r="A11" t="s">
        <v>63</v>
      </c>
      <c r="B11" t="s">
        <v>43</v>
      </c>
      <c r="C11" t="s">
        <v>35</v>
      </c>
      <c r="D11" t="s">
        <v>36</v>
      </c>
      <c r="E11" s="1">
        <v>43397</v>
      </c>
      <c r="F11" s="1">
        <v>43445</v>
      </c>
      <c r="G11" s="1">
        <v>43450</v>
      </c>
      <c r="H11" s="1">
        <v>44873</v>
      </c>
      <c r="I11" t="s">
        <v>57</v>
      </c>
      <c r="J11" s="2">
        <v>2743</v>
      </c>
      <c r="K11" t="s">
        <v>31</v>
      </c>
      <c r="L11" t="s">
        <v>55</v>
      </c>
      <c r="M11">
        <v>260</v>
      </c>
      <c r="N11">
        <v>3</v>
      </c>
      <c r="O11" s="3">
        <v>1604</v>
      </c>
      <c r="P11">
        <f t="shared" ca="1" si="4"/>
        <v>4</v>
      </c>
      <c r="Q11">
        <f ca="1">RANDBETWEEN(0,Table1[[#This Row],[offers made]])</f>
        <v>4</v>
      </c>
      <c r="R11" t="s">
        <v>306</v>
      </c>
      <c r="S11">
        <f>Table1[[#This Row],[Hire Date]]-Table1[[#This Row],[Job Posting Date]]</f>
        <v>48</v>
      </c>
      <c r="T11" s="4">
        <f>Table1[[#This Row],[Join Date]]-Table1[[#This Row],[Hire Date]]</f>
        <v>5</v>
      </c>
      <c r="U11" s="4">
        <f ca="1">IF(Table1[[#This Row],[Status]]="Exited",Table1[[#This Row],[Exit Date]]-Table1[[#This Row],[Join Date]],TODAY()-Table1[[#This Row],[Join Date]])</f>
        <v>1423</v>
      </c>
      <c r="V11" t="str">
        <f ca="1">IF(Table1[[#This Row],[Total Tenure in Days]]&lt;=730, "yes","no")</f>
        <v>no</v>
      </c>
      <c r="W11">
        <f>Table1[[#This Row],[Hire Date]]-Table1[[#This Row],[Job Posting Date]]</f>
        <v>48</v>
      </c>
      <c r="X11" s="4">
        <f>Table1[[#This Row],[Time to Onboard]]/Table1[[#This Row],[Time to Fill]]*100</f>
        <v>10.416666666666668</v>
      </c>
      <c r="Y11" s="5">
        <f>Table1[[#This Row],[Time to Onboard]]/Table1[[#This Row],[Time to Fill]]*100</f>
        <v>10.416666666666668</v>
      </c>
      <c r="Z11">
        <f>Table1[[#This Row],[Join Date]]-Table1[[#This Row],[Job Posting Date]]</f>
        <v>53</v>
      </c>
      <c r="AA11">
        <f t="shared" ca="1" si="0"/>
        <v>116</v>
      </c>
      <c r="AB11" s="5">
        <f>Table1[[#This Row],[Absentee Days]]/Table1[[#This Row],[Total Work Days]]*100</f>
        <v>1.153846153846154</v>
      </c>
      <c r="AC11">
        <f>YEAR(Table1[[#This Row],[Join Date]])</f>
        <v>2018</v>
      </c>
      <c r="AD11">
        <f>IF(Table1[[#This Row],[Status]]="Active",1,0)</f>
        <v>0</v>
      </c>
      <c r="AE11">
        <f ca="1">IF(Table1[[#This Row],[Status]]="Exited",Table1[[#This Row],[Recruitment Cost]]+Table1[[#This Row],[Onboarding Cost]]+Table1[[#This Row],[Training Cost]],0)</f>
        <v>4463</v>
      </c>
      <c r="AF11">
        <f>IF(Table1[[#This Row],[Training Completion Status]]="Completed",1,0)</f>
        <v>0</v>
      </c>
      <c r="AG11">
        <f t="shared" ca="1" si="1"/>
        <v>4</v>
      </c>
      <c r="AH11">
        <f t="shared" ca="1" si="2"/>
        <v>4</v>
      </c>
      <c r="AI11">
        <f t="shared" ca="1" si="3"/>
        <v>4</v>
      </c>
      <c r="AJ11" t="s">
        <v>317</v>
      </c>
    </row>
    <row r="12" spans="1:39" x14ac:dyDescent="0.2">
      <c r="A12" t="s">
        <v>64</v>
      </c>
      <c r="B12" t="s">
        <v>41</v>
      </c>
      <c r="C12" t="s">
        <v>29</v>
      </c>
      <c r="D12" t="s">
        <v>30</v>
      </c>
      <c r="E12" s="1">
        <v>43248</v>
      </c>
      <c r="F12" s="1">
        <v>43268</v>
      </c>
      <c r="G12" s="1">
        <v>43277</v>
      </c>
      <c r="H12" s="1" t="s">
        <v>50</v>
      </c>
      <c r="I12" t="s">
        <v>51</v>
      </c>
      <c r="J12" s="2">
        <v>4525</v>
      </c>
      <c r="K12" t="s">
        <v>31</v>
      </c>
      <c r="L12" t="s">
        <v>52</v>
      </c>
      <c r="M12">
        <v>260</v>
      </c>
      <c r="N12">
        <v>7</v>
      </c>
      <c r="O12" s="3">
        <v>2407</v>
      </c>
      <c r="P12">
        <f t="shared" ca="1" si="4"/>
        <v>9</v>
      </c>
      <c r="Q12">
        <f ca="1">RANDBETWEEN(0,Table1[[#This Row],[offers made]])</f>
        <v>9</v>
      </c>
      <c r="R12" t="s">
        <v>308</v>
      </c>
      <c r="S12">
        <f>Table1[[#This Row],[Hire Date]]-Table1[[#This Row],[Job Posting Date]]</f>
        <v>20</v>
      </c>
      <c r="T12" s="4">
        <f>Table1[[#This Row],[Join Date]]-Table1[[#This Row],[Hire Date]]</f>
        <v>9</v>
      </c>
      <c r="U12" s="4">
        <f ca="1">IF(Table1[[#This Row],[Status]]="Exited",Table1[[#This Row],[Exit Date]]-Table1[[#This Row],[Join Date]],TODAY()-Table1[[#This Row],[Join Date]])</f>
        <v>2384</v>
      </c>
      <c r="V12" t="str">
        <f ca="1">IF(Table1[[#This Row],[Total Tenure in Days]]&lt;=730, "yes","no")</f>
        <v>no</v>
      </c>
      <c r="W12">
        <f>Table1[[#This Row],[Hire Date]]-Table1[[#This Row],[Job Posting Date]]</f>
        <v>20</v>
      </c>
      <c r="X12" s="4">
        <f>Table1[[#This Row],[Time to Onboard]]/Table1[[#This Row],[Time to Fill]]*100</f>
        <v>45</v>
      </c>
      <c r="Y12" s="5">
        <f>Table1[[#This Row],[Time to Onboard]]/Table1[[#This Row],[Time to Fill]]*100</f>
        <v>45</v>
      </c>
      <c r="Z12">
        <f>Table1[[#This Row],[Join Date]]-Table1[[#This Row],[Job Posting Date]]</f>
        <v>29</v>
      </c>
      <c r="AA12">
        <f t="shared" ca="1" si="0"/>
        <v>104</v>
      </c>
      <c r="AB12" s="5">
        <f>Table1[[#This Row],[Absentee Days]]/Table1[[#This Row],[Total Work Days]]*100</f>
        <v>2.6923076923076925</v>
      </c>
      <c r="AC12">
        <f>YEAR(Table1[[#This Row],[Join Date]])</f>
        <v>2018</v>
      </c>
      <c r="AD12">
        <f>IF(Table1[[#This Row],[Status]]="Active",1,0)</f>
        <v>1</v>
      </c>
      <c r="AE12">
        <f>IF(Table1[[#This Row],[Status]]="Exited",Table1[[#This Row],[Recruitment Cost]]+Table1[[#This Row],[Onboarding Cost]]+Table1[[#This Row],[Training Cost]],0)</f>
        <v>0</v>
      </c>
      <c r="AF12">
        <f>IF(Table1[[#This Row],[Training Completion Status]]="Completed",1,0)</f>
        <v>1</v>
      </c>
      <c r="AG12">
        <f t="shared" ca="1" si="1"/>
        <v>4</v>
      </c>
      <c r="AH12">
        <f t="shared" ca="1" si="2"/>
        <v>3</v>
      </c>
      <c r="AI12">
        <f t="shared" ca="1" si="3"/>
        <v>4</v>
      </c>
      <c r="AJ12" t="s">
        <v>317</v>
      </c>
    </row>
    <row r="13" spans="1:39" x14ac:dyDescent="0.2">
      <c r="A13" t="s">
        <v>65</v>
      </c>
      <c r="B13" t="s">
        <v>41</v>
      </c>
      <c r="C13" t="s">
        <v>38</v>
      </c>
      <c r="D13" t="s">
        <v>39</v>
      </c>
      <c r="E13" s="1">
        <v>44231</v>
      </c>
      <c r="F13" s="1">
        <v>44259</v>
      </c>
      <c r="G13" s="1">
        <v>44268</v>
      </c>
      <c r="H13" s="1" t="s">
        <v>50</v>
      </c>
      <c r="I13" t="s">
        <v>51</v>
      </c>
      <c r="J13" s="2">
        <v>4195</v>
      </c>
      <c r="K13" t="s">
        <v>34</v>
      </c>
      <c r="L13" t="s">
        <v>52</v>
      </c>
      <c r="M13">
        <v>260</v>
      </c>
      <c r="N13">
        <v>7</v>
      </c>
      <c r="O13" s="3">
        <v>1950</v>
      </c>
      <c r="P13">
        <f t="shared" ca="1" si="4"/>
        <v>8</v>
      </c>
      <c r="Q13">
        <f ca="1">RANDBETWEEN(0,Table1[[#This Row],[offers made]])</f>
        <v>3</v>
      </c>
      <c r="R13" t="s">
        <v>306</v>
      </c>
      <c r="S13">
        <f>Table1[[#This Row],[Hire Date]]-Table1[[#This Row],[Job Posting Date]]</f>
        <v>28</v>
      </c>
      <c r="T13" s="4">
        <f>Table1[[#This Row],[Join Date]]-Table1[[#This Row],[Hire Date]]</f>
        <v>9</v>
      </c>
      <c r="U13" s="4">
        <f ca="1">IF(Table1[[#This Row],[Status]]="Exited",Table1[[#This Row],[Exit Date]]-Table1[[#This Row],[Join Date]],TODAY()-Table1[[#This Row],[Join Date]])</f>
        <v>1393</v>
      </c>
      <c r="V13" t="str">
        <f ca="1">IF(Table1[[#This Row],[Total Tenure in Days]]&lt;=730, "yes","no")</f>
        <v>no</v>
      </c>
      <c r="W13">
        <f>Table1[[#This Row],[Hire Date]]-Table1[[#This Row],[Job Posting Date]]</f>
        <v>28</v>
      </c>
      <c r="X13" s="4">
        <f>Table1[[#This Row],[Time to Onboard]]/Table1[[#This Row],[Time to Fill]]*100</f>
        <v>32.142857142857146</v>
      </c>
      <c r="Y13" s="5">
        <f>Table1[[#This Row],[Time to Onboard]]/Table1[[#This Row],[Time to Fill]]*100</f>
        <v>32.142857142857146</v>
      </c>
      <c r="Z13">
        <f>Table1[[#This Row],[Join Date]]-Table1[[#This Row],[Job Posting Date]]</f>
        <v>37</v>
      </c>
      <c r="AA13">
        <f t="shared" ca="1" si="0"/>
        <v>189</v>
      </c>
      <c r="AB13" s="5">
        <f>Table1[[#This Row],[Absentee Days]]/Table1[[#This Row],[Total Work Days]]*100</f>
        <v>2.6923076923076925</v>
      </c>
      <c r="AC13">
        <f>YEAR(Table1[[#This Row],[Join Date]])</f>
        <v>2021</v>
      </c>
      <c r="AD13">
        <f>IF(Table1[[#This Row],[Status]]="Active",1,0)</f>
        <v>1</v>
      </c>
      <c r="AE13">
        <f>IF(Table1[[#This Row],[Status]]="Exited",Table1[[#This Row],[Recruitment Cost]]+Table1[[#This Row],[Onboarding Cost]]+Table1[[#This Row],[Training Cost]],0)</f>
        <v>0</v>
      </c>
      <c r="AF13">
        <f>IF(Table1[[#This Row],[Training Completion Status]]="Completed",1,0)</f>
        <v>1</v>
      </c>
      <c r="AG13">
        <f t="shared" ca="1" si="1"/>
        <v>2</v>
      </c>
      <c r="AH13">
        <f t="shared" ca="1" si="2"/>
        <v>2</v>
      </c>
      <c r="AI13">
        <f t="shared" ca="1" si="3"/>
        <v>3</v>
      </c>
      <c r="AJ13" t="s">
        <v>317</v>
      </c>
    </row>
    <row r="14" spans="1:39" x14ac:dyDescent="0.2">
      <c r="A14" t="s">
        <v>66</v>
      </c>
      <c r="B14" t="s">
        <v>41</v>
      </c>
      <c r="C14" t="s">
        <v>32</v>
      </c>
      <c r="D14" t="s">
        <v>33</v>
      </c>
      <c r="E14" s="1">
        <v>43147</v>
      </c>
      <c r="F14" s="1">
        <v>43214</v>
      </c>
      <c r="G14" s="1">
        <v>43225</v>
      </c>
      <c r="H14" s="1">
        <v>43963</v>
      </c>
      <c r="I14" t="s">
        <v>57</v>
      </c>
      <c r="J14" s="2">
        <v>4160</v>
      </c>
      <c r="K14" t="s">
        <v>37</v>
      </c>
      <c r="L14" t="s">
        <v>52</v>
      </c>
      <c r="M14">
        <v>260</v>
      </c>
      <c r="N14">
        <v>20</v>
      </c>
      <c r="O14" s="3">
        <v>1279</v>
      </c>
      <c r="P14">
        <f t="shared" ca="1" si="4"/>
        <v>5</v>
      </c>
      <c r="Q14">
        <f ca="1">RANDBETWEEN(0,Table1[[#This Row],[offers made]])</f>
        <v>2</v>
      </c>
      <c r="R14" t="s">
        <v>308</v>
      </c>
      <c r="S14">
        <f>Table1[[#This Row],[Hire Date]]-Table1[[#This Row],[Job Posting Date]]</f>
        <v>67</v>
      </c>
      <c r="T14" s="4">
        <f>Table1[[#This Row],[Join Date]]-Table1[[#This Row],[Hire Date]]</f>
        <v>11</v>
      </c>
      <c r="U14" s="4">
        <f ca="1">IF(Table1[[#This Row],[Status]]="Exited",Table1[[#This Row],[Exit Date]]-Table1[[#This Row],[Join Date]],TODAY()-Table1[[#This Row],[Join Date]])</f>
        <v>738</v>
      </c>
      <c r="V14" t="str">
        <f ca="1">IF(Table1[[#This Row],[Total Tenure in Days]]&lt;=730, "yes","no")</f>
        <v>no</v>
      </c>
      <c r="W14">
        <f>Table1[[#This Row],[Hire Date]]-Table1[[#This Row],[Job Posting Date]]</f>
        <v>67</v>
      </c>
      <c r="X14" s="4">
        <f>Table1[[#This Row],[Time to Onboard]]/Table1[[#This Row],[Time to Fill]]*100</f>
        <v>16.417910447761194</v>
      </c>
      <c r="Y14" s="5">
        <f>Table1[[#This Row],[Time to Onboard]]/Table1[[#This Row],[Time to Fill]]*100</f>
        <v>16.417910447761194</v>
      </c>
      <c r="Z14">
        <f>Table1[[#This Row],[Join Date]]-Table1[[#This Row],[Job Posting Date]]</f>
        <v>78</v>
      </c>
      <c r="AA14">
        <f t="shared" ca="1" si="0"/>
        <v>143</v>
      </c>
      <c r="AB14" s="5">
        <f>Table1[[#This Row],[Absentee Days]]/Table1[[#This Row],[Total Work Days]]*100</f>
        <v>7.6923076923076925</v>
      </c>
      <c r="AC14">
        <f>YEAR(Table1[[#This Row],[Join Date]])</f>
        <v>2018</v>
      </c>
      <c r="AD14">
        <f>IF(Table1[[#This Row],[Status]]="Active",1,0)</f>
        <v>0</v>
      </c>
      <c r="AE14">
        <f ca="1">IF(Table1[[#This Row],[Status]]="Exited",Table1[[#This Row],[Recruitment Cost]]+Table1[[#This Row],[Onboarding Cost]]+Table1[[#This Row],[Training Cost]],0)</f>
        <v>5582</v>
      </c>
      <c r="AF14">
        <f>IF(Table1[[#This Row],[Training Completion Status]]="Completed",1,0)</f>
        <v>1</v>
      </c>
      <c r="AG14">
        <f t="shared" ca="1" si="1"/>
        <v>1</v>
      </c>
      <c r="AH14">
        <f t="shared" ca="1" si="2"/>
        <v>2</v>
      </c>
      <c r="AI14">
        <f t="shared" ca="1" si="3"/>
        <v>1</v>
      </c>
      <c r="AJ14" t="s">
        <v>317</v>
      </c>
    </row>
    <row r="15" spans="1:39" x14ac:dyDescent="0.2">
      <c r="A15" t="s">
        <v>67</v>
      </c>
      <c r="B15" t="s">
        <v>41</v>
      </c>
      <c r="C15" t="s">
        <v>35</v>
      </c>
      <c r="D15" t="s">
        <v>36</v>
      </c>
      <c r="E15" s="1">
        <v>44842</v>
      </c>
      <c r="F15" s="1">
        <v>44879</v>
      </c>
      <c r="G15" s="1">
        <v>44888</v>
      </c>
      <c r="H15" s="1" t="s">
        <v>50</v>
      </c>
      <c r="I15" t="s">
        <v>51</v>
      </c>
      <c r="J15" s="2">
        <v>4052</v>
      </c>
      <c r="K15" t="s">
        <v>34</v>
      </c>
      <c r="L15" t="s">
        <v>52</v>
      </c>
      <c r="M15">
        <v>260</v>
      </c>
      <c r="N15">
        <v>1</v>
      </c>
      <c r="O15" s="3">
        <v>1960</v>
      </c>
      <c r="P15">
        <f t="shared" ca="1" si="4"/>
        <v>5</v>
      </c>
      <c r="Q15">
        <f ca="1">RANDBETWEEN(0,Table1[[#This Row],[offers made]])</f>
        <v>4</v>
      </c>
      <c r="R15" t="s">
        <v>307</v>
      </c>
      <c r="S15">
        <f>Table1[[#This Row],[Hire Date]]-Table1[[#This Row],[Job Posting Date]]</f>
        <v>37</v>
      </c>
      <c r="T15" s="4">
        <f>Table1[[#This Row],[Join Date]]-Table1[[#This Row],[Hire Date]]</f>
        <v>9</v>
      </c>
      <c r="U15" s="4">
        <f ca="1">IF(Table1[[#This Row],[Status]]="Exited",Table1[[#This Row],[Exit Date]]-Table1[[#This Row],[Join Date]],TODAY()-Table1[[#This Row],[Join Date]])</f>
        <v>773</v>
      </c>
      <c r="V15" t="str">
        <f ca="1">IF(Table1[[#This Row],[Total Tenure in Days]]&lt;=730, "yes","no")</f>
        <v>no</v>
      </c>
      <c r="W15">
        <f>Table1[[#This Row],[Hire Date]]-Table1[[#This Row],[Job Posting Date]]</f>
        <v>37</v>
      </c>
      <c r="X15" s="4">
        <f>Table1[[#This Row],[Time to Onboard]]/Table1[[#This Row],[Time to Fill]]*100</f>
        <v>24.324324324324326</v>
      </c>
      <c r="Y15" s="5">
        <f>Table1[[#This Row],[Time to Onboard]]/Table1[[#This Row],[Time to Fill]]*100</f>
        <v>24.324324324324326</v>
      </c>
      <c r="Z15">
        <f>Table1[[#This Row],[Join Date]]-Table1[[#This Row],[Job Posting Date]]</f>
        <v>46</v>
      </c>
      <c r="AA15">
        <f t="shared" ca="1" si="0"/>
        <v>136</v>
      </c>
      <c r="AB15" s="5">
        <f>Table1[[#This Row],[Absentee Days]]/Table1[[#This Row],[Total Work Days]]*100</f>
        <v>0.38461538461538464</v>
      </c>
      <c r="AC15">
        <f>YEAR(Table1[[#This Row],[Join Date]])</f>
        <v>2022</v>
      </c>
      <c r="AD15">
        <f>IF(Table1[[#This Row],[Status]]="Active",1,0)</f>
        <v>1</v>
      </c>
      <c r="AE15">
        <f>IF(Table1[[#This Row],[Status]]="Exited",Table1[[#This Row],[Recruitment Cost]]+Table1[[#This Row],[Onboarding Cost]]+Table1[[#This Row],[Training Cost]],0)</f>
        <v>0</v>
      </c>
      <c r="AF15">
        <f>IF(Table1[[#This Row],[Training Completion Status]]="Completed",1,0)</f>
        <v>1</v>
      </c>
      <c r="AG15">
        <f t="shared" ca="1" si="1"/>
        <v>5</v>
      </c>
      <c r="AH15">
        <f t="shared" ca="1" si="2"/>
        <v>1</v>
      </c>
      <c r="AI15">
        <f t="shared" ca="1" si="3"/>
        <v>5</v>
      </c>
      <c r="AJ15" t="s">
        <v>317</v>
      </c>
    </row>
    <row r="16" spans="1:39" x14ac:dyDescent="0.2">
      <c r="A16" t="s">
        <v>68</v>
      </c>
      <c r="B16" t="s">
        <v>43</v>
      </c>
      <c r="C16" t="s">
        <v>26</v>
      </c>
      <c r="D16" t="s">
        <v>27</v>
      </c>
      <c r="E16" s="1">
        <v>43490</v>
      </c>
      <c r="F16" s="1">
        <v>43540</v>
      </c>
      <c r="G16" s="1">
        <v>43548</v>
      </c>
      <c r="H16" s="1">
        <v>44950</v>
      </c>
      <c r="I16" t="s">
        <v>57</v>
      </c>
      <c r="J16" s="2">
        <v>4830</v>
      </c>
      <c r="K16" t="s">
        <v>34</v>
      </c>
      <c r="L16" t="s">
        <v>52</v>
      </c>
      <c r="M16">
        <v>260</v>
      </c>
      <c r="N16">
        <v>12</v>
      </c>
      <c r="O16" s="3">
        <v>1850</v>
      </c>
      <c r="P16">
        <f t="shared" ca="1" si="4"/>
        <v>1</v>
      </c>
      <c r="Q16">
        <f ca="1">RANDBETWEEN(0,Table1[[#This Row],[offers made]])</f>
        <v>1</v>
      </c>
      <c r="R16" t="s">
        <v>306</v>
      </c>
      <c r="S16">
        <f>Table1[[#This Row],[Hire Date]]-Table1[[#This Row],[Job Posting Date]]</f>
        <v>50</v>
      </c>
      <c r="T16" s="4">
        <f>Table1[[#This Row],[Join Date]]-Table1[[#This Row],[Hire Date]]</f>
        <v>8</v>
      </c>
      <c r="U16" s="4">
        <f ca="1">IF(Table1[[#This Row],[Status]]="Exited",Table1[[#This Row],[Exit Date]]-Table1[[#This Row],[Join Date]],TODAY()-Table1[[#This Row],[Join Date]])</f>
        <v>1402</v>
      </c>
      <c r="V16" t="str">
        <f ca="1">IF(Table1[[#This Row],[Total Tenure in Days]]&lt;=730, "yes","no")</f>
        <v>no</v>
      </c>
      <c r="W16">
        <f>Table1[[#This Row],[Hire Date]]-Table1[[#This Row],[Job Posting Date]]</f>
        <v>50</v>
      </c>
      <c r="X16" s="4">
        <f>Table1[[#This Row],[Time to Onboard]]/Table1[[#This Row],[Time to Fill]]*100</f>
        <v>16</v>
      </c>
      <c r="Y16" s="5">
        <f>Table1[[#This Row],[Time to Onboard]]/Table1[[#This Row],[Time to Fill]]*100</f>
        <v>16</v>
      </c>
      <c r="Z16">
        <f>Table1[[#This Row],[Join Date]]-Table1[[#This Row],[Job Posting Date]]</f>
        <v>58</v>
      </c>
      <c r="AA16">
        <f t="shared" ca="1" si="0"/>
        <v>161</v>
      </c>
      <c r="AB16" s="5">
        <f>Table1[[#This Row],[Absentee Days]]/Table1[[#This Row],[Total Work Days]]*100</f>
        <v>4.6153846153846159</v>
      </c>
      <c r="AC16">
        <f>YEAR(Table1[[#This Row],[Join Date]])</f>
        <v>2019</v>
      </c>
      <c r="AD16">
        <f>IF(Table1[[#This Row],[Status]]="Active",1,0)</f>
        <v>0</v>
      </c>
      <c r="AE16">
        <f ca="1">IF(Table1[[#This Row],[Status]]="Exited",Table1[[#This Row],[Recruitment Cost]]+Table1[[#This Row],[Onboarding Cost]]+Table1[[#This Row],[Training Cost]],0)</f>
        <v>6841</v>
      </c>
      <c r="AF16">
        <f>IF(Table1[[#This Row],[Training Completion Status]]="Completed",1,0)</f>
        <v>1</v>
      </c>
      <c r="AG16">
        <f t="shared" ca="1" si="1"/>
        <v>4</v>
      </c>
      <c r="AH16">
        <f t="shared" ca="1" si="2"/>
        <v>4</v>
      </c>
      <c r="AI16">
        <f t="shared" ca="1" si="3"/>
        <v>1</v>
      </c>
      <c r="AJ16" t="s">
        <v>318</v>
      </c>
    </row>
    <row r="17" spans="1:36" x14ac:dyDescent="0.2">
      <c r="A17" t="s">
        <v>69</v>
      </c>
      <c r="B17" t="s">
        <v>41</v>
      </c>
      <c r="C17" t="s">
        <v>32</v>
      </c>
      <c r="D17" t="s">
        <v>33</v>
      </c>
      <c r="E17" s="1">
        <v>44760</v>
      </c>
      <c r="F17" s="1">
        <v>44776</v>
      </c>
      <c r="G17" s="1">
        <v>44778</v>
      </c>
      <c r="H17" s="1">
        <v>45453</v>
      </c>
      <c r="I17" t="s">
        <v>57</v>
      </c>
      <c r="J17" s="2">
        <v>2901</v>
      </c>
      <c r="K17" t="s">
        <v>28</v>
      </c>
      <c r="L17" t="s">
        <v>52</v>
      </c>
      <c r="M17">
        <v>260</v>
      </c>
      <c r="N17">
        <v>6</v>
      </c>
      <c r="O17" s="3">
        <v>1403</v>
      </c>
      <c r="P17">
        <f t="shared" ca="1" si="4"/>
        <v>4</v>
      </c>
      <c r="Q17">
        <f ca="1">RANDBETWEEN(0,Table1[[#This Row],[offers made]])</f>
        <v>0</v>
      </c>
      <c r="R17" t="s">
        <v>307</v>
      </c>
      <c r="S17">
        <f>Table1[[#This Row],[Hire Date]]-Table1[[#This Row],[Job Posting Date]]</f>
        <v>16</v>
      </c>
      <c r="T17" s="4">
        <f>Table1[[#This Row],[Join Date]]-Table1[[#This Row],[Hire Date]]</f>
        <v>2</v>
      </c>
      <c r="U17" s="4">
        <f ca="1">IF(Table1[[#This Row],[Status]]="Exited",Table1[[#This Row],[Exit Date]]-Table1[[#This Row],[Join Date]],TODAY()-Table1[[#This Row],[Join Date]])</f>
        <v>675</v>
      </c>
      <c r="V17" t="str">
        <f ca="1">IF(Table1[[#This Row],[Total Tenure in Days]]&lt;=730, "yes","no")</f>
        <v>yes</v>
      </c>
      <c r="W17">
        <f>Table1[[#This Row],[Hire Date]]-Table1[[#This Row],[Job Posting Date]]</f>
        <v>16</v>
      </c>
      <c r="X17" s="4">
        <f>Table1[[#This Row],[Time to Onboard]]/Table1[[#This Row],[Time to Fill]]*100</f>
        <v>12.5</v>
      </c>
      <c r="Y17" s="5">
        <f>Table1[[#This Row],[Time to Onboard]]/Table1[[#This Row],[Time to Fill]]*100</f>
        <v>12.5</v>
      </c>
      <c r="Z17">
        <f>Table1[[#This Row],[Join Date]]-Table1[[#This Row],[Job Posting Date]]</f>
        <v>18</v>
      </c>
      <c r="AA17">
        <f t="shared" ca="1" si="0"/>
        <v>108</v>
      </c>
      <c r="AB17" s="5">
        <f>Table1[[#This Row],[Absentee Days]]/Table1[[#This Row],[Total Work Days]]*100</f>
        <v>2.3076923076923079</v>
      </c>
      <c r="AC17">
        <f>YEAR(Table1[[#This Row],[Join Date]])</f>
        <v>2022</v>
      </c>
      <c r="AD17">
        <f>IF(Table1[[#This Row],[Status]]="Active",1,0)</f>
        <v>0</v>
      </c>
      <c r="AE17">
        <f ca="1">IF(Table1[[#This Row],[Status]]="Exited",Table1[[#This Row],[Recruitment Cost]]+Table1[[#This Row],[Onboarding Cost]]+Table1[[#This Row],[Training Cost]],0)</f>
        <v>4412</v>
      </c>
      <c r="AF17">
        <f>IF(Table1[[#This Row],[Training Completion Status]]="Completed",1,0)</f>
        <v>1</v>
      </c>
      <c r="AG17">
        <f t="shared" ca="1" si="1"/>
        <v>1</v>
      </c>
      <c r="AH17">
        <f t="shared" ca="1" si="2"/>
        <v>2</v>
      </c>
      <c r="AI17">
        <f t="shared" ca="1" si="3"/>
        <v>5</v>
      </c>
      <c r="AJ17" t="s">
        <v>317</v>
      </c>
    </row>
    <row r="18" spans="1:36" x14ac:dyDescent="0.2">
      <c r="A18" t="s">
        <v>70</v>
      </c>
      <c r="B18" t="s">
        <v>41</v>
      </c>
      <c r="C18" t="s">
        <v>29</v>
      </c>
      <c r="D18" t="s">
        <v>30</v>
      </c>
      <c r="E18" s="1">
        <v>43558</v>
      </c>
      <c r="F18" s="1">
        <v>43582</v>
      </c>
      <c r="G18" s="1">
        <v>43589</v>
      </c>
      <c r="H18" s="1">
        <v>44012</v>
      </c>
      <c r="I18" t="s">
        <v>57</v>
      </c>
      <c r="J18" s="2">
        <v>4492</v>
      </c>
      <c r="K18" t="s">
        <v>31</v>
      </c>
      <c r="L18" t="s">
        <v>52</v>
      </c>
      <c r="M18">
        <v>260</v>
      </c>
      <c r="N18">
        <v>9</v>
      </c>
      <c r="O18" s="3">
        <v>1952</v>
      </c>
      <c r="P18">
        <f t="shared" ca="1" si="4"/>
        <v>8</v>
      </c>
      <c r="Q18">
        <f ca="1">RANDBETWEEN(0,Table1[[#This Row],[offers made]])</f>
        <v>1</v>
      </c>
      <c r="R18" t="s">
        <v>308</v>
      </c>
      <c r="S18">
        <f>Table1[[#This Row],[Hire Date]]-Table1[[#This Row],[Job Posting Date]]</f>
        <v>24</v>
      </c>
      <c r="T18" s="4">
        <f>Table1[[#This Row],[Join Date]]-Table1[[#This Row],[Hire Date]]</f>
        <v>7</v>
      </c>
      <c r="U18" s="4">
        <f ca="1">IF(Table1[[#This Row],[Status]]="Exited",Table1[[#This Row],[Exit Date]]-Table1[[#This Row],[Join Date]],TODAY()-Table1[[#This Row],[Join Date]])</f>
        <v>423</v>
      </c>
      <c r="V18" t="str">
        <f ca="1">IF(Table1[[#This Row],[Total Tenure in Days]]&lt;=730, "yes","no")</f>
        <v>yes</v>
      </c>
      <c r="W18">
        <f>Table1[[#This Row],[Hire Date]]-Table1[[#This Row],[Job Posting Date]]</f>
        <v>24</v>
      </c>
      <c r="X18" s="4">
        <f>Table1[[#This Row],[Time to Onboard]]/Table1[[#This Row],[Time to Fill]]*100</f>
        <v>29.166666666666668</v>
      </c>
      <c r="Y18" s="5">
        <f>Table1[[#This Row],[Time to Onboard]]/Table1[[#This Row],[Time to Fill]]*100</f>
        <v>29.166666666666668</v>
      </c>
      <c r="Z18">
        <f>Table1[[#This Row],[Join Date]]-Table1[[#This Row],[Job Posting Date]]</f>
        <v>31</v>
      </c>
      <c r="AA18">
        <f t="shared" ca="1" si="0"/>
        <v>129</v>
      </c>
      <c r="AB18" s="5">
        <f>Table1[[#This Row],[Absentee Days]]/Table1[[#This Row],[Total Work Days]]*100</f>
        <v>3.4615384615384617</v>
      </c>
      <c r="AC18">
        <f>YEAR(Table1[[#This Row],[Join Date]])</f>
        <v>2019</v>
      </c>
      <c r="AD18">
        <f>IF(Table1[[#This Row],[Status]]="Active",1,0)</f>
        <v>0</v>
      </c>
      <c r="AE18">
        <f ca="1">IF(Table1[[#This Row],[Status]]="Exited",Table1[[#This Row],[Recruitment Cost]]+Table1[[#This Row],[Onboarding Cost]]+Table1[[#This Row],[Training Cost]],0)</f>
        <v>6573</v>
      </c>
      <c r="AF18">
        <f>IF(Table1[[#This Row],[Training Completion Status]]="Completed",1,0)</f>
        <v>1</v>
      </c>
      <c r="AG18">
        <f t="shared" ca="1" si="1"/>
        <v>4</v>
      </c>
      <c r="AH18">
        <f t="shared" ca="1" si="2"/>
        <v>3</v>
      </c>
      <c r="AI18">
        <f t="shared" ca="1" si="3"/>
        <v>3</v>
      </c>
      <c r="AJ18" t="s">
        <v>317</v>
      </c>
    </row>
    <row r="19" spans="1:36" x14ac:dyDescent="0.2">
      <c r="A19" t="s">
        <v>71</v>
      </c>
      <c r="B19" t="s">
        <v>41</v>
      </c>
      <c r="C19" t="s">
        <v>38</v>
      </c>
      <c r="D19" t="s">
        <v>39</v>
      </c>
      <c r="E19" s="1">
        <v>44488</v>
      </c>
      <c r="F19" s="1">
        <v>44544</v>
      </c>
      <c r="G19" s="1">
        <v>44558</v>
      </c>
      <c r="H19" s="1" t="s">
        <v>50</v>
      </c>
      <c r="I19" t="s">
        <v>51</v>
      </c>
      <c r="J19" s="2">
        <v>4471</v>
      </c>
      <c r="K19" t="s">
        <v>34</v>
      </c>
      <c r="L19" t="s">
        <v>52</v>
      </c>
      <c r="M19">
        <v>260</v>
      </c>
      <c r="N19">
        <v>14</v>
      </c>
      <c r="O19" s="3">
        <v>1717</v>
      </c>
      <c r="P19">
        <f t="shared" ca="1" si="4"/>
        <v>5</v>
      </c>
      <c r="Q19">
        <f ca="1">RANDBETWEEN(0,Table1[[#This Row],[offers made]])</f>
        <v>1</v>
      </c>
      <c r="R19" t="s">
        <v>308</v>
      </c>
      <c r="S19">
        <f>Table1[[#This Row],[Hire Date]]-Table1[[#This Row],[Job Posting Date]]</f>
        <v>56</v>
      </c>
      <c r="T19" s="4">
        <f>Table1[[#This Row],[Join Date]]-Table1[[#This Row],[Hire Date]]</f>
        <v>14</v>
      </c>
      <c r="U19" s="4">
        <f ca="1">IF(Table1[[#This Row],[Status]]="Exited",Table1[[#This Row],[Exit Date]]-Table1[[#This Row],[Join Date]],TODAY()-Table1[[#This Row],[Join Date]])</f>
        <v>1103</v>
      </c>
      <c r="V19" t="str">
        <f ca="1">IF(Table1[[#This Row],[Total Tenure in Days]]&lt;=730, "yes","no")</f>
        <v>no</v>
      </c>
      <c r="W19">
        <f>Table1[[#This Row],[Hire Date]]-Table1[[#This Row],[Job Posting Date]]</f>
        <v>56</v>
      </c>
      <c r="X19" s="4">
        <f>Table1[[#This Row],[Time to Onboard]]/Table1[[#This Row],[Time to Fill]]*100</f>
        <v>25</v>
      </c>
      <c r="Y19" s="5">
        <f>Table1[[#This Row],[Time to Onboard]]/Table1[[#This Row],[Time to Fill]]*100</f>
        <v>25</v>
      </c>
      <c r="Z19">
        <f>Table1[[#This Row],[Join Date]]-Table1[[#This Row],[Job Posting Date]]</f>
        <v>70</v>
      </c>
      <c r="AA19">
        <f t="shared" ca="1" si="0"/>
        <v>179</v>
      </c>
      <c r="AB19" s="5">
        <f>Table1[[#This Row],[Absentee Days]]/Table1[[#This Row],[Total Work Days]]*100</f>
        <v>5.384615384615385</v>
      </c>
      <c r="AC19">
        <f>YEAR(Table1[[#This Row],[Join Date]])</f>
        <v>2021</v>
      </c>
      <c r="AD19">
        <f>IF(Table1[[#This Row],[Status]]="Active",1,0)</f>
        <v>1</v>
      </c>
      <c r="AE19">
        <f>IF(Table1[[#This Row],[Status]]="Exited",Table1[[#This Row],[Recruitment Cost]]+Table1[[#This Row],[Onboarding Cost]]+Table1[[#This Row],[Training Cost]],0)</f>
        <v>0</v>
      </c>
      <c r="AF19">
        <f>IF(Table1[[#This Row],[Training Completion Status]]="Completed",1,0)</f>
        <v>1</v>
      </c>
      <c r="AG19">
        <f t="shared" ca="1" si="1"/>
        <v>3</v>
      </c>
      <c r="AH19">
        <f t="shared" ca="1" si="2"/>
        <v>2</v>
      </c>
      <c r="AI19">
        <f t="shared" ca="1" si="3"/>
        <v>5</v>
      </c>
      <c r="AJ19" t="s">
        <v>317</v>
      </c>
    </row>
    <row r="20" spans="1:36" x14ac:dyDescent="0.2">
      <c r="A20" t="s">
        <v>72</v>
      </c>
      <c r="B20" t="s">
        <v>43</v>
      </c>
      <c r="C20" t="s">
        <v>35</v>
      </c>
      <c r="D20" t="s">
        <v>36</v>
      </c>
      <c r="E20" s="1">
        <v>44908</v>
      </c>
      <c r="F20" s="1">
        <v>44966</v>
      </c>
      <c r="G20" s="1">
        <v>44971</v>
      </c>
      <c r="H20" s="1" t="s">
        <v>50</v>
      </c>
      <c r="I20" t="s">
        <v>51</v>
      </c>
      <c r="J20" s="2">
        <v>3081</v>
      </c>
      <c r="K20" t="s">
        <v>34</v>
      </c>
      <c r="L20" t="s">
        <v>52</v>
      </c>
      <c r="M20">
        <v>260</v>
      </c>
      <c r="N20">
        <v>14</v>
      </c>
      <c r="O20" s="3">
        <v>1597</v>
      </c>
      <c r="P20">
        <f t="shared" ca="1" si="4"/>
        <v>6</v>
      </c>
      <c r="Q20">
        <f ca="1">RANDBETWEEN(0,Table1[[#This Row],[offers made]])</f>
        <v>1</v>
      </c>
      <c r="R20" t="s">
        <v>307</v>
      </c>
      <c r="S20">
        <f>Table1[[#This Row],[Hire Date]]-Table1[[#This Row],[Job Posting Date]]</f>
        <v>58</v>
      </c>
      <c r="T20" s="4">
        <f>Table1[[#This Row],[Join Date]]-Table1[[#This Row],[Hire Date]]</f>
        <v>5</v>
      </c>
      <c r="U20" s="4">
        <f ca="1">IF(Table1[[#This Row],[Status]]="Exited",Table1[[#This Row],[Exit Date]]-Table1[[#This Row],[Join Date]],TODAY()-Table1[[#This Row],[Join Date]])</f>
        <v>690</v>
      </c>
      <c r="V20" t="str">
        <f ca="1">IF(Table1[[#This Row],[Total Tenure in Days]]&lt;=730, "yes","no")</f>
        <v>yes</v>
      </c>
      <c r="W20">
        <f>Table1[[#This Row],[Hire Date]]-Table1[[#This Row],[Job Posting Date]]</f>
        <v>58</v>
      </c>
      <c r="X20" s="4">
        <f>Table1[[#This Row],[Time to Onboard]]/Table1[[#This Row],[Time to Fill]]*100</f>
        <v>8.6206896551724146</v>
      </c>
      <c r="Y20" s="5">
        <f>Table1[[#This Row],[Time to Onboard]]/Table1[[#This Row],[Time to Fill]]*100</f>
        <v>8.6206896551724146</v>
      </c>
      <c r="Z20">
        <f>Table1[[#This Row],[Join Date]]-Table1[[#This Row],[Job Posting Date]]</f>
        <v>63</v>
      </c>
      <c r="AA20">
        <f t="shared" ca="1" si="0"/>
        <v>122</v>
      </c>
      <c r="AB20" s="5">
        <f>Table1[[#This Row],[Absentee Days]]/Table1[[#This Row],[Total Work Days]]*100</f>
        <v>5.384615384615385</v>
      </c>
      <c r="AC20">
        <f>YEAR(Table1[[#This Row],[Join Date]])</f>
        <v>2023</v>
      </c>
      <c r="AD20">
        <f>IF(Table1[[#This Row],[Status]]="Active",1,0)</f>
        <v>1</v>
      </c>
      <c r="AE20">
        <f>IF(Table1[[#This Row],[Status]]="Exited",Table1[[#This Row],[Recruitment Cost]]+Table1[[#This Row],[Onboarding Cost]]+Table1[[#This Row],[Training Cost]],0)</f>
        <v>0</v>
      </c>
      <c r="AF20">
        <f>IF(Table1[[#This Row],[Training Completion Status]]="Completed",1,0)</f>
        <v>1</v>
      </c>
      <c r="AG20">
        <f t="shared" ca="1" si="1"/>
        <v>5</v>
      </c>
      <c r="AH20">
        <f t="shared" ca="1" si="2"/>
        <v>2</v>
      </c>
      <c r="AI20">
        <f t="shared" ca="1" si="3"/>
        <v>2</v>
      </c>
      <c r="AJ20" t="s">
        <v>318</v>
      </c>
    </row>
    <row r="21" spans="1:36" x14ac:dyDescent="0.2">
      <c r="A21" t="s">
        <v>73</v>
      </c>
      <c r="B21" t="s">
        <v>41</v>
      </c>
      <c r="C21" t="s">
        <v>35</v>
      </c>
      <c r="D21" t="s">
        <v>36</v>
      </c>
      <c r="E21" s="1">
        <v>43814</v>
      </c>
      <c r="F21" s="1">
        <v>43860</v>
      </c>
      <c r="G21" s="1">
        <v>43866</v>
      </c>
      <c r="H21" s="1">
        <v>44366</v>
      </c>
      <c r="I21" t="s">
        <v>57</v>
      </c>
      <c r="J21" s="2">
        <v>3349</v>
      </c>
      <c r="K21" t="s">
        <v>37</v>
      </c>
      <c r="L21" t="s">
        <v>55</v>
      </c>
      <c r="M21">
        <v>260</v>
      </c>
      <c r="N21">
        <v>10</v>
      </c>
      <c r="O21" s="3">
        <v>2362</v>
      </c>
      <c r="P21">
        <f t="shared" ca="1" si="4"/>
        <v>3</v>
      </c>
      <c r="Q21">
        <f ca="1">RANDBETWEEN(0,Table1[[#This Row],[offers made]])</f>
        <v>1</v>
      </c>
      <c r="R21" t="s">
        <v>306</v>
      </c>
      <c r="S21">
        <f>Table1[[#This Row],[Hire Date]]-Table1[[#This Row],[Job Posting Date]]</f>
        <v>46</v>
      </c>
      <c r="T21" s="4">
        <f>Table1[[#This Row],[Join Date]]-Table1[[#This Row],[Hire Date]]</f>
        <v>6</v>
      </c>
      <c r="U21" s="4">
        <f ca="1">IF(Table1[[#This Row],[Status]]="Exited",Table1[[#This Row],[Exit Date]]-Table1[[#This Row],[Join Date]],TODAY()-Table1[[#This Row],[Join Date]])</f>
        <v>500</v>
      </c>
      <c r="V21" t="str">
        <f ca="1">IF(Table1[[#This Row],[Total Tenure in Days]]&lt;=730, "yes","no")</f>
        <v>yes</v>
      </c>
      <c r="W21">
        <f>Table1[[#This Row],[Hire Date]]-Table1[[#This Row],[Job Posting Date]]</f>
        <v>46</v>
      </c>
      <c r="X21" s="4">
        <f>Table1[[#This Row],[Time to Onboard]]/Table1[[#This Row],[Time to Fill]]*100</f>
        <v>13.043478260869565</v>
      </c>
      <c r="Y21" s="5">
        <f>Table1[[#This Row],[Time to Onboard]]/Table1[[#This Row],[Time to Fill]]*100</f>
        <v>13.043478260869565</v>
      </c>
      <c r="Z21">
        <f>Table1[[#This Row],[Join Date]]-Table1[[#This Row],[Job Posting Date]]</f>
        <v>52</v>
      </c>
      <c r="AA21">
        <f t="shared" ca="1" si="0"/>
        <v>188</v>
      </c>
      <c r="AB21" s="5">
        <f>Table1[[#This Row],[Absentee Days]]/Table1[[#This Row],[Total Work Days]]*100</f>
        <v>3.8461538461538463</v>
      </c>
      <c r="AC21">
        <f>YEAR(Table1[[#This Row],[Join Date]])</f>
        <v>2020</v>
      </c>
      <c r="AD21">
        <f>IF(Table1[[#This Row],[Status]]="Active",1,0)</f>
        <v>0</v>
      </c>
      <c r="AE21">
        <f ca="1">IF(Table1[[#This Row],[Status]]="Exited",Table1[[#This Row],[Recruitment Cost]]+Table1[[#This Row],[Onboarding Cost]]+Table1[[#This Row],[Training Cost]],0)</f>
        <v>5899</v>
      </c>
      <c r="AF21">
        <f>IF(Table1[[#This Row],[Training Completion Status]]="Completed",1,0)</f>
        <v>0</v>
      </c>
      <c r="AG21">
        <f t="shared" ca="1" si="1"/>
        <v>4</v>
      </c>
      <c r="AH21">
        <f t="shared" ca="1" si="2"/>
        <v>3</v>
      </c>
      <c r="AI21">
        <f t="shared" ca="1" si="3"/>
        <v>1</v>
      </c>
      <c r="AJ21" t="s">
        <v>317</v>
      </c>
    </row>
    <row r="22" spans="1:36" x14ac:dyDescent="0.2">
      <c r="A22" t="s">
        <v>74</v>
      </c>
      <c r="B22" t="s">
        <v>42</v>
      </c>
      <c r="C22" t="s">
        <v>29</v>
      </c>
      <c r="D22" t="s">
        <v>30</v>
      </c>
      <c r="E22" s="1">
        <v>43690</v>
      </c>
      <c r="F22" s="1">
        <v>43780</v>
      </c>
      <c r="G22" s="1">
        <v>43783</v>
      </c>
      <c r="H22" s="1">
        <v>45229</v>
      </c>
      <c r="I22" t="s">
        <v>57</v>
      </c>
      <c r="J22" s="2">
        <v>2466</v>
      </c>
      <c r="K22" t="s">
        <v>37</v>
      </c>
      <c r="L22" t="s">
        <v>52</v>
      </c>
      <c r="M22">
        <v>260</v>
      </c>
      <c r="N22">
        <v>7</v>
      </c>
      <c r="O22" s="3">
        <v>2203</v>
      </c>
      <c r="P22">
        <f t="shared" ca="1" si="4"/>
        <v>4</v>
      </c>
      <c r="Q22">
        <f ca="1">RANDBETWEEN(0,Table1[[#This Row],[offers made]])</f>
        <v>4</v>
      </c>
      <c r="R22" t="s">
        <v>307</v>
      </c>
      <c r="S22">
        <f>Table1[[#This Row],[Hire Date]]-Table1[[#This Row],[Job Posting Date]]</f>
        <v>90</v>
      </c>
      <c r="T22" s="4">
        <f>Table1[[#This Row],[Join Date]]-Table1[[#This Row],[Hire Date]]</f>
        <v>3</v>
      </c>
      <c r="U22" s="4">
        <f ca="1">IF(Table1[[#This Row],[Status]]="Exited",Table1[[#This Row],[Exit Date]]-Table1[[#This Row],[Join Date]],TODAY()-Table1[[#This Row],[Join Date]])</f>
        <v>1446</v>
      </c>
      <c r="V22" t="str">
        <f ca="1">IF(Table1[[#This Row],[Total Tenure in Days]]&lt;=730, "yes","no")</f>
        <v>no</v>
      </c>
      <c r="W22">
        <f>Table1[[#This Row],[Hire Date]]-Table1[[#This Row],[Job Posting Date]]</f>
        <v>90</v>
      </c>
      <c r="X22" s="4">
        <f>Table1[[#This Row],[Time to Onboard]]/Table1[[#This Row],[Time to Fill]]*100</f>
        <v>3.3333333333333335</v>
      </c>
      <c r="Y22" s="5">
        <f>Table1[[#This Row],[Time to Onboard]]/Table1[[#This Row],[Time to Fill]]*100</f>
        <v>3.3333333333333335</v>
      </c>
      <c r="Z22">
        <f>Table1[[#This Row],[Join Date]]-Table1[[#This Row],[Job Posting Date]]</f>
        <v>93</v>
      </c>
      <c r="AA22">
        <f t="shared" ca="1" si="0"/>
        <v>105</v>
      </c>
      <c r="AB22" s="5">
        <f>Table1[[#This Row],[Absentee Days]]/Table1[[#This Row],[Total Work Days]]*100</f>
        <v>2.6923076923076925</v>
      </c>
      <c r="AC22">
        <f>YEAR(Table1[[#This Row],[Join Date]])</f>
        <v>2019</v>
      </c>
      <c r="AD22">
        <f>IF(Table1[[#This Row],[Status]]="Active",1,0)</f>
        <v>0</v>
      </c>
      <c r="AE22">
        <f ca="1">IF(Table1[[#This Row],[Status]]="Exited",Table1[[#This Row],[Recruitment Cost]]+Table1[[#This Row],[Onboarding Cost]]+Table1[[#This Row],[Training Cost]],0)</f>
        <v>4774</v>
      </c>
      <c r="AF22">
        <f>IF(Table1[[#This Row],[Training Completion Status]]="Completed",1,0)</f>
        <v>1</v>
      </c>
      <c r="AG22">
        <f t="shared" ca="1" si="1"/>
        <v>2</v>
      </c>
      <c r="AH22">
        <f t="shared" ca="1" si="2"/>
        <v>4</v>
      </c>
      <c r="AI22">
        <f t="shared" ca="1" si="3"/>
        <v>3</v>
      </c>
      <c r="AJ22" t="s">
        <v>318</v>
      </c>
    </row>
    <row r="23" spans="1:36" x14ac:dyDescent="0.2">
      <c r="A23" t="s">
        <v>75</v>
      </c>
      <c r="B23" t="s">
        <v>41</v>
      </c>
      <c r="C23" t="s">
        <v>38</v>
      </c>
      <c r="D23" t="s">
        <v>39</v>
      </c>
      <c r="E23" s="1">
        <v>44448</v>
      </c>
      <c r="F23" s="1">
        <v>44489</v>
      </c>
      <c r="G23" s="1">
        <v>44498</v>
      </c>
      <c r="H23" s="1" t="s">
        <v>50</v>
      </c>
      <c r="I23" t="s">
        <v>51</v>
      </c>
      <c r="J23" s="2">
        <v>2153</v>
      </c>
      <c r="K23" t="s">
        <v>40</v>
      </c>
      <c r="L23" t="s">
        <v>52</v>
      </c>
      <c r="M23">
        <v>260</v>
      </c>
      <c r="N23">
        <v>13</v>
      </c>
      <c r="O23" s="3">
        <v>1732</v>
      </c>
      <c r="P23">
        <f t="shared" ca="1" si="4"/>
        <v>4</v>
      </c>
      <c r="Q23">
        <f ca="1">RANDBETWEEN(0,Table1[[#This Row],[offers made]])</f>
        <v>0</v>
      </c>
      <c r="R23" t="s">
        <v>307</v>
      </c>
      <c r="S23">
        <f>Table1[[#This Row],[Hire Date]]-Table1[[#This Row],[Job Posting Date]]</f>
        <v>41</v>
      </c>
      <c r="T23" s="4">
        <f>Table1[[#This Row],[Join Date]]-Table1[[#This Row],[Hire Date]]</f>
        <v>9</v>
      </c>
      <c r="U23" s="4">
        <f ca="1">IF(Table1[[#This Row],[Status]]="Exited",Table1[[#This Row],[Exit Date]]-Table1[[#This Row],[Join Date]],TODAY()-Table1[[#This Row],[Join Date]])</f>
        <v>1163</v>
      </c>
      <c r="V23" t="str">
        <f ca="1">IF(Table1[[#This Row],[Total Tenure in Days]]&lt;=730, "yes","no")</f>
        <v>no</v>
      </c>
      <c r="W23">
        <f>Table1[[#This Row],[Hire Date]]-Table1[[#This Row],[Job Posting Date]]</f>
        <v>41</v>
      </c>
      <c r="X23" s="4">
        <f>Table1[[#This Row],[Time to Onboard]]/Table1[[#This Row],[Time to Fill]]*100</f>
        <v>21.951219512195124</v>
      </c>
      <c r="Y23" s="5">
        <f>Table1[[#This Row],[Time to Onboard]]/Table1[[#This Row],[Time to Fill]]*100</f>
        <v>21.951219512195124</v>
      </c>
      <c r="Z23">
        <f>Table1[[#This Row],[Join Date]]-Table1[[#This Row],[Job Posting Date]]</f>
        <v>50</v>
      </c>
      <c r="AA23">
        <f t="shared" ca="1" si="0"/>
        <v>184</v>
      </c>
      <c r="AB23" s="5">
        <f>Table1[[#This Row],[Absentee Days]]/Table1[[#This Row],[Total Work Days]]*100</f>
        <v>5</v>
      </c>
      <c r="AC23">
        <f>YEAR(Table1[[#This Row],[Join Date]])</f>
        <v>2021</v>
      </c>
      <c r="AD23">
        <f>IF(Table1[[#This Row],[Status]]="Active",1,0)</f>
        <v>1</v>
      </c>
      <c r="AE23">
        <f>IF(Table1[[#This Row],[Status]]="Exited",Table1[[#This Row],[Recruitment Cost]]+Table1[[#This Row],[Onboarding Cost]]+Table1[[#This Row],[Training Cost]],0)</f>
        <v>0</v>
      </c>
      <c r="AF23">
        <f>IF(Table1[[#This Row],[Training Completion Status]]="Completed",1,0)</f>
        <v>1</v>
      </c>
      <c r="AG23">
        <f t="shared" ca="1" si="1"/>
        <v>3</v>
      </c>
      <c r="AH23">
        <f t="shared" ca="1" si="2"/>
        <v>5</v>
      </c>
      <c r="AI23">
        <f t="shared" ca="1" si="3"/>
        <v>3</v>
      </c>
      <c r="AJ23" t="s">
        <v>317</v>
      </c>
    </row>
    <row r="24" spans="1:36" x14ac:dyDescent="0.2">
      <c r="A24" t="s">
        <v>76</v>
      </c>
      <c r="B24" t="s">
        <v>43</v>
      </c>
      <c r="C24" t="s">
        <v>29</v>
      </c>
      <c r="D24" t="s">
        <v>30</v>
      </c>
      <c r="E24" s="1">
        <v>43489</v>
      </c>
      <c r="F24" s="1">
        <v>43572</v>
      </c>
      <c r="G24" s="1">
        <v>43583</v>
      </c>
      <c r="H24" s="1" t="s">
        <v>50</v>
      </c>
      <c r="I24" t="s">
        <v>51</v>
      </c>
      <c r="J24" s="2">
        <v>3862</v>
      </c>
      <c r="K24" t="s">
        <v>31</v>
      </c>
      <c r="L24" t="s">
        <v>55</v>
      </c>
      <c r="M24">
        <v>260</v>
      </c>
      <c r="N24">
        <v>12</v>
      </c>
      <c r="O24" s="3">
        <v>1430</v>
      </c>
      <c r="P24">
        <f t="shared" ca="1" si="4"/>
        <v>3</v>
      </c>
      <c r="Q24">
        <f ca="1">RANDBETWEEN(0,Table1[[#This Row],[offers made]])</f>
        <v>2</v>
      </c>
      <c r="R24" t="s">
        <v>306</v>
      </c>
      <c r="S24">
        <f>Table1[[#This Row],[Hire Date]]-Table1[[#This Row],[Job Posting Date]]</f>
        <v>83</v>
      </c>
      <c r="T24" s="4">
        <f>Table1[[#This Row],[Join Date]]-Table1[[#This Row],[Hire Date]]</f>
        <v>11</v>
      </c>
      <c r="U24" s="4">
        <f ca="1">IF(Table1[[#This Row],[Status]]="Exited",Table1[[#This Row],[Exit Date]]-Table1[[#This Row],[Join Date]],TODAY()-Table1[[#This Row],[Join Date]])</f>
        <v>2078</v>
      </c>
      <c r="V24" t="str">
        <f ca="1">IF(Table1[[#This Row],[Total Tenure in Days]]&lt;=730, "yes","no")</f>
        <v>no</v>
      </c>
      <c r="W24">
        <f>Table1[[#This Row],[Hire Date]]-Table1[[#This Row],[Job Posting Date]]</f>
        <v>83</v>
      </c>
      <c r="X24" s="4">
        <f>Table1[[#This Row],[Time to Onboard]]/Table1[[#This Row],[Time to Fill]]*100</f>
        <v>13.253012048192772</v>
      </c>
      <c r="Y24" s="5">
        <f>Table1[[#This Row],[Time to Onboard]]/Table1[[#This Row],[Time to Fill]]*100</f>
        <v>13.253012048192772</v>
      </c>
      <c r="Z24">
        <f>Table1[[#This Row],[Join Date]]-Table1[[#This Row],[Job Posting Date]]</f>
        <v>94</v>
      </c>
      <c r="AA24">
        <f t="shared" ca="1" si="0"/>
        <v>136</v>
      </c>
      <c r="AB24" s="5">
        <f>Table1[[#This Row],[Absentee Days]]/Table1[[#This Row],[Total Work Days]]*100</f>
        <v>4.6153846153846159</v>
      </c>
      <c r="AC24">
        <f>YEAR(Table1[[#This Row],[Join Date]])</f>
        <v>2019</v>
      </c>
      <c r="AD24">
        <f>IF(Table1[[#This Row],[Status]]="Active",1,0)</f>
        <v>1</v>
      </c>
      <c r="AE24">
        <f>IF(Table1[[#This Row],[Status]]="Exited",Table1[[#This Row],[Recruitment Cost]]+Table1[[#This Row],[Onboarding Cost]]+Table1[[#This Row],[Training Cost]],0)</f>
        <v>0</v>
      </c>
      <c r="AF24">
        <f>IF(Table1[[#This Row],[Training Completion Status]]="Completed",1,0)</f>
        <v>0</v>
      </c>
      <c r="AG24">
        <f t="shared" ca="1" si="1"/>
        <v>4</v>
      </c>
      <c r="AH24">
        <f t="shared" ca="1" si="2"/>
        <v>2</v>
      </c>
      <c r="AI24">
        <f t="shared" ca="1" si="3"/>
        <v>4</v>
      </c>
      <c r="AJ24" t="s">
        <v>317</v>
      </c>
    </row>
    <row r="25" spans="1:36" x14ac:dyDescent="0.2">
      <c r="A25" t="s">
        <v>77</v>
      </c>
      <c r="B25" t="s">
        <v>43</v>
      </c>
      <c r="C25" t="s">
        <v>26</v>
      </c>
      <c r="D25" t="s">
        <v>27</v>
      </c>
      <c r="E25" s="1">
        <v>43483</v>
      </c>
      <c r="F25" s="1">
        <v>43513</v>
      </c>
      <c r="G25" s="1">
        <v>43525</v>
      </c>
      <c r="H25" s="1">
        <v>45470</v>
      </c>
      <c r="I25" t="s">
        <v>57</v>
      </c>
      <c r="J25" s="2">
        <v>4828</v>
      </c>
      <c r="K25" t="s">
        <v>37</v>
      </c>
      <c r="L25" t="s">
        <v>55</v>
      </c>
      <c r="M25">
        <v>260</v>
      </c>
      <c r="N25">
        <v>16</v>
      </c>
      <c r="O25" s="3">
        <v>1337</v>
      </c>
      <c r="P25">
        <f t="shared" ca="1" si="4"/>
        <v>5</v>
      </c>
      <c r="Q25">
        <f ca="1">RANDBETWEEN(0,Table1[[#This Row],[offers made]])</f>
        <v>2</v>
      </c>
      <c r="R25" t="s">
        <v>307</v>
      </c>
      <c r="S25">
        <f>Table1[[#This Row],[Hire Date]]-Table1[[#This Row],[Job Posting Date]]</f>
        <v>30</v>
      </c>
      <c r="T25" s="4">
        <f>Table1[[#This Row],[Join Date]]-Table1[[#This Row],[Hire Date]]</f>
        <v>12</v>
      </c>
      <c r="U25" s="4">
        <f ca="1">IF(Table1[[#This Row],[Status]]="Exited",Table1[[#This Row],[Exit Date]]-Table1[[#This Row],[Join Date]],TODAY()-Table1[[#This Row],[Join Date]])</f>
        <v>1945</v>
      </c>
      <c r="V25" t="str">
        <f ca="1">IF(Table1[[#This Row],[Total Tenure in Days]]&lt;=730, "yes","no")</f>
        <v>no</v>
      </c>
      <c r="W25">
        <f>Table1[[#This Row],[Hire Date]]-Table1[[#This Row],[Job Posting Date]]</f>
        <v>30</v>
      </c>
      <c r="X25" s="4">
        <f>Table1[[#This Row],[Time to Onboard]]/Table1[[#This Row],[Time to Fill]]*100</f>
        <v>40</v>
      </c>
      <c r="Y25" s="5">
        <f>Table1[[#This Row],[Time to Onboard]]/Table1[[#This Row],[Time to Fill]]*100</f>
        <v>40</v>
      </c>
      <c r="Z25">
        <f>Table1[[#This Row],[Join Date]]-Table1[[#This Row],[Job Posting Date]]</f>
        <v>42</v>
      </c>
      <c r="AA25">
        <f t="shared" ca="1" si="0"/>
        <v>186</v>
      </c>
      <c r="AB25" s="5">
        <f>Table1[[#This Row],[Absentee Days]]/Table1[[#This Row],[Total Work Days]]*100</f>
        <v>6.1538461538461542</v>
      </c>
      <c r="AC25">
        <f>YEAR(Table1[[#This Row],[Join Date]])</f>
        <v>2019</v>
      </c>
      <c r="AD25">
        <f>IF(Table1[[#This Row],[Status]]="Active",1,0)</f>
        <v>0</v>
      </c>
      <c r="AE25">
        <f ca="1">IF(Table1[[#This Row],[Status]]="Exited",Table1[[#This Row],[Recruitment Cost]]+Table1[[#This Row],[Onboarding Cost]]+Table1[[#This Row],[Training Cost]],0)</f>
        <v>6351</v>
      </c>
      <c r="AF25">
        <f>IF(Table1[[#This Row],[Training Completion Status]]="Completed",1,0)</f>
        <v>0</v>
      </c>
      <c r="AG25">
        <f t="shared" ca="1" si="1"/>
        <v>5</v>
      </c>
      <c r="AH25">
        <f t="shared" ca="1" si="2"/>
        <v>3</v>
      </c>
      <c r="AI25">
        <f t="shared" ca="1" si="3"/>
        <v>3</v>
      </c>
      <c r="AJ25" t="s">
        <v>317</v>
      </c>
    </row>
    <row r="26" spans="1:36" x14ac:dyDescent="0.2">
      <c r="A26" t="s">
        <v>78</v>
      </c>
      <c r="B26" t="s">
        <v>41</v>
      </c>
      <c r="C26" t="s">
        <v>32</v>
      </c>
      <c r="D26" t="s">
        <v>33</v>
      </c>
      <c r="E26" s="1">
        <v>44150</v>
      </c>
      <c r="F26" s="1">
        <v>44181</v>
      </c>
      <c r="G26" s="1">
        <v>44193</v>
      </c>
      <c r="H26" s="1">
        <v>44645</v>
      </c>
      <c r="I26" t="s">
        <v>57</v>
      </c>
      <c r="J26" s="2">
        <v>3736</v>
      </c>
      <c r="K26" t="s">
        <v>28</v>
      </c>
      <c r="L26" t="s">
        <v>55</v>
      </c>
      <c r="M26">
        <v>260</v>
      </c>
      <c r="N26">
        <v>15</v>
      </c>
      <c r="O26" s="3">
        <v>1714</v>
      </c>
      <c r="P26">
        <f t="shared" ca="1" si="4"/>
        <v>8</v>
      </c>
      <c r="Q26">
        <f ca="1">RANDBETWEEN(0,Table1[[#This Row],[offers made]])</f>
        <v>2</v>
      </c>
      <c r="R26" t="s">
        <v>308</v>
      </c>
      <c r="S26">
        <f>Table1[[#This Row],[Hire Date]]-Table1[[#This Row],[Job Posting Date]]</f>
        <v>31</v>
      </c>
      <c r="T26" s="4">
        <f>Table1[[#This Row],[Join Date]]-Table1[[#This Row],[Hire Date]]</f>
        <v>12</v>
      </c>
      <c r="U26" s="4">
        <f ca="1">IF(Table1[[#This Row],[Status]]="Exited",Table1[[#This Row],[Exit Date]]-Table1[[#This Row],[Join Date]],TODAY()-Table1[[#This Row],[Join Date]])</f>
        <v>452</v>
      </c>
      <c r="V26" t="str">
        <f ca="1">IF(Table1[[#This Row],[Total Tenure in Days]]&lt;=730, "yes","no")</f>
        <v>yes</v>
      </c>
      <c r="W26">
        <f>Table1[[#This Row],[Hire Date]]-Table1[[#This Row],[Job Posting Date]]</f>
        <v>31</v>
      </c>
      <c r="X26" s="4">
        <f>Table1[[#This Row],[Time to Onboard]]/Table1[[#This Row],[Time to Fill]]*100</f>
        <v>38.70967741935484</v>
      </c>
      <c r="Y26" s="5">
        <f>Table1[[#This Row],[Time to Onboard]]/Table1[[#This Row],[Time to Fill]]*100</f>
        <v>38.70967741935484</v>
      </c>
      <c r="Z26">
        <f>Table1[[#This Row],[Join Date]]-Table1[[#This Row],[Job Posting Date]]</f>
        <v>43</v>
      </c>
      <c r="AA26">
        <f t="shared" ca="1" si="0"/>
        <v>180</v>
      </c>
      <c r="AB26" s="5">
        <f>Table1[[#This Row],[Absentee Days]]/Table1[[#This Row],[Total Work Days]]*100</f>
        <v>5.7692307692307692</v>
      </c>
      <c r="AC26">
        <f>YEAR(Table1[[#This Row],[Join Date]])</f>
        <v>2020</v>
      </c>
      <c r="AD26">
        <f>IF(Table1[[#This Row],[Status]]="Active",1,0)</f>
        <v>0</v>
      </c>
      <c r="AE26">
        <f ca="1">IF(Table1[[#This Row],[Status]]="Exited",Table1[[#This Row],[Recruitment Cost]]+Table1[[#This Row],[Onboarding Cost]]+Table1[[#This Row],[Training Cost]],0)</f>
        <v>5630</v>
      </c>
      <c r="AF26">
        <f>IF(Table1[[#This Row],[Training Completion Status]]="Completed",1,0)</f>
        <v>0</v>
      </c>
      <c r="AG26">
        <f t="shared" ca="1" si="1"/>
        <v>5</v>
      </c>
      <c r="AH26">
        <f t="shared" ca="1" si="2"/>
        <v>5</v>
      </c>
      <c r="AI26">
        <f t="shared" ca="1" si="3"/>
        <v>4</v>
      </c>
      <c r="AJ26" t="s">
        <v>318</v>
      </c>
    </row>
    <row r="27" spans="1:36" x14ac:dyDescent="0.2">
      <c r="A27" t="s">
        <v>79</v>
      </c>
      <c r="B27" t="s">
        <v>43</v>
      </c>
      <c r="C27" t="s">
        <v>38</v>
      </c>
      <c r="D27" t="s">
        <v>39</v>
      </c>
      <c r="E27" s="1">
        <v>44598</v>
      </c>
      <c r="F27" s="1">
        <v>44640</v>
      </c>
      <c r="G27" s="1">
        <v>44653</v>
      </c>
      <c r="H27" s="1" t="s">
        <v>50</v>
      </c>
      <c r="I27" t="s">
        <v>51</v>
      </c>
      <c r="J27" s="2">
        <v>2818</v>
      </c>
      <c r="K27" t="s">
        <v>34</v>
      </c>
      <c r="L27" t="s">
        <v>52</v>
      </c>
      <c r="M27">
        <v>260</v>
      </c>
      <c r="N27">
        <v>2</v>
      </c>
      <c r="O27" s="3">
        <v>2355</v>
      </c>
      <c r="P27">
        <f t="shared" ca="1" si="4"/>
        <v>7</v>
      </c>
      <c r="Q27">
        <f ca="1">RANDBETWEEN(0,Table1[[#This Row],[offers made]])</f>
        <v>4</v>
      </c>
      <c r="R27" t="s">
        <v>307</v>
      </c>
      <c r="S27">
        <f>Table1[[#This Row],[Hire Date]]-Table1[[#This Row],[Job Posting Date]]</f>
        <v>42</v>
      </c>
      <c r="T27" s="4">
        <f>Table1[[#This Row],[Join Date]]-Table1[[#This Row],[Hire Date]]</f>
        <v>13</v>
      </c>
      <c r="U27" s="4">
        <f ca="1">IF(Table1[[#This Row],[Status]]="Exited",Table1[[#This Row],[Exit Date]]-Table1[[#This Row],[Join Date]],TODAY()-Table1[[#This Row],[Join Date]])</f>
        <v>1008</v>
      </c>
      <c r="V27" t="str">
        <f ca="1">IF(Table1[[#This Row],[Total Tenure in Days]]&lt;=730, "yes","no")</f>
        <v>no</v>
      </c>
      <c r="W27">
        <f>Table1[[#This Row],[Hire Date]]-Table1[[#This Row],[Job Posting Date]]</f>
        <v>42</v>
      </c>
      <c r="X27" s="4">
        <f>Table1[[#This Row],[Time to Onboard]]/Table1[[#This Row],[Time to Fill]]*100</f>
        <v>30.952380952380953</v>
      </c>
      <c r="Y27" s="5">
        <f>Table1[[#This Row],[Time to Onboard]]/Table1[[#This Row],[Time to Fill]]*100</f>
        <v>30.952380952380953</v>
      </c>
      <c r="Z27">
        <f>Table1[[#This Row],[Join Date]]-Table1[[#This Row],[Job Posting Date]]</f>
        <v>55</v>
      </c>
      <c r="AA27">
        <f t="shared" ca="1" si="0"/>
        <v>125</v>
      </c>
      <c r="AB27" s="5">
        <f>Table1[[#This Row],[Absentee Days]]/Table1[[#This Row],[Total Work Days]]*100</f>
        <v>0.76923076923076927</v>
      </c>
      <c r="AC27">
        <f>YEAR(Table1[[#This Row],[Join Date]])</f>
        <v>2022</v>
      </c>
      <c r="AD27">
        <f>IF(Table1[[#This Row],[Status]]="Active",1,0)</f>
        <v>1</v>
      </c>
      <c r="AE27">
        <f>IF(Table1[[#This Row],[Status]]="Exited",Table1[[#This Row],[Recruitment Cost]]+Table1[[#This Row],[Onboarding Cost]]+Table1[[#This Row],[Training Cost]],0)</f>
        <v>0</v>
      </c>
      <c r="AF27">
        <f>IF(Table1[[#This Row],[Training Completion Status]]="Completed",1,0)</f>
        <v>1</v>
      </c>
      <c r="AG27">
        <f t="shared" ca="1" si="1"/>
        <v>2</v>
      </c>
      <c r="AH27">
        <f t="shared" ca="1" si="2"/>
        <v>5</v>
      </c>
      <c r="AI27">
        <f t="shared" ca="1" si="3"/>
        <v>1</v>
      </c>
      <c r="AJ27" t="s">
        <v>317</v>
      </c>
    </row>
    <row r="28" spans="1:36" x14ac:dyDescent="0.2">
      <c r="A28" t="s">
        <v>80</v>
      </c>
      <c r="B28" t="s">
        <v>41</v>
      </c>
      <c r="C28" t="s">
        <v>26</v>
      </c>
      <c r="D28" t="s">
        <v>27</v>
      </c>
      <c r="E28" s="1">
        <v>43353</v>
      </c>
      <c r="F28" s="1">
        <v>43382</v>
      </c>
      <c r="G28" s="1">
        <v>43386</v>
      </c>
      <c r="H28" s="1">
        <v>43564</v>
      </c>
      <c r="I28" t="s">
        <v>57</v>
      </c>
      <c r="J28" s="2">
        <v>1927</v>
      </c>
      <c r="K28" t="s">
        <v>28</v>
      </c>
      <c r="L28" t="s">
        <v>52</v>
      </c>
      <c r="M28">
        <v>260</v>
      </c>
      <c r="N28">
        <v>19</v>
      </c>
      <c r="O28" s="3">
        <v>2362</v>
      </c>
      <c r="P28">
        <f t="shared" ca="1" si="4"/>
        <v>9</v>
      </c>
      <c r="Q28">
        <f ca="1">RANDBETWEEN(0,Table1[[#This Row],[offers made]])</f>
        <v>6</v>
      </c>
      <c r="R28" t="s">
        <v>308</v>
      </c>
      <c r="S28">
        <f>Table1[[#This Row],[Hire Date]]-Table1[[#This Row],[Job Posting Date]]</f>
        <v>29</v>
      </c>
      <c r="T28" s="4">
        <f>Table1[[#This Row],[Join Date]]-Table1[[#This Row],[Hire Date]]</f>
        <v>4</v>
      </c>
      <c r="U28" s="4">
        <f ca="1">IF(Table1[[#This Row],[Status]]="Exited",Table1[[#This Row],[Exit Date]]-Table1[[#This Row],[Join Date]],TODAY()-Table1[[#This Row],[Join Date]])</f>
        <v>178</v>
      </c>
      <c r="V28" t="str">
        <f ca="1">IF(Table1[[#This Row],[Total Tenure in Days]]&lt;=730, "yes","no")</f>
        <v>yes</v>
      </c>
      <c r="W28">
        <f>Table1[[#This Row],[Hire Date]]-Table1[[#This Row],[Job Posting Date]]</f>
        <v>29</v>
      </c>
      <c r="X28" s="4">
        <f>Table1[[#This Row],[Time to Onboard]]/Table1[[#This Row],[Time to Fill]]*100</f>
        <v>13.793103448275861</v>
      </c>
      <c r="Y28" s="5">
        <f>Table1[[#This Row],[Time to Onboard]]/Table1[[#This Row],[Time to Fill]]*100</f>
        <v>13.793103448275861</v>
      </c>
      <c r="Z28">
        <f>Table1[[#This Row],[Join Date]]-Table1[[#This Row],[Job Posting Date]]</f>
        <v>33</v>
      </c>
      <c r="AA28">
        <f t="shared" ca="1" si="0"/>
        <v>164</v>
      </c>
      <c r="AB28" s="5">
        <f>Table1[[#This Row],[Absentee Days]]/Table1[[#This Row],[Total Work Days]]*100</f>
        <v>7.3076923076923084</v>
      </c>
      <c r="AC28">
        <f>YEAR(Table1[[#This Row],[Join Date]])</f>
        <v>2018</v>
      </c>
      <c r="AD28">
        <f>IF(Table1[[#This Row],[Status]]="Active",1,0)</f>
        <v>0</v>
      </c>
      <c r="AE28">
        <f ca="1">IF(Table1[[#This Row],[Status]]="Exited",Table1[[#This Row],[Recruitment Cost]]+Table1[[#This Row],[Onboarding Cost]]+Table1[[#This Row],[Training Cost]],0)</f>
        <v>4453</v>
      </c>
      <c r="AF28">
        <f>IF(Table1[[#This Row],[Training Completion Status]]="Completed",1,0)</f>
        <v>1</v>
      </c>
      <c r="AG28">
        <f t="shared" ca="1" si="1"/>
        <v>5</v>
      </c>
      <c r="AH28">
        <f t="shared" ca="1" si="2"/>
        <v>1</v>
      </c>
      <c r="AI28">
        <f t="shared" ca="1" si="3"/>
        <v>4</v>
      </c>
      <c r="AJ28" t="s">
        <v>318</v>
      </c>
    </row>
    <row r="29" spans="1:36" x14ac:dyDescent="0.2">
      <c r="A29" t="s">
        <v>81</v>
      </c>
      <c r="B29" t="s">
        <v>43</v>
      </c>
      <c r="C29" t="s">
        <v>38</v>
      </c>
      <c r="D29" t="s">
        <v>39</v>
      </c>
      <c r="E29" s="1">
        <v>44053</v>
      </c>
      <c r="F29" s="1">
        <v>44135</v>
      </c>
      <c r="G29" s="1">
        <v>44139</v>
      </c>
      <c r="H29" s="1" t="s">
        <v>50</v>
      </c>
      <c r="I29" t="s">
        <v>51</v>
      </c>
      <c r="J29" s="2">
        <v>4100</v>
      </c>
      <c r="K29" t="s">
        <v>28</v>
      </c>
      <c r="L29" t="s">
        <v>52</v>
      </c>
      <c r="M29">
        <v>260</v>
      </c>
      <c r="N29">
        <v>14</v>
      </c>
      <c r="O29" s="3">
        <v>2470</v>
      </c>
      <c r="P29">
        <f t="shared" ca="1" si="4"/>
        <v>3</v>
      </c>
      <c r="Q29">
        <f ca="1">RANDBETWEEN(0,Table1[[#This Row],[offers made]])</f>
        <v>1</v>
      </c>
      <c r="R29" t="s">
        <v>308</v>
      </c>
      <c r="S29">
        <f>Table1[[#This Row],[Hire Date]]-Table1[[#This Row],[Job Posting Date]]</f>
        <v>82</v>
      </c>
      <c r="T29" s="4">
        <f>Table1[[#This Row],[Join Date]]-Table1[[#This Row],[Hire Date]]</f>
        <v>4</v>
      </c>
      <c r="U29" s="4">
        <f ca="1">IF(Table1[[#This Row],[Status]]="Exited",Table1[[#This Row],[Exit Date]]-Table1[[#This Row],[Join Date]],TODAY()-Table1[[#This Row],[Join Date]])</f>
        <v>1522</v>
      </c>
      <c r="V29" t="str">
        <f ca="1">IF(Table1[[#This Row],[Total Tenure in Days]]&lt;=730, "yes","no")</f>
        <v>no</v>
      </c>
      <c r="W29">
        <f>Table1[[#This Row],[Hire Date]]-Table1[[#This Row],[Job Posting Date]]</f>
        <v>82</v>
      </c>
      <c r="X29" s="4">
        <f>Table1[[#This Row],[Time to Onboard]]/Table1[[#This Row],[Time to Fill]]*100</f>
        <v>4.8780487804878048</v>
      </c>
      <c r="Y29" s="5">
        <f>Table1[[#This Row],[Time to Onboard]]/Table1[[#This Row],[Time to Fill]]*100</f>
        <v>4.8780487804878048</v>
      </c>
      <c r="Z29">
        <f>Table1[[#This Row],[Join Date]]-Table1[[#This Row],[Job Posting Date]]</f>
        <v>86</v>
      </c>
      <c r="AA29">
        <f t="shared" ca="1" si="0"/>
        <v>107</v>
      </c>
      <c r="AB29" s="5">
        <f>Table1[[#This Row],[Absentee Days]]/Table1[[#This Row],[Total Work Days]]*100</f>
        <v>5.384615384615385</v>
      </c>
      <c r="AC29">
        <f>YEAR(Table1[[#This Row],[Join Date]])</f>
        <v>2020</v>
      </c>
      <c r="AD29">
        <f>IF(Table1[[#This Row],[Status]]="Active",1,0)</f>
        <v>1</v>
      </c>
      <c r="AE29">
        <f>IF(Table1[[#This Row],[Status]]="Exited",Table1[[#This Row],[Recruitment Cost]]+Table1[[#This Row],[Onboarding Cost]]+Table1[[#This Row],[Training Cost]],0)</f>
        <v>0</v>
      </c>
      <c r="AF29">
        <f>IF(Table1[[#This Row],[Training Completion Status]]="Completed",1,0)</f>
        <v>1</v>
      </c>
      <c r="AG29">
        <f t="shared" ca="1" si="1"/>
        <v>1</v>
      </c>
      <c r="AH29">
        <f t="shared" ca="1" si="2"/>
        <v>1</v>
      </c>
      <c r="AI29">
        <f t="shared" ca="1" si="3"/>
        <v>2</v>
      </c>
      <c r="AJ29" t="s">
        <v>318</v>
      </c>
    </row>
    <row r="30" spans="1:36" x14ac:dyDescent="0.2">
      <c r="A30" t="s">
        <v>82</v>
      </c>
      <c r="B30" t="s">
        <v>41</v>
      </c>
      <c r="C30" t="s">
        <v>35</v>
      </c>
      <c r="D30" t="s">
        <v>36</v>
      </c>
      <c r="E30" s="1">
        <v>44812</v>
      </c>
      <c r="F30" s="1">
        <v>44851</v>
      </c>
      <c r="G30" s="1">
        <v>44856</v>
      </c>
      <c r="H30" s="1">
        <v>45187</v>
      </c>
      <c r="I30" t="s">
        <v>57</v>
      </c>
      <c r="J30" s="2">
        <v>4152</v>
      </c>
      <c r="K30" t="s">
        <v>34</v>
      </c>
      <c r="L30" t="s">
        <v>52</v>
      </c>
      <c r="M30">
        <v>260</v>
      </c>
      <c r="N30">
        <v>11</v>
      </c>
      <c r="O30" s="3">
        <v>1372</v>
      </c>
      <c r="P30">
        <f t="shared" ca="1" si="4"/>
        <v>1</v>
      </c>
      <c r="Q30">
        <f ca="1">RANDBETWEEN(0,Table1[[#This Row],[offers made]])</f>
        <v>0</v>
      </c>
      <c r="R30" t="s">
        <v>308</v>
      </c>
      <c r="S30">
        <f>Table1[[#This Row],[Hire Date]]-Table1[[#This Row],[Job Posting Date]]</f>
        <v>39</v>
      </c>
      <c r="T30" s="4">
        <f>Table1[[#This Row],[Join Date]]-Table1[[#This Row],[Hire Date]]</f>
        <v>5</v>
      </c>
      <c r="U30" s="4">
        <f ca="1">IF(Table1[[#This Row],[Status]]="Exited",Table1[[#This Row],[Exit Date]]-Table1[[#This Row],[Join Date]],TODAY()-Table1[[#This Row],[Join Date]])</f>
        <v>331</v>
      </c>
      <c r="V30" t="str">
        <f ca="1">IF(Table1[[#This Row],[Total Tenure in Days]]&lt;=730, "yes","no")</f>
        <v>yes</v>
      </c>
      <c r="W30">
        <f>Table1[[#This Row],[Hire Date]]-Table1[[#This Row],[Job Posting Date]]</f>
        <v>39</v>
      </c>
      <c r="X30" s="4">
        <f>Table1[[#This Row],[Time to Onboard]]/Table1[[#This Row],[Time to Fill]]*100</f>
        <v>12.820512820512819</v>
      </c>
      <c r="Y30" s="5">
        <f>Table1[[#This Row],[Time to Onboard]]/Table1[[#This Row],[Time to Fill]]*100</f>
        <v>12.820512820512819</v>
      </c>
      <c r="Z30">
        <f>Table1[[#This Row],[Join Date]]-Table1[[#This Row],[Job Posting Date]]</f>
        <v>44</v>
      </c>
      <c r="AA30">
        <f t="shared" ca="1" si="0"/>
        <v>169</v>
      </c>
      <c r="AB30" s="5">
        <f>Table1[[#This Row],[Absentee Days]]/Table1[[#This Row],[Total Work Days]]*100</f>
        <v>4.2307692307692308</v>
      </c>
      <c r="AC30">
        <f>YEAR(Table1[[#This Row],[Join Date]])</f>
        <v>2022</v>
      </c>
      <c r="AD30">
        <f>IF(Table1[[#This Row],[Status]]="Active",1,0)</f>
        <v>0</v>
      </c>
      <c r="AE30">
        <f ca="1">IF(Table1[[#This Row],[Status]]="Exited",Table1[[#This Row],[Recruitment Cost]]+Table1[[#This Row],[Onboarding Cost]]+Table1[[#This Row],[Training Cost]],0)</f>
        <v>5693</v>
      </c>
      <c r="AF30">
        <f>IF(Table1[[#This Row],[Training Completion Status]]="Completed",1,0)</f>
        <v>1</v>
      </c>
      <c r="AG30">
        <f t="shared" ca="1" si="1"/>
        <v>3</v>
      </c>
      <c r="AH30">
        <f t="shared" ca="1" si="2"/>
        <v>2</v>
      </c>
      <c r="AI30">
        <f t="shared" ca="1" si="3"/>
        <v>4</v>
      </c>
      <c r="AJ30" t="s">
        <v>317</v>
      </c>
    </row>
    <row r="31" spans="1:36" x14ac:dyDescent="0.2">
      <c r="A31" t="s">
        <v>83</v>
      </c>
      <c r="B31" t="s">
        <v>42</v>
      </c>
      <c r="C31" t="s">
        <v>29</v>
      </c>
      <c r="D31" t="s">
        <v>30</v>
      </c>
      <c r="E31" s="1">
        <v>44016</v>
      </c>
      <c r="F31" s="1">
        <v>44056</v>
      </c>
      <c r="G31" s="1">
        <v>44062</v>
      </c>
      <c r="H31" s="1" t="s">
        <v>50</v>
      </c>
      <c r="I31" t="s">
        <v>51</v>
      </c>
      <c r="J31" s="2">
        <v>4981</v>
      </c>
      <c r="K31" t="s">
        <v>31</v>
      </c>
      <c r="L31" t="s">
        <v>52</v>
      </c>
      <c r="M31">
        <v>260</v>
      </c>
      <c r="N31">
        <v>15</v>
      </c>
      <c r="O31" s="3">
        <v>1311</v>
      </c>
      <c r="P31">
        <f t="shared" ca="1" si="4"/>
        <v>10</v>
      </c>
      <c r="Q31">
        <f ca="1">RANDBETWEEN(0,Table1[[#This Row],[offers made]])</f>
        <v>2</v>
      </c>
      <c r="R31" t="s">
        <v>306</v>
      </c>
      <c r="S31">
        <f>Table1[[#This Row],[Hire Date]]-Table1[[#This Row],[Job Posting Date]]</f>
        <v>40</v>
      </c>
      <c r="T31" s="4">
        <f>Table1[[#This Row],[Join Date]]-Table1[[#This Row],[Hire Date]]</f>
        <v>6</v>
      </c>
      <c r="U31" s="4">
        <f ca="1">IF(Table1[[#This Row],[Status]]="Exited",Table1[[#This Row],[Exit Date]]-Table1[[#This Row],[Join Date]],TODAY()-Table1[[#This Row],[Join Date]])</f>
        <v>1599</v>
      </c>
      <c r="V31" t="str">
        <f ca="1">IF(Table1[[#This Row],[Total Tenure in Days]]&lt;=730, "yes","no")</f>
        <v>no</v>
      </c>
      <c r="W31">
        <f>Table1[[#This Row],[Hire Date]]-Table1[[#This Row],[Job Posting Date]]</f>
        <v>40</v>
      </c>
      <c r="X31" s="4">
        <f>Table1[[#This Row],[Time to Onboard]]/Table1[[#This Row],[Time to Fill]]*100</f>
        <v>15</v>
      </c>
      <c r="Y31" s="5">
        <f>Table1[[#This Row],[Time to Onboard]]/Table1[[#This Row],[Time to Fill]]*100</f>
        <v>15</v>
      </c>
      <c r="Z31">
        <f>Table1[[#This Row],[Join Date]]-Table1[[#This Row],[Job Posting Date]]</f>
        <v>46</v>
      </c>
      <c r="AA31">
        <f t="shared" ca="1" si="0"/>
        <v>151</v>
      </c>
      <c r="AB31" s="5">
        <f>Table1[[#This Row],[Absentee Days]]/Table1[[#This Row],[Total Work Days]]*100</f>
        <v>5.7692307692307692</v>
      </c>
      <c r="AC31">
        <f>YEAR(Table1[[#This Row],[Join Date]])</f>
        <v>2020</v>
      </c>
      <c r="AD31">
        <f>IF(Table1[[#This Row],[Status]]="Active",1,0)</f>
        <v>1</v>
      </c>
      <c r="AE31">
        <f>IF(Table1[[#This Row],[Status]]="Exited",Table1[[#This Row],[Recruitment Cost]]+Table1[[#This Row],[Onboarding Cost]]+Table1[[#This Row],[Training Cost]],0)</f>
        <v>0</v>
      </c>
      <c r="AF31">
        <f>IF(Table1[[#This Row],[Training Completion Status]]="Completed",1,0)</f>
        <v>1</v>
      </c>
      <c r="AG31">
        <f t="shared" ca="1" si="1"/>
        <v>4</v>
      </c>
      <c r="AH31">
        <f t="shared" ca="1" si="2"/>
        <v>1</v>
      </c>
      <c r="AI31">
        <f t="shared" ca="1" si="3"/>
        <v>5</v>
      </c>
      <c r="AJ31" t="s">
        <v>317</v>
      </c>
    </row>
    <row r="32" spans="1:36" x14ac:dyDescent="0.2">
      <c r="A32" t="s">
        <v>84</v>
      </c>
      <c r="B32" t="s">
        <v>42</v>
      </c>
      <c r="C32" t="s">
        <v>32</v>
      </c>
      <c r="D32" t="s">
        <v>33</v>
      </c>
      <c r="E32" s="1">
        <v>44915</v>
      </c>
      <c r="F32" s="1">
        <v>44961</v>
      </c>
      <c r="G32" s="1">
        <v>44967</v>
      </c>
      <c r="H32" s="1">
        <v>45328</v>
      </c>
      <c r="I32" t="s">
        <v>57</v>
      </c>
      <c r="J32" s="2">
        <v>1780</v>
      </c>
      <c r="K32" t="s">
        <v>31</v>
      </c>
      <c r="L32" t="s">
        <v>55</v>
      </c>
      <c r="M32">
        <v>260</v>
      </c>
      <c r="N32">
        <v>2</v>
      </c>
      <c r="O32" s="3">
        <v>1807</v>
      </c>
      <c r="P32">
        <f t="shared" ca="1" si="4"/>
        <v>6</v>
      </c>
      <c r="Q32">
        <f ca="1">RANDBETWEEN(0,Table1[[#This Row],[offers made]])</f>
        <v>5</v>
      </c>
      <c r="R32" t="s">
        <v>308</v>
      </c>
      <c r="S32">
        <f>Table1[[#This Row],[Hire Date]]-Table1[[#This Row],[Job Posting Date]]</f>
        <v>46</v>
      </c>
      <c r="T32" s="4">
        <f>Table1[[#This Row],[Join Date]]-Table1[[#This Row],[Hire Date]]</f>
        <v>6</v>
      </c>
      <c r="U32" s="4">
        <f ca="1">IF(Table1[[#This Row],[Status]]="Exited",Table1[[#This Row],[Exit Date]]-Table1[[#This Row],[Join Date]],TODAY()-Table1[[#This Row],[Join Date]])</f>
        <v>361</v>
      </c>
      <c r="V32" t="str">
        <f ca="1">IF(Table1[[#This Row],[Total Tenure in Days]]&lt;=730, "yes","no")</f>
        <v>yes</v>
      </c>
      <c r="W32">
        <f>Table1[[#This Row],[Hire Date]]-Table1[[#This Row],[Job Posting Date]]</f>
        <v>46</v>
      </c>
      <c r="X32" s="4">
        <f>Table1[[#This Row],[Time to Onboard]]/Table1[[#This Row],[Time to Fill]]*100</f>
        <v>13.043478260869565</v>
      </c>
      <c r="Y32" s="5">
        <f>Table1[[#This Row],[Time to Onboard]]/Table1[[#This Row],[Time to Fill]]*100</f>
        <v>13.043478260869565</v>
      </c>
      <c r="Z32">
        <f>Table1[[#This Row],[Join Date]]-Table1[[#This Row],[Job Posting Date]]</f>
        <v>52</v>
      </c>
      <c r="AA32">
        <f t="shared" ca="1" si="0"/>
        <v>114</v>
      </c>
      <c r="AB32" s="5">
        <f>Table1[[#This Row],[Absentee Days]]/Table1[[#This Row],[Total Work Days]]*100</f>
        <v>0.76923076923076927</v>
      </c>
      <c r="AC32">
        <f>YEAR(Table1[[#This Row],[Join Date]])</f>
        <v>2023</v>
      </c>
      <c r="AD32">
        <f>IF(Table1[[#This Row],[Status]]="Active",1,0)</f>
        <v>0</v>
      </c>
      <c r="AE32">
        <f ca="1">IF(Table1[[#This Row],[Status]]="Exited",Table1[[#This Row],[Recruitment Cost]]+Table1[[#This Row],[Onboarding Cost]]+Table1[[#This Row],[Training Cost]],0)</f>
        <v>3701</v>
      </c>
      <c r="AF32">
        <f>IF(Table1[[#This Row],[Training Completion Status]]="Completed",1,0)</f>
        <v>0</v>
      </c>
      <c r="AG32">
        <f t="shared" ca="1" si="1"/>
        <v>4</v>
      </c>
      <c r="AH32">
        <f t="shared" ca="1" si="2"/>
        <v>5</v>
      </c>
      <c r="AI32">
        <f t="shared" ca="1" si="3"/>
        <v>3</v>
      </c>
      <c r="AJ32" t="s">
        <v>318</v>
      </c>
    </row>
    <row r="33" spans="1:36" x14ac:dyDescent="0.2">
      <c r="A33" t="s">
        <v>85</v>
      </c>
      <c r="B33" t="s">
        <v>41</v>
      </c>
      <c r="C33" t="s">
        <v>32</v>
      </c>
      <c r="D33" t="s">
        <v>33</v>
      </c>
      <c r="E33" s="1">
        <v>44658</v>
      </c>
      <c r="F33" s="1">
        <v>44738</v>
      </c>
      <c r="G33" s="1">
        <v>44747</v>
      </c>
      <c r="H33" s="1" t="s">
        <v>50</v>
      </c>
      <c r="I33" t="s">
        <v>51</v>
      </c>
      <c r="J33" s="2">
        <v>1780</v>
      </c>
      <c r="K33" t="s">
        <v>28</v>
      </c>
      <c r="L33" t="s">
        <v>52</v>
      </c>
      <c r="M33">
        <v>260</v>
      </c>
      <c r="N33">
        <v>20</v>
      </c>
      <c r="O33" s="3">
        <v>1407</v>
      </c>
      <c r="P33">
        <f t="shared" ca="1" si="4"/>
        <v>8</v>
      </c>
      <c r="Q33">
        <f ca="1">RANDBETWEEN(0,Table1[[#This Row],[offers made]])</f>
        <v>7</v>
      </c>
      <c r="R33" t="s">
        <v>308</v>
      </c>
      <c r="S33">
        <f>Table1[[#This Row],[Hire Date]]-Table1[[#This Row],[Job Posting Date]]</f>
        <v>80</v>
      </c>
      <c r="T33" s="4">
        <f>Table1[[#This Row],[Join Date]]-Table1[[#This Row],[Hire Date]]</f>
        <v>9</v>
      </c>
      <c r="U33" s="4">
        <f ca="1">IF(Table1[[#This Row],[Status]]="Exited",Table1[[#This Row],[Exit Date]]-Table1[[#This Row],[Join Date]],TODAY()-Table1[[#This Row],[Join Date]])</f>
        <v>914</v>
      </c>
      <c r="V33" t="str">
        <f ca="1">IF(Table1[[#This Row],[Total Tenure in Days]]&lt;=730, "yes","no")</f>
        <v>no</v>
      </c>
      <c r="W33">
        <f>Table1[[#This Row],[Hire Date]]-Table1[[#This Row],[Job Posting Date]]</f>
        <v>80</v>
      </c>
      <c r="X33" s="4">
        <f>Table1[[#This Row],[Time to Onboard]]/Table1[[#This Row],[Time to Fill]]*100</f>
        <v>11.25</v>
      </c>
      <c r="Y33" s="5">
        <f>Table1[[#This Row],[Time to Onboard]]/Table1[[#This Row],[Time to Fill]]*100</f>
        <v>11.25</v>
      </c>
      <c r="Z33">
        <f>Table1[[#This Row],[Join Date]]-Table1[[#This Row],[Job Posting Date]]</f>
        <v>89</v>
      </c>
      <c r="AA33">
        <f t="shared" ca="1" si="0"/>
        <v>102</v>
      </c>
      <c r="AB33" s="5">
        <f>Table1[[#This Row],[Absentee Days]]/Table1[[#This Row],[Total Work Days]]*100</f>
        <v>7.6923076923076925</v>
      </c>
      <c r="AC33">
        <f>YEAR(Table1[[#This Row],[Join Date]])</f>
        <v>2022</v>
      </c>
      <c r="AD33">
        <f>IF(Table1[[#This Row],[Status]]="Active",1,0)</f>
        <v>1</v>
      </c>
      <c r="AE33">
        <f>IF(Table1[[#This Row],[Status]]="Exited",Table1[[#This Row],[Recruitment Cost]]+Table1[[#This Row],[Onboarding Cost]]+Table1[[#This Row],[Training Cost]],0)</f>
        <v>0</v>
      </c>
      <c r="AF33">
        <f>IF(Table1[[#This Row],[Training Completion Status]]="Completed",1,0)</f>
        <v>1</v>
      </c>
      <c r="AG33">
        <f t="shared" ca="1" si="1"/>
        <v>3</v>
      </c>
      <c r="AH33">
        <f t="shared" ca="1" si="2"/>
        <v>3</v>
      </c>
      <c r="AI33">
        <f t="shared" ca="1" si="3"/>
        <v>3</v>
      </c>
      <c r="AJ33" t="s">
        <v>317</v>
      </c>
    </row>
    <row r="34" spans="1:36" x14ac:dyDescent="0.2">
      <c r="A34" t="s">
        <v>86</v>
      </c>
      <c r="B34" t="s">
        <v>42</v>
      </c>
      <c r="C34" t="s">
        <v>38</v>
      </c>
      <c r="D34" t="s">
        <v>39</v>
      </c>
      <c r="E34" s="1">
        <v>44643</v>
      </c>
      <c r="F34" s="1">
        <v>44693</v>
      </c>
      <c r="G34" s="1">
        <v>44702</v>
      </c>
      <c r="H34" s="1" t="s">
        <v>50</v>
      </c>
      <c r="I34" t="s">
        <v>51</v>
      </c>
      <c r="J34" s="2">
        <v>4484</v>
      </c>
      <c r="K34" t="s">
        <v>40</v>
      </c>
      <c r="L34" t="s">
        <v>52</v>
      </c>
      <c r="M34">
        <v>260</v>
      </c>
      <c r="N34">
        <v>19</v>
      </c>
      <c r="O34" s="3">
        <v>1398</v>
      </c>
      <c r="P34">
        <f t="shared" ca="1" si="4"/>
        <v>4</v>
      </c>
      <c r="Q34">
        <f ca="1">RANDBETWEEN(0,Table1[[#This Row],[offers made]])</f>
        <v>3</v>
      </c>
      <c r="R34" t="s">
        <v>306</v>
      </c>
      <c r="S34">
        <f>Table1[[#This Row],[Hire Date]]-Table1[[#This Row],[Job Posting Date]]</f>
        <v>50</v>
      </c>
      <c r="T34" s="4">
        <f>Table1[[#This Row],[Join Date]]-Table1[[#This Row],[Hire Date]]</f>
        <v>9</v>
      </c>
      <c r="U34" s="4">
        <f ca="1">IF(Table1[[#This Row],[Status]]="Exited",Table1[[#This Row],[Exit Date]]-Table1[[#This Row],[Join Date]],TODAY()-Table1[[#This Row],[Join Date]])</f>
        <v>959</v>
      </c>
      <c r="V34" t="str">
        <f ca="1">IF(Table1[[#This Row],[Total Tenure in Days]]&lt;=730, "yes","no")</f>
        <v>no</v>
      </c>
      <c r="W34">
        <f>Table1[[#This Row],[Hire Date]]-Table1[[#This Row],[Job Posting Date]]</f>
        <v>50</v>
      </c>
      <c r="X34" s="4">
        <f>Table1[[#This Row],[Time to Onboard]]/Table1[[#This Row],[Time to Fill]]*100</f>
        <v>18</v>
      </c>
      <c r="Y34" s="5">
        <f>Table1[[#This Row],[Time to Onboard]]/Table1[[#This Row],[Time to Fill]]*100</f>
        <v>18</v>
      </c>
      <c r="Z34">
        <f>Table1[[#This Row],[Join Date]]-Table1[[#This Row],[Job Posting Date]]</f>
        <v>59</v>
      </c>
      <c r="AA34">
        <f t="shared" ca="1" si="0"/>
        <v>134</v>
      </c>
      <c r="AB34" s="5">
        <f>Table1[[#This Row],[Absentee Days]]/Table1[[#This Row],[Total Work Days]]*100</f>
        <v>7.3076923076923084</v>
      </c>
      <c r="AC34">
        <f>YEAR(Table1[[#This Row],[Join Date]])</f>
        <v>2022</v>
      </c>
      <c r="AD34">
        <f>IF(Table1[[#This Row],[Status]]="Active",1,0)</f>
        <v>1</v>
      </c>
      <c r="AE34">
        <f>IF(Table1[[#This Row],[Status]]="Exited",Table1[[#This Row],[Recruitment Cost]]+Table1[[#This Row],[Onboarding Cost]]+Table1[[#This Row],[Training Cost]],0)</f>
        <v>0</v>
      </c>
      <c r="AF34">
        <f>IF(Table1[[#This Row],[Training Completion Status]]="Completed",1,0)</f>
        <v>1</v>
      </c>
      <c r="AG34">
        <f t="shared" ca="1" si="1"/>
        <v>5</v>
      </c>
      <c r="AH34">
        <f t="shared" ca="1" si="2"/>
        <v>4</v>
      </c>
      <c r="AI34">
        <f t="shared" ca="1" si="3"/>
        <v>2</v>
      </c>
      <c r="AJ34" t="s">
        <v>318</v>
      </c>
    </row>
    <row r="35" spans="1:36" x14ac:dyDescent="0.2">
      <c r="A35" t="s">
        <v>87</v>
      </c>
      <c r="B35" t="s">
        <v>43</v>
      </c>
      <c r="C35" t="s">
        <v>32</v>
      </c>
      <c r="D35" t="s">
        <v>33</v>
      </c>
      <c r="E35" s="1">
        <v>44696</v>
      </c>
      <c r="F35" s="1">
        <v>44727</v>
      </c>
      <c r="G35" s="1">
        <v>44735</v>
      </c>
      <c r="H35" s="1">
        <v>45176</v>
      </c>
      <c r="I35" t="s">
        <v>57</v>
      </c>
      <c r="J35" s="2">
        <v>3730</v>
      </c>
      <c r="K35" t="s">
        <v>40</v>
      </c>
      <c r="L35" t="s">
        <v>55</v>
      </c>
      <c r="M35">
        <v>260</v>
      </c>
      <c r="N35">
        <v>20</v>
      </c>
      <c r="O35" s="3">
        <v>2229</v>
      </c>
      <c r="P35">
        <f t="shared" ca="1" si="4"/>
        <v>9</v>
      </c>
      <c r="Q35">
        <f ca="1">RANDBETWEEN(0,Table1[[#This Row],[offers made]])</f>
        <v>5</v>
      </c>
      <c r="R35" t="s">
        <v>307</v>
      </c>
      <c r="S35">
        <f>Table1[[#This Row],[Hire Date]]-Table1[[#This Row],[Job Posting Date]]</f>
        <v>31</v>
      </c>
      <c r="T35" s="4">
        <f>Table1[[#This Row],[Join Date]]-Table1[[#This Row],[Hire Date]]</f>
        <v>8</v>
      </c>
      <c r="U35" s="4">
        <f ca="1">IF(Table1[[#This Row],[Status]]="Exited",Table1[[#This Row],[Exit Date]]-Table1[[#This Row],[Join Date]],TODAY()-Table1[[#This Row],[Join Date]])</f>
        <v>441</v>
      </c>
      <c r="V35" t="str">
        <f ca="1">IF(Table1[[#This Row],[Total Tenure in Days]]&lt;=730, "yes","no")</f>
        <v>yes</v>
      </c>
      <c r="W35">
        <f>Table1[[#This Row],[Hire Date]]-Table1[[#This Row],[Job Posting Date]]</f>
        <v>31</v>
      </c>
      <c r="X35" s="4">
        <f>Table1[[#This Row],[Time to Onboard]]/Table1[[#This Row],[Time to Fill]]*100</f>
        <v>25.806451612903224</v>
      </c>
      <c r="Y35" s="5">
        <f>Table1[[#This Row],[Time to Onboard]]/Table1[[#This Row],[Time to Fill]]*100</f>
        <v>25.806451612903224</v>
      </c>
      <c r="Z35">
        <f>Table1[[#This Row],[Join Date]]-Table1[[#This Row],[Job Posting Date]]</f>
        <v>39</v>
      </c>
      <c r="AA35">
        <f t="shared" ca="1" si="0"/>
        <v>181</v>
      </c>
      <c r="AB35" s="5">
        <f>Table1[[#This Row],[Absentee Days]]/Table1[[#This Row],[Total Work Days]]*100</f>
        <v>7.6923076923076925</v>
      </c>
      <c r="AC35">
        <f>YEAR(Table1[[#This Row],[Join Date]])</f>
        <v>2022</v>
      </c>
      <c r="AD35">
        <f>IF(Table1[[#This Row],[Status]]="Active",1,0)</f>
        <v>0</v>
      </c>
      <c r="AE35">
        <f ca="1">IF(Table1[[#This Row],[Status]]="Exited",Table1[[#This Row],[Recruitment Cost]]+Table1[[#This Row],[Onboarding Cost]]+Table1[[#This Row],[Training Cost]],0)</f>
        <v>6140</v>
      </c>
      <c r="AF35">
        <f>IF(Table1[[#This Row],[Training Completion Status]]="Completed",1,0)</f>
        <v>0</v>
      </c>
      <c r="AG35">
        <f t="shared" ca="1" si="1"/>
        <v>2</v>
      </c>
      <c r="AH35">
        <f t="shared" ca="1" si="2"/>
        <v>1</v>
      </c>
      <c r="AI35">
        <f t="shared" ca="1" si="3"/>
        <v>4</v>
      </c>
      <c r="AJ35" t="s">
        <v>317</v>
      </c>
    </row>
    <row r="36" spans="1:36" x14ac:dyDescent="0.2">
      <c r="A36" t="s">
        <v>88</v>
      </c>
      <c r="B36" t="s">
        <v>41</v>
      </c>
      <c r="C36" t="s">
        <v>29</v>
      </c>
      <c r="D36" t="s">
        <v>30</v>
      </c>
      <c r="E36" s="1">
        <v>43999</v>
      </c>
      <c r="F36" s="1">
        <v>44076</v>
      </c>
      <c r="G36" s="1">
        <v>44088</v>
      </c>
      <c r="H36" s="1" t="s">
        <v>50</v>
      </c>
      <c r="I36" t="s">
        <v>51</v>
      </c>
      <c r="J36" s="2">
        <v>1743</v>
      </c>
      <c r="K36" t="s">
        <v>31</v>
      </c>
      <c r="L36" t="s">
        <v>52</v>
      </c>
      <c r="M36">
        <v>260</v>
      </c>
      <c r="N36">
        <v>18</v>
      </c>
      <c r="O36" s="3">
        <v>1353</v>
      </c>
      <c r="P36">
        <f t="shared" ca="1" si="4"/>
        <v>7</v>
      </c>
      <c r="Q36">
        <f ca="1">RANDBETWEEN(0,Table1[[#This Row],[offers made]])</f>
        <v>6</v>
      </c>
      <c r="R36" t="s">
        <v>307</v>
      </c>
      <c r="S36">
        <f>Table1[[#This Row],[Hire Date]]-Table1[[#This Row],[Job Posting Date]]</f>
        <v>77</v>
      </c>
      <c r="T36" s="4">
        <f>Table1[[#This Row],[Join Date]]-Table1[[#This Row],[Hire Date]]</f>
        <v>12</v>
      </c>
      <c r="U36" s="4">
        <f ca="1">IF(Table1[[#This Row],[Status]]="Exited",Table1[[#This Row],[Exit Date]]-Table1[[#This Row],[Join Date]],TODAY()-Table1[[#This Row],[Join Date]])</f>
        <v>1573</v>
      </c>
      <c r="V36" t="str">
        <f ca="1">IF(Table1[[#This Row],[Total Tenure in Days]]&lt;=730, "yes","no")</f>
        <v>no</v>
      </c>
      <c r="W36">
        <f>Table1[[#This Row],[Hire Date]]-Table1[[#This Row],[Job Posting Date]]</f>
        <v>77</v>
      </c>
      <c r="X36" s="4">
        <f>Table1[[#This Row],[Time to Onboard]]/Table1[[#This Row],[Time to Fill]]*100</f>
        <v>15.584415584415584</v>
      </c>
      <c r="Y36" s="5">
        <f>Table1[[#This Row],[Time to Onboard]]/Table1[[#This Row],[Time to Fill]]*100</f>
        <v>15.584415584415584</v>
      </c>
      <c r="Z36">
        <f>Table1[[#This Row],[Join Date]]-Table1[[#This Row],[Job Posting Date]]</f>
        <v>89</v>
      </c>
      <c r="AA36">
        <f t="shared" ca="1" si="0"/>
        <v>103</v>
      </c>
      <c r="AB36" s="5">
        <f>Table1[[#This Row],[Absentee Days]]/Table1[[#This Row],[Total Work Days]]*100</f>
        <v>6.9230769230769234</v>
      </c>
      <c r="AC36">
        <f>YEAR(Table1[[#This Row],[Join Date]])</f>
        <v>2020</v>
      </c>
      <c r="AD36">
        <f>IF(Table1[[#This Row],[Status]]="Active",1,0)</f>
        <v>1</v>
      </c>
      <c r="AE36">
        <f>IF(Table1[[#This Row],[Status]]="Exited",Table1[[#This Row],[Recruitment Cost]]+Table1[[#This Row],[Onboarding Cost]]+Table1[[#This Row],[Training Cost]],0)</f>
        <v>0</v>
      </c>
      <c r="AF36">
        <f>IF(Table1[[#This Row],[Training Completion Status]]="Completed",1,0)</f>
        <v>1</v>
      </c>
      <c r="AG36">
        <f t="shared" ca="1" si="1"/>
        <v>1</v>
      </c>
      <c r="AH36">
        <f t="shared" ca="1" si="2"/>
        <v>2</v>
      </c>
      <c r="AI36">
        <f t="shared" ca="1" si="3"/>
        <v>3</v>
      </c>
      <c r="AJ36" t="s">
        <v>317</v>
      </c>
    </row>
    <row r="37" spans="1:36" x14ac:dyDescent="0.2">
      <c r="A37" t="s">
        <v>89</v>
      </c>
      <c r="B37" t="s">
        <v>42</v>
      </c>
      <c r="C37" t="s">
        <v>32</v>
      </c>
      <c r="D37" t="s">
        <v>33</v>
      </c>
      <c r="E37" s="1">
        <v>43986</v>
      </c>
      <c r="F37" s="1">
        <v>44041</v>
      </c>
      <c r="G37" s="1">
        <v>44055</v>
      </c>
      <c r="H37" s="1">
        <v>44449</v>
      </c>
      <c r="I37" t="s">
        <v>57</v>
      </c>
      <c r="J37" s="2">
        <v>1703</v>
      </c>
      <c r="K37" t="s">
        <v>40</v>
      </c>
      <c r="L37" t="s">
        <v>52</v>
      </c>
      <c r="M37">
        <v>260</v>
      </c>
      <c r="N37">
        <v>17</v>
      </c>
      <c r="O37" s="3">
        <v>1213</v>
      </c>
      <c r="P37">
        <f t="shared" ca="1" si="4"/>
        <v>1</v>
      </c>
      <c r="Q37">
        <f ca="1">RANDBETWEEN(0,Table1[[#This Row],[offers made]])</f>
        <v>1</v>
      </c>
      <c r="R37" t="s">
        <v>308</v>
      </c>
      <c r="S37">
        <f>Table1[[#This Row],[Hire Date]]-Table1[[#This Row],[Job Posting Date]]</f>
        <v>55</v>
      </c>
      <c r="T37" s="4">
        <f>Table1[[#This Row],[Join Date]]-Table1[[#This Row],[Hire Date]]</f>
        <v>14</v>
      </c>
      <c r="U37" s="4">
        <f ca="1">IF(Table1[[#This Row],[Status]]="Exited",Table1[[#This Row],[Exit Date]]-Table1[[#This Row],[Join Date]],TODAY()-Table1[[#This Row],[Join Date]])</f>
        <v>394</v>
      </c>
      <c r="V37" t="str">
        <f ca="1">IF(Table1[[#This Row],[Total Tenure in Days]]&lt;=730, "yes","no")</f>
        <v>yes</v>
      </c>
      <c r="W37">
        <f>Table1[[#This Row],[Hire Date]]-Table1[[#This Row],[Job Posting Date]]</f>
        <v>55</v>
      </c>
      <c r="X37" s="4">
        <f>Table1[[#This Row],[Time to Onboard]]/Table1[[#This Row],[Time to Fill]]*100</f>
        <v>25.454545454545453</v>
      </c>
      <c r="Y37" s="5">
        <f>Table1[[#This Row],[Time to Onboard]]/Table1[[#This Row],[Time to Fill]]*100</f>
        <v>25.454545454545453</v>
      </c>
      <c r="Z37">
        <f>Table1[[#This Row],[Join Date]]-Table1[[#This Row],[Job Posting Date]]</f>
        <v>69</v>
      </c>
      <c r="AA37">
        <f t="shared" ca="1" si="0"/>
        <v>149</v>
      </c>
      <c r="AB37" s="5">
        <f>Table1[[#This Row],[Absentee Days]]/Table1[[#This Row],[Total Work Days]]*100</f>
        <v>6.5384615384615392</v>
      </c>
      <c r="AC37">
        <f>YEAR(Table1[[#This Row],[Join Date]])</f>
        <v>2020</v>
      </c>
      <c r="AD37">
        <f>IF(Table1[[#This Row],[Status]]="Active",1,0)</f>
        <v>0</v>
      </c>
      <c r="AE37">
        <f ca="1">IF(Table1[[#This Row],[Status]]="Exited",Table1[[#This Row],[Recruitment Cost]]+Table1[[#This Row],[Onboarding Cost]]+Table1[[#This Row],[Training Cost]],0)</f>
        <v>3065</v>
      </c>
      <c r="AF37">
        <f>IF(Table1[[#This Row],[Training Completion Status]]="Completed",1,0)</f>
        <v>1</v>
      </c>
      <c r="AG37">
        <f t="shared" ca="1" si="1"/>
        <v>2</v>
      </c>
      <c r="AH37">
        <f t="shared" ca="1" si="2"/>
        <v>3</v>
      </c>
      <c r="AI37">
        <f t="shared" ca="1" si="3"/>
        <v>3</v>
      </c>
      <c r="AJ37" t="s">
        <v>317</v>
      </c>
    </row>
    <row r="38" spans="1:36" x14ac:dyDescent="0.2">
      <c r="A38" t="s">
        <v>90</v>
      </c>
      <c r="B38" t="s">
        <v>43</v>
      </c>
      <c r="C38" t="s">
        <v>26</v>
      </c>
      <c r="D38" t="s">
        <v>27</v>
      </c>
      <c r="E38" s="1">
        <v>43824</v>
      </c>
      <c r="F38" s="1">
        <v>43878</v>
      </c>
      <c r="G38" s="1">
        <v>43890</v>
      </c>
      <c r="H38" s="1" t="s">
        <v>50</v>
      </c>
      <c r="I38" t="s">
        <v>51</v>
      </c>
      <c r="J38" s="2">
        <v>4250</v>
      </c>
      <c r="K38" t="s">
        <v>31</v>
      </c>
      <c r="L38" t="s">
        <v>55</v>
      </c>
      <c r="M38">
        <v>260</v>
      </c>
      <c r="N38">
        <v>2</v>
      </c>
      <c r="O38" s="3">
        <v>2389</v>
      </c>
      <c r="P38">
        <f t="shared" ca="1" si="4"/>
        <v>8</v>
      </c>
      <c r="Q38">
        <f ca="1">RANDBETWEEN(0,Table1[[#This Row],[offers made]])</f>
        <v>5</v>
      </c>
      <c r="R38" t="s">
        <v>306</v>
      </c>
      <c r="S38">
        <f>Table1[[#This Row],[Hire Date]]-Table1[[#This Row],[Job Posting Date]]</f>
        <v>54</v>
      </c>
      <c r="T38" s="4">
        <f>Table1[[#This Row],[Join Date]]-Table1[[#This Row],[Hire Date]]</f>
        <v>12</v>
      </c>
      <c r="U38" s="4">
        <f ca="1">IF(Table1[[#This Row],[Status]]="Exited",Table1[[#This Row],[Exit Date]]-Table1[[#This Row],[Join Date]],TODAY()-Table1[[#This Row],[Join Date]])</f>
        <v>1771</v>
      </c>
      <c r="V38" t="str">
        <f ca="1">IF(Table1[[#This Row],[Total Tenure in Days]]&lt;=730, "yes","no")</f>
        <v>no</v>
      </c>
      <c r="W38">
        <f>Table1[[#This Row],[Hire Date]]-Table1[[#This Row],[Job Posting Date]]</f>
        <v>54</v>
      </c>
      <c r="X38" s="4">
        <f>Table1[[#This Row],[Time to Onboard]]/Table1[[#This Row],[Time to Fill]]*100</f>
        <v>22.222222222222221</v>
      </c>
      <c r="Y38" s="5">
        <f>Table1[[#This Row],[Time to Onboard]]/Table1[[#This Row],[Time to Fill]]*100</f>
        <v>22.222222222222221</v>
      </c>
      <c r="Z38">
        <f>Table1[[#This Row],[Join Date]]-Table1[[#This Row],[Job Posting Date]]</f>
        <v>66</v>
      </c>
      <c r="AA38">
        <f t="shared" ca="1" si="0"/>
        <v>153</v>
      </c>
      <c r="AB38" s="5">
        <f>Table1[[#This Row],[Absentee Days]]/Table1[[#This Row],[Total Work Days]]*100</f>
        <v>0.76923076923076927</v>
      </c>
      <c r="AC38">
        <f>YEAR(Table1[[#This Row],[Join Date]])</f>
        <v>2020</v>
      </c>
      <c r="AD38">
        <f>IF(Table1[[#This Row],[Status]]="Active",1,0)</f>
        <v>1</v>
      </c>
      <c r="AE38">
        <f>IF(Table1[[#This Row],[Status]]="Exited",Table1[[#This Row],[Recruitment Cost]]+Table1[[#This Row],[Onboarding Cost]]+Table1[[#This Row],[Training Cost]],0)</f>
        <v>0</v>
      </c>
      <c r="AF38">
        <f>IF(Table1[[#This Row],[Training Completion Status]]="Completed",1,0)</f>
        <v>0</v>
      </c>
      <c r="AG38">
        <f t="shared" ca="1" si="1"/>
        <v>2</v>
      </c>
      <c r="AH38">
        <f t="shared" ca="1" si="2"/>
        <v>2</v>
      </c>
      <c r="AI38">
        <f t="shared" ca="1" si="3"/>
        <v>2</v>
      </c>
      <c r="AJ38" t="s">
        <v>318</v>
      </c>
    </row>
    <row r="39" spans="1:36" x14ac:dyDescent="0.2">
      <c r="A39" t="s">
        <v>91</v>
      </c>
      <c r="B39" t="s">
        <v>43</v>
      </c>
      <c r="C39" t="s">
        <v>32</v>
      </c>
      <c r="D39" t="s">
        <v>33</v>
      </c>
      <c r="E39" s="1">
        <v>44330</v>
      </c>
      <c r="F39" s="1">
        <v>44409</v>
      </c>
      <c r="G39" s="1">
        <v>44416</v>
      </c>
      <c r="H39" s="1" t="s">
        <v>50</v>
      </c>
      <c r="I39" t="s">
        <v>51</v>
      </c>
      <c r="J39" s="2">
        <v>4549</v>
      </c>
      <c r="K39" t="s">
        <v>28</v>
      </c>
      <c r="L39" t="s">
        <v>52</v>
      </c>
      <c r="M39">
        <v>260</v>
      </c>
      <c r="N39">
        <v>5</v>
      </c>
      <c r="O39" s="3">
        <v>2493</v>
      </c>
      <c r="P39">
        <f t="shared" ca="1" si="4"/>
        <v>7</v>
      </c>
      <c r="Q39">
        <f ca="1">RANDBETWEEN(0,Table1[[#This Row],[offers made]])</f>
        <v>4</v>
      </c>
      <c r="R39" t="s">
        <v>308</v>
      </c>
      <c r="S39">
        <f>Table1[[#This Row],[Hire Date]]-Table1[[#This Row],[Job Posting Date]]</f>
        <v>79</v>
      </c>
      <c r="T39" s="4">
        <f>Table1[[#This Row],[Join Date]]-Table1[[#This Row],[Hire Date]]</f>
        <v>7</v>
      </c>
      <c r="U39" s="4">
        <f ca="1">IF(Table1[[#This Row],[Status]]="Exited",Table1[[#This Row],[Exit Date]]-Table1[[#This Row],[Join Date]],TODAY()-Table1[[#This Row],[Join Date]])</f>
        <v>1245</v>
      </c>
      <c r="V39" t="str">
        <f ca="1">IF(Table1[[#This Row],[Total Tenure in Days]]&lt;=730, "yes","no")</f>
        <v>no</v>
      </c>
      <c r="W39">
        <f>Table1[[#This Row],[Hire Date]]-Table1[[#This Row],[Job Posting Date]]</f>
        <v>79</v>
      </c>
      <c r="X39" s="4">
        <f>Table1[[#This Row],[Time to Onboard]]/Table1[[#This Row],[Time to Fill]]*100</f>
        <v>8.8607594936708853</v>
      </c>
      <c r="Y39" s="5">
        <f>Table1[[#This Row],[Time to Onboard]]/Table1[[#This Row],[Time to Fill]]*100</f>
        <v>8.8607594936708853</v>
      </c>
      <c r="Z39">
        <f>Table1[[#This Row],[Join Date]]-Table1[[#This Row],[Job Posting Date]]</f>
        <v>86</v>
      </c>
      <c r="AA39">
        <f t="shared" ca="1" si="0"/>
        <v>153</v>
      </c>
      <c r="AB39" s="5">
        <f>Table1[[#This Row],[Absentee Days]]/Table1[[#This Row],[Total Work Days]]*100</f>
        <v>1.9230769230769231</v>
      </c>
      <c r="AC39">
        <f>YEAR(Table1[[#This Row],[Join Date]])</f>
        <v>2021</v>
      </c>
      <c r="AD39">
        <f>IF(Table1[[#This Row],[Status]]="Active",1,0)</f>
        <v>1</v>
      </c>
      <c r="AE39">
        <f>IF(Table1[[#This Row],[Status]]="Exited",Table1[[#This Row],[Recruitment Cost]]+Table1[[#This Row],[Onboarding Cost]]+Table1[[#This Row],[Training Cost]],0)</f>
        <v>0</v>
      </c>
      <c r="AF39">
        <f>IF(Table1[[#This Row],[Training Completion Status]]="Completed",1,0)</f>
        <v>1</v>
      </c>
      <c r="AG39">
        <f t="shared" ca="1" si="1"/>
        <v>3</v>
      </c>
      <c r="AH39">
        <f t="shared" ca="1" si="2"/>
        <v>3</v>
      </c>
      <c r="AI39">
        <f t="shared" ca="1" si="3"/>
        <v>1</v>
      </c>
      <c r="AJ39" t="s">
        <v>318</v>
      </c>
    </row>
    <row r="40" spans="1:36" x14ac:dyDescent="0.2">
      <c r="A40" t="s">
        <v>92</v>
      </c>
      <c r="B40" t="s">
        <v>42</v>
      </c>
      <c r="C40" t="s">
        <v>29</v>
      </c>
      <c r="D40" t="s">
        <v>30</v>
      </c>
      <c r="E40" s="1">
        <v>44327</v>
      </c>
      <c r="F40" s="1">
        <v>44404</v>
      </c>
      <c r="G40" s="1">
        <v>44413</v>
      </c>
      <c r="H40" s="1">
        <v>45027</v>
      </c>
      <c r="I40" t="s">
        <v>57</v>
      </c>
      <c r="J40" s="2">
        <v>3637</v>
      </c>
      <c r="K40" t="s">
        <v>34</v>
      </c>
      <c r="L40" t="s">
        <v>52</v>
      </c>
      <c r="M40">
        <v>260</v>
      </c>
      <c r="N40">
        <v>12</v>
      </c>
      <c r="O40" s="3">
        <v>1989</v>
      </c>
      <c r="P40">
        <f t="shared" ca="1" si="4"/>
        <v>1</v>
      </c>
      <c r="Q40">
        <f ca="1">RANDBETWEEN(0,Table1[[#This Row],[offers made]])</f>
        <v>0</v>
      </c>
      <c r="R40" t="s">
        <v>308</v>
      </c>
      <c r="S40">
        <f>Table1[[#This Row],[Hire Date]]-Table1[[#This Row],[Job Posting Date]]</f>
        <v>77</v>
      </c>
      <c r="T40" s="4">
        <f>Table1[[#This Row],[Join Date]]-Table1[[#This Row],[Hire Date]]</f>
        <v>9</v>
      </c>
      <c r="U40" s="4">
        <f ca="1">IF(Table1[[#This Row],[Status]]="Exited",Table1[[#This Row],[Exit Date]]-Table1[[#This Row],[Join Date]],TODAY()-Table1[[#This Row],[Join Date]])</f>
        <v>614</v>
      </c>
      <c r="V40" t="str">
        <f ca="1">IF(Table1[[#This Row],[Total Tenure in Days]]&lt;=730, "yes","no")</f>
        <v>yes</v>
      </c>
      <c r="W40">
        <f>Table1[[#This Row],[Hire Date]]-Table1[[#This Row],[Job Posting Date]]</f>
        <v>77</v>
      </c>
      <c r="X40" s="4">
        <f>Table1[[#This Row],[Time to Onboard]]/Table1[[#This Row],[Time to Fill]]*100</f>
        <v>11.688311688311687</v>
      </c>
      <c r="Y40" s="5">
        <f>Table1[[#This Row],[Time to Onboard]]/Table1[[#This Row],[Time to Fill]]*100</f>
        <v>11.688311688311687</v>
      </c>
      <c r="Z40">
        <f>Table1[[#This Row],[Join Date]]-Table1[[#This Row],[Job Posting Date]]</f>
        <v>86</v>
      </c>
      <c r="AA40">
        <f t="shared" ca="1" si="0"/>
        <v>113</v>
      </c>
      <c r="AB40" s="5">
        <f>Table1[[#This Row],[Absentee Days]]/Table1[[#This Row],[Total Work Days]]*100</f>
        <v>4.6153846153846159</v>
      </c>
      <c r="AC40">
        <f>YEAR(Table1[[#This Row],[Join Date]])</f>
        <v>2021</v>
      </c>
      <c r="AD40">
        <f>IF(Table1[[#This Row],[Status]]="Active",1,0)</f>
        <v>0</v>
      </c>
      <c r="AE40">
        <f ca="1">IF(Table1[[#This Row],[Status]]="Exited",Table1[[#This Row],[Recruitment Cost]]+Table1[[#This Row],[Onboarding Cost]]+Table1[[#This Row],[Training Cost]],0)</f>
        <v>5739</v>
      </c>
      <c r="AF40">
        <f>IF(Table1[[#This Row],[Training Completion Status]]="Completed",1,0)</f>
        <v>1</v>
      </c>
      <c r="AG40">
        <f t="shared" ca="1" si="1"/>
        <v>4</v>
      </c>
      <c r="AH40">
        <f t="shared" ca="1" si="2"/>
        <v>5</v>
      </c>
      <c r="AI40">
        <f t="shared" ca="1" si="3"/>
        <v>4</v>
      </c>
      <c r="AJ40" t="s">
        <v>317</v>
      </c>
    </row>
    <row r="41" spans="1:36" x14ac:dyDescent="0.2">
      <c r="A41" t="s">
        <v>93</v>
      </c>
      <c r="B41" t="s">
        <v>41</v>
      </c>
      <c r="C41" t="s">
        <v>26</v>
      </c>
      <c r="D41" t="s">
        <v>27</v>
      </c>
      <c r="E41" s="1">
        <v>43431</v>
      </c>
      <c r="F41" s="1">
        <v>43508</v>
      </c>
      <c r="G41" s="1">
        <v>43518</v>
      </c>
      <c r="H41" s="1" t="s">
        <v>50</v>
      </c>
      <c r="I41" t="s">
        <v>51</v>
      </c>
      <c r="J41" s="2">
        <v>3322</v>
      </c>
      <c r="K41" t="s">
        <v>31</v>
      </c>
      <c r="L41" t="s">
        <v>52</v>
      </c>
      <c r="M41">
        <v>260</v>
      </c>
      <c r="N41">
        <v>5</v>
      </c>
      <c r="O41" s="3">
        <v>1472</v>
      </c>
      <c r="P41">
        <f t="shared" ca="1" si="4"/>
        <v>9</v>
      </c>
      <c r="Q41">
        <f ca="1">RANDBETWEEN(0,Table1[[#This Row],[offers made]])</f>
        <v>3</v>
      </c>
      <c r="R41" t="s">
        <v>308</v>
      </c>
      <c r="S41">
        <f>Table1[[#This Row],[Hire Date]]-Table1[[#This Row],[Job Posting Date]]</f>
        <v>77</v>
      </c>
      <c r="T41" s="4">
        <f>Table1[[#This Row],[Join Date]]-Table1[[#This Row],[Hire Date]]</f>
        <v>10</v>
      </c>
      <c r="U41" s="4">
        <f ca="1">IF(Table1[[#This Row],[Status]]="Exited",Table1[[#This Row],[Exit Date]]-Table1[[#This Row],[Join Date]],TODAY()-Table1[[#This Row],[Join Date]])</f>
        <v>2143</v>
      </c>
      <c r="V41" t="str">
        <f ca="1">IF(Table1[[#This Row],[Total Tenure in Days]]&lt;=730, "yes","no")</f>
        <v>no</v>
      </c>
      <c r="W41">
        <f>Table1[[#This Row],[Hire Date]]-Table1[[#This Row],[Job Posting Date]]</f>
        <v>77</v>
      </c>
      <c r="X41" s="4">
        <f>Table1[[#This Row],[Time to Onboard]]/Table1[[#This Row],[Time to Fill]]*100</f>
        <v>12.987012987012985</v>
      </c>
      <c r="Y41" s="5">
        <f>Table1[[#This Row],[Time to Onboard]]/Table1[[#This Row],[Time to Fill]]*100</f>
        <v>12.987012987012985</v>
      </c>
      <c r="Z41">
        <f>Table1[[#This Row],[Join Date]]-Table1[[#This Row],[Job Posting Date]]</f>
        <v>87</v>
      </c>
      <c r="AA41">
        <f t="shared" ca="1" si="0"/>
        <v>149</v>
      </c>
      <c r="AB41" s="5">
        <f>Table1[[#This Row],[Absentee Days]]/Table1[[#This Row],[Total Work Days]]*100</f>
        <v>1.9230769230769231</v>
      </c>
      <c r="AC41">
        <f>YEAR(Table1[[#This Row],[Join Date]])</f>
        <v>2019</v>
      </c>
      <c r="AD41">
        <f>IF(Table1[[#This Row],[Status]]="Active",1,0)</f>
        <v>1</v>
      </c>
      <c r="AE41">
        <f>IF(Table1[[#This Row],[Status]]="Exited",Table1[[#This Row],[Recruitment Cost]]+Table1[[#This Row],[Onboarding Cost]]+Table1[[#This Row],[Training Cost]],0)</f>
        <v>0</v>
      </c>
      <c r="AF41">
        <f>IF(Table1[[#This Row],[Training Completion Status]]="Completed",1,0)</f>
        <v>1</v>
      </c>
      <c r="AG41">
        <f t="shared" ca="1" si="1"/>
        <v>1</v>
      </c>
      <c r="AH41">
        <f t="shared" ca="1" si="2"/>
        <v>2</v>
      </c>
      <c r="AI41">
        <f t="shared" ca="1" si="3"/>
        <v>3</v>
      </c>
      <c r="AJ41" t="s">
        <v>317</v>
      </c>
    </row>
    <row r="42" spans="1:36" x14ac:dyDescent="0.2">
      <c r="A42" t="s">
        <v>94</v>
      </c>
      <c r="B42" t="s">
        <v>41</v>
      </c>
      <c r="C42" t="s">
        <v>35</v>
      </c>
      <c r="D42" t="s">
        <v>36</v>
      </c>
      <c r="E42" s="1">
        <v>43757</v>
      </c>
      <c r="F42" s="1">
        <v>43834</v>
      </c>
      <c r="G42" s="1">
        <v>43845</v>
      </c>
      <c r="H42" s="1">
        <v>45643</v>
      </c>
      <c r="I42" t="s">
        <v>57</v>
      </c>
      <c r="J42" s="2">
        <v>1599</v>
      </c>
      <c r="K42" t="s">
        <v>34</v>
      </c>
      <c r="L42" t="s">
        <v>55</v>
      </c>
      <c r="M42">
        <v>260</v>
      </c>
      <c r="N42">
        <v>4</v>
      </c>
      <c r="O42" s="3">
        <v>2187</v>
      </c>
      <c r="P42">
        <f t="shared" ca="1" si="4"/>
        <v>1</v>
      </c>
      <c r="Q42">
        <f ca="1">RANDBETWEEN(0,Table1[[#This Row],[offers made]])</f>
        <v>0</v>
      </c>
      <c r="R42" t="s">
        <v>307</v>
      </c>
      <c r="S42">
        <f>Table1[[#This Row],[Hire Date]]-Table1[[#This Row],[Job Posting Date]]</f>
        <v>77</v>
      </c>
      <c r="T42" s="4">
        <f>Table1[[#This Row],[Join Date]]-Table1[[#This Row],[Hire Date]]</f>
        <v>11</v>
      </c>
      <c r="U42" s="4">
        <f ca="1">IF(Table1[[#This Row],[Status]]="Exited",Table1[[#This Row],[Exit Date]]-Table1[[#This Row],[Join Date]],TODAY()-Table1[[#This Row],[Join Date]])</f>
        <v>1798</v>
      </c>
      <c r="V42" t="str">
        <f ca="1">IF(Table1[[#This Row],[Total Tenure in Days]]&lt;=730, "yes","no")</f>
        <v>no</v>
      </c>
      <c r="W42">
        <f>Table1[[#This Row],[Hire Date]]-Table1[[#This Row],[Job Posting Date]]</f>
        <v>77</v>
      </c>
      <c r="X42" s="4">
        <f>Table1[[#This Row],[Time to Onboard]]/Table1[[#This Row],[Time to Fill]]*100</f>
        <v>14.285714285714285</v>
      </c>
      <c r="Y42" s="5">
        <f>Table1[[#This Row],[Time to Onboard]]/Table1[[#This Row],[Time to Fill]]*100</f>
        <v>14.285714285714285</v>
      </c>
      <c r="Z42">
        <f>Table1[[#This Row],[Join Date]]-Table1[[#This Row],[Job Posting Date]]</f>
        <v>88</v>
      </c>
      <c r="AA42">
        <f t="shared" ca="1" si="0"/>
        <v>135</v>
      </c>
      <c r="AB42" s="5">
        <f>Table1[[#This Row],[Absentee Days]]/Table1[[#This Row],[Total Work Days]]*100</f>
        <v>1.5384615384615385</v>
      </c>
      <c r="AC42">
        <f>YEAR(Table1[[#This Row],[Join Date]])</f>
        <v>2020</v>
      </c>
      <c r="AD42">
        <f>IF(Table1[[#This Row],[Status]]="Active",1,0)</f>
        <v>0</v>
      </c>
      <c r="AE42">
        <f ca="1">IF(Table1[[#This Row],[Status]]="Exited",Table1[[#This Row],[Recruitment Cost]]+Table1[[#This Row],[Onboarding Cost]]+Table1[[#This Row],[Training Cost]],0)</f>
        <v>3921</v>
      </c>
      <c r="AF42">
        <f>IF(Table1[[#This Row],[Training Completion Status]]="Completed",1,0)</f>
        <v>0</v>
      </c>
      <c r="AG42">
        <f t="shared" ca="1" si="1"/>
        <v>3</v>
      </c>
      <c r="AH42">
        <f t="shared" ca="1" si="2"/>
        <v>4</v>
      </c>
      <c r="AI42">
        <f t="shared" ca="1" si="3"/>
        <v>1</v>
      </c>
      <c r="AJ42" t="s">
        <v>318</v>
      </c>
    </row>
    <row r="43" spans="1:36" x14ac:dyDescent="0.2">
      <c r="A43" t="s">
        <v>95</v>
      </c>
      <c r="B43" t="s">
        <v>41</v>
      </c>
      <c r="C43" t="s">
        <v>32</v>
      </c>
      <c r="D43" t="s">
        <v>33</v>
      </c>
      <c r="E43" s="1">
        <v>43624</v>
      </c>
      <c r="F43" s="1">
        <v>43683</v>
      </c>
      <c r="G43" s="1">
        <v>43698</v>
      </c>
      <c r="H43" s="1" t="s">
        <v>50</v>
      </c>
      <c r="I43" t="s">
        <v>51</v>
      </c>
      <c r="J43" s="2">
        <v>1540</v>
      </c>
      <c r="K43" t="s">
        <v>37</v>
      </c>
      <c r="L43" t="s">
        <v>52</v>
      </c>
      <c r="M43">
        <v>260</v>
      </c>
      <c r="N43">
        <v>2</v>
      </c>
      <c r="O43" s="3">
        <v>2099</v>
      </c>
      <c r="P43">
        <f t="shared" ca="1" si="4"/>
        <v>1</v>
      </c>
      <c r="Q43">
        <f ca="1">RANDBETWEEN(0,Table1[[#This Row],[offers made]])</f>
        <v>0</v>
      </c>
      <c r="R43" t="s">
        <v>308</v>
      </c>
      <c r="S43">
        <f>Table1[[#This Row],[Hire Date]]-Table1[[#This Row],[Job Posting Date]]</f>
        <v>59</v>
      </c>
      <c r="T43" s="4">
        <f>Table1[[#This Row],[Join Date]]-Table1[[#This Row],[Hire Date]]</f>
        <v>15</v>
      </c>
      <c r="U43" s="4">
        <f ca="1">IF(Table1[[#This Row],[Status]]="Exited",Table1[[#This Row],[Exit Date]]-Table1[[#This Row],[Join Date]],TODAY()-Table1[[#This Row],[Join Date]])</f>
        <v>1963</v>
      </c>
      <c r="V43" t="str">
        <f ca="1">IF(Table1[[#This Row],[Total Tenure in Days]]&lt;=730, "yes","no")</f>
        <v>no</v>
      </c>
      <c r="W43">
        <f>Table1[[#This Row],[Hire Date]]-Table1[[#This Row],[Job Posting Date]]</f>
        <v>59</v>
      </c>
      <c r="X43" s="4">
        <f>Table1[[#This Row],[Time to Onboard]]/Table1[[#This Row],[Time to Fill]]*100</f>
        <v>25.423728813559322</v>
      </c>
      <c r="Y43" s="5">
        <f>Table1[[#This Row],[Time to Onboard]]/Table1[[#This Row],[Time to Fill]]*100</f>
        <v>25.423728813559322</v>
      </c>
      <c r="Z43">
        <f>Table1[[#This Row],[Join Date]]-Table1[[#This Row],[Job Posting Date]]</f>
        <v>74</v>
      </c>
      <c r="AA43">
        <f t="shared" ca="1" si="0"/>
        <v>151</v>
      </c>
      <c r="AB43" s="5">
        <f>Table1[[#This Row],[Absentee Days]]/Table1[[#This Row],[Total Work Days]]*100</f>
        <v>0.76923076923076927</v>
      </c>
      <c r="AC43">
        <f>YEAR(Table1[[#This Row],[Join Date]])</f>
        <v>2019</v>
      </c>
      <c r="AD43">
        <f>IF(Table1[[#This Row],[Status]]="Active",1,0)</f>
        <v>1</v>
      </c>
      <c r="AE43">
        <f>IF(Table1[[#This Row],[Status]]="Exited",Table1[[#This Row],[Recruitment Cost]]+Table1[[#This Row],[Onboarding Cost]]+Table1[[#This Row],[Training Cost]],0)</f>
        <v>0</v>
      </c>
      <c r="AF43">
        <f>IF(Table1[[#This Row],[Training Completion Status]]="Completed",1,0)</f>
        <v>1</v>
      </c>
      <c r="AG43">
        <f t="shared" ca="1" si="1"/>
        <v>3</v>
      </c>
      <c r="AH43">
        <f t="shared" ca="1" si="2"/>
        <v>3</v>
      </c>
      <c r="AI43">
        <f t="shared" ca="1" si="3"/>
        <v>4</v>
      </c>
      <c r="AJ43" t="s">
        <v>318</v>
      </c>
    </row>
    <row r="44" spans="1:36" x14ac:dyDescent="0.2">
      <c r="A44" t="s">
        <v>96</v>
      </c>
      <c r="B44" t="s">
        <v>41</v>
      </c>
      <c r="C44" t="s">
        <v>38</v>
      </c>
      <c r="D44" t="s">
        <v>39</v>
      </c>
      <c r="E44" s="1">
        <v>44140</v>
      </c>
      <c r="F44" s="1">
        <v>44228</v>
      </c>
      <c r="G44" s="1">
        <v>44238</v>
      </c>
      <c r="H44" s="1" t="s">
        <v>50</v>
      </c>
      <c r="I44" t="s">
        <v>51</v>
      </c>
      <c r="J44" s="2">
        <v>3529</v>
      </c>
      <c r="K44" t="s">
        <v>31</v>
      </c>
      <c r="L44" t="s">
        <v>55</v>
      </c>
      <c r="M44">
        <v>260</v>
      </c>
      <c r="N44">
        <v>9</v>
      </c>
      <c r="O44" s="3">
        <v>2410</v>
      </c>
      <c r="P44">
        <f t="shared" ca="1" si="4"/>
        <v>10</v>
      </c>
      <c r="Q44">
        <f ca="1">RANDBETWEEN(0,Table1[[#This Row],[offers made]])</f>
        <v>6</v>
      </c>
      <c r="R44" t="s">
        <v>307</v>
      </c>
      <c r="S44">
        <f>Table1[[#This Row],[Hire Date]]-Table1[[#This Row],[Job Posting Date]]</f>
        <v>88</v>
      </c>
      <c r="T44" s="4">
        <f>Table1[[#This Row],[Join Date]]-Table1[[#This Row],[Hire Date]]</f>
        <v>10</v>
      </c>
      <c r="U44" s="4">
        <f ca="1">IF(Table1[[#This Row],[Status]]="Exited",Table1[[#This Row],[Exit Date]]-Table1[[#This Row],[Join Date]],TODAY()-Table1[[#This Row],[Join Date]])</f>
        <v>1423</v>
      </c>
      <c r="V44" t="str">
        <f ca="1">IF(Table1[[#This Row],[Total Tenure in Days]]&lt;=730, "yes","no")</f>
        <v>no</v>
      </c>
      <c r="W44">
        <f>Table1[[#This Row],[Hire Date]]-Table1[[#This Row],[Job Posting Date]]</f>
        <v>88</v>
      </c>
      <c r="X44" s="4">
        <f>Table1[[#This Row],[Time to Onboard]]/Table1[[#This Row],[Time to Fill]]*100</f>
        <v>11.363636363636363</v>
      </c>
      <c r="Y44" s="5">
        <f>Table1[[#This Row],[Time to Onboard]]/Table1[[#This Row],[Time to Fill]]*100</f>
        <v>11.363636363636363</v>
      </c>
      <c r="Z44">
        <f>Table1[[#This Row],[Join Date]]-Table1[[#This Row],[Job Posting Date]]</f>
        <v>98</v>
      </c>
      <c r="AA44">
        <f t="shared" ca="1" si="0"/>
        <v>137</v>
      </c>
      <c r="AB44" s="5">
        <f>Table1[[#This Row],[Absentee Days]]/Table1[[#This Row],[Total Work Days]]*100</f>
        <v>3.4615384615384617</v>
      </c>
      <c r="AC44">
        <f>YEAR(Table1[[#This Row],[Join Date]])</f>
        <v>2021</v>
      </c>
      <c r="AD44">
        <f>IF(Table1[[#This Row],[Status]]="Active",1,0)</f>
        <v>1</v>
      </c>
      <c r="AE44">
        <f>IF(Table1[[#This Row],[Status]]="Exited",Table1[[#This Row],[Recruitment Cost]]+Table1[[#This Row],[Onboarding Cost]]+Table1[[#This Row],[Training Cost]],0)</f>
        <v>0</v>
      </c>
      <c r="AF44">
        <f>IF(Table1[[#This Row],[Training Completion Status]]="Completed",1,0)</f>
        <v>0</v>
      </c>
      <c r="AG44">
        <f t="shared" ca="1" si="1"/>
        <v>4</v>
      </c>
      <c r="AH44">
        <f t="shared" ca="1" si="2"/>
        <v>2</v>
      </c>
      <c r="AI44">
        <f t="shared" ca="1" si="3"/>
        <v>1</v>
      </c>
      <c r="AJ44" t="s">
        <v>318</v>
      </c>
    </row>
    <row r="45" spans="1:36" x14ac:dyDescent="0.2">
      <c r="A45" t="s">
        <v>97</v>
      </c>
      <c r="B45" t="s">
        <v>42</v>
      </c>
      <c r="C45" t="s">
        <v>26</v>
      </c>
      <c r="D45" t="s">
        <v>27</v>
      </c>
      <c r="E45" s="1">
        <v>43839</v>
      </c>
      <c r="F45" s="1">
        <v>43919</v>
      </c>
      <c r="G45" s="1">
        <v>43920</v>
      </c>
      <c r="H45" s="1">
        <v>45609</v>
      </c>
      <c r="I45" t="s">
        <v>57</v>
      </c>
      <c r="J45" s="2">
        <v>3724</v>
      </c>
      <c r="K45" t="s">
        <v>37</v>
      </c>
      <c r="L45" t="s">
        <v>55</v>
      </c>
      <c r="M45">
        <v>260</v>
      </c>
      <c r="N45">
        <v>2</v>
      </c>
      <c r="O45" s="3">
        <v>2096</v>
      </c>
      <c r="P45">
        <f t="shared" ca="1" si="4"/>
        <v>7</v>
      </c>
      <c r="Q45">
        <f ca="1">RANDBETWEEN(0,Table1[[#This Row],[offers made]])</f>
        <v>0</v>
      </c>
      <c r="R45" t="s">
        <v>306</v>
      </c>
      <c r="S45">
        <f>Table1[[#This Row],[Hire Date]]-Table1[[#This Row],[Job Posting Date]]</f>
        <v>80</v>
      </c>
      <c r="T45" s="4">
        <f>Table1[[#This Row],[Join Date]]-Table1[[#This Row],[Hire Date]]</f>
        <v>1</v>
      </c>
      <c r="U45" s="4">
        <f ca="1">IF(Table1[[#This Row],[Status]]="Exited",Table1[[#This Row],[Exit Date]]-Table1[[#This Row],[Join Date]],TODAY()-Table1[[#This Row],[Join Date]])</f>
        <v>1689</v>
      </c>
      <c r="V45" t="str">
        <f ca="1">IF(Table1[[#This Row],[Total Tenure in Days]]&lt;=730, "yes","no")</f>
        <v>no</v>
      </c>
      <c r="W45">
        <f>Table1[[#This Row],[Hire Date]]-Table1[[#This Row],[Job Posting Date]]</f>
        <v>80</v>
      </c>
      <c r="X45" s="4">
        <f>Table1[[#This Row],[Time to Onboard]]/Table1[[#This Row],[Time to Fill]]*100</f>
        <v>1.25</v>
      </c>
      <c r="Y45" s="5">
        <f>Table1[[#This Row],[Time to Onboard]]/Table1[[#This Row],[Time to Fill]]*100</f>
        <v>1.25</v>
      </c>
      <c r="Z45">
        <f>Table1[[#This Row],[Join Date]]-Table1[[#This Row],[Job Posting Date]]</f>
        <v>81</v>
      </c>
      <c r="AA45">
        <f t="shared" ca="1" si="0"/>
        <v>136</v>
      </c>
      <c r="AB45" s="5">
        <f>Table1[[#This Row],[Absentee Days]]/Table1[[#This Row],[Total Work Days]]*100</f>
        <v>0.76923076923076927</v>
      </c>
      <c r="AC45">
        <f>YEAR(Table1[[#This Row],[Join Date]])</f>
        <v>2020</v>
      </c>
      <c r="AD45">
        <f>IF(Table1[[#This Row],[Status]]="Active",1,0)</f>
        <v>0</v>
      </c>
      <c r="AE45">
        <f ca="1">IF(Table1[[#This Row],[Status]]="Exited",Table1[[#This Row],[Recruitment Cost]]+Table1[[#This Row],[Onboarding Cost]]+Table1[[#This Row],[Training Cost]],0)</f>
        <v>5956</v>
      </c>
      <c r="AF45">
        <f>IF(Table1[[#This Row],[Training Completion Status]]="Completed",1,0)</f>
        <v>0</v>
      </c>
      <c r="AG45">
        <f t="shared" ca="1" si="1"/>
        <v>2</v>
      </c>
      <c r="AH45">
        <f t="shared" ca="1" si="2"/>
        <v>4</v>
      </c>
      <c r="AI45">
        <f t="shared" ca="1" si="3"/>
        <v>3</v>
      </c>
      <c r="AJ45" t="s">
        <v>317</v>
      </c>
    </row>
    <row r="46" spans="1:36" x14ac:dyDescent="0.2">
      <c r="A46" t="s">
        <v>98</v>
      </c>
      <c r="B46" t="s">
        <v>43</v>
      </c>
      <c r="C46" t="s">
        <v>32</v>
      </c>
      <c r="D46" t="s">
        <v>33</v>
      </c>
      <c r="E46" s="1">
        <v>44183</v>
      </c>
      <c r="F46" s="1">
        <v>44243</v>
      </c>
      <c r="G46" s="1">
        <v>44247</v>
      </c>
      <c r="H46" s="1">
        <v>44636</v>
      </c>
      <c r="I46" t="s">
        <v>57</v>
      </c>
      <c r="J46" s="2">
        <v>3525</v>
      </c>
      <c r="K46" t="s">
        <v>40</v>
      </c>
      <c r="L46" t="s">
        <v>52</v>
      </c>
      <c r="M46">
        <v>260</v>
      </c>
      <c r="N46">
        <v>2</v>
      </c>
      <c r="O46" s="3">
        <v>1690</v>
      </c>
      <c r="P46">
        <f t="shared" ca="1" si="4"/>
        <v>10</v>
      </c>
      <c r="Q46">
        <f ca="1">RANDBETWEEN(0,Table1[[#This Row],[offers made]])</f>
        <v>3</v>
      </c>
      <c r="R46" t="s">
        <v>306</v>
      </c>
      <c r="S46">
        <f>Table1[[#This Row],[Hire Date]]-Table1[[#This Row],[Job Posting Date]]</f>
        <v>60</v>
      </c>
      <c r="T46" s="4">
        <f>Table1[[#This Row],[Join Date]]-Table1[[#This Row],[Hire Date]]</f>
        <v>4</v>
      </c>
      <c r="U46" s="4">
        <f ca="1">IF(Table1[[#This Row],[Status]]="Exited",Table1[[#This Row],[Exit Date]]-Table1[[#This Row],[Join Date]],TODAY()-Table1[[#This Row],[Join Date]])</f>
        <v>389</v>
      </c>
      <c r="V46" t="str">
        <f ca="1">IF(Table1[[#This Row],[Total Tenure in Days]]&lt;=730, "yes","no")</f>
        <v>yes</v>
      </c>
      <c r="W46">
        <f>Table1[[#This Row],[Hire Date]]-Table1[[#This Row],[Job Posting Date]]</f>
        <v>60</v>
      </c>
      <c r="X46" s="4">
        <f>Table1[[#This Row],[Time to Onboard]]/Table1[[#This Row],[Time to Fill]]*100</f>
        <v>6.666666666666667</v>
      </c>
      <c r="Y46" s="5">
        <f>Table1[[#This Row],[Time to Onboard]]/Table1[[#This Row],[Time to Fill]]*100</f>
        <v>6.666666666666667</v>
      </c>
      <c r="Z46">
        <f>Table1[[#This Row],[Join Date]]-Table1[[#This Row],[Job Posting Date]]</f>
        <v>64</v>
      </c>
      <c r="AA46">
        <f t="shared" ca="1" si="0"/>
        <v>193</v>
      </c>
      <c r="AB46" s="5">
        <f>Table1[[#This Row],[Absentee Days]]/Table1[[#This Row],[Total Work Days]]*100</f>
        <v>0.76923076923076927</v>
      </c>
      <c r="AC46">
        <f>YEAR(Table1[[#This Row],[Join Date]])</f>
        <v>2021</v>
      </c>
      <c r="AD46">
        <f>IF(Table1[[#This Row],[Status]]="Active",1,0)</f>
        <v>0</v>
      </c>
      <c r="AE46">
        <f ca="1">IF(Table1[[#This Row],[Status]]="Exited",Table1[[#This Row],[Recruitment Cost]]+Table1[[#This Row],[Onboarding Cost]]+Table1[[#This Row],[Training Cost]],0)</f>
        <v>5408</v>
      </c>
      <c r="AF46">
        <f>IF(Table1[[#This Row],[Training Completion Status]]="Completed",1,0)</f>
        <v>1</v>
      </c>
      <c r="AG46">
        <f t="shared" ca="1" si="1"/>
        <v>1</v>
      </c>
      <c r="AH46">
        <f t="shared" ca="1" si="2"/>
        <v>3</v>
      </c>
      <c r="AI46">
        <f t="shared" ca="1" si="3"/>
        <v>2</v>
      </c>
      <c r="AJ46" t="s">
        <v>318</v>
      </c>
    </row>
    <row r="47" spans="1:36" x14ac:dyDescent="0.2">
      <c r="A47" t="s">
        <v>99</v>
      </c>
      <c r="B47" t="s">
        <v>43</v>
      </c>
      <c r="C47" t="s">
        <v>29</v>
      </c>
      <c r="D47" t="s">
        <v>30</v>
      </c>
      <c r="E47" s="1">
        <v>44775</v>
      </c>
      <c r="F47" s="1">
        <v>44810</v>
      </c>
      <c r="G47" s="1">
        <v>44813</v>
      </c>
      <c r="H47" s="1">
        <v>45125</v>
      </c>
      <c r="I47" t="s">
        <v>57</v>
      </c>
      <c r="J47" s="2">
        <v>2206</v>
      </c>
      <c r="K47" t="s">
        <v>31</v>
      </c>
      <c r="L47" t="s">
        <v>52</v>
      </c>
      <c r="M47">
        <v>260</v>
      </c>
      <c r="N47">
        <v>11</v>
      </c>
      <c r="O47" s="3">
        <v>2320</v>
      </c>
      <c r="P47">
        <f t="shared" ca="1" si="4"/>
        <v>10</v>
      </c>
      <c r="Q47">
        <f ca="1">RANDBETWEEN(0,Table1[[#This Row],[offers made]])</f>
        <v>1</v>
      </c>
      <c r="R47" t="s">
        <v>307</v>
      </c>
      <c r="S47">
        <f>Table1[[#This Row],[Hire Date]]-Table1[[#This Row],[Job Posting Date]]</f>
        <v>35</v>
      </c>
      <c r="T47" s="4">
        <f>Table1[[#This Row],[Join Date]]-Table1[[#This Row],[Hire Date]]</f>
        <v>3</v>
      </c>
      <c r="U47" s="4">
        <f ca="1">IF(Table1[[#This Row],[Status]]="Exited",Table1[[#This Row],[Exit Date]]-Table1[[#This Row],[Join Date]],TODAY()-Table1[[#This Row],[Join Date]])</f>
        <v>312</v>
      </c>
      <c r="V47" t="str">
        <f ca="1">IF(Table1[[#This Row],[Total Tenure in Days]]&lt;=730, "yes","no")</f>
        <v>yes</v>
      </c>
      <c r="W47">
        <f>Table1[[#This Row],[Hire Date]]-Table1[[#This Row],[Job Posting Date]]</f>
        <v>35</v>
      </c>
      <c r="X47" s="4">
        <f>Table1[[#This Row],[Time to Onboard]]/Table1[[#This Row],[Time to Fill]]*100</f>
        <v>8.5714285714285712</v>
      </c>
      <c r="Y47" s="5">
        <f>Table1[[#This Row],[Time to Onboard]]/Table1[[#This Row],[Time to Fill]]*100</f>
        <v>8.5714285714285712</v>
      </c>
      <c r="Z47">
        <f>Table1[[#This Row],[Join Date]]-Table1[[#This Row],[Job Posting Date]]</f>
        <v>38</v>
      </c>
      <c r="AA47">
        <f t="shared" ca="1" si="0"/>
        <v>170</v>
      </c>
      <c r="AB47" s="5">
        <f>Table1[[#This Row],[Absentee Days]]/Table1[[#This Row],[Total Work Days]]*100</f>
        <v>4.2307692307692308</v>
      </c>
      <c r="AC47">
        <f>YEAR(Table1[[#This Row],[Join Date]])</f>
        <v>2022</v>
      </c>
      <c r="AD47">
        <f>IF(Table1[[#This Row],[Status]]="Active",1,0)</f>
        <v>0</v>
      </c>
      <c r="AE47">
        <f ca="1">IF(Table1[[#This Row],[Status]]="Exited",Table1[[#This Row],[Recruitment Cost]]+Table1[[#This Row],[Onboarding Cost]]+Table1[[#This Row],[Training Cost]],0)</f>
        <v>4696</v>
      </c>
      <c r="AF47">
        <f>IF(Table1[[#This Row],[Training Completion Status]]="Completed",1,0)</f>
        <v>1</v>
      </c>
      <c r="AG47">
        <f t="shared" ca="1" si="1"/>
        <v>5</v>
      </c>
      <c r="AH47">
        <f t="shared" ca="1" si="2"/>
        <v>3</v>
      </c>
      <c r="AI47">
        <f t="shared" ca="1" si="3"/>
        <v>5</v>
      </c>
      <c r="AJ47" t="s">
        <v>318</v>
      </c>
    </row>
    <row r="48" spans="1:36" x14ac:dyDescent="0.2">
      <c r="A48" t="s">
        <v>100</v>
      </c>
      <c r="B48" t="s">
        <v>41</v>
      </c>
      <c r="C48" t="s">
        <v>35</v>
      </c>
      <c r="D48" t="s">
        <v>36</v>
      </c>
      <c r="E48" s="1">
        <v>43660</v>
      </c>
      <c r="F48" s="1">
        <v>43692</v>
      </c>
      <c r="G48" s="1">
        <v>43698</v>
      </c>
      <c r="H48" s="1">
        <v>44725</v>
      </c>
      <c r="I48" t="s">
        <v>57</v>
      </c>
      <c r="J48" s="2">
        <v>4011</v>
      </c>
      <c r="K48" t="s">
        <v>40</v>
      </c>
      <c r="L48" t="s">
        <v>55</v>
      </c>
      <c r="M48">
        <v>260</v>
      </c>
      <c r="N48">
        <v>8</v>
      </c>
      <c r="O48" s="3">
        <v>1201</v>
      </c>
      <c r="P48">
        <f t="shared" ca="1" si="4"/>
        <v>8</v>
      </c>
      <c r="Q48">
        <f ca="1">RANDBETWEEN(0,Table1[[#This Row],[offers made]])</f>
        <v>0</v>
      </c>
      <c r="R48" t="s">
        <v>306</v>
      </c>
      <c r="S48">
        <f>Table1[[#This Row],[Hire Date]]-Table1[[#This Row],[Job Posting Date]]</f>
        <v>32</v>
      </c>
      <c r="T48" s="4">
        <f>Table1[[#This Row],[Join Date]]-Table1[[#This Row],[Hire Date]]</f>
        <v>6</v>
      </c>
      <c r="U48" s="4">
        <f ca="1">IF(Table1[[#This Row],[Status]]="Exited",Table1[[#This Row],[Exit Date]]-Table1[[#This Row],[Join Date]],TODAY()-Table1[[#This Row],[Join Date]])</f>
        <v>1027</v>
      </c>
      <c r="V48" t="str">
        <f ca="1">IF(Table1[[#This Row],[Total Tenure in Days]]&lt;=730, "yes","no")</f>
        <v>no</v>
      </c>
      <c r="W48">
        <f>Table1[[#This Row],[Hire Date]]-Table1[[#This Row],[Job Posting Date]]</f>
        <v>32</v>
      </c>
      <c r="X48" s="4">
        <f>Table1[[#This Row],[Time to Onboard]]/Table1[[#This Row],[Time to Fill]]*100</f>
        <v>18.75</v>
      </c>
      <c r="Y48" s="5">
        <f>Table1[[#This Row],[Time to Onboard]]/Table1[[#This Row],[Time to Fill]]*100</f>
        <v>18.75</v>
      </c>
      <c r="Z48">
        <f>Table1[[#This Row],[Join Date]]-Table1[[#This Row],[Job Posting Date]]</f>
        <v>38</v>
      </c>
      <c r="AA48">
        <f t="shared" ca="1" si="0"/>
        <v>104</v>
      </c>
      <c r="AB48" s="5">
        <f>Table1[[#This Row],[Absentee Days]]/Table1[[#This Row],[Total Work Days]]*100</f>
        <v>3.0769230769230771</v>
      </c>
      <c r="AC48">
        <f>YEAR(Table1[[#This Row],[Join Date]])</f>
        <v>2019</v>
      </c>
      <c r="AD48">
        <f>IF(Table1[[#This Row],[Status]]="Active",1,0)</f>
        <v>0</v>
      </c>
      <c r="AE48">
        <f ca="1">IF(Table1[[#This Row],[Status]]="Exited",Table1[[#This Row],[Recruitment Cost]]+Table1[[#This Row],[Onboarding Cost]]+Table1[[#This Row],[Training Cost]],0)</f>
        <v>5316</v>
      </c>
      <c r="AF48">
        <f>IF(Table1[[#This Row],[Training Completion Status]]="Completed",1,0)</f>
        <v>0</v>
      </c>
      <c r="AG48">
        <f t="shared" ca="1" si="1"/>
        <v>3</v>
      </c>
      <c r="AH48">
        <f t="shared" ca="1" si="2"/>
        <v>4</v>
      </c>
      <c r="AI48">
        <f t="shared" ca="1" si="3"/>
        <v>3</v>
      </c>
      <c r="AJ48" t="s">
        <v>317</v>
      </c>
    </row>
    <row r="49" spans="1:36" x14ac:dyDescent="0.2">
      <c r="A49" t="s">
        <v>101</v>
      </c>
      <c r="B49" t="s">
        <v>42</v>
      </c>
      <c r="C49" t="s">
        <v>38</v>
      </c>
      <c r="D49" t="s">
        <v>39</v>
      </c>
      <c r="E49" s="1">
        <v>43152</v>
      </c>
      <c r="F49" s="1">
        <v>43187</v>
      </c>
      <c r="G49" s="1">
        <v>43196</v>
      </c>
      <c r="H49" s="1" t="s">
        <v>50</v>
      </c>
      <c r="I49" t="s">
        <v>51</v>
      </c>
      <c r="J49" s="2">
        <v>2345</v>
      </c>
      <c r="K49" t="s">
        <v>34</v>
      </c>
      <c r="L49" t="s">
        <v>52</v>
      </c>
      <c r="M49">
        <v>260</v>
      </c>
      <c r="N49">
        <v>19</v>
      </c>
      <c r="O49" s="3">
        <v>1342</v>
      </c>
      <c r="P49">
        <f t="shared" ca="1" si="4"/>
        <v>2</v>
      </c>
      <c r="Q49">
        <f ca="1">RANDBETWEEN(0,Table1[[#This Row],[offers made]])</f>
        <v>1</v>
      </c>
      <c r="R49" t="s">
        <v>307</v>
      </c>
      <c r="S49">
        <f>Table1[[#This Row],[Hire Date]]-Table1[[#This Row],[Job Posting Date]]</f>
        <v>35</v>
      </c>
      <c r="T49" s="4">
        <f>Table1[[#This Row],[Join Date]]-Table1[[#This Row],[Hire Date]]</f>
        <v>9</v>
      </c>
      <c r="U49" s="4">
        <f ca="1">IF(Table1[[#This Row],[Status]]="Exited",Table1[[#This Row],[Exit Date]]-Table1[[#This Row],[Join Date]],TODAY()-Table1[[#This Row],[Join Date]])</f>
        <v>2465</v>
      </c>
      <c r="V49" t="str">
        <f ca="1">IF(Table1[[#This Row],[Total Tenure in Days]]&lt;=730, "yes","no")</f>
        <v>no</v>
      </c>
      <c r="W49">
        <f>Table1[[#This Row],[Hire Date]]-Table1[[#This Row],[Job Posting Date]]</f>
        <v>35</v>
      </c>
      <c r="X49" s="4">
        <f>Table1[[#This Row],[Time to Onboard]]/Table1[[#This Row],[Time to Fill]]*100</f>
        <v>25.714285714285712</v>
      </c>
      <c r="Y49" s="5">
        <f>Table1[[#This Row],[Time to Onboard]]/Table1[[#This Row],[Time to Fill]]*100</f>
        <v>25.714285714285712</v>
      </c>
      <c r="Z49">
        <f>Table1[[#This Row],[Join Date]]-Table1[[#This Row],[Job Posting Date]]</f>
        <v>44</v>
      </c>
      <c r="AA49">
        <f t="shared" ca="1" si="0"/>
        <v>144</v>
      </c>
      <c r="AB49" s="5">
        <f>Table1[[#This Row],[Absentee Days]]/Table1[[#This Row],[Total Work Days]]*100</f>
        <v>7.3076923076923084</v>
      </c>
      <c r="AC49">
        <f>YEAR(Table1[[#This Row],[Join Date]])</f>
        <v>2018</v>
      </c>
      <c r="AD49">
        <f>IF(Table1[[#This Row],[Status]]="Active",1,0)</f>
        <v>1</v>
      </c>
      <c r="AE49">
        <f>IF(Table1[[#This Row],[Status]]="Exited",Table1[[#This Row],[Recruitment Cost]]+Table1[[#This Row],[Onboarding Cost]]+Table1[[#This Row],[Training Cost]],0)</f>
        <v>0</v>
      </c>
      <c r="AF49">
        <f>IF(Table1[[#This Row],[Training Completion Status]]="Completed",1,0)</f>
        <v>1</v>
      </c>
      <c r="AG49">
        <f t="shared" ca="1" si="1"/>
        <v>5</v>
      </c>
      <c r="AH49">
        <f t="shared" ca="1" si="2"/>
        <v>2</v>
      </c>
      <c r="AI49">
        <f t="shared" ca="1" si="3"/>
        <v>4</v>
      </c>
      <c r="AJ49" t="s">
        <v>317</v>
      </c>
    </row>
    <row r="50" spans="1:36" x14ac:dyDescent="0.2">
      <c r="A50" t="s">
        <v>102</v>
      </c>
      <c r="B50" t="s">
        <v>43</v>
      </c>
      <c r="C50" t="s">
        <v>29</v>
      </c>
      <c r="D50" t="s">
        <v>30</v>
      </c>
      <c r="E50" s="1">
        <v>44907</v>
      </c>
      <c r="F50" s="1">
        <v>44932</v>
      </c>
      <c r="G50" s="1">
        <v>44935</v>
      </c>
      <c r="H50" s="1">
        <v>45190</v>
      </c>
      <c r="I50" t="s">
        <v>57</v>
      </c>
      <c r="J50" s="2">
        <v>2587</v>
      </c>
      <c r="K50" t="s">
        <v>34</v>
      </c>
      <c r="L50" t="s">
        <v>52</v>
      </c>
      <c r="M50">
        <v>260</v>
      </c>
      <c r="N50">
        <v>17</v>
      </c>
      <c r="O50" s="3">
        <v>1712</v>
      </c>
      <c r="P50">
        <f t="shared" ca="1" si="4"/>
        <v>4</v>
      </c>
      <c r="Q50">
        <f ca="1">RANDBETWEEN(0,Table1[[#This Row],[offers made]])</f>
        <v>2</v>
      </c>
      <c r="R50" t="s">
        <v>306</v>
      </c>
      <c r="S50">
        <f>Table1[[#This Row],[Hire Date]]-Table1[[#This Row],[Job Posting Date]]</f>
        <v>25</v>
      </c>
      <c r="T50" s="4">
        <f>Table1[[#This Row],[Join Date]]-Table1[[#This Row],[Hire Date]]</f>
        <v>3</v>
      </c>
      <c r="U50" s="4">
        <f ca="1">IF(Table1[[#This Row],[Status]]="Exited",Table1[[#This Row],[Exit Date]]-Table1[[#This Row],[Join Date]],TODAY()-Table1[[#This Row],[Join Date]])</f>
        <v>255</v>
      </c>
      <c r="V50" t="str">
        <f ca="1">IF(Table1[[#This Row],[Total Tenure in Days]]&lt;=730, "yes","no")</f>
        <v>yes</v>
      </c>
      <c r="W50">
        <f>Table1[[#This Row],[Hire Date]]-Table1[[#This Row],[Job Posting Date]]</f>
        <v>25</v>
      </c>
      <c r="X50" s="4">
        <f>Table1[[#This Row],[Time to Onboard]]/Table1[[#This Row],[Time to Fill]]*100</f>
        <v>12</v>
      </c>
      <c r="Y50" s="5">
        <f>Table1[[#This Row],[Time to Onboard]]/Table1[[#This Row],[Time to Fill]]*100</f>
        <v>12</v>
      </c>
      <c r="Z50">
        <f>Table1[[#This Row],[Join Date]]-Table1[[#This Row],[Job Posting Date]]</f>
        <v>28</v>
      </c>
      <c r="AA50">
        <f t="shared" ca="1" si="0"/>
        <v>177</v>
      </c>
      <c r="AB50" s="5">
        <f>Table1[[#This Row],[Absentee Days]]/Table1[[#This Row],[Total Work Days]]*100</f>
        <v>6.5384615384615392</v>
      </c>
      <c r="AC50">
        <f>YEAR(Table1[[#This Row],[Join Date]])</f>
        <v>2023</v>
      </c>
      <c r="AD50">
        <f>IF(Table1[[#This Row],[Status]]="Active",1,0)</f>
        <v>0</v>
      </c>
      <c r="AE50">
        <f ca="1">IF(Table1[[#This Row],[Status]]="Exited",Table1[[#This Row],[Recruitment Cost]]+Table1[[#This Row],[Onboarding Cost]]+Table1[[#This Row],[Training Cost]],0)</f>
        <v>4476</v>
      </c>
      <c r="AF50">
        <f>IF(Table1[[#This Row],[Training Completion Status]]="Completed",1,0)</f>
        <v>1</v>
      </c>
      <c r="AG50">
        <f t="shared" ca="1" si="1"/>
        <v>2</v>
      </c>
      <c r="AH50">
        <f t="shared" ca="1" si="2"/>
        <v>1</v>
      </c>
      <c r="AI50">
        <f t="shared" ca="1" si="3"/>
        <v>1</v>
      </c>
      <c r="AJ50" t="s">
        <v>318</v>
      </c>
    </row>
    <row r="51" spans="1:36" x14ac:dyDescent="0.2">
      <c r="A51" t="s">
        <v>103</v>
      </c>
      <c r="B51" t="s">
        <v>41</v>
      </c>
      <c r="C51" t="s">
        <v>38</v>
      </c>
      <c r="D51" t="s">
        <v>39</v>
      </c>
      <c r="E51" s="1">
        <v>43611</v>
      </c>
      <c r="F51" s="1">
        <v>43633</v>
      </c>
      <c r="G51" s="1">
        <v>43634</v>
      </c>
      <c r="H51" s="1">
        <v>43756</v>
      </c>
      <c r="I51" t="s">
        <v>57</v>
      </c>
      <c r="J51" s="2">
        <v>4174</v>
      </c>
      <c r="K51" t="s">
        <v>37</v>
      </c>
      <c r="L51" t="s">
        <v>52</v>
      </c>
      <c r="M51">
        <v>260</v>
      </c>
      <c r="N51">
        <v>19</v>
      </c>
      <c r="O51" s="3">
        <v>1587</v>
      </c>
      <c r="P51">
        <f t="shared" ca="1" si="4"/>
        <v>2</v>
      </c>
      <c r="Q51">
        <f ca="1">RANDBETWEEN(0,Table1[[#This Row],[offers made]])</f>
        <v>2</v>
      </c>
      <c r="R51" t="s">
        <v>306</v>
      </c>
      <c r="S51">
        <f>Table1[[#This Row],[Hire Date]]-Table1[[#This Row],[Job Posting Date]]</f>
        <v>22</v>
      </c>
      <c r="T51" s="4">
        <f>Table1[[#This Row],[Join Date]]-Table1[[#This Row],[Hire Date]]</f>
        <v>1</v>
      </c>
      <c r="U51" s="4">
        <f ca="1">IF(Table1[[#This Row],[Status]]="Exited",Table1[[#This Row],[Exit Date]]-Table1[[#This Row],[Join Date]],TODAY()-Table1[[#This Row],[Join Date]])</f>
        <v>122</v>
      </c>
      <c r="V51" t="str">
        <f ca="1">IF(Table1[[#This Row],[Total Tenure in Days]]&lt;=730, "yes","no")</f>
        <v>yes</v>
      </c>
      <c r="W51">
        <f>Table1[[#This Row],[Hire Date]]-Table1[[#This Row],[Job Posting Date]]</f>
        <v>22</v>
      </c>
      <c r="X51" s="4">
        <f>Table1[[#This Row],[Time to Onboard]]/Table1[[#This Row],[Time to Fill]]*100</f>
        <v>4.5454545454545459</v>
      </c>
      <c r="Y51" s="5">
        <f>Table1[[#This Row],[Time to Onboard]]/Table1[[#This Row],[Time to Fill]]*100</f>
        <v>4.5454545454545459</v>
      </c>
      <c r="Z51">
        <f>Table1[[#This Row],[Join Date]]-Table1[[#This Row],[Job Posting Date]]</f>
        <v>23</v>
      </c>
      <c r="AA51">
        <f t="shared" ca="1" si="0"/>
        <v>133</v>
      </c>
      <c r="AB51" s="5">
        <f>Table1[[#This Row],[Absentee Days]]/Table1[[#This Row],[Total Work Days]]*100</f>
        <v>7.3076923076923084</v>
      </c>
      <c r="AC51">
        <f>YEAR(Table1[[#This Row],[Join Date]])</f>
        <v>2019</v>
      </c>
      <c r="AD51">
        <f>IF(Table1[[#This Row],[Status]]="Active",1,0)</f>
        <v>0</v>
      </c>
      <c r="AE51">
        <f ca="1">IF(Table1[[#This Row],[Status]]="Exited",Table1[[#This Row],[Recruitment Cost]]+Table1[[#This Row],[Onboarding Cost]]+Table1[[#This Row],[Training Cost]],0)</f>
        <v>5894</v>
      </c>
      <c r="AF51">
        <f>IF(Table1[[#This Row],[Training Completion Status]]="Completed",1,0)</f>
        <v>1</v>
      </c>
      <c r="AG51">
        <f t="shared" ca="1" si="1"/>
        <v>2</v>
      </c>
      <c r="AH51">
        <f t="shared" ca="1" si="2"/>
        <v>4</v>
      </c>
      <c r="AI51">
        <f t="shared" ca="1" si="3"/>
        <v>1</v>
      </c>
      <c r="AJ51" t="s">
        <v>318</v>
      </c>
    </row>
    <row r="52" spans="1:36" x14ac:dyDescent="0.2">
      <c r="A52" t="s">
        <v>104</v>
      </c>
      <c r="B52" t="s">
        <v>43</v>
      </c>
      <c r="C52" t="s">
        <v>38</v>
      </c>
      <c r="D52" t="s">
        <v>39</v>
      </c>
      <c r="E52" s="1">
        <v>44244</v>
      </c>
      <c r="F52" s="1">
        <v>44279</v>
      </c>
      <c r="G52" s="1">
        <v>44280</v>
      </c>
      <c r="H52" s="1">
        <v>45055</v>
      </c>
      <c r="I52" t="s">
        <v>57</v>
      </c>
      <c r="J52" s="2">
        <v>2210</v>
      </c>
      <c r="K52" t="s">
        <v>28</v>
      </c>
      <c r="L52" t="s">
        <v>52</v>
      </c>
      <c r="M52">
        <v>260</v>
      </c>
      <c r="N52">
        <v>7</v>
      </c>
      <c r="O52" s="3">
        <v>1829</v>
      </c>
      <c r="P52">
        <f t="shared" ca="1" si="4"/>
        <v>4</v>
      </c>
      <c r="Q52">
        <f ca="1">RANDBETWEEN(0,Table1[[#This Row],[offers made]])</f>
        <v>2</v>
      </c>
      <c r="R52" t="s">
        <v>308</v>
      </c>
      <c r="S52">
        <f>Table1[[#This Row],[Hire Date]]-Table1[[#This Row],[Job Posting Date]]</f>
        <v>35</v>
      </c>
      <c r="T52" s="4">
        <f>Table1[[#This Row],[Join Date]]-Table1[[#This Row],[Hire Date]]</f>
        <v>1</v>
      </c>
      <c r="U52" s="4">
        <f ca="1">IF(Table1[[#This Row],[Status]]="Exited",Table1[[#This Row],[Exit Date]]-Table1[[#This Row],[Join Date]],TODAY()-Table1[[#This Row],[Join Date]])</f>
        <v>775</v>
      </c>
      <c r="V52" t="str">
        <f ca="1">IF(Table1[[#This Row],[Total Tenure in Days]]&lt;=730, "yes","no")</f>
        <v>no</v>
      </c>
      <c r="W52">
        <f>Table1[[#This Row],[Hire Date]]-Table1[[#This Row],[Job Posting Date]]</f>
        <v>35</v>
      </c>
      <c r="X52" s="4">
        <f>Table1[[#This Row],[Time to Onboard]]/Table1[[#This Row],[Time to Fill]]*100</f>
        <v>2.8571428571428572</v>
      </c>
      <c r="Y52" s="5">
        <f>Table1[[#This Row],[Time to Onboard]]/Table1[[#This Row],[Time to Fill]]*100</f>
        <v>2.8571428571428572</v>
      </c>
      <c r="Z52">
        <f>Table1[[#This Row],[Join Date]]-Table1[[#This Row],[Job Posting Date]]</f>
        <v>36</v>
      </c>
      <c r="AA52">
        <f t="shared" ca="1" si="0"/>
        <v>106</v>
      </c>
      <c r="AB52" s="5">
        <f>Table1[[#This Row],[Absentee Days]]/Table1[[#This Row],[Total Work Days]]*100</f>
        <v>2.6923076923076925</v>
      </c>
      <c r="AC52">
        <f>YEAR(Table1[[#This Row],[Join Date]])</f>
        <v>2021</v>
      </c>
      <c r="AD52">
        <f>IF(Table1[[#This Row],[Status]]="Active",1,0)</f>
        <v>0</v>
      </c>
      <c r="AE52">
        <f ca="1">IF(Table1[[#This Row],[Status]]="Exited",Table1[[#This Row],[Recruitment Cost]]+Table1[[#This Row],[Onboarding Cost]]+Table1[[#This Row],[Training Cost]],0)</f>
        <v>4145</v>
      </c>
      <c r="AF52">
        <f>IF(Table1[[#This Row],[Training Completion Status]]="Completed",1,0)</f>
        <v>1</v>
      </c>
      <c r="AG52">
        <f t="shared" ca="1" si="1"/>
        <v>3</v>
      </c>
      <c r="AH52">
        <f t="shared" ca="1" si="2"/>
        <v>1</v>
      </c>
      <c r="AI52">
        <f t="shared" ca="1" si="3"/>
        <v>4</v>
      </c>
      <c r="AJ52" t="s">
        <v>317</v>
      </c>
    </row>
    <row r="53" spans="1:36" x14ac:dyDescent="0.2">
      <c r="A53" t="s">
        <v>105</v>
      </c>
      <c r="B53" t="s">
        <v>41</v>
      </c>
      <c r="C53" t="s">
        <v>29</v>
      </c>
      <c r="D53" t="s">
        <v>30</v>
      </c>
      <c r="E53" s="1">
        <v>43411</v>
      </c>
      <c r="F53" s="1">
        <v>43469</v>
      </c>
      <c r="G53" s="1">
        <v>43474</v>
      </c>
      <c r="H53" s="1">
        <v>43788</v>
      </c>
      <c r="I53" t="s">
        <v>57</v>
      </c>
      <c r="J53" s="2">
        <v>4620</v>
      </c>
      <c r="K53" t="s">
        <v>34</v>
      </c>
      <c r="L53" t="s">
        <v>52</v>
      </c>
      <c r="M53">
        <v>260</v>
      </c>
      <c r="N53">
        <v>10</v>
      </c>
      <c r="O53" s="3">
        <v>1987</v>
      </c>
      <c r="P53">
        <f t="shared" ca="1" si="4"/>
        <v>8</v>
      </c>
      <c r="Q53">
        <f ca="1">RANDBETWEEN(0,Table1[[#This Row],[offers made]])</f>
        <v>4</v>
      </c>
      <c r="R53" t="s">
        <v>307</v>
      </c>
      <c r="S53">
        <f>Table1[[#This Row],[Hire Date]]-Table1[[#This Row],[Job Posting Date]]</f>
        <v>58</v>
      </c>
      <c r="T53" s="4">
        <f>Table1[[#This Row],[Join Date]]-Table1[[#This Row],[Hire Date]]</f>
        <v>5</v>
      </c>
      <c r="U53" s="4">
        <f ca="1">IF(Table1[[#This Row],[Status]]="Exited",Table1[[#This Row],[Exit Date]]-Table1[[#This Row],[Join Date]],TODAY()-Table1[[#This Row],[Join Date]])</f>
        <v>314</v>
      </c>
      <c r="V53" t="str">
        <f ca="1">IF(Table1[[#This Row],[Total Tenure in Days]]&lt;=730, "yes","no")</f>
        <v>yes</v>
      </c>
      <c r="W53">
        <f>Table1[[#This Row],[Hire Date]]-Table1[[#This Row],[Job Posting Date]]</f>
        <v>58</v>
      </c>
      <c r="X53" s="4">
        <f>Table1[[#This Row],[Time to Onboard]]/Table1[[#This Row],[Time to Fill]]*100</f>
        <v>8.6206896551724146</v>
      </c>
      <c r="Y53" s="5">
        <f>Table1[[#This Row],[Time to Onboard]]/Table1[[#This Row],[Time to Fill]]*100</f>
        <v>8.6206896551724146</v>
      </c>
      <c r="Z53">
        <f>Table1[[#This Row],[Join Date]]-Table1[[#This Row],[Job Posting Date]]</f>
        <v>63</v>
      </c>
      <c r="AA53">
        <f t="shared" ca="1" si="0"/>
        <v>157</v>
      </c>
      <c r="AB53" s="5">
        <f>Table1[[#This Row],[Absentee Days]]/Table1[[#This Row],[Total Work Days]]*100</f>
        <v>3.8461538461538463</v>
      </c>
      <c r="AC53">
        <f>YEAR(Table1[[#This Row],[Join Date]])</f>
        <v>2019</v>
      </c>
      <c r="AD53">
        <f>IF(Table1[[#This Row],[Status]]="Active",1,0)</f>
        <v>0</v>
      </c>
      <c r="AE53">
        <f ca="1">IF(Table1[[#This Row],[Status]]="Exited",Table1[[#This Row],[Recruitment Cost]]+Table1[[#This Row],[Onboarding Cost]]+Table1[[#This Row],[Training Cost]],0)</f>
        <v>6764</v>
      </c>
      <c r="AF53">
        <f>IF(Table1[[#This Row],[Training Completion Status]]="Completed",1,0)</f>
        <v>1</v>
      </c>
      <c r="AG53">
        <f t="shared" ca="1" si="1"/>
        <v>3</v>
      </c>
      <c r="AH53">
        <f t="shared" ca="1" si="2"/>
        <v>1</v>
      </c>
      <c r="AI53">
        <f t="shared" ca="1" si="3"/>
        <v>1</v>
      </c>
      <c r="AJ53" t="s">
        <v>318</v>
      </c>
    </row>
    <row r="54" spans="1:36" x14ac:dyDescent="0.2">
      <c r="A54" t="s">
        <v>106</v>
      </c>
      <c r="B54" t="s">
        <v>41</v>
      </c>
      <c r="C54" t="s">
        <v>35</v>
      </c>
      <c r="D54" t="s">
        <v>36</v>
      </c>
      <c r="E54" s="1">
        <v>44232</v>
      </c>
      <c r="F54" s="1">
        <v>44267</v>
      </c>
      <c r="G54" s="1">
        <v>44277</v>
      </c>
      <c r="H54" s="1">
        <v>45358</v>
      </c>
      <c r="I54" t="s">
        <v>57</v>
      </c>
      <c r="J54" s="2">
        <v>3336</v>
      </c>
      <c r="K54" t="s">
        <v>28</v>
      </c>
      <c r="L54" t="s">
        <v>55</v>
      </c>
      <c r="M54">
        <v>260</v>
      </c>
      <c r="N54">
        <v>18</v>
      </c>
      <c r="O54" s="3">
        <v>1908</v>
      </c>
      <c r="P54">
        <f t="shared" ca="1" si="4"/>
        <v>4</v>
      </c>
      <c r="Q54">
        <f ca="1">RANDBETWEEN(0,Table1[[#This Row],[offers made]])</f>
        <v>2</v>
      </c>
      <c r="R54" t="s">
        <v>306</v>
      </c>
      <c r="S54">
        <f>Table1[[#This Row],[Hire Date]]-Table1[[#This Row],[Job Posting Date]]</f>
        <v>35</v>
      </c>
      <c r="T54" s="4">
        <f>Table1[[#This Row],[Join Date]]-Table1[[#This Row],[Hire Date]]</f>
        <v>10</v>
      </c>
      <c r="U54" s="4">
        <f ca="1">IF(Table1[[#This Row],[Status]]="Exited",Table1[[#This Row],[Exit Date]]-Table1[[#This Row],[Join Date]],TODAY()-Table1[[#This Row],[Join Date]])</f>
        <v>1081</v>
      </c>
      <c r="V54" t="str">
        <f ca="1">IF(Table1[[#This Row],[Total Tenure in Days]]&lt;=730, "yes","no")</f>
        <v>no</v>
      </c>
      <c r="W54">
        <f>Table1[[#This Row],[Hire Date]]-Table1[[#This Row],[Job Posting Date]]</f>
        <v>35</v>
      </c>
      <c r="X54" s="4">
        <f>Table1[[#This Row],[Time to Onboard]]/Table1[[#This Row],[Time to Fill]]*100</f>
        <v>28.571428571428569</v>
      </c>
      <c r="Y54" s="5">
        <f>Table1[[#This Row],[Time to Onboard]]/Table1[[#This Row],[Time to Fill]]*100</f>
        <v>28.571428571428569</v>
      </c>
      <c r="Z54">
        <f>Table1[[#This Row],[Join Date]]-Table1[[#This Row],[Job Posting Date]]</f>
        <v>45</v>
      </c>
      <c r="AA54">
        <f t="shared" ca="1" si="0"/>
        <v>120</v>
      </c>
      <c r="AB54" s="5">
        <f>Table1[[#This Row],[Absentee Days]]/Table1[[#This Row],[Total Work Days]]*100</f>
        <v>6.9230769230769234</v>
      </c>
      <c r="AC54">
        <f>YEAR(Table1[[#This Row],[Join Date]])</f>
        <v>2021</v>
      </c>
      <c r="AD54">
        <f>IF(Table1[[#This Row],[Status]]="Active",1,0)</f>
        <v>0</v>
      </c>
      <c r="AE54">
        <f ca="1">IF(Table1[[#This Row],[Status]]="Exited",Table1[[#This Row],[Recruitment Cost]]+Table1[[#This Row],[Onboarding Cost]]+Table1[[#This Row],[Training Cost]],0)</f>
        <v>5364</v>
      </c>
      <c r="AF54">
        <f>IF(Table1[[#This Row],[Training Completion Status]]="Completed",1,0)</f>
        <v>0</v>
      </c>
      <c r="AG54">
        <f t="shared" ca="1" si="1"/>
        <v>4</v>
      </c>
      <c r="AH54">
        <f t="shared" ca="1" si="2"/>
        <v>4</v>
      </c>
      <c r="AI54">
        <f t="shared" ca="1" si="3"/>
        <v>2</v>
      </c>
      <c r="AJ54" t="s">
        <v>318</v>
      </c>
    </row>
    <row r="55" spans="1:36" x14ac:dyDescent="0.2">
      <c r="A55" t="s">
        <v>107</v>
      </c>
      <c r="B55" t="s">
        <v>42</v>
      </c>
      <c r="C55" t="s">
        <v>29</v>
      </c>
      <c r="D55" t="s">
        <v>30</v>
      </c>
      <c r="E55" s="1">
        <v>44782</v>
      </c>
      <c r="F55" s="1">
        <v>44827</v>
      </c>
      <c r="G55" s="1">
        <v>44834</v>
      </c>
      <c r="H55" s="1">
        <v>45454</v>
      </c>
      <c r="I55" t="s">
        <v>57</v>
      </c>
      <c r="J55" s="2">
        <v>3574</v>
      </c>
      <c r="K55" t="s">
        <v>37</v>
      </c>
      <c r="L55" t="s">
        <v>52</v>
      </c>
      <c r="M55">
        <v>260</v>
      </c>
      <c r="N55">
        <v>10</v>
      </c>
      <c r="O55" s="3">
        <v>2097</v>
      </c>
      <c r="P55">
        <f t="shared" ca="1" si="4"/>
        <v>4</v>
      </c>
      <c r="Q55">
        <f ca="1">RANDBETWEEN(0,Table1[[#This Row],[offers made]])</f>
        <v>1</v>
      </c>
      <c r="R55" t="s">
        <v>307</v>
      </c>
      <c r="S55">
        <f>Table1[[#This Row],[Hire Date]]-Table1[[#This Row],[Job Posting Date]]</f>
        <v>45</v>
      </c>
      <c r="T55" s="4">
        <f>Table1[[#This Row],[Join Date]]-Table1[[#This Row],[Hire Date]]</f>
        <v>7</v>
      </c>
      <c r="U55" s="4">
        <f ca="1">IF(Table1[[#This Row],[Status]]="Exited",Table1[[#This Row],[Exit Date]]-Table1[[#This Row],[Join Date]],TODAY()-Table1[[#This Row],[Join Date]])</f>
        <v>620</v>
      </c>
      <c r="V55" t="str">
        <f ca="1">IF(Table1[[#This Row],[Total Tenure in Days]]&lt;=730, "yes","no")</f>
        <v>yes</v>
      </c>
      <c r="W55">
        <f>Table1[[#This Row],[Hire Date]]-Table1[[#This Row],[Job Posting Date]]</f>
        <v>45</v>
      </c>
      <c r="X55" s="4">
        <f>Table1[[#This Row],[Time to Onboard]]/Table1[[#This Row],[Time to Fill]]*100</f>
        <v>15.555555555555555</v>
      </c>
      <c r="Y55" s="5">
        <f>Table1[[#This Row],[Time to Onboard]]/Table1[[#This Row],[Time to Fill]]*100</f>
        <v>15.555555555555555</v>
      </c>
      <c r="Z55">
        <f>Table1[[#This Row],[Join Date]]-Table1[[#This Row],[Job Posting Date]]</f>
        <v>52</v>
      </c>
      <c r="AA55">
        <f t="shared" ca="1" si="0"/>
        <v>127</v>
      </c>
      <c r="AB55" s="5">
        <f>Table1[[#This Row],[Absentee Days]]/Table1[[#This Row],[Total Work Days]]*100</f>
        <v>3.8461538461538463</v>
      </c>
      <c r="AC55">
        <f>YEAR(Table1[[#This Row],[Join Date]])</f>
        <v>2022</v>
      </c>
      <c r="AD55">
        <f>IF(Table1[[#This Row],[Status]]="Active",1,0)</f>
        <v>0</v>
      </c>
      <c r="AE55">
        <f ca="1">IF(Table1[[#This Row],[Status]]="Exited",Table1[[#This Row],[Recruitment Cost]]+Table1[[#This Row],[Onboarding Cost]]+Table1[[#This Row],[Training Cost]],0)</f>
        <v>5798</v>
      </c>
      <c r="AF55">
        <f>IF(Table1[[#This Row],[Training Completion Status]]="Completed",1,0)</f>
        <v>1</v>
      </c>
      <c r="AG55">
        <f t="shared" ca="1" si="1"/>
        <v>5</v>
      </c>
      <c r="AH55">
        <f t="shared" ca="1" si="2"/>
        <v>1</v>
      </c>
      <c r="AI55">
        <f t="shared" ca="1" si="3"/>
        <v>4</v>
      </c>
      <c r="AJ55" t="s">
        <v>317</v>
      </c>
    </row>
    <row r="56" spans="1:36" x14ac:dyDescent="0.2">
      <c r="A56" t="s">
        <v>108</v>
      </c>
      <c r="B56" t="s">
        <v>42</v>
      </c>
      <c r="C56" t="s">
        <v>26</v>
      </c>
      <c r="D56" t="s">
        <v>27</v>
      </c>
      <c r="E56" s="1">
        <v>44266</v>
      </c>
      <c r="F56" s="1">
        <v>44283</v>
      </c>
      <c r="G56" s="1">
        <v>44298</v>
      </c>
      <c r="H56" s="1" t="s">
        <v>50</v>
      </c>
      <c r="I56" t="s">
        <v>51</v>
      </c>
      <c r="J56" s="2">
        <v>2092</v>
      </c>
      <c r="K56" t="s">
        <v>40</v>
      </c>
      <c r="L56" t="s">
        <v>52</v>
      </c>
      <c r="M56">
        <v>260</v>
      </c>
      <c r="N56">
        <v>12</v>
      </c>
      <c r="O56" s="3">
        <v>2406</v>
      </c>
      <c r="P56">
        <f t="shared" ca="1" si="4"/>
        <v>3</v>
      </c>
      <c r="Q56">
        <f ca="1">RANDBETWEEN(0,Table1[[#This Row],[offers made]])</f>
        <v>3</v>
      </c>
      <c r="R56" t="s">
        <v>308</v>
      </c>
      <c r="S56">
        <f>Table1[[#This Row],[Hire Date]]-Table1[[#This Row],[Job Posting Date]]</f>
        <v>17</v>
      </c>
      <c r="T56" s="4">
        <f>Table1[[#This Row],[Join Date]]-Table1[[#This Row],[Hire Date]]</f>
        <v>15</v>
      </c>
      <c r="U56" s="4">
        <f ca="1">IF(Table1[[#This Row],[Status]]="Exited",Table1[[#This Row],[Exit Date]]-Table1[[#This Row],[Join Date]],TODAY()-Table1[[#This Row],[Join Date]])</f>
        <v>1363</v>
      </c>
      <c r="V56" t="str">
        <f ca="1">IF(Table1[[#This Row],[Total Tenure in Days]]&lt;=730, "yes","no")</f>
        <v>no</v>
      </c>
      <c r="W56">
        <f>Table1[[#This Row],[Hire Date]]-Table1[[#This Row],[Job Posting Date]]</f>
        <v>17</v>
      </c>
      <c r="X56" s="4">
        <f>Table1[[#This Row],[Time to Onboard]]/Table1[[#This Row],[Time to Fill]]*100</f>
        <v>88.235294117647058</v>
      </c>
      <c r="Y56" s="5">
        <f>Table1[[#This Row],[Time to Onboard]]/Table1[[#This Row],[Time to Fill]]*100</f>
        <v>88.235294117647058</v>
      </c>
      <c r="Z56">
        <f>Table1[[#This Row],[Join Date]]-Table1[[#This Row],[Job Posting Date]]</f>
        <v>32</v>
      </c>
      <c r="AA56">
        <f t="shared" ca="1" si="0"/>
        <v>155</v>
      </c>
      <c r="AB56" s="5">
        <f>Table1[[#This Row],[Absentee Days]]/Table1[[#This Row],[Total Work Days]]*100</f>
        <v>4.6153846153846159</v>
      </c>
      <c r="AC56">
        <f>YEAR(Table1[[#This Row],[Join Date]])</f>
        <v>2021</v>
      </c>
      <c r="AD56">
        <f>IF(Table1[[#This Row],[Status]]="Active",1,0)</f>
        <v>1</v>
      </c>
      <c r="AE56">
        <f>IF(Table1[[#This Row],[Status]]="Exited",Table1[[#This Row],[Recruitment Cost]]+Table1[[#This Row],[Onboarding Cost]]+Table1[[#This Row],[Training Cost]],0)</f>
        <v>0</v>
      </c>
      <c r="AF56">
        <f>IF(Table1[[#This Row],[Training Completion Status]]="Completed",1,0)</f>
        <v>1</v>
      </c>
      <c r="AG56">
        <f t="shared" ca="1" si="1"/>
        <v>3</v>
      </c>
      <c r="AH56">
        <f t="shared" ca="1" si="2"/>
        <v>5</v>
      </c>
      <c r="AI56">
        <f t="shared" ca="1" si="3"/>
        <v>4</v>
      </c>
      <c r="AJ56" t="s">
        <v>317</v>
      </c>
    </row>
    <row r="57" spans="1:36" x14ac:dyDescent="0.2">
      <c r="A57" t="s">
        <v>109</v>
      </c>
      <c r="B57" t="s">
        <v>43</v>
      </c>
      <c r="C57" t="s">
        <v>26</v>
      </c>
      <c r="D57" t="s">
        <v>27</v>
      </c>
      <c r="E57" s="1">
        <v>43703</v>
      </c>
      <c r="F57" s="1">
        <v>43736</v>
      </c>
      <c r="G57" s="1">
        <v>43743</v>
      </c>
      <c r="H57" s="1" t="s">
        <v>50</v>
      </c>
      <c r="I57" t="s">
        <v>51</v>
      </c>
      <c r="J57" s="2">
        <v>3891</v>
      </c>
      <c r="K57" t="s">
        <v>37</v>
      </c>
      <c r="L57" t="s">
        <v>55</v>
      </c>
      <c r="M57">
        <v>260</v>
      </c>
      <c r="N57">
        <v>17</v>
      </c>
      <c r="O57" s="3">
        <v>2058</v>
      </c>
      <c r="P57">
        <f t="shared" ca="1" si="4"/>
        <v>8</v>
      </c>
      <c r="Q57">
        <f ca="1">RANDBETWEEN(0,Table1[[#This Row],[offers made]])</f>
        <v>5</v>
      </c>
      <c r="R57" t="s">
        <v>306</v>
      </c>
      <c r="S57">
        <f>Table1[[#This Row],[Hire Date]]-Table1[[#This Row],[Job Posting Date]]</f>
        <v>33</v>
      </c>
      <c r="T57" s="4">
        <f>Table1[[#This Row],[Join Date]]-Table1[[#This Row],[Hire Date]]</f>
        <v>7</v>
      </c>
      <c r="U57" s="4">
        <f ca="1">IF(Table1[[#This Row],[Status]]="Exited",Table1[[#This Row],[Exit Date]]-Table1[[#This Row],[Join Date]],TODAY()-Table1[[#This Row],[Join Date]])</f>
        <v>1918</v>
      </c>
      <c r="V57" t="str">
        <f ca="1">IF(Table1[[#This Row],[Total Tenure in Days]]&lt;=730, "yes","no")</f>
        <v>no</v>
      </c>
      <c r="W57">
        <f>Table1[[#This Row],[Hire Date]]-Table1[[#This Row],[Job Posting Date]]</f>
        <v>33</v>
      </c>
      <c r="X57" s="4">
        <f>Table1[[#This Row],[Time to Onboard]]/Table1[[#This Row],[Time to Fill]]*100</f>
        <v>21.212121212121211</v>
      </c>
      <c r="Y57" s="5">
        <f>Table1[[#This Row],[Time to Onboard]]/Table1[[#This Row],[Time to Fill]]*100</f>
        <v>21.212121212121211</v>
      </c>
      <c r="Z57">
        <f>Table1[[#This Row],[Join Date]]-Table1[[#This Row],[Job Posting Date]]</f>
        <v>40</v>
      </c>
      <c r="AA57">
        <f t="shared" ca="1" si="0"/>
        <v>154</v>
      </c>
      <c r="AB57" s="5">
        <f>Table1[[#This Row],[Absentee Days]]/Table1[[#This Row],[Total Work Days]]*100</f>
        <v>6.5384615384615392</v>
      </c>
      <c r="AC57">
        <f>YEAR(Table1[[#This Row],[Join Date]])</f>
        <v>2019</v>
      </c>
      <c r="AD57">
        <f>IF(Table1[[#This Row],[Status]]="Active",1,0)</f>
        <v>1</v>
      </c>
      <c r="AE57">
        <f>IF(Table1[[#This Row],[Status]]="Exited",Table1[[#This Row],[Recruitment Cost]]+Table1[[#This Row],[Onboarding Cost]]+Table1[[#This Row],[Training Cost]],0)</f>
        <v>0</v>
      </c>
      <c r="AF57">
        <f>IF(Table1[[#This Row],[Training Completion Status]]="Completed",1,0)</f>
        <v>0</v>
      </c>
      <c r="AG57">
        <f t="shared" ca="1" si="1"/>
        <v>3</v>
      </c>
      <c r="AH57">
        <f t="shared" ca="1" si="2"/>
        <v>4</v>
      </c>
      <c r="AI57">
        <f t="shared" ca="1" si="3"/>
        <v>2</v>
      </c>
      <c r="AJ57" t="s">
        <v>318</v>
      </c>
    </row>
    <row r="58" spans="1:36" x14ac:dyDescent="0.2">
      <c r="A58" t="s">
        <v>110</v>
      </c>
      <c r="B58" t="s">
        <v>41</v>
      </c>
      <c r="C58" t="s">
        <v>32</v>
      </c>
      <c r="D58" t="s">
        <v>33</v>
      </c>
      <c r="E58" s="1">
        <v>43503</v>
      </c>
      <c r="F58" s="1">
        <v>43588</v>
      </c>
      <c r="G58" s="1">
        <v>43597</v>
      </c>
      <c r="H58" s="1">
        <v>45027</v>
      </c>
      <c r="I58" t="s">
        <v>57</v>
      </c>
      <c r="J58" s="2">
        <v>2799</v>
      </c>
      <c r="K58" t="s">
        <v>40</v>
      </c>
      <c r="L58" t="s">
        <v>52</v>
      </c>
      <c r="M58">
        <v>260</v>
      </c>
      <c r="N58">
        <v>15</v>
      </c>
      <c r="O58" s="3">
        <v>1965</v>
      </c>
      <c r="P58">
        <f t="shared" ca="1" si="4"/>
        <v>6</v>
      </c>
      <c r="Q58">
        <f ca="1">RANDBETWEEN(0,Table1[[#This Row],[offers made]])</f>
        <v>2</v>
      </c>
      <c r="R58" t="s">
        <v>308</v>
      </c>
      <c r="S58">
        <f>Table1[[#This Row],[Hire Date]]-Table1[[#This Row],[Job Posting Date]]</f>
        <v>85</v>
      </c>
      <c r="T58" s="4">
        <f>Table1[[#This Row],[Join Date]]-Table1[[#This Row],[Hire Date]]</f>
        <v>9</v>
      </c>
      <c r="U58" s="4">
        <f ca="1">IF(Table1[[#This Row],[Status]]="Exited",Table1[[#This Row],[Exit Date]]-Table1[[#This Row],[Join Date]],TODAY()-Table1[[#This Row],[Join Date]])</f>
        <v>1430</v>
      </c>
      <c r="V58" t="str">
        <f ca="1">IF(Table1[[#This Row],[Total Tenure in Days]]&lt;=730, "yes","no")</f>
        <v>no</v>
      </c>
      <c r="W58">
        <f>Table1[[#This Row],[Hire Date]]-Table1[[#This Row],[Job Posting Date]]</f>
        <v>85</v>
      </c>
      <c r="X58" s="4">
        <f>Table1[[#This Row],[Time to Onboard]]/Table1[[#This Row],[Time to Fill]]*100</f>
        <v>10.588235294117647</v>
      </c>
      <c r="Y58" s="5">
        <f>Table1[[#This Row],[Time to Onboard]]/Table1[[#This Row],[Time to Fill]]*100</f>
        <v>10.588235294117647</v>
      </c>
      <c r="Z58">
        <f>Table1[[#This Row],[Join Date]]-Table1[[#This Row],[Job Posting Date]]</f>
        <v>94</v>
      </c>
      <c r="AA58">
        <f t="shared" ca="1" si="0"/>
        <v>138</v>
      </c>
      <c r="AB58" s="5">
        <f>Table1[[#This Row],[Absentee Days]]/Table1[[#This Row],[Total Work Days]]*100</f>
        <v>5.7692307692307692</v>
      </c>
      <c r="AC58">
        <f>YEAR(Table1[[#This Row],[Join Date]])</f>
        <v>2019</v>
      </c>
      <c r="AD58">
        <f>IF(Table1[[#This Row],[Status]]="Active",1,0)</f>
        <v>0</v>
      </c>
      <c r="AE58">
        <f ca="1">IF(Table1[[#This Row],[Status]]="Exited",Table1[[#This Row],[Recruitment Cost]]+Table1[[#This Row],[Onboarding Cost]]+Table1[[#This Row],[Training Cost]],0)</f>
        <v>4902</v>
      </c>
      <c r="AF58">
        <f>IF(Table1[[#This Row],[Training Completion Status]]="Completed",1,0)</f>
        <v>1</v>
      </c>
      <c r="AG58">
        <f t="shared" ca="1" si="1"/>
        <v>3</v>
      </c>
      <c r="AH58">
        <f t="shared" ca="1" si="2"/>
        <v>5</v>
      </c>
      <c r="AI58">
        <f t="shared" ca="1" si="3"/>
        <v>5</v>
      </c>
      <c r="AJ58" t="s">
        <v>318</v>
      </c>
    </row>
    <row r="59" spans="1:36" x14ac:dyDescent="0.2">
      <c r="A59" t="s">
        <v>111</v>
      </c>
      <c r="B59" t="s">
        <v>41</v>
      </c>
      <c r="C59" t="s">
        <v>29</v>
      </c>
      <c r="D59" t="s">
        <v>30</v>
      </c>
      <c r="E59" s="1">
        <v>44357</v>
      </c>
      <c r="F59" s="1">
        <v>44401</v>
      </c>
      <c r="G59" s="1">
        <v>44405</v>
      </c>
      <c r="H59" s="1">
        <v>45174</v>
      </c>
      <c r="I59" t="s">
        <v>57</v>
      </c>
      <c r="J59" s="2">
        <v>3290</v>
      </c>
      <c r="K59" t="s">
        <v>34</v>
      </c>
      <c r="L59" t="s">
        <v>52</v>
      </c>
      <c r="M59">
        <v>260</v>
      </c>
      <c r="N59">
        <v>10</v>
      </c>
      <c r="O59" s="3">
        <v>1865</v>
      </c>
      <c r="P59">
        <f t="shared" ca="1" si="4"/>
        <v>4</v>
      </c>
      <c r="Q59">
        <f ca="1">RANDBETWEEN(0,Table1[[#This Row],[offers made]])</f>
        <v>0</v>
      </c>
      <c r="R59" t="s">
        <v>306</v>
      </c>
      <c r="S59">
        <f>Table1[[#This Row],[Hire Date]]-Table1[[#This Row],[Job Posting Date]]</f>
        <v>44</v>
      </c>
      <c r="T59" s="4">
        <f>Table1[[#This Row],[Join Date]]-Table1[[#This Row],[Hire Date]]</f>
        <v>4</v>
      </c>
      <c r="U59" s="4">
        <f ca="1">IF(Table1[[#This Row],[Status]]="Exited",Table1[[#This Row],[Exit Date]]-Table1[[#This Row],[Join Date]],TODAY()-Table1[[#This Row],[Join Date]])</f>
        <v>769</v>
      </c>
      <c r="V59" t="str">
        <f ca="1">IF(Table1[[#This Row],[Total Tenure in Days]]&lt;=730, "yes","no")</f>
        <v>no</v>
      </c>
      <c r="W59">
        <f>Table1[[#This Row],[Hire Date]]-Table1[[#This Row],[Job Posting Date]]</f>
        <v>44</v>
      </c>
      <c r="X59" s="4">
        <f>Table1[[#This Row],[Time to Onboard]]/Table1[[#This Row],[Time to Fill]]*100</f>
        <v>9.0909090909090917</v>
      </c>
      <c r="Y59" s="5">
        <f>Table1[[#This Row],[Time to Onboard]]/Table1[[#This Row],[Time to Fill]]*100</f>
        <v>9.0909090909090917</v>
      </c>
      <c r="Z59">
        <f>Table1[[#This Row],[Join Date]]-Table1[[#This Row],[Job Posting Date]]</f>
        <v>48</v>
      </c>
      <c r="AA59">
        <f t="shared" ca="1" si="0"/>
        <v>162</v>
      </c>
      <c r="AB59" s="5">
        <f>Table1[[#This Row],[Absentee Days]]/Table1[[#This Row],[Total Work Days]]*100</f>
        <v>3.8461538461538463</v>
      </c>
      <c r="AC59">
        <f>YEAR(Table1[[#This Row],[Join Date]])</f>
        <v>2021</v>
      </c>
      <c r="AD59">
        <f>IF(Table1[[#This Row],[Status]]="Active",1,0)</f>
        <v>0</v>
      </c>
      <c r="AE59">
        <f ca="1">IF(Table1[[#This Row],[Status]]="Exited",Table1[[#This Row],[Recruitment Cost]]+Table1[[#This Row],[Onboarding Cost]]+Table1[[#This Row],[Training Cost]],0)</f>
        <v>5317</v>
      </c>
      <c r="AF59">
        <f>IF(Table1[[#This Row],[Training Completion Status]]="Completed",1,0)</f>
        <v>1</v>
      </c>
      <c r="AG59">
        <f t="shared" ca="1" si="1"/>
        <v>3</v>
      </c>
      <c r="AH59">
        <f t="shared" ca="1" si="2"/>
        <v>5</v>
      </c>
      <c r="AI59">
        <f t="shared" ca="1" si="3"/>
        <v>3</v>
      </c>
      <c r="AJ59" t="s">
        <v>318</v>
      </c>
    </row>
    <row r="60" spans="1:36" x14ac:dyDescent="0.2">
      <c r="A60" t="s">
        <v>112</v>
      </c>
      <c r="B60" t="s">
        <v>43</v>
      </c>
      <c r="C60" t="s">
        <v>38</v>
      </c>
      <c r="D60" t="s">
        <v>39</v>
      </c>
      <c r="E60" s="1">
        <v>44736</v>
      </c>
      <c r="F60" s="1">
        <v>44810</v>
      </c>
      <c r="G60" s="1">
        <v>44821</v>
      </c>
      <c r="H60" s="1">
        <v>45349</v>
      </c>
      <c r="I60" t="s">
        <v>57</v>
      </c>
      <c r="J60" s="2">
        <v>4049</v>
      </c>
      <c r="K60" t="s">
        <v>37</v>
      </c>
      <c r="L60" t="s">
        <v>55</v>
      </c>
      <c r="M60">
        <v>260</v>
      </c>
      <c r="N60">
        <v>20</v>
      </c>
      <c r="O60" s="3">
        <v>1936</v>
      </c>
      <c r="P60">
        <f t="shared" ca="1" si="4"/>
        <v>7</v>
      </c>
      <c r="Q60">
        <f ca="1">RANDBETWEEN(0,Table1[[#This Row],[offers made]])</f>
        <v>7</v>
      </c>
      <c r="R60" t="s">
        <v>308</v>
      </c>
      <c r="S60">
        <f>Table1[[#This Row],[Hire Date]]-Table1[[#This Row],[Job Posting Date]]</f>
        <v>74</v>
      </c>
      <c r="T60" s="4">
        <f>Table1[[#This Row],[Join Date]]-Table1[[#This Row],[Hire Date]]</f>
        <v>11</v>
      </c>
      <c r="U60" s="4">
        <f ca="1">IF(Table1[[#This Row],[Status]]="Exited",Table1[[#This Row],[Exit Date]]-Table1[[#This Row],[Join Date]],TODAY()-Table1[[#This Row],[Join Date]])</f>
        <v>528</v>
      </c>
      <c r="V60" t="str">
        <f ca="1">IF(Table1[[#This Row],[Total Tenure in Days]]&lt;=730, "yes","no")</f>
        <v>yes</v>
      </c>
      <c r="W60">
        <f>Table1[[#This Row],[Hire Date]]-Table1[[#This Row],[Job Posting Date]]</f>
        <v>74</v>
      </c>
      <c r="X60" s="4">
        <f>Table1[[#This Row],[Time to Onboard]]/Table1[[#This Row],[Time to Fill]]*100</f>
        <v>14.864864864864865</v>
      </c>
      <c r="Y60" s="5">
        <f>Table1[[#This Row],[Time to Onboard]]/Table1[[#This Row],[Time to Fill]]*100</f>
        <v>14.864864864864865</v>
      </c>
      <c r="Z60">
        <f>Table1[[#This Row],[Join Date]]-Table1[[#This Row],[Job Posting Date]]</f>
        <v>85</v>
      </c>
      <c r="AA60">
        <f t="shared" ca="1" si="0"/>
        <v>154</v>
      </c>
      <c r="AB60" s="5">
        <f>Table1[[#This Row],[Absentee Days]]/Table1[[#This Row],[Total Work Days]]*100</f>
        <v>7.6923076923076925</v>
      </c>
      <c r="AC60">
        <f>YEAR(Table1[[#This Row],[Join Date]])</f>
        <v>2022</v>
      </c>
      <c r="AD60">
        <f>IF(Table1[[#This Row],[Status]]="Active",1,0)</f>
        <v>0</v>
      </c>
      <c r="AE60">
        <f ca="1">IF(Table1[[#This Row],[Status]]="Exited",Table1[[#This Row],[Recruitment Cost]]+Table1[[#This Row],[Onboarding Cost]]+Table1[[#This Row],[Training Cost]],0)</f>
        <v>6139</v>
      </c>
      <c r="AF60">
        <f>IF(Table1[[#This Row],[Training Completion Status]]="Completed",1,0)</f>
        <v>0</v>
      </c>
      <c r="AG60">
        <f t="shared" ca="1" si="1"/>
        <v>2</v>
      </c>
      <c r="AH60">
        <f t="shared" ca="1" si="2"/>
        <v>2</v>
      </c>
      <c r="AI60">
        <f t="shared" ca="1" si="3"/>
        <v>2</v>
      </c>
      <c r="AJ60" t="s">
        <v>318</v>
      </c>
    </row>
    <row r="61" spans="1:36" x14ac:dyDescent="0.2">
      <c r="A61" t="s">
        <v>113</v>
      </c>
      <c r="B61" t="s">
        <v>41</v>
      </c>
      <c r="C61" t="s">
        <v>35</v>
      </c>
      <c r="D61" t="s">
        <v>36</v>
      </c>
      <c r="E61" s="1">
        <v>44723</v>
      </c>
      <c r="F61" s="1">
        <v>44772</v>
      </c>
      <c r="G61" s="1">
        <v>44777</v>
      </c>
      <c r="H61" s="1">
        <v>45499</v>
      </c>
      <c r="I61" t="s">
        <v>57</v>
      </c>
      <c r="J61" s="2">
        <v>1951</v>
      </c>
      <c r="K61" t="s">
        <v>40</v>
      </c>
      <c r="L61" t="s">
        <v>52</v>
      </c>
      <c r="M61">
        <v>260</v>
      </c>
      <c r="N61">
        <v>1</v>
      </c>
      <c r="O61" s="3">
        <v>1777</v>
      </c>
      <c r="P61">
        <f t="shared" ca="1" si="4"/>
        <v>8</v>
      </c>
      <c r="Q61">
        <f ca="1">RANDBETWEEN(0,Table1[[#This Row],[offers made]])</f>
        <v>8</v>
      </c>
      <c r="R61" t="s">
        <v>307</v>
      </c>
      <c r="S61">
        <f>Table1[[#This Row],[Hire Date]]-Table1[[#This Row],[Job Posting Date]]</f>
        <v>49</v>
      </c>
      <c r="T61" s="4">
        <f>Table1[[#This Row],[Join Date]]-Table1[[#This Row],[Hire Date]]</f>
        <v>5</v>
      </c>
      <c r="U61" s="4">
        <f ca="1">IF(Table1[[#This Row],[Status]]="Exited",Table1[[#This Row],[Exit Date]]-Table1[[#This Row],[Join Date]],TODAY()-Table1[[#This Row],[Join Date]])</f>
        <v>722</v>
      </c>
      <c r="V61" t="str">
        <f ca="1">IF(Table1[[#This Row],[Total Tenure in Days]]&lt;=730, "yes","no")</f>
        <v>yes</v>
      </c>
      <c r="W61">
        <f>Table1[[#This Row],[Hire Date]]-Table1[[#This Row],[Job Posting Date]]</f>
        <v>49</v>
      </c>
      <c r="X61" s="4">
        <f>Table1[[#This Row],[Time to Onboard]]/Table1[[#This Row],[Time to Fill]]*100</f>
        <v>10.204081632653061</v>
      </c>
      <c r="Y61" s="5">
        <f>Table1[[#This Row],[Time to Onboard]]/Table1[[#This Row],[Time to Fill]]*100</f>
        <v>10.204081632653061</v>
      </c>
      <c r="Z61">
        <f>Table1[[#This Row],[Join Date]]-Table1[[#This Row],[Job Posting Date]]</f>
        <v>54</v>
      </c>
      <c r="AA61">
        <f t="shared" ca="1" si="0"/>
        <v>140</v>
      </c>
      <c r="AB61" s="5">
        <f>Table1[[#This Row],[Absentee Days]]/Table1[[#This Row],[Total Work Days]]*100</f>
        <v>0.38461538461538464</v>
      </c>
      <c r="AC61">
        <f>YEAR(Table1[[#This Row],[Join Date]])</f>
        <v>2022</v>
      </c>
      <c r="AD61">
        <f>IF(Table1[[#This Row],[Status]]="Active",1,0)</f>
        <v>0</v>
      </c>
      <c r="AE61">
        <f ca="1">IF(Table1[[#This Row],[Status]]="Exited",Table1[[#This Row],[Recruitment Cost]]+Table1[[#This Row],[Onboarding Cost]]+Table1[[#This Row],[Training Cost]],0)</f>
        <v>3868</v>
      </c>
      <c r="AF61">
        <f>IF(Table1[[#This Row],[Training Completion Status]]="Completed",1,0)</f>
        <v>1</v>
      </c>
      <c r="AG61">
        <f t="shared" ca="1" si="1"/>
        <v>1</v>
      </c>
      <c r="AH61">
        <f t="shared" ca="1" si="2"/>
        <v>4</v>
      </c>
      <c r="AI61">
        <f t="shared" ca="1" si="3"/>
        <v>5</v>
      </c>
      <c r="AJ61" t="s">
        <v>317</v>
      </c>
    </row>
    <row r="62" spans="1:36" x14ac:dyDescent="0.2">
      <c r="A62" t="s">
        <v>114</v>
      </c>
      <c r="B62" t="s">
        <v>42</v>
      </c>
      <c r="C62" t="s">
        <v>32</v>
      </c>
      <c r="D62" t="s">
        <v>33</v>
      </c>
      <c r="E62" s="1">
        <v>43777</v>
      </c>
      <c r="F62" s="1">
        <v>43862</v>
      </c>
      <c r="G62" s="1">
        <v>43869</v>
      </c>
      <c r="H62" s="1" t="s">
        <v>50</v>
      </c>
      <c r="I62" t="s">
        <v>51</v>
      </c>
      <c r="J62" s="2">
        <v>4160</v>
      </c>
      <c r="K62" t="s">
        <v>40</v>
      </c>
      <c r="L62" t="s">
        <v>52</v>
      </c>
      <c r="M62">
        <v>260</v>
      </c>
      <c r="N62">
        <v>15</v>
      </c>
      <c r="O62" s="3">
        <v>2018</v>
      </c>
      <c r="P62">
        <f t="shared" ca="1" si="4"/>
        <v>8</v>
      </c>
      <c r="Q62">
        <f ca="1">RANDBETWEEN(0,Table1[[#This Row],[offers made]])</f>
        <v>4</v>
      </c>
      <c r="R62" t="s">
        <v>306</v>
      </c>
      <c r="S62">
        <f>Table1[[#This Row],[Hire Date]]-Table1[[#This Row],[Job Posting Date]]</f>
        <v>85</v>
      </c>
      <c r="T62" s="4">
        <f>Table1[[#This Row],[Join Date]]-Table1[[#This Row],[Hire Date]]</f>
        <v>7</v>
      </c>
      <c r="U62" s="4">
        <f ca="1">IF(Table1[[#This Row],[Status]]="Exited",Table1[[#This Row],[Exit Date]]-Table1[[#This Row],[Join Date]],TODAY()-Table1[[#This Row],[Join Date]])</f>
        <v>1792</v>
      </c>
      <c r="V62" t="str">
        <f ca="1">IF(Table1[[#This Row],[Total Tenure in Days]]&lt;=730, "yes","no")</f>
        <v>no</v>
      </c>
      <c r="W62">
        <f>Table1[[#This Row],[Hire Date]]-Table1[[#This Row],[Job Posting Date]]</f>
        <v>85</v>
      </c>
      <c r="X62" s="4">
        <f>Table1[[#This Row],[Time to Onboard]]/Table1[[#This Row],[Time to Fill]]*100</f>
        <v>8.235294117647058</v>
      </c>
      <c r="Y62" s="5">
        <f>Table1[[#This Row],[Time to Onboard]]/Table1[[#This Row],[Time to Fill]]*100</f>
        <v>8.235294117647058</v>
      </c>
      <c r="Z62">
        <f>Table1[[#This Row],[Join Date]]-Table1[[#This Row],[Job Posting Date]]</f>
        <v>92</v>
      </c>
      <c r="AA62">
        <f t="shared" ca="1" si="0"/>
        <v>198</v>
      </c>
      <c r="AB62" s="5">
        <f>Table1[[#This Row],[Absentee Days]]/Table1[[#This Row],[Total Work Days]]*100</f>
        <v>5.7692307692307692</v>
      </c>
      <c r="AC62">
        <f>YEAR(Table1[[#This Row],[Join Date]])</f>
        <v>2020</v>
      </c>
      <c r="AD62">
        <f>IF(Table1[[#This Row],[Status]]="Active",1,0)</f>
        <v>1</v>
      </c>
      <c r="AE62">
        <f>IF(Table1[[#This Row],[Status]]="Exited",Table1[[#This Row],[Recruitment Cost]]+Table1[[#This Row],[Onboarding Cost]]+Table1[[#This Row],[Training Cost]],0)</f>
        <v>0</v>
      </c>
      <c r="AF62">
        <f>IF(Table1[[#This Row],[Training Completion Status]]="Completed",1,0)</f>
        <v>1</v>
      </c>
      <c r="AG62">
        <f t="shared" ca="1" si="1"/>
        <v>3</v>
      </c>
      <c r="AH62">
        <f t="shared" ca="1" si="2"/>
        <v>2</v>
      </c>
      <c r="AI62">
        <f t="shared" ca="1" si="3"/>
        <v>3</v>
      </c>
      <c r="AJ62" t="s">
        <v>318</v>
      </c>
    </row>
    <row r="63" spans="1:36" x14ac:dyDescent="0.2">
      <c r="A63" t="s">
        <v>115</v>
      </c>
      <c r="B63" t="s">
        <v>42</v>
      </c>
      <c r="C63" t="s">
        <v>38</v>
      </c>
      <c r="D63" t="s">
        <v>39</v>
      </c>
      <c r="E63" s="1">
        <v>44717</v>
      </c>
      <c r="F63" s="1">
        <v>44750</v>
      </c>
      <c r="G63" s="1">
        <v>44757</v>
      </c>
      <c r="H63" s="1" t="s">
        <v>50</v>
      </c>
      <c r="I63" t="s">
        <v>51</v>
      </c>
      <c r="J63" s="2">
        <v>2188</v>
      </c>
      <c r="K63" t="s">
        <v>28</v>
      </c>
      <c r="L63" t="s">
        <v>52</v>
      </c>
      <c r="M63">
        <v>260</v>
      </c>
      <c r="N63">
        <v>19</v>
      </c>
      <c r="O63" s="3">
        <v>2033</v>
      </c>
      <c r="P63">
        <f t="shared" ca="1" si="4"/>
        <v>6</v>
      </c>
      <c r="Q63">
        <f ca="1">RANDBETWEEN(0,Table1[[#This Row],[offers made]])</f>
        <v>4</v>
      </c>
      <c r="R63" t="s">
        <v>307</v>
      </c>
      <c r="S63">
        <f>Table1[[#This Row],[Hire Date]]-Table1[[#This Row],[Job Posting Date]]</f>
        <v>33</v>
      </c>
      <c r="T63" s="4">
        <f>Table1[[#This Row],[Join Date]]-Table1[[#This Row],[Hire Date]]</f>
        <v>7</v>
      </c>
      <c r="U63" s="4">
        <f ca="1">IF(Table1[[#This Row],[Status]]="Exited",Table1[[#This Row],[Exit Date]]-Table1[[#This Row],[Join Date]],TODAY()-Table1[[#This Row],[Join Date]])</f>
        <v>904</v>
      </c>
      <c r="V63" t="str">
        <f ca="1">IF(Table1[[#This Row],[Total Tenure in Days]]&lt;=730, "yes","no")</f>
        <v>no</v>
      </c>
      <c r="W63">
        <f>Table1[[#This Row],[Hire Date]]-Table1[[#This Row],[Job Posting Date]]</f>
        <v>33</v>
      </c>
      <c r="X63" s="4">
        <f>Table1[[#This Row],[Time to Onboard]]/Table1[[#This Row],[Time to Fill]]*100</f>
        <v>21.212121212121211</v>
      </c>
      <c r="Y63" s="5">
        <f>Table1[[#This Row],[Time to Onboard]]/Table1[[#This Row],[Time to Fill]]*100</f>
        <v>21.212121212121211</v>
      </c>
      <c r="Z63">
        <f>Table1[[#This Row],[Join Date]]-Table1[[#This Row],[Job Posting Date]]</f>
        <v>40</v>
      </c>
      <c r="AA63">
        <f t="shared" ca="1" si="0"/>
        <v>141</v>
      </c>
      <c r="AB63" s="5">
        <f>Table1[[#This Row],[Absentee Days]]/Table1[[#This Row],[Total Work Days]]*100</f>
        <v>7.3076923076923084</v>
      </c>
      <c r="AC63">
        <f>YEAR(Table1[[#This Row],[Join Date]])</f>
        <v>2022</v>
      </c>
      <c r="AD63">
        <f>IF(Table1[[#This Row],[Status]]="Active",1,0)</f>
        <v>1</v>
      </c>
      <c r="AE63">
        <f>IF(Table1[[#This Row],[Status]]="Exited",Table1[[#This Row],[Recruitment Cost]]+Table1[[#This Row],[Onboarding Cost]]+Table1[[#This Row],[Training Cost]],0)</f>
        <v>0</v>
      </c>
      <c r="AF63">
        <f>IF(Table1[[#This Row],[Training Completion Status]]="Completed",1,0)</f>
        <v>1</v>
      </c>
      <c r="AG63">
        <f t="shared" ca="1" si="1"/>
        <v>2</v>
      </c>
      <c r="AH63">
        <f t="shared" ca="1" si="2"/>
        <v>4</v>
      </c>
      <c r="AI63">
        <f t="shared" ca="1" si="3"/>
        <v>2</v>
      </c>
      <c r="AJ63" t="s">
        <v>317</v>
      </c>
    </row>
    <row r="64" spans="1:36" x14ac:dyDescent="0.2">
      <c r="A64" t="s">
        <v>116</v>
      </c>
      <c r="B64" t="s">
        <v>43</v>
      </c>
      <c r="C64" t="s">
        <v>32</v>
      </c>
      <c r="D64" t="s">
        <v>33</v>
      </c>
      <c r="E64" s="1">
        <v>43739</v>
      </c>
      <c r="F64" s="1">
        <v>43787</v>
      </c>
      <c r="G64" s="1">
        <v>43790</v>
      </c>
      <c r="H64" s="1">
        <v>44042</v>
      </c>
      <c r="I64" t="s">
        <v>57</v>
      </c>
      <c r="J64" s="2">
        <v>3068</v>
      </c>
      <c r="K64" t="s">
        <v>40</v>
      </c>
      <c r="L64" t="s">
        <v>55</v>
      </c>
      <c r="M64">
        <v>260</v>
      </c>
      <c r="N64">
        <v>13</v>
      </c>
      <c r="O64" s="3">
        <v>1380</v>
      </c>
      <c r="P64">
        <f t="shared" ca="1" si="4"/>
        <v>2</v>
      </c>
      <c r="Q64">
        <f ca="1">RANDBETWEEN(0,Table1[[#This Row],[offers made]])</f>
        <v>2</v>
      </c>
      <c r="R64" t="s">
        <v>308</v>
      </c>
      <c r="S64">
        <f>Table1[[#This Row],[Hire Date]]-Table1[[#This Row],[Job Posting Date]]</f>
        <v>48</v>
      </c>
      <c r="T64" s="4">
        <f>Table1[[#This Row],[Join Date]]-Table1[[#This Row],[Hire Date]]</f>
        <v>3</v>
      </c>
      <c r="U64" s="4">
        <f ca="1">IF(Table1[[#This Row],[Status]]="Exited",Table1[[#This Row],[Exit Date]]-Table1[[#This Row],[Join Date]],TODAY()-Table1[[#This Row],[Join Date]])</f>
        <v>252</v>
      </c>
      <c r="V64" t="str">
        <f ca="1">IF(Table1[[#This Row],[Total Tenure in Days]]&lt;=730, "yes","no")</f>
        <v>yes</v>
      </c>
      <c r="W64">
        <f>Table1[[#This Row],[Hire Date]]-Table1[[#This Row],[Job Posting Date]]</f>
        <v>48</v>
      </c>
      <c r="X64" s="4">
        <f>Table1[[#This Row],[Time to Onboard]]/Table1[[#This Row],[Time to Fill]]*100</f>
        <v>6.25</v>
      </c>
      <c r="Y64" s="5">
        <f>Table1[[#This Row],[Time to Onboard]]/Table1[[#This Row],[Time to Fill]]*100</f>
        <v>6.25</v>
      </c>
      <c r="Z64">
        <f>Table1[[#This Row],[Join Date]]-Table1[[#This Row],[Job Posting Date]]</f>
        <v>51</v>
      </c>
      <c r="AA64">
        <f t="shared" ca="1" si="0"/>
        <v>160</v>
      </c>
      <c r="AB64" s="5">
        <f>Table1[[#This Row],[Absentee Days]]/Table1[[#This Row],[Total Work Days]]*100</f>
        <v>5</v>
      </c>
      <c r="AC64">
        <f>YEAR(Table1[[#This Row],[Join Date]])</f>
        <v>2019</v>
      </c>
      <c r="AD64">
        <f>IF(Table1[[#This Row],[Status]]="Active",1,0)</f>
        <v>0</v>
      </c>
      <c r="AE64">
        <f ca="1">IF(Table1[[#This Row],[Status]]="Exited",Table1[[#This Row],[Recruitment Cost]]+Table1[[#This Row],[Onboarding Cost]]+Table1[[#This Row],[Training Cost]],0)</f>
        <v>4608</v>
      </c>
      <c r="AF64">
        <f>IF(Table1[[#This Row],[Training Completion Status]]="Completed",1,0)</f>
        <v>0</v>
      </c>
      <c r="AG64">
        <f t="shared" ca="1" si="1"/>
        <v>5</v>
      </c>
      <c r="AH64">
        <f t="shared" ca="1" si="2"/>
        <v>1</v>
      </c>
      <c r="AI64">
        <f t="shared" ca="1" si="3"/>
        <v>1</v>
      </c>
      <c r="AJ64" t="s">
        <v>317</v>
      </c>
    </row>
    <row r="65" spans="1:36" x14ac:dyDescent="0.2">
      <c r="A65" t="s">
        <v>117</v>
      </c>
      <c r="B65" t="s">
        <v>43</v>
      </c>
      <c r="C65" t="s">
        <v>32</v>
      </c>
      <c r="D65" t="s">
        <v>33</v>
      </c>
      <c r="E65" s="1">
        <v>43474</v>
      </c>
      <c r="F65" s="1">
        <v>43540</v>
      </c>
      <c r="G65" s="1">
        <v>43546</v>
      </c>
      <c r="H65" s="1" t="s">
        <v>50</v>
      </c>
      <c r="I65" t="s">
        <v>51</v>
      </c>
      <c r="J65" s="2">
        <v>2357</v>
      </c>
      <c r="K65" t="s">
        <v>31</v>
      </c>
      <c r="L65" t="s">
        <v>55</v>
      </c>
      <c r="M65">
        <v>260</v>
      </c>
      <c r="N65">
        <v>7</v>
      </c>
      <c r="O65" s="3">
        <v>1301</v>
      </c>
      <c r="P65">
        <f t="shared" ca="1" si="4"/>
        <v>5</v>
      </c>
      <c r="Q65">
        <f ca="1">RANDBETWEEN(0,Table1[[#This Row],[offers made]])</f>
        <v>2</v>
      </c>
      <c r="R65" t="s">
        <v>308</v>
      </c>
      <c r="S65">
        <f>Table1[[#This Row],[Hire Date]]-Table1[[#This Row],[Job Posting Date]]</f>
        <v>66</v>
      </c>
      <c r="T65" s="4">
        <f>Table1[[#This Row],[Join Date]]-Table1[[#This Row],[Hire Date]]</f>
        <v>6</v>
      </c>
      <c r="U65" s="4">
        <f ca="1">IF(Table1[[#This Row],[Status]]="Exited",Table1[[#This Row],[Exit Date]]-Table1[[#This Row],[Join Date]],TODAY()-Table1[[#This Row],[Join Date]])</f>
        <v>2115</v>
      </c>
      <c r="V65" t="str">
        <f ca="1">IF(Table1[[#This Row],[Total Tenure in Days]]&lt;=730, "yes","no")</f>
        <v>no</v>
      </c>
      <c r="W65">
        <f>Table1[[#This Row],[Hire Date]]-Table1[[#This Row],[Job Posting Date]]</f>
        <v>66</v>
      </c>
      <c r="X65" s="4">
        <f>Table1[[#This Row],[Time to Onboard]]/Table1[[#This Row],[Time to Fill]]*100</f>
        <v>9.0909090909090917</v>
      </c>
      <c r="Y65" s="5">
        <f>Table1[[#This Row],[Time to Onboard]]/Table1[[#This Row],[Time to Fill]]*100</f>
        <v>9.0909090909090917</v>
      </c>
      <c r="Z65">
        <f>Table1[[#This Row],[Join Date]]-Table1[[#This Row],[Job Posting Date]]</f>
        <v>72</v>
      </c>
      <c r="AA65">
        <f t="shared" ca="1" si="0"/>
        <v>124</v>
      </c>
      <c r="AB65" s="5">
        <f>Table1[[#This Row],[Absentee Days]]/Table1[[#This Row],[Total Work Days]]*100</f>
        <v>2.6923076923076925</v>
      </c>
      <c r="AC65">
        <f>YEAR(Table1[[#This Row],[Join Date]])</f>
        <v>2019</v>
      </c>
      <c r="AD65">
        <f>IF(Table1[[#This Row],[Status]]="Active",1,0)</f>
        <v>1</v>
      </c>
      <c r="AE65">
        <f>IF(Table1[[#This Row],[Status]]="Exited",Table1[[#This Row],[Recruitment Cost]]+Table1[[#This Row],[Onboarding Cost]]+Table1[[#This Row],[Training Cost]],0)</f>
        <v>0</v>
      </c>
      <c r="AF65">
        <f>IF(Table1[[#This Row],[Training Completion Status]]="Completed",1,0)</f>
        <v>0</v>
      </c>
      <c r="AG65">
        <f t="shared" ca="1" si="1"/>
        <v>3</v>
      </c>
      <c r="AH65">
        <f t="shared" ca="1" si="2"/>
        <v>5</v>
      </c>
      <c r="AI65">
        <f t="shared" ca="1" si="3"/>
        <v>5</v>
      </c>
      <c r="AJ65" t="s">
        <v>318</v>
      </c>
    </row>
    <row r="66" spans="1:36" x14ac:dyDescent="0.2">
      <c r="A66" t="s">
        <v>118</v>
      </c>
      <c r="B66" t="s">
        <v>41</v>
      </c>
      <c r="C66" t="s">
        <v>32</v>
      </c>
      <c r="D66" t="s">
        <v>33</v>
      </c>
      <c r="E66" s="1">
        <v>43113</v>
      </c>
      <c r="F66" s="1">
        <v>43152</v>
      </c>
      <c r="G66" s="1">
        <v>43156</v>
      </c>
      <c r="H66" s="1" t="s">
        <v>50</v>
      </c>
      <c r="I66" t="s">
        <v>51</v>
      </c>
      <c r="J66" s="2">
        <v>2784</v>
      </c>
      <c r="K66" t="s">
        <v>40</v>
      </c>
      <c r="L66" t="s">
        <v>52</v>
      </c>
      <c r="M66">
        <v>260</v>
      </c>
      <c r="N66">
        <v>7</v>
      </c>
      <c r="O66" s="3">
        <v>2479</v>
      </c>
      <c r="P66">
        <f t="shared" ref="P66:P129" ca="1" si="5">RANDBETWEEN(1,10)</f>
        <v>1</v>
      </c>
      <c r="Q66">
        <f ca="1">RANDBETWEEN(0,Table1[[#This Row],[offers made]])</f>
        <v>0</v>
      </c>
      <c r="R66" t="s">
        <v>307</v>
      </c>
      <c r="S66">
        <f>Table1[[#This Row],[Hire Date]]-Table1[[#This Row],[Job Posting Date]]</f>
        <v>39</v>
      </c>
      <c r="T66" s="4">
        <f>Table1[[#This Row],[Join Date]]-Table1[[#This Row],[Hire Date]]</f>
        <v>4</v>
      </c>
      <c r="U66" s="4">
        <f ca="1">IF(Table1[[#This Row],[Status]]="Exited",Table1[[#This Row],[Exit Date]]-Table1[[#This Row],[Join Date]],TODAY()-Table1[[#This Row],[Join Date]])</f>
        <v>2505</v>
      </c>
      <c r="V66" t="str">
        <f ca="1">IF(Table1[[#This Row],[Total Tenure in Days]]&lt;=730, "yes","no")</f>
        <v>no</v>
      </c>
      <c r="W66">
        <f>Table1[[#This Row],[Hire Date]]-Table1[[#This Row],[Job Posting Date]]</f>
        <v>39</v>
      </c>
      <c r="X66" s="4">
        <f>Table1[[#This Row],[Time to Onboard]]/Table1[[#This Row],[Time to Fill]]*100</f>
        <v>10.256410256410255</v>
      </c>
      <c r="Y66" s="5">
        <f>Table1[[#This Row],[Time to Onboard]]/Table1[[#This Row],[Time to Fill]]*100</f>
        <v>10.256410256410255</v>
      </c>
      <c r="Z66">
        <f>Table1[[#This Row],[Join Date]]-Table1[[#This Row],[Job Posting Date]]</f>
        <v>43</v>
      </c>
      <c r="AA66">
        <f t="shared" ref="AA66:AA129" ca="1" si="6">RANDBETWEEN(100,200)</f>
        <v>145</v>
      </c>
      <c r="AB66" s="5">
        <f>Table1[[#This Row],[Absentee Days]]/Table1[[#This Row],[Total Work Days]]*100</f>
        <v>2.6923076923076925</v>
      </c>
      <c r="AC66">
        <f>YEAR(Table1[[#This Row],[Join Date]])</f>
        <v>2018</v>
      </c>
      <c r="AD66">
        <f>IF(Table1[[#This Row],[Status]]="Active",1,0)</f>
        <v>1</v>
      </c>
      <c r="AE66">
        <f>IF(Table1[[#This Row],[Status]]="Exited",Table1[[#This Row],[Recruitment Cost]]+Table1[[#This Row],[Onboarding Cost]]+Table1[[#This Row],[Training Cost]],0)</f>
        <v>0</v>
      </c>
      <c r="AF66">
        <f>IF(Table1[[#This Row],[Training Completion Status]]="Completed",1,0)</f>
        <v>1</v>
      </c>
      <c r="AG66">
        <f t="shared" ref="AG66:AG129" ca="1" si="7">RANDBETWEEN(1,5)</f>
        <v>3</v>
      </c>
      <c r="AH66">
        <f t="shared" ref="AH66:AH129" ca="1" si="8">RANDBETWEEN(1,5)</f>
        <v>2</v>
      </c>
      <c r="AI66">
        <f t="shared" ref="AI66:AI129" ca="1" si="9">RANDBETWEEN(1, 5)</f>
        <v>4</v>
      </c>
      <c r="AJ66" t="s">
        <v>318</v>
      </c>
    </row>
    <row r="67" spans="1:36" x14ac:dyDescent="0.2">
      <c r="A67" t="s">
        <v>119</v>
      </c>
      <c r="B67" t="s">
        <v>43</v>
      </c>
      <c r="C67" t="s">
        <v>38</v>
      </c>
      <c r="D67" t="s">
        <v>39</v>
      </c>
      <c r="E67" s="1">
        <v>43440</v>
      </c>
      <c r="F67" s="1">
        <v>43526</v>
      </c>
      <c r="G67" s="1">
        <v>43536</v>
      </c>
      <c r="H67" s="1" t="s">
        <v>50</v>
      </c>
      <c r="I67" t="s">
        <v>51</v>
      </c>
      <c r="J67" s="2">
        <v>3412</v>
      </c>
      <c r="K67" t="s">
        <v>40</v>
      </c>
      <c r="L67" t="s">
        <v>52</v>
      </c>
      <c r="M67">
        <v>260</v>
      </c>
      <c r="N67">
        <v>16</v>
      </c>
      <c r="O67" s="3">
        <v>2495</v>
      </c>
      <c r="P67">
        <f t="shared" ca="1" si="5"/>
        <v>8</v>
      </c>
      <c r="Q67">
        <f ca="1">RANDBETWEEN(0,Table1[[#This Row],[offers made]])</f>
        <v>4</v>
      </c>
      <c r="R67" t="s">
        <v>306</v>
      </c>
      <c r="S67">
        <f>Table1[[#This Row],[Hire Date]]-Table1[[#This Row],[Job Posting Date]]</f>
        <v>86</v>
      </c>
      <c r="T67" s="4">
        <f>Table1[[#This Row],[Join Date]]-Table1[[#This Row],[Hire Date]]</f>
        <v>10</v>
      </c>
      <c r="U67" s="4">
        <f ca="1">IF(Table1[[#This Row],[Status]]="Exited",Table1[[#This Row],[Exit Date]]-Table1[[#This Row],[Join Date]],TODAY()-Table1[[#This Row],[Join Date]])</f>
        <v>2125</v>
      </c>
      <c r="V67" t="str">
        <f ca="1">IF(Table1[[#This Row],[Total Tenure in Days]]&lt;=730, "yes","no")</f>
        <v>no</v>
      </c>
      <c r="W67">
        <f>Table1[[#This Row],[Hire Date]]-Table1[[#This Row],[Job Posting Date]]</f>
        <v>86</v>
      </c>
      <c r="X67" s="4">
        <f>Table1[[#This Row],[Time to Onboard]]/Table1[[#This Row],[Time to Fill]]*100</f>
        <v>11.627906976744185</v>
      </c>
      <c r="Y67" s="5">
        <f>Table1[[#This Row],[Time to Onboard]]/Table1[[#This Row],[Time to Fill]]*100</f>
        <v>11.627906976744185</v>
      </c>
      <c r="Z67">
        <f>Table1[[#This Row],[Join Date]]-Table1[[#This Row],[Job Posting Date]]</f>
        <v>96</v>
      </c>
      <c r="AA67">
        <f t="shared" ca="1" si="6"/>
        <v>134</v>
      </c>
      <c r="AB67" s="5">
        <f>Table1[[#This Row],[Absentee Days]]/Table1[[#This Row],[Total Work Days]]*100</f>
        <v>6.1538461538461542</v>
      </c>
      <c r="AC67">
        <f>YEAR(Table1[[#This Row],[Join Date]])</f>
        <v>2019</v>
      </c>
      <c r="AD67">
        <f>IF(Table1[[#This Row],[Status]]="Active",1,0)</f>
        <v>1</v>
      </c>
      <c r="AE67">
        <f>IF(Table1[[#This Row],[Status]]="Exited",Table1[[#This Row],[Recruitment Cost]]+Table1[[#This Row],[Onboarding Cost]]+Table1[[#This Row],[Training Cost]],0)</f>
        <v>0</v>
      </c>
      <c r="AF67">
        <f>IF(Table1[[#This Row],[Training Completion Status]]="Completed",1,0)</f>
        <v>1</v>
      </c>
      <c r="AG67">
        <f t="shared" ca="1" si="7"/>
        <v>3</v>
      </c>
      <c r="AH67">
        <f t="shared" ca="1" si="8"/>
        <v>3</v>
      </c>
      <c r="AI67">
        <f t="shared" ca="1" si="9"/>
        <v>5</v>
      </c>
      <c r="AJ67" t="s">
        <v>318</v>
      </c>
    </row>
    <row r="68" spans="1:36" x14ac:dyDescent="0.2">
      <c r="A68" t="s">
        <v>120</v>
      </c>
      <c r="B68" t="s">
        <v>42</v>
      </c>
      <c r="C68" t="s">
        <v>32</v>
      </c>
      <c r="D68" t="s">
        <v>33</v>
      </c>
      <c r="E68" s="1">
        <v>43254</v>
      </c>
      <c r="F68" s="1">
        <v>43293</v>
      </c>
      <c r="G68" s="1">
        <v>43305</v>
      </c>
      <c r="H68" s="1">
        <v>45064</v>
      </c>
      <c r="I68" t="s">
        <v>57</v>
      </c>
      <c r="J68" s="2">
        <v>4410</v>
      </c>
      <c r="K68" t="s">
        <v>40</v>
      </c>
      <c r="L68" t="s">
        <v>52</v>
      </c>
      <c r="M68">
        <v>260</v>
      </c>
      <c r="N68">
        <v>18</v>
      </c>
      <c r="O68" s="3">
        <v>1877</v>
      </c>
      <c r="P68">
        <f t="shared" ca="1" si="5"/>
        <v>9</v>
      </c>
      <c r="Q68">
        <f ca="1">RANDBETWEEN(0,Table1[[#This Row],[offers made]])</f>
        <v>7</v>
      </c>
      <c r="R68" t="s">
        <v>307</v>
      </c>
      <c r="S68">
        <f>Table1[[#This Row],[Hire Date]]-Table1[[#This Row],[Job Posting Date]]</f>
        <v>39</v>
      </c>
      <c r="T68" s="4">
        <f>Table1[[#This Row],[Join Date]]-Table1[[#This Row],[Hire Date]]</f>
        <v>12</v>
      </c>
      <c r="U68" s="4">
        <f ca="1">IF(Table1[[#This Row],[Status]]="Exited",Table1[[#This Row],[Exit Date]]-Table1[[#This Row],[Join Date]],TODAY()-Table1[[#This Row],[Join Date]])</f>
        <v>1759</v>
      </c>
      <c r="V68" t="str">
        <f ca="1">IF(Table1[[#This Row],[Total Tenure in Days]]&lt;=730, "yes","no")</f>
        <v>no</v>
      </c>
      <c r="W68">
        <f>Table1[[#This Row],[Hire Date]]-Table1[[#This Row],[Job Posting Date]]</f>
        <v>39</v>
      </c>
      <c r="X68" s="4">
        <f>Table1[[#This Row],[Time to Onboard]]/Table1[[#This Row],[Time to Fill]]*100</f>
        <v>30.76923076923077</v>
      </c>
      <c r="Y68" s="5">
        <f>Table1[[#This Row],[Time to Onboard]]/Table1[[#This Row],[Time to Fill]]*100</f>
        <v>30.76923076923077</v>
      </c>
      <c r="Z68">
        <f>Table1[[#This Row],[Join Date]]-Table1[[#This Row],[Job Posting Date]]</f>
        <v>51</v>
      </c>
      <c r="AA68">
        <f t="shared" ca="1" si="6"/>
        <v>193</v>
      </c>
      <c r="AB68" s="5">
        <f>Table1[[#This Row],[Absentee Days]]/Table1[[#This Row],[Total Work Days]]*100</f>
        <v>6.9230769230769234</v>
      </c>
      <c r="AC68">
        <f>YEAR(Table1[[#This Row],[Join Date]])</f>
        <v>2018</v>
      </c>
      <c r="AD68">
        <f>IF(Table1[[#This Row],[Status]]="Active",1,0)</f>
        <v>0</v>
      </c>
      <c r="AE68">
        <f ca="1">IF(Table1[[#This Row],[Status]]="Exited",Table1[[#This Row],[Recruitment Cost]]+Table1[[#This Row],[Onboarding Cost]]+Table1[[#This Row],[Training Cost]],0)</f>
        <v>6480</v>
      </c>
      <c r="AF68">
        <f>IF(Table1[[#This Row],[Training Completion Status]]="Completed",1,0)</f>
        <v>1</v>
      </c>
      <c r="AG68">
        <f t="shared" ca="1" si="7"/>
        <v>1</v>
      </c>
      <c r="AH68">
        <f t="shared" ca="1" si="8"/>
        <v>3</v>
      </c>
      <c r="AI68">
        <f t="shared" ca="1" si="9"/>
        <v>3</v>
      </c>
      <c r="AJ68" t="s">
        <v>317</v>
      </c>
    </row>
    <row r="69" spans="1:36" x14ac:dyDescent="0.2">
      <c r="A69" t="s">
        <v>121</v>
      </c>
      <c r="B69" t="s">
        <v>43</v>
      </c>
      <c r="C69" t="s">
        <v>32</v>
      </c>
      <c r="D69" t="s">
        <v>33</v>
      </c>
      <c r="E69" s="1">
        <v>43791</v>
      </c>
      <c r="F69" s="1">
        <v>43826</v>
      </c>
      <c r="G69" s="1">
        <v>43840</v>
      </c>
      <c r="H69" s="1" t="s">
        <v>50</v>
      </c>
      <c r="I69" t="s">
        <v>51</v>
      </c>
      <c r="J69" s="2">
        <v>2463</v>
      </c>
      <c r="K69" t="s">
        <v>28</v>
      </c>
      <c r="L69" t="s">
        <v>52</v>
      </c>
      <c r="M69">
        <v>260</v>
      </c>
      <c r="N69">
        <v>4</v>
      </c>
      <c r="O69" s="3">
        <v>1279</v>
      </c>
      <c r="P69">
        <f t="shared" ca="1" si="5"/>
        <v>6</v>
      </c>
      <c r="Q69">
        <f ca="1">RANDBETWEEN(0,Table1[[#This Row],[offers made]])</f>
        <v>2</v>
      </c>
      <c r="R69" t="s">
        <v>307</v>
      </c>
      <c r="S69">
        <f>Table1[[#This Row],[Hire Date]]-Table1[[#This Row],[Job Posting Date]]</f>
        <v>35</v>
      </c>
      <c r="T69" s="4">
        <f>Table1[[#This Row],[Join Date]]-Table1[[#This Row],[Hire Date]]</f>
        <v>14</v>
      </c>
      <c r="U69" s="4">
        <f ca="1">IF(Table1[[#This Row],[Status]]="Exited",Table1[[#This Row],[Exit Date]]-Table1[[#This Row],[Join Date]],TODAY()-Table1[[#This Row],[Join Date]])</f>
        <v>1821</v>
      </c>
      <c r="V69" t="str">
        <f ca="1">IF(Table1[[#This Row],[Total Tenure in Days]]&lt;=730, "yes","no")</f>
        <v>no</v>
      </c>
      <c r="W69">
        <f>Table1[[#This Row],[Hire Date]]-Table1[[#This Row],[Job Posting Date]]</f>
        <v>35</v>
      </c>
      <c r="X69" s="4">
        <f>Table1[[#This Row],[Time to Onboard]]/Table1[[#This Row],[Time to Fill]]*100</f>
        <v>40</v>
      </c>
      <c r="Y69" s="5">
        <f>Table1[[#This Row],[Time to Onboard]]/Table1[[#This Row],[Time to Fill]]*100</f>
        <v>40</v>
      </c>
      <c r="Z69">
        <f>Table1[[#This Row],[Join Date]]-Table1[[#This Row],[Job Posting Date]]</f>
        <v>49</v>
      </c>
      <c r="AA69">
        <f t="shared" ca="1" si="6"/>
        <v>184</v>
      </c>
      <c r="AB69" s="5">
        <f>Table1[[#This Row],[Absentee Days]]/Table1[[#This Row],[Total Work Days]]*100</f>
        <v>1.5384615384615385</v>
      </c>
      <c r="AC69">
        <f>YEAR(Table1[[#This Row],[Join Date]])</f>
        <v>2020</v>
      </c>
      <c r="AD69">
        <f>IF(Table1[[#This Row],[Status]]="Active",1,0)</f>
        <v>1</v>
      </c>
      <c r="AE69">
        <f>IF(Table1[[#This Row],[Status]]="Exited",Table1[[#This Row],[Recruitment Cost]]+Table1[[#This Row],[Onboarding Cost]]+Table1[[#This Row],[Training Cost]],0)</f>
        <v>0</v>
      </c>
      <c r="AF69">
        <f>IF(Table1[[#This Row],[Training Completion Status]]="Completed",1,0)</f>
        <v>1</v>
      </c>
      <c r="AG69">
        <f t="shared" ca="1" si="7"/>
        <v>5</v>
      </c>
      <c r="AH69">
        <f t="shared" ca="1" si="8"/>
        <v>1</v>
      </c>
      <c r="AI69">
        <f t="shared" ca="1" si="9"/>
        <v>1</v>
      </c>
      <c r="AJ69" t="s">
        <v>317</v>
      </c>
    </row>
    <row r="70" spans="1:36" x14ac:dyDescent="0.2">
      <c r="A70" t="s">
        <v>122</v>
      </c>
      <c r="B70" t="s">
        <v>41</v>
      </c>
      <c r="C70" t="s">
        <v>26</v>
      </c>
      <c r="D70" t="s">
        <v>27</v>
      </c>
      <c r="E70" s="1">
        <v>44250</v>
      </c>
      <c r="F70" s="1">
        <v>44318</v>
      </c>
      <c r="G70" s="1">
        <v>44327</v>
      </c>
      <c r="H70" s="1">
        <v>45380</v>
      </c>
      <c r="I70" t="s">
        <v>57</v>
      </c>
      <c r="J70" s="2">
        <v>4248</v>
      </c>
      <c r="K70" t="s">
        <v>34</v>
      </c>
      <c r="L70" t="s">
        <v>55</v>
      </c>
      <c r="M70">
        <v>260</v>
      </c>
      <c r="N70">
        <v>4</v>
      </c>
      <c r="O70" s="3">
        <v>1920</v>
      </c>
      <c r="P70">
        <f t="shared" ca="1" si="5"/>
        <v>4</v>
      </c>
      <c r="Q70">
        <f ca="1">RANDBETWEEN(0,Table1[[#This Row],[offers made]])</f>
        <v>0</v>
      </c>
      <c r="R70" t="s">
        <v>306</v>
      </c>
      <c r="S70">
        <f>Table1[[#This Row],[Hire Date]]-Table1[[#This Row],[Job Posting Date]]</f>
        <v>68</v>
      </c>
      <c r="T70" s="4">
        <f>Table1[[#This Row],[Join Date]]-Table1[[#This Row],[Hire Date]]</f>
        <v>9</v>
      </c>
      <c r="U70" s="4">
        <f ca="1">IF(Table1[[#This Row],[Status]]="Exited",Table1[[#This Row],[Exit Date]]-Table1[[#This Row],[Join Date]],TODAY()-Table1[[#This Row],[Join Date]])</f>
        <v>1053</v>
      </c>
      <c r="V70" t="str">
        <f ca="1">IF(Table1[[#This Row],[Total Tenure in Days]]&lt;=730, "yes","no")</f>
        <v>no</v>
      </c>
      <c r="W70">
        <f>Table1[[#This Row],[Hire Date]]-Table1[[#This Row],[Job Posting Date]]</f>
        <v>68</v>
      </c>
      <c r="X70" s="4">
        <f>Table1[[#This Row],[Time to Onboard]]/Table1[[#This Row],[Time to Fill]]*100</f>
        <v>13.23529411764706</v>
      </c>
      <c r="Y70" s="5">
        <f>Table1[[#This Row],[Time to Onboard]]/Table1[[#This Row],[Time to Fill]]*100</f>
        <v>13.23529411764706</v>
      </c>
      <c r="Z70">
        <f>Table1[[#This Row],[Join Date]]-Table1[[#This Row],[Job Posting Date]]</f>
        <v>77</v>
      </c>
      <c r="AA70">
        <f t="shared" ca="1" si="6"/>
        <v>199</v>
      </c>
      <c r="AB70" s="5">
        <f>Table1[[#This Row],[Absentee Days]]/Table1[[#This Row],[Total Work Days]]*100</f>
        <v>1.5384615384615385</v>
      </c>
      <c r="AC70">
        <f>YEAR(Table1[[#This Row],[Join Date]])</f>
        <v>2021</v>
      </c>
      <c r="AD70">
        <f>IF(Table1[[#This Row],[Status]]="Active",1,0)</f>
        <v>0</v>
      </c>
      <c r="AE70">
        <f ca="1">IF(Table1[[#This Row],[Status]]="Exited",Table1[[#This Row],[Recruitment Cost]]+Table1[[#This Row],[Onboarding Cost]]+Table1[[#This Row],[Training Cost]],0)</f>
        <v>6367</v>
      </c>
      <c r="AF70">
        <f>IF(Table1[[#This Row],[Training Completion Status]]="Completed",1,0)</f>
        <v>0</v>
      </c>
      <c r="AG70">
        <f t="shared" ca="1" si="7"/>
        <v>2</v>
      </c>
      <c r="AH70">
        <f t="shared" ca="1" si="8"/>
        <v>2</v>
      </c>
      <c r="AI70">
        <f t="shared" ca="1" si="9"/>
        <v>3</v>
      </c>
      <c r="AJ70" t="s">
        <v>317</v>
      </c>
    </row>
    <row r="71" spans="1:36" x14ac:dyDescent="0.2">
      <c r="A71" t="s">
        <v>123</v>
      </c>
      <c r="B71" t="s">
        <v>41</v>
      </c>
      <c r="C71" t="s">
        <v>29</v>
      </c>
      <c r="D71" t="s">
        <v>30</v>
      </c>
      <c r="E71" s="1">
        <v>43323</v>
      </c>
      <c r="F71" s="1">
        <v>43390</v>
      </c>
      <c r="G71" s="1">
        <v>43396</v>
      </c>
      <c r="H71" s="1">
        <v>43618</v>
      </c>
      <c r="I71" t="s">
        <v>57</v>
      </c>
      <c r="J71" s="2">
        <v>2079</v>
      </c>
      <c r="K71" t="s">
        <v>37</v>
      </c>
      <c r="L71" t="s">
        <v>52</v>
      </c>
      <c r="M71">
        <v>260</v>
      </c>
      <c r="N71">
        <v>18</v>
      </c>
      <c r="O71" s="3">
        <v>1325</v>
      </c>
      <c r="P71">
        <f t="shared" ca="1" si="5"/>
        <v>4</v>
      </c>
      <c r="Q71">
        <f ca="1">RANDBETWEEN(0,Table1[[#This Row],[offers made]])</f>
        <v>0</v>
      </c>
      <c r="R71" t="s">
        <v>307</v>
      </c>
      <c r="S71">
        <f>Table1[[#This Row],[Hire Date]]-Table1[[#This Row],[Job Posting Date]]</f>
        <v>67</v>
      </c>
      <c r="T71" s="4">
        <f>Table1[[#This Row],[Join Date]]-Table1[[#This Row],[Hire Date]]</f>
        <v>6</v>
      </c>
      <c r="U71" s="4">
        <f ca="1">IF(Table1[[#This Row],[Status]]="Exited",Table1[[#This Row],[Exit Date]]-Table1[[#This Row],[Join Date]],TODAY()-Table1[[#This Row],[Join Date]])</f>
        <v>222</v>
      </c>
      <c r="V71" t="str">
        <f ca="1">IF(Table1[[#This Row],[Total Tenure in Days]]&lt;=730, "yes","no")</f>
        <v>yes</v>
      </c>
      <c r="W71">
        <f>Table1[[#This Row],[Hire Date]]-Table1[[#This Row],[Job Posting Date]]</f>
        <v>67</v>
      </c>
      <c r="X71" s="4">
        <f>Table1[[#This Row],[Time to Onboard]]/Table1[[#This Row],[Time to Fill]]*100</f>
        <v>8.9552238805970141</v>
      </c>
      <c r="Y71" s="5">
        <f>Table1[[#This Row],[Time to Onboard]]/Table1[[#This Row],[Time to Fill]]*100</f>
        <v>8.9552238805970141</v>
      </c>
      <c r="Z71">
        <f>Table1[[#This Row],[Join Date]]-Table1[[#This Row],[Job Posting Date]]</f>
        <v>73</v>
      </c>
      <c r="AA71">
        <f t="shared" ca="1" si="6"/>
        <v>156</v>
      </c>
      <c r="AB71" s="5">
        <f>Table1[[#This Row],[Absentee Days]]/Table1[[#This Row],[Total Work Days]]*100</f>
        <v>6.9230769230769234</v>
      </c>
      <c r="AC71">
        <f>YEAR(Table1[[#This Row],[Join Date]])</f>
        <v>2018</v>
      </c>
      <c r="AD71">
        <f>IF(Table1[[#This Row],[Status]]="Active",1,0)</f>
        <v>0</v>
      </c>
      <c r="AE71">
        <f ca="1">IF(Table1[[#This Row],[Status]]="Exited",Table1[[#This Row],[Recruitment Cost]]+Table1[[#This Row],[Onboarding Cost]]+Table1[[#This Row],[Training Cost]],0)</f>
        <v>3560</v>
      </c>
      <c r="AF71">
        <f>IF(Table1[[#This Row],[Training Completion Status]]="Completed",1,0)</f>
        <v>1</v>
      </c>
      <c r="AG71">
        <f t="shared" ca="1" si="7"/>
        <v>1</v>
      </c>
      <c r="AH71">
        <f t="shared" ca="1" si="8"/>
        <v>1</v>
      </c>
      <c r="AI71">
        <f t="shared" ca="1" si="9"/>
        <v>2</v>
      </c>
      <c r="AJ71" t="s">
        <v>317</v>
      </c>
    </row>
    <row r="72" spans="1:36" x14ac:dyDescent="0.2">
      <c r="A72" t="s">
        <v>124</v>
      </c>
      <c r="B72" t="s">
        <v>42</v>
      </c>
      <c r="C72" t="s">
        <v>38</v>
      </c>
      <c r="D72" t="s">
        <v>39</v>
      </c>
      <c r="E72" s="1">
        <v>43598</v>
      </c>
      <c r="F72" s="1">
        <v>43687</v>
      </c>
      <c r="G72" s="1">
        <v>43698</v>
      </c>
      <c r="H72" s="1" t="s">
        <v>50</v>
      </c>
      <c r="I72" t="s">
        <v>51</v>
      </c>
      <c r="J72" s="2">
        <v>2195</v>
      </c>
      <c r="K72" t="s">
        <v>34</v>
      </c>
      <c r="L72" t="s">
        <v>52</v>
      </c>
      <c r="M72">
        <v>260</v>
      </c>
      <c r="N72">
        <v>5</v>
      </c>
      <c r="O72" s="3">
        <v>2286</v>
      </c>
      <c r="P72">
        <f t="shared" ca="1" si="5"/>
        <v>6</v>
      </c>
      <c r="Q72">
        <f ca="1">RANDBETWEEN(0,Table1[[#This Row],[offers made]])</f>
        <v>5</v>
      </c>
      <c r="R72" t="s">
        <v>308</v>
      </c>
      <c r="S72">
        <f>Table1[[#This Row],[Hire Date]]-Table1[[#This Row],[Job Posting Date]]</f>
        <v>89</v>
      </c>
      <c r="T72" s="4">
        <f>Table1[[#This Row],[Join Date]]-Table1[[#This Row],[Hire Date]]</f>
        <v>11</v>
      </c>
      <c r="U72" s="4">
        <f ca="1">IF(Table1[[#This Row],[Status]]="Exited",Table1[[#This Row],[Exit Date]]-Table1[[#This Row],[Join Date]],TODAY()-Table1[[#This Row],[Join Date]])</f>
        <v>1963</v>
      </c>
      <c r="V72" t="str">
        <f ca="1">IF(Table1[[#This Row],[Total Tenure in Days]]&lt;=730, "yes","no")</f>
        <v>no</v>
      </c>
      <c r="W72">
        <f>Table1[[#This Row],[Hire Date]]-Table1[[#This Row],[Job Posting Date]]</f>
        <v>89</v>
      </c>
      <c r="X72" s="4">
        <f>Table1[[#This Row],[Time to Onboard]]/Table1[[#This Row],[Time to Fill]]*100</f>
        <v>12.359550561797752</v>
      </c>
      <c r="Y72" s="5">
        <f>Table1[[#This Row],[Time to Onboard]]/Table1[[#This Row],[Time to Fill]]*100</f>
        <v>12.359550561797752</v>
      </c>
      <c r="Z72">
        <f>Table1[[#This Row],[Join Date]]-Table1[[#This Row],[Job Posting Date]]</f>
        <v>100</v>
      </c>
      <c r="AA72">
        <f t="shared" ca="1" si="6"/>
        <v>112</v>
      </c>
      <c r="AB72" s="5">
        <f>Table1[[#This Row],[Absentee Days]]/Table1[[#This Row],[Total Work Days]]*100</f>
        <v>1.9230769230769231</v>
      </c>
      <c r="AC72">
        <f>YEAR(Table1[[#This Row],[Join Date]])</f>
        <v>2019</v>
      </c>
      <c r="AD72">
        <f>IF(Table1[[#This Row],[Status]]="Active",1,0)</f>
        <v>1</v>
      </c>
      <c r="AE72">
        <f>IF(Table1[[#This Row],[Status]]="Exited",Table1[[#This Row],[Recruitment Cost]]+Table1[[#This Row],[Onboarding Cost]]+Table1[[#This Row],[Training Cost]],0)</f>
        <v>0</v>
      </c>
      <c r="AF72">
        <f>IF(Table1[[#This Row],[Training Completion Status]]="Completed",1,0)</f>
        <v>1</v>
      </c>
      <c r="AG72">
        <f t="shared" ca="1" si="7"/>
        <v>5</v>
      </c>
      <c r="AH72">
        <f t="shared" ca="1" si="8"/>
        <v>2</v>
      </c>
      <c r="AI72">
        <f t="shared" ca="1" si="9"/>
        <v>5</v>
      </c>
      <c r="AJ72" t="s">
        <v>317</v>
      </c>
    </row>
    <row r="73" spans="1:36" x14ac:dyDescent="0.2">
      <c r="A73" t="s">
        <v>125</v>
      </c>
      <c r="B73" t="s">
        <v>41</v>
      </c>
      <c r="C73" t="s">
        <v>32</v>
      </c>
      <c r="D73" t="s">
        <v>33</v>
      </c>
      <c r="E73" s="1">
        <v>44626</v>
      </c>
      <c r="F73" s="1">
        <v>44695</v>
      </c>
      <c r="G73" s="1">
        <v>44710</v>
      </c>
      <c r="H73" s="1" t="s">
        <v>50</v>
      </c>
      <c r="I73" t="s">
        <v>51</v>
      </c>
      <c r="J73" s="2">
        <v>2670</v>
      </c>
      <c r="K73" t="s">
        <v>31</v>
      </c>
      <c r="L73" t="s">
        <v>55</v>
      </c>
      <c r="M73">
        <v>260</v>
      </c>
      <c r="N73">
        <v>6</v>
      </c>
      <c r="O73" s="3">
        <v>1768</v>
      </c>
      <c r="P73">
        <f t="shared" ca="1" si="5"/>
        <v>3</v>
      </c>
      <c r="Q73">
        <f ca="1">RANDBETWEEN(0,Table1[[#This Row],[offers made]])</f>
        <v>3</v>
      </c>
      <c r="R73" t="s">
        <v>307</v>
      </c>
      <c r="S73">
        <f>Table1[[#This Row],[Hire Date]]-Table1[[#This Row],[Job Posting Date]]</f>
        <v>69</v>
      </c>
      <c r="T73" s="4">
        <f>Table1[[#This Row],[Join Date]]-Table1[[#This Row],[Hire Date]]</f>
        <v>15</v>
      </c>
      <c r="U73" s="4">
        <f ca="1">IF(Table1[[#This Row],[Status]]="Exited",Table1[[#This Row],[Exit Date]]-Table1[[#This Row],[Join Date]],TODAY()-Table1[[#This Row],[Join Date]])</f>
        <v>951</v>
      </c>
      <c r="V73" t="str">
        <f ca="1">IF(Table1[[#This Row],[Total Tenure in Days]]&lt;=730, "yes","no")</f>
        <v>no</v>
      </c>
      <c r="W73">
        <f>Table1[[#This Row],[Hire Date]]-Table1[[#This Row],[Job Posting Date]]</f>
        <v>69</v>
      </c>
      <c r="X73" s="4">
        <f>Table1[[#This Row],[Time to Onboard]]/Table1[[#This Row],[Time to Fill]]*100</f>
        <v>21.739130434782609</v>
      </c>
      <c r="Y73" s="5">
        <f>Table1[[#This Row],[Time to Onboard]]/Table1[[#This Row],[Time to Fill]]*100</f>
        <v>21.739130434782609</v>
      </c>
      <c r="Z73">
        <f>Table1[[#This Row],[Join Date]]-Table1[[#This Row],[Job Posting Date]]</f>
        <v>84</v>
      </c>
      <c r="AA73">
        <f t="shared" ca="1" si="6"/>
        <v>113</v>
      </c>
      <c r="AB73" s="5">
        <f>Table1[[#This Row],[Absentee Days]]/Table1[[#This Row],[Total Work Days]]*100</f>
        <v>2.3076923076923079</v>
      </c>
      <c r="AC73">
        <f>YEAR(Table1[[#This Row],[Join Date]])</f>
        <v>2022</v>
      </c>
      <c r="AD73">
        <f>IF(Table1[[#This Row],[Status]]="Active",1,0)</f>
        <v>1</v>
      </c>
      <c r="AE73">
        <f>IF(Table1[[#This Row],[Status]]="Exited",Table1[[#This Row],[Recruitment Cost]]+Table1[[#This Row],[Onboarding Cost]]+Table1[[#This Row],[Training Cost]],0)</f>
        <v>0</v>
      </c>
      <c r="AF73">
        <f>IF(Table1[[#This Row],[Training Completion Status]]="Completed",1,0)</f>
        <v>0</v>
      </c>
      <c r="AG73">
        <f t="shared" ca="1" si="7"/>
        <v>5</v>
      </c>
      <c r="AH73">
        <f t="shared" ca="1" si="8"/>
        <v>1</v>
      </c>
      <c r="AI73">
        <f t="shared" ca="1" si="9"/>
        <v>1</v>
      </c>
      <c r="AJ73" t="s">
        <v>318</v>
      </c>
    </row>
    <row r="74" spans="1:36" x14ac:dyDescent="0.2">
      <c r="A74" t="s">
        <v>126</v>
      </c>
      <c r="B74" t="s">
        <v>41</v>
      </c>
      <c r="C74" t="s">
        <v>38</v>
      </c>
      <c r="D74" t="s">
        <v>39</v>
      </c>
      <c r="E74" s="1">
        <v>43542</v>
      </c>
      <c r="F74" s="1">
        <v>43575</v>
      </c>
      <c r="G74" s="1">
        <v>43589</v>
      </c>
      <c r="H74" s="1" t="s">
        <v>50</v>
      </c>
      <c r="I74" t="s">
        <v>51</v>
      </c>
      <c r="J74" s="2">
        <v>3019</v>
      </c>
      <c r="K74" t="s">
        <v>28</v>
      </c>
      <c r="L74" t="s">
        <v>52</v>
      </c>
      <c r="M74">
        <v>260</v>
      </c>
      <c r="N74">
        <v>15</v>
      </c>
      <c r="O74" s="3">
        <v>1821</v>
      </c>
      <c r="P74">
        <f t="shared" ca="1" si="5"/>
        <v>8</v>
      </c>
      <c r="Q74">
        <f ca="1">RANDBETWEEN(0,Table1[[#This Row],[offers made]])</f>
        <v>0</v>
      </c>
      <c r="R74" t="s">
        <v>308</v>
      </c>
      <c r="S74">
        <f>Table1[[#This Row],[Hire Date]]-Table1[[#This Row],[Job Posting Date]]</f>
        <v>33</v>
      </c>
      <c r="T74" s="4">
        <f>Table1[[#This Row],[Join Date]]-Table1[[#This Row],[Hire Date]]</f>
        <v>14</v>
      </c>
      <c r="U74" s="4">
        <f ca="1">IF(Table1[[#This Row],[Status]]="Exited",Table1[[#This Row],[Exit Date]]-Table1[[#This Row],[Join Date]],TODAY()-Table1[[#This Row],[Join Date]])</f>
        <v>2072</v>
      </c>
      <c r="V74" t="str">
        <f ca="1">IF(Table1[[#This Row],[Total Tenure in Days]]&lt;=730, "yes","no")</f>
        <v>no</v>
      </c>
      <c r="W74">
        <f>Table1[[#This Row],[Hire Date]]-Table1[[#This Row],[Job Posting Date]]</f>
        <v>33</v>
      </c>
      <c r="X74" s="4">
        <f>Table1[[#This Row],[Time to Onboard]]/Table1[[#This Row],[Time to Fill]]*100</f>
        <v>42.424242424242422</v>
      </c>
      <c r="Y74" s="5">
        <f>Table1[[#This Row],[Time to Onboard]]/Table1[[#This Row],[Time to Fill]]*100</f>
        <v>42.424242424242422</v>
      </c>
      <c r="Z74">
        <f>Table1[[#This Row],[Join Date]]-Table1[[#This Row],[Job Posting Date]]</f>
        <v>47</v>
      </c>
      <c r="AA74">
        <f t="shared" ca="1" si="6"/>
        <v>104</v>
      </c>
      <c r="AB74" s="5">
        <f>Table1[[#This Row],[Absentee Days]]/Table1[[#This Row],[Total Work Days]]*100</f>
        <v>5.7692307692307692</v>
      </c>
      <c r="AC74">
        <f>YEAR(Table1[[#This Row],[Join Date]])</f>
        <v>2019</v>
      </c>
      <c r="AD74">
        <f>IF(Table1[[#This Row],[Status]]="Active",1,0)</f>
        <v>1</v>
      </c>
      <c r="AE74">
        <f>IF(Table1[[#This Row],[Status]]="Exited",Table1[[#This Row],[Recruitment Cost]]+Table1[[#This Row],[Onboarding Cost]]+Table1[[#This Row],[Training Cost]],0)</f>
        <v>0</v>
      </c>
      <c r="AF74">
        <f>IF(Table1[[#This Row],[Training Completion Status]]="Completed",1,0)</f>
        <v>1</v>
      </c>
      <c r="AG74">
        <f t="shared" ca="1" si="7"/>
        <v>5</v>
      </c>
      <c r="AH74">
        <f t="shared" ca="1" si="8"/>
        <v>4</v>
      </c>
      <c r="AI74">
        <f t="shared" ca="1" si="9"/>
        <v>2</v>
      </c>
      <c r="AJ74" t="s">
        <v>317</v>
      </c>
    </row>
    <row r="75" spans="1:36" x14ac:dyDescent="0.2">
      <c r="A75" t="s">
        <v>127</v>
      </c>
      <c r="B75" t="s">
        <v>42</v>
      </c>
      <c r="C75" t="s">
        <v>26</v>
      </c>
      <c r="D75" t="s">
        <v>27</v>
      </c>
      <c r="E75" s="1">
        <v>43581</v>
      </c>
      <c r="F75" s="1">
        <v>43640</v>
      </c>
      <c r="G75" s="1">
        <v>43646</v>
      </c>
      <c r="H75" s="1" t="s">
        <v>50</v>
      </c>
      <c r="I75" t="s">
        <v>51</v>
      </c>
      <c r="J75" s="2">
        <v>2721</v>
      </c>
      <c r="K75" t="s">
        <v>31</v>
      </c>
      <c r="L75" t="s">
        <v>52</v>
      </c>
      <c r="M75">
        <v>260</v>
      </c>
      <c r="N75">
        <v>9</v>
      </c>
      <c r="O75" s="3">
        <v>1246</v>
      </c>
      <c r="P75">
        <f t="shared" ca="1" si="5"/>
        <v>9</v>
      </c>
      <c r="Q75">
        <f ca="1">RANDBETWEEN(0,Table1[[#This Row],[offers made]])</f>
        <v>1</v>
      </c>
      <c r="R75" t="s">
        <v>308</v>
      </c>
      <c r="S75">
        <f>Table1[[#This Row],[Hire Date]]-Table1[[#This Row],[Job Posting Date]]</f>
        <v>59</v>
      </c>
      <c r="T75" s="4">
        <f>Table1[[#This Row],[Join Date]]-Table1[[#This Row],[Hire Date]]</f>
        <v>6</v>
      </c>
      <c r="U75" s="4">
        <f ca="1">IF(Table1[[#This Row],[Status]]="Exited",Table1[[#This Row],[Exit Date]]-Table1[[#This Row],[Join Date]],TODAY()-Table1[[#This Row],[Join Date]])</f>
        <v>2015</v>
      </c>
      <c r="V75" t="str">
        <f ca="1">IF(Table1[[#This Row],[Total Tenure in Days]]&lt;=730, "yes","no")</f>
        <v>no</v>
      </c>
      <c r="W75">
        <f>Table1[[#This Row],[Hire Date]]-Table1[[#This Row],[Job Posting Date]]</f>
        <v>59</v>
      </c>
      <c r="X75" s="4">
        <f>Table1[[#This Row],[Time to Onboard]]/Table1[[#This Row],[Time to Fill]]*100</f>
        <v>10.16949152542373</v>
      </c>
      <c r="Y75" s="5">
        <f>Table1[[#This Row],[Time to Onboard]]/Table1[[#This Row],[Time to Fill]]*100</f>
        <v>10.16949152542373</v>
      </c>
      <c r="Z75">
        <f>Table1[[#This Row],[Join Date]]-Table1[[#This Row],[Job Posting Date]]</f>
        <v>65</v>
      </c>
      <c r="AA75">
        <f t="shared" ca="1" si="6"/>
        <v>118</v>
      </c>
      <c r="AB75" s="5">
        <f>Table1[[#This Row],[Absentee Days]]/Table1[[#This Row],[Total Work Days]]*100</f>
        <v>3.4615384615384617</v>
      </c>
      <c r="AC75">
        <f>YEAR(Table1[[#This Row],[Join Date]])</f>
        <v>2019</v>
      </c>
      <c r="AD75">
        <f>IF(Table1[[#This Row],[Status]]="Active",1,0)</f>
        <v>1</v>
      </c>
      <c r="AE75">
        <f>IF(Table1[[#This Row],[Status]]="Exited",Table1[[#This Row],[Recruitment Cost]]+Table1[[#This Row],[Onboarding Cost]]+Table1[[#This Row],[Training Cost]],0)</f>
        <v>0</v>
      </c>
      <c r="AF75">
        <f>IF(Table1[[#This Row],[Training Completion Status]]="Completed",1,0)</f>
        <v>1</v>
      </c>
      <c r="AG75">
        <f t="shared" ca="1" si="7"/>
        <v>3</v>
      </c>
      <c r="AH75">
        <f t="shared" ca="1" si="8"/>
        <v>4</v>
      </c>
      <c r="AI75">
        <f t="shared" ca="1" si="9"/>
        <v>3</v>
      </c>
      <c r="AJ75" t="s">
        <v>317</v>
      </c>
    </row>
    <row r="76" spans="1:36" x14ac:dyDescent="0.2">
      <c r="A76" t="s">
        <v>128</v>
      </c>
      <c r="B76" t="s">
        <v>42</v>
      </c>
      <c r="C76" t="s">
        <v>29</v>
      </c>
      <c r="D76" t="s">
        <v>30</v>
      </c>
      <c r="E76" s="1">
        <v>44219</v>
      </c>
      <c r="F76" s="1">
        <v>44252</v>
      </c>
      <c r="G76" s="1">
        <v>44255</v>
      </c>
      <c r="H76" s="1">
        <v>44825</v>
      </c>
      <c r="I76" t="s">
        <v>57</v>
      </c>
      <c r="J76" s="2">
        <v>4679</v>
      </c>
      <c r="K76" t="s">
        <v>34</v>
      </c>
      <c r="L76" t="s">
        <v>55</v>
      </c>
      <c r="M76">
        <v>260</v>
      </c>
      <c r="N76">
        <v>7</v>
      </c>
      <c r="O76" s="3">
        <v>2077</v>
      </c>
      <c r="P76">
        <f t="shared" ca="1" si="5"/>
        <v>8</v>
      </c>
      <c r="Q76">
        <f ca="1">RANDBETWEEN(0,Table1[[#This Row],[offers made]])</f>
        <v>0</v>
      </c>
      <c r="R76" t="s">
        <v>308</v>
      </c>
      <c r="S76">
        <f>Table1[[#This Row],[Hire Date]]-Table1[[#This Row],[Job Posting Date]]</f>
        <v>33</v>
      </c>
      <c r="T76" s="4">
        <f>Table1[[#This Row],[Join Date]]-Table1[[#This Row],[Hire Date]]</f>
        <v>3</v>
      </c>
      <c r="U76" s="4">
        <f ca="1">IF(Table1[[#This Row],[Status]]="Exited",Table1[[#This Row],[Exit Date]]-Table1[[#This Row],[Join Date]],TODAY()-Table1[[#This Row],[Join Date]])</f>
        <v>570</v>
      </c>
      <c r="V76" t="str">
        <f ca="1">IF(Table1[[#This Row],[Total Tenure in Days]]&lt;=730, "yes","no")</f>
        <v>yes</v>
      </c>
      <c r="W76">
        <f>Table1[[#This Row],[Hire Date]]-Table1[[#This Row],[Job Posting Date]]</f>
        <v>33</v>
      </c>
      <c r="X76" s="4">
        <f>Table1[[#This Row],[Time to Onboard]]/Table1[[#This Row],[Time to Fill]]*100</f>
        <v>9.0909090909090917</v>
      </c>
      <c r="Y76" s="5">
        <f>Table1[[#This Row],[Time to Onboard]]/Table1[[#This Row],[Time to Fill]]*100</f>
        <v>9.0909090909090917</v>
      </c>
      <c r="Z76">
        <f>Table1[[#This Row],[Join Date]]-Table1[[#This Row],[Job Posting Date]]</f>
        <v>36</v>
      </c>
      <c r="AA76">
        <f t="shared" ca="1" si="6"/>
        <v>148</v>
      </c>
      <c r="AB76" s="5">
        <f>Table1[[#This Row],[Absentee Days]]/Table1[[#This Row],[Total Work Days]]*100</f>
        <v>2.6923076923076925</v>
      </c>
      <c r="AC76">
        <f>YEAR(Table1[[#This Row],[Join Date]])</f>
        <v>2021</v>
      </c>
      <c r="AD76">
        <f>IF(Table1[[#This Row],[Status]]="Active",1,0)</f>
        <v>0</v>
      </c>
      <c r="AE76">
        <f ca="1">IF(Table1[[#This Row],[Status]]="Exited",Table1[[#This Row],[Recruitment Cost]]+Table1[[#This Row],[Onboarding Cost]]+Table1[[#This Row],[Training Cost]],0)</f>
        <v>6904</v>
      </c>
      <c r="AF76">
        <f>IF(Table1[[#This Row],[Training Completion Status]]="Completed",1,0)</f>
        <v>0</v>
      </c>
      <c r="AG76">
        <f t="shared" ca="1" si="7"/>
        <v>1</v>
      </c>
      <c r="AH76">
        <f t="shared" ca="1" si="8"/>
        <v>3</v>
      </c>
      <c r="AI76">
        <f t="shared" ca="1" si="9"/>
        <v>2</v>
      </c>
      <c r="AJ76" t="s">
        <v>318</v>
      </c>
    </row>
    <row r="77" spans="1:36" x14ac:dyDescent="0.2">
      <c r="A77" t="s">
        <v>129</v>
      </c>
      <c r="B77" t="s">
        <v>43</v>
      </c>
      <c r="C77" t="s">
        <v>32</v>
      </c>
      <c r="D77" t="s">
        <v>33</v>
      </c>
      <c r="E77" s="1">
        <v>44584</v>
      </c>
      <c r="F77" s="1">
        <v>44644</v>
      </c>
      <c r="G77" s="1">
        <v>44653</v>
      </c>
      <c r="H77" s="1" t="s">
        <v>50</v>
      </c>
      <c r="I77" t="s">
        <v>51</v>
      </c>
      <c r="J77" s="2">
        <v>4912</v>
      </c>
      <c r="K77" t="s">
        <v>31</v>
      </c>
      <c r="L77" t="s">
        <v>52</v>
      </c>
      <c r="M77">
        <v>260</v>
      </c>
      <c r="N77">
        <v>5</v>
      </c>
      <c r="O77" s="3">
        <v>1343</v>
      </c>
      <c r="P77">
        <f t="shared" ca="1" si="5"/>
        <v>6</v>
      </c>
      <c r="Q77">
        <f ca="1">RANDBETWEEN(0,Table1[[#This Row],[offers made]])</f>
        <v>5</v>
      </c>
      <c r="R77" t="s">
        <v>306</v>
      </c>
      <c r="S77">
        <f>Table1[[#This Row],[Hire Date]]-Table1[[#This Row],[Job Posting Date]]</f>
        <v>60</v>
      </c>
      <c r="T77" s="4">
        <f>Table1[[#This Row],[Join Date]]-Table1[[#This Row],[Hire Date]]</f>
        <v>9</v>
      </c>
      <c r="U77" s="4">
        <f ca="1">IF(Table1[[#This Row],[Status]]="Exited",Table1[[#This Row],[Exit Date]]-Table1[[#This Row],[Join Date]],TODAY()-Table1[[#This Row],[Join Date]])</f>
        <v>1008</v>
      </c>
      <c r="V77" t="str">
        <f ca="1">IF(Table1[[#This Row],[Total Tenure in Days]]&lt;=730, "yes","no")</f>
        <v>no</v>
      </c>
      <c r="W77">
        <f>Table1[[#This Row],[Hire Date]]-Table1[[#This Row],[Job Posting Date]]</f>
        <v>60</v>
      </c>
      <c r="X77" s="4">
        <f>Table1[[#This Row],[Time to Onboard]]/Table1[[#This Row],[Time to Fill]]*100</f>
        <v>15</v>
      </c>
      <c r="Y77" s="5">
        <f>Table1[[#This Row],[Time to Onboard]]/Table1[[#This Row],[Time to Fill]]*100</f>
        <v>15</v>
      </c>
      <c r="Z77">
        <f>Table1[[#This Row],[Join Date]]-Table1[[#This Row],[Job Posting Date]]</f>
        <v>69</v>
      </c>
      <c r="AA77">
        <f t="shared" ca="1" si="6"/>
        <v>164</v>
      </c>
      <c r="AB77" s="5">
        <f>Table1[[#This Row],[Absentee Days]]/Table1[[#This Row],[Total Work Days]]*100</f>
        <v>1.9230769230769231</v>
      </c>
      <c r="AC77">
        <f>YEAR(Table1[[#This Row],[Join Date]])</f>
        <v>2022</v>
      </c>
      <c r="AD77">
        <f>IF(Table1[[#This Row],[Status]]="Active",1,0)</f>
        <v>1</v>
      </c>
      <c r="AE77">
        <f>IF(Table1[[#This Row],[Status]]="Exited",Table1[[#This Row],[Recruitment Cost]]+Table1[[#This Row],[Onboarding Cost]]+Table1[[#This Row],[Training Cost]],0)</f>
        <v>0</v>
      </c>
      <c r="AF77">
        <f>IF(Table1[[#This Row],[Training Completion Status]]="Completed",1,0)</f>
        <v>1</v>
      </c>
      <c r="AG77">
        <f t="shared" ca="1" si="7"/>
        <v>5</v>
      </c>
      <c r="AH77">
        <f t="shared" ca="1" si="8"/>
        <v>5</v>
      </c>
      <c r="AI77">
        <f t="shared" ca="1" si="9"/>
        <v>3</v>
      </c>
      <c r="AJ77" t="s">
        <v>318</v>
      </c>
    </row>
    <row r="78" spans="1:36" x14ac:dyDescent="0.2">
      <c r="A78" t="s">
        <v>130</v>
      </c>
      <c r="B78" t="s">
        <v>42</v>
      </c>
      <c r="C78" t="s">
        <v>26</v>
      </c>
      <c r="D78" t="s">
        <v>27</v>
      </c>
      <c r="E78" s="1">
        <v>43795</v>
      </c>
      <c r="F78" s="1">
        <v>43882</v>
      </c>
      <c r="G78" s="1">
        <v>43883</v>
      </c>
      <c r="H78" s="1">
        <v>45211</v>
      </c>
      <c r="I78" t="s">
        <v>57</v>
      </c>
      <c r="J78" s="2">
        <v>2280</v>
      </c>
      <c r="K78" t="s">
        <v>37</v>
      </c>
      <c r="L78" t="s">
        <v>52</v>
      </c>
      <c r="M78">
        <v>260</v>
      </c>
      <c r="N78">
        <v>14</v>
      </c>
      <c r="O78" s="3">
        <v>2457</v>
      </c>
      <c r="P78">
        <f t="shared" ca="1" si="5"/>
        <v>10</v>
      </c>
      <c r="Q78">
        <f ca="1">RANDBETWEEN(0,Table1[[#This Row],[offers made]])</f>
        <v>3</v>
      </c>
      <c r="R78" t="s">
        <v>308</v>
      </c>
      <c r="S78">
        <f>Table1[[#This Row],[Hire Date]]-Table1[[#This Row],[Job Posting Date]]</f>
        <v>87</v>
      </c>
      <c r="T78" s="4">
        <f>Table1[[#This Row],[Join Date]]-Table1[[#This Row],[Hire Date]]</f>
        <v>1</v>
      </c>
      <c r="U78" s="4">
        <f ca="1">IF(Table1[[#This Row],[Status]]="Exited",Table1[[#This Row],[Exit Date]]-Table1[[#This Row],[Join Date]],TODAY()-Table1[[#This Row],[Join Date]])</f>
        <v>1328</v>
      </c>
      <c r="V78" t="str">
        <f ca="1">IF(Table1[[#This Row],[Total Tenure in Days]]&lt;=730, "yes","no")</f>
        <v>no</v>
      </c>
      <c r="W78">
        <f>Table1[[#This Row],[Hire Date]]-Table1[[#This Row],[Job Posting Date]]</f>
        <v>87</v>
      </c>
      <c r="X78" s="4">
        <f>Table1[[#This Row],[Time to Onboard]]/Table1[[#This Row],[Time to Fill]]*100</f>
        <v>1.1494252873563218</v>
      </c>
      <c r="Y78" s="5">
        <f>Table1[[#This Row],[Time to Onboard]]/Table1[[#This Row],[Time to Fill]]*100</f>
        <v>1.1494252873563218</v>
      </c>
      <c r="Z78">
        <f>Table1[[#This Row],[Join Date]]-Table1[[#This Row],[Job Posting Date]]</f>
        <v>88</v>
      </c>
      <c r="AA78">
        <f t="shared" ca="1" si="6"/>
        <v>134</v>
      </c>
      <c r="AB78" s="5">
        <f>Table1[[#This Row],[Absentee Days]]/Table1[[#This Row],[Total Work Days]]*100</f>
        <v>5.384615384615385</v>
      </c>
      <c r="AC78">
        <f>YEAR(Table1[[#This Row],[Join Date]])</f>
        <v>2020</v>
      </c>
      <c r="AD78">
        <f>IF(Table1[[#This Row],[Status]]="Active",1,0)</f>
        <v>0</v>
      </c>
      <c r="AE78">
        <f ca="1">IF(Table1[[#This Row],[Status]]="Exited",Table1[[#This Row],[Recruitment Cost]]+Table1[[#This Row],[Onboarding Cost]]+Table1[[#This Row],[Training Cost]],0)</f>
        <v>4871</v>
      </c>
      <c r="AF78">
        <f>IF(Table1[[#This Row],[Training Completion Status]]="Completed",1,0)</f>
        <v>1</v>
      </c>
      <c r="AG78">
        <f t="shared" ca="1" si="7"/>
        <v>2</v>
      </c>
      <c r="AH78">
        <f t="shared" ca="1" si="8"/>
        <v>5</v>
      </c>
      <c r="AI78">
        <f t="shared" ca="1" si="9"/>
        <v>4</v>
      </c>
      <c r="AJ78" t="s">
        <v>318</v>
      </c>
    </row>
    <row r="79" spans="1:36" x14ac:dyDescent="0.2">
      <c r="A79" t="s">
        <v>131</v>
      </c>
      <c r="B79" t="s">
        <v>43</v>
      </c>
      <c r="C79" t="s">
        <v>26</v>
      </c>
      <c r="D79" t="s">
        <v>27</v>
      </c>
      <c r="E79" s="1">
        <v>44869</v>
      </c>
      <c r="F79" s="1">
        <v>44897</v>
      </c>
      <c r="G79" s="1">
        <v>44905</v>
      </c>
      <c r="H79" s="1" t="s">
        <v>50</v>
      </c>
      <c r="I79" t="s">
        <v>51</v>
      </c>
      <c r="J79" s="2">
        <v>4644</v>
      </c>
      <c r="K79" t="s">
        <v>28</v>
      </c>
      <c r="L79" t="s">
        <v>52</v>
      </c>
      <c r="M79">
        <v>260</v>
      </c>
      <c r="N79">
        <v>19</v>
      </c>
      <c r="O79" s="3">
        <v>1440</v>
      </c>
      <c r="P79">
        <f t="shared" ca="1" si="5"/>
        <v>6</v>
      </c>
      <c r="Q79">
        <f ca="1">RANDBETWEEN(0,Table1[[#This Row],[offers made]])</f>
        <v>3</v>
      </c>
      <c r="R79" t="s">
        <v>308</v>
      </c>
      <c r="S79">
        <f>Table1[[#This Row],[Hire Date]]-Table1[[#This Row],[Job Posting Date]]</f>
        <v>28</v>
      </c>
      <c r="T79" s="4">
        <f>Table1[[#This Row],[Join Date]]-Table1[[#This Row],[Hire Date]]</f>
        <v>8</v>
      </c>
      <c r="U79" s="4">
        <f ca="1">IF(Table1[[#This Row],[Status]]="Exited",Table1[[#This Row],[Exit Date]]-Table1[[#This Row],[Join Date]],TODAY()-Table1[[#This Row],[Join Date]])</f>
        <v>756</v>
      </c>
      <c r="V79" t="str">
        <f ca="1">IF(Table1[[#This Row],[Total Tenure in Days]]&lt;=730, "yes","no")</f>
        <v>no</v>
      </c>
      <c r="W79">
        <f>Table1[[#This Row],[Hire Date]]-Table1[[#This Row],[Job Posting Date]]</f>
        <v>28</v>
      </c>
      <c r="X79" s="4">
        <f>Table1[[#This Row],[Time to Onboard]]/Table1[[#This Row],[Time to Fill]]*100</f>
        <v>28.571428571428569</v>
      </c>
      <c r="Y79" s="5">
        <f>Table1[[#This Row],[Time to Onboard]]/Table1[[#This Row],[Time to Fill]]*100</f>
        <v>28.571428571428569</v>
      </c>
      <c r="Z79">
        <f>Table1[[#This Row],[Join Date]]-Table1[[#This Row],[Job Posting Date]]</f>
        <v>36</v>
      </c>
      <c r="AA79">
        <f t="shared" ca="1" si="6"/>
        <v>111</v>
      </c>
      <c r="AB79" s="5">
        <f>Table1[[#This Row],[Absentee Days]]/Table1[[#This Row],[Total Work Days]]*100</f>
        <v>7.3076923076923084</v>
      </c>
      <c r="AC79">
        <f>YEAR(Table1[[#This Row],[Join Date]])</f>
        <v>2022</v>
      </c>
      <c r="AD79">
        <f>IF(Table1[[#This Row],[Status]]="Active",1,0)</f>
        <v>1</v>
      </c>
      <c r="AE79">
        <f>IF(Table1[[#This Row],[Status]]="Exited",Table1[[#This Row],[Recruitment Cost]]+Table1[[#This Row],[Onboarding Cost]]+Table1[[#This Row],[Training Cost]],0)</f>
        <v>0</v>
      </c>
      <c r="AF79">
        <f>IF(Table1[[#This Row],[Training Completion Status]]="Completed",1,0)</f>
        <v>1</v>
      </c>
      <c r="AG79">
        <f t="shared" ca="1" si="7"/>
        <v>2</v>
      </c>
      <c r="AH79">
        <f t="shared" ca="1" si="8"/>
        <v>5</v>
      </c>
      <c r="AI79">
        <f t="shared" ca="1" si="9"/>
        <v>1</v>
      </c>
      <c r="AJ79" t="s">
        <v>318</v>
      </c>
    </row>
    <row r="80" spans="1:36" x14ac:dyDescent="0.2">
      <c r="A80" t="s">
        <v>132</v>
      </c>
      <c r="B80" t="s">
        <v>42</v>
      </c>
      <c r="C80" t="s">
        <v>29</v>
      </c>
      <c r="D80" t="s">
        <v>30</v>
      </c>
      <c r="E80" s="1">
        <v>44452</v>
      </c>
      <c r="F80" s="1">
        <v>44534</v>
      </c>
      <c r="G80" s="1">
        <v>44538</v>
      </c>
      <c r="H80" s="1" t="s">
        <v>50</v>
      </c>
      <c r="I80" t="s">
        <v>51</v>
      </c>
      <c r="J80" s="2">
        <v>2657</v>
      </c>
      <c r="K80" t="s">
        <v>34</v>
      </c>
      <c r="L80" t="s">
        <v>55</v>
      </c>
      <c r="M80">
        <v>260</v>
      </c>
      <c r="N80">
        <v>6</v>
      </c>
      <c r="O80" s="3">
        <v>1654</v>
      </c>
      <c r="P80">
        <f t="shared" ca="1" si="5"/>
        <v>3</v>
      </c>
      <c r="Q80">
        <f ca="1">RANDBETWEEN(0,Table1[[#This Row],[offers made]])</f>
        <v>3</v>
      </c>
      <c r="R80" t="s">
        <v>306</v>
      </c>
      <c r="S80">
        <f>Table1[[#This Row],[Hire Date]]-Table1[[#This Row],[Job Posting Date]]</f>
        <v>82</v>
      </c>
      <c r="T80" s="4">
        <f>Table1[[#This Row],[Join Date]]-Table1[[#This Row],[Hire Date]]</f>
        <v>4</v>
      </c>
      <c r="U80" s="4">
        <f ca="1">IF(Table1[[#This Row],[Status]]="Exited",Table1[[#This Row],[Exit Date]]-Table1[[#This Row],[Join Date]],TODAY()-Table1[[#This Row],[Join Date]])</f>
        <v>1123</v>
      </c>
      <c r="V80" t="str">
        <f ca="1">IF(Table1[[#This Row],[Total Tenure in Days]]&lt;=730, "yes","no")</f>
        <v>no</v>
      </c>
      <c r="W80">
        <f>Table1[[#This Row],[Hire Date]]-Table1[[#This Row],[Job Posting Date]]</f>
        <v>82</v>
      </c>
      <c r="X80" s="4">
        <f>Table1[[#This Row],[Time to Onboard]]/Table1[[#This Row],[Time to Fill]]*100</f>
        <v>4.8780487804878048</v>
      </c>
      <c r="Y80" s="5">
        <f>Table1[[#This Row],[Time to Onboard]]/Table1[[#This Row],[Time to Fill]]*100</f>
        <v>4.8780487804878048</v>
      </c>
      <c r="Z80">
        <f>Table1[[#This Row],[Join Date]]-Table1[[#This Row],[Job Posting Date]]</f>
        <v>86</v>
      </c>
      <c r="AA80">
        <f t="shared" ca="1" si="6"/>
        <v>109</v>
      </c>
      <c r="AB80" s="5">
        <f>Table1[[#This Row],[Absentee Days]]/Table1[[#This Row],[Total Work Days]]*100</f>
        <v>2.3076923076923079</v>
      </c>
      <c r="AC80">
        <f>YEAR(Table1[[#This Row],[Join Date]])</f>
        <v>2021</v>
      </c>
      <c r="AD80">
        <f>IF(Table1[[#This Row],[Status]]="Active",1,0)</f>
        <v>1</v>
      </c>
      <c r="AE80">
        <f>IF(Table1[[#This Row],[Status]]="Exited",Table1[[#This Row],[Recruitment Cost]]+Table1[[#This Row],[Onboarding Cost]]+Table1[[#This Row],[Training Cost]],0)</f>
        <v>0</v>
      </c>
      <c r="AF80">
        <f>IF(Table1[[#This Row],[Training Completion Status]]="Completed",1,0)</f>
        <v>0</v>
      </c>
      <c r="AG80">
        <f t="shared" ca="1" si="7"/>
        <v>2</v>
      </c>
      <c r="AH80">
        <f t="shared" ca="1" si="8"/>
        <v>3</v>
      </c>
      <c r="AI80">
        <f t="shared" ca="1" si="9"/>
        <v>3</v>
      </c>
      <c r="AJ80" t="s">
        <v>318</v>
      </c>
    </row>
    <row r="81" spans="1:36" x14ac:dyDescent="0.2">
      <c r="A81" t="s">
        <v>133</v>
      </c>
      <c r="B81" t="s">
        <v>42</v>
      </c>
      <c r="C81" t="s">
        <v>35</v>
      </c>
      <c r="D81" t="s">
        <v>36</v>
      </c>
      <c r="E81" s="1">
        <v>43757</v>
      </c>
      <c r="F81" s="1">
        <v>43818</v>
      </c>
      <c r="G81" s="1">
        <v>43831</v>
      </c>
      <c r="H81" s="1" t="s">
        <v>50</v>
      </c>
      <c r="I81" t="s">
        <v>51</v>
      </c>
      <c r="J81" s="2">
        <v>3932</v>
      </c>
      <c r="K81" t="s">
        <v>34</v>
      </c>
      <c r="L81" t="s">
        <v>52</v>
      </c>
      <c r="M81">
        <v>260</v>
      </c>
      <c r="N81">
        <v>14</v>
      </c>
      <c r="O81" s="3">
        <v>2236</v>
      </c>
      <c r="P81">
        <f t="shared" ca="1" si="5"/>
        <v>9</v>
      </c>
      <c r="Q81">
        <f ca="1">RANDBETWEEN(0,Table1[[#This Row],[offers made]])</f>
        <v>8</v>
      </c>
      <c r="R81" t="s">
        <v>307</v>
      </c>
      <c r="S81">
        <f>Table1[[#This Row],[Hire Date]]-Table1[[#This Row],[Job Posting Date]]</f>
        <v>61</v>
      </c>
      <c r="T81" s="4">
        <f>Table1[[#This Row],[Join Date]]-Table1[[#This Row],[Hire Date]]</f>
        <v>13</v>
      </c>
      <c r="U81" s="4">
        <f ca="1">IF(Table1[[#This Row],[Status]]="Exited",Table1[[#This Row],[Exit Date]]-Table1[[#This Row],[Join Date]],TODAY()-Table1[[#This Row],[Join Date]])</f>
        <v>1830</v>
      </c>
      <c r="V81" t="str">
        <f ca="1">IF(Table1[[#This Row],[Total Tenure in Days]]&lt;=730, "yes","no")</f>
        <v>no</v>
      </c>
      <c r="W81">
        <f>Table1[[#This Row],[Hire Date]]-Table1[[#This Row],[Job Posting Date]]</f>
        <v>61</v>
      </c>
      <c r="X81" s="4">
        <f>Table1[[#This Row],[Time to Onboard]]/Table1[[#This Row],[Time to Fill]]*100</f>
        <v>21.311475409836063</v>
      </c>
      <c r="Y81" s="5">
        <f>Table1[[#This Row],[Time to Onboard]]/Table1[[#This Row],[Time to Fill]]*100</f>
        <v>21.311475409836063</v>
      </c>
      <c r="Z81">
        <f>Table1[[#This Row],[Join Date]]-Table1[[#This Row],[Job Posting Date]]</f>
        <v>74</v>
      </c>
      <c r="AA81">
        <f t="shared" ca="1" si="6"/>
        <v>115</v>
      </c>
      <c r="AB81" s="5">
        <f>Table1[[#This Row],[Absentee Days]]/Table1[[#This Row],[Total Work Days]]*100</f>
        <v>5.384615384615385</v>
      </c>
      <c r="AC81">
        <f>YEAR(Table1[[#This Row],[Join Date]])</f>
        <v>2020</v>
      </c>
      <c r="AD81">
        <f>IF(Table1[[#This Row],[Status]]="Active",1,0)</f>
        <v>1</v>
      </c>
      <c r="AE81">
        <f>IF(Table1[[#This Row],[Status]]="Exited",Table1[[#This Row],[Recruitment Cost]]+Table1[[#This Row],[Onboarding Cost]]+Table1[[#This Row],[Training Cost]],0)</f>
        <v>0</v>
      </c>
      <c r="AF81">
        <f>IF(Table1[[#This Row],[Training Completion Status]]="Completed",1,0)</f>
        <v>1</v>
      </c>
      <c r="AG81">
        <f t="shared" ca="1" si="7"/>
        <v>3</v>
      </c>
      <c r="AH81">
        <f t="shared" ca="1" si="8"/>
        <v>2</v>
      </c>
      <c r="AI81">
        <f t="shared" ca="1" si="9"/>
        <v>2</v>
      </c>
      <c r="AJ81" t="s">
        <v>317</v>
      </c>
    </row>
    <row r="82" spans="1:36" x14ac:dyDescent="0.2">
      <c r="A82" t="s">
        <v>134</v>
      </c>
      <c r="B82" t="s">
        <v>42</v>
      </c>
      <c r="C82" t="s">
        <v>26</v>
      </c>
      <c r="D82" t="s">
        <v>27</v>
      </c>
      <c r="E82" s="1">
        <v>43613</v>
      </c>
      <c r="F82" s="1">
        <v>43689</v>
      </c>
      <c r="G82" s="1">
        <v>43704</v>
      </c>
      <c r="H82" s="1" t="s">
        <v>50</v>
      </c>
      <c r="I82" t="s">
        <v>51</v>
      </c>
      <c r="J82" s="2">
        <v>2162</v>
      </c>
      <c r="K82" t="s">
        <v>40</v>
      </c>
      <c r="L82" t="s">
        <v>55</v>
      </c>
      <c r="M82">
        <v>260</v>
      </c>
      <c r="N82">
        <v>13</v>
      </c>
      <c r="O82" s="3">
        <v>1727</v>
      </c>
      <c r="P82">
        <f t="shared" ca="1" si="5"/>
        <v>2</v>
      </c>
      <c r="Q82">
        <f ca="1">RANDBETWEEN(0,Table1[[#This Row],[offers made]])</f>
        <v>2</v>
      </c>
      <c r="R82" t="s">
        <v>307</v>
      </c>
      <c r="S82">
        <f>Table1[[#This Row],[Hire Date]]-Table1[[#This Row],[Job Posting Date]]</f>
        <v>76</v>
      </c>
      <c r="T82" s="4">
        <f>Table1[[#This Row],[Join Date]]-Table1[[#This Row],[Hire Date]]</f>
        <v>15</v>
      </c>
      <c r="U82" s="4">
        <f ca="1">IF(Table1[[#This Row],[Status]]="Exited",Table1[[#This Row],[Exit Date]]-Table1[[#This Row],[Join Date]],TODAY()-Table1[[#This Row],[Join Date]])</f>
        <v>1957</v>
      </c>
      <c r="V82" t="str">
        <f ca="1">IF(Table1[[#This Row],[Total Tenure in Days]]&lt;=730, "yes","no")</f>
        <v>no</v>
      </c>
      <c r="W82">
        <f>Table1[[#This Row],[Hire Date]]-Table1[[#This Row],[Job Posting Date]]</f>
        <v>76</v>
      </c>
      <c r="X82" s="4">
        <f>Table1[[#This Row],[Time to Onboard]]/Table1[[#This Row],[Time to Fill]]*100</f>
        <v>19.736842105263158</v>
      </c>
      <c r="Y82" s="5">
        <f>Table1[[#This Row],[Time to Onboard]]/Table1[[#This Row],[Time to Fill]]*100</f>
        <v>19.736842105263158</v>
      </c>
      <c r="Z82">
        <f>Table1[[#This Row],[Join Date]]-Table1[[#This Row],[Job Posting Date]]</f>
        <v>91</v>
      </c>
      <c r="AA82">
        <f t="shared" ca="1" si="6"/>
        <v>183</v>
      </c>
      <c r="AB82" s="5">
        <f>Table1[[#This Row],[Absentee Days]]/Table1[[#This Row],[Total Work Days]]*100</f>
        <v>5</v>
      </c>
      <c r="AC82">
        <f>YEAR(Table1[[#This Row],[Join Date]])</f>
        <v>2019</v>
      </c>
      <c r="AD82">
        <f>IF(Table1[[#This Row],[Status]]="Active",1,0)</f>
        <v>1</v>
      </c>
      <c r="AE82">
        <f>IF(Table1[[#This Row],[Status]]="Exited",Table1[[#This Row],[Recruitment Cost]]+Table1[[#This Row],[Onboarding Cost]]+Table1[[#This Row],[Training Cost]],0)</f>
        <v>0</v>
      </c>
      <c r="AF82">
        <f>IF(Table1[[#This Row],[Training Completion Status]]="Completed",1,0)</f>
        <v>0</v>
      </c>
      <c r="AG82">
        <f t="shared" ca="1" si="7"/>
        <v>3</v>
      </c>
      <c r="AH82">
        <f t="shared" ca="1" si="8"/>
        <v>1</v>
      </c>
      <c r="AI82">
        <f t="shared" ca="1" si="9"/>
        <v>2</v>
      </c>
      <c r="AJ82" t="s">
        <v>318</v>
      </c>
    </row>
    <row r="83" spans="1:36" x14ac:dyDescent="0.2">
      <c r="A83" t="s">
        <v>135</v>
      </c>
      <c r="B83" t="s">
        <v>41</v>
      </c>
      <c r="C83" t="s">
        <v>29</v>
      </c>
      <c r="D83" t="s">
        <v>30</v>
      </c>
      <c r="E83" s="1">
        <v>44601</v>
      </c>
      <c r="F83" s="1">
        <v>44621</v>
      </c>
      <c r="G83" s="1">
        <v>44630</v>
      </c>
      <c r="H83" s="1">
        <v>44885</v>
      </c>
      <c r="I83" t="s">
        <v>57</v>
      </c>
      <c r="J83" s="2">
        <v>1603</v>
      </c>
      <c r="K83" t="s">
        <v>40</v>
      </c>
      <c r="L83" t="s">
        <v>55</v>
      </c>
      <c r="M83">
        <v>260</v>
      </c>
      <c r="N83">
        <v>0</v>
      </c>
      <c r="O83" s="3">
        <v>1327</v>
      </c>
      <c r="P83">
        <f t="shared" ca="1" si="5"/>
        <v>8</v>
      </c>
      <c r="Q83">
        <f ca="1">RANDBETWEEN(0,Table1[[#This Row],[offers made]])</f>
        <v>3</v>
      </c>
      <c r="R83" t="s">
        <v>308</v>
      </c>
      <c r="S83">
        <f>Table1[[#This Row],[Hire Date]]-Table1[[#This Row],[Job Posting Date]]</f>
        <v>20</v>
      </c>
      <c r="T83" s="4">
        <f>Table1[[#This Row],[Join Date]]-Table1[[#This Row],[Hire Date]]</f>
        <v>9</v>
      </c>
      <c r="U83" s="4">
        <f ca="1">IF(Table1[[#This Row],[Status]]="Exited",Table1[[#This Row],[Exit Date]]-Table1[[#This Row],[Join Date]],TODAY()-Table1[[#This Row],[Join Date]])</f>
        <v>255</v>
      </c>
      <c r="V83" t="str">
        <f ca="1">IF(Table1[[#This Row],[Total Tenure in Days]]&lt;=730, "yes","no")</f>
        <v>yes</v>
      </c>
      <c r="W83">
        <f>Table1[[#This Row],[Hire Date]]-Table1[[#This Row],[Job Posting Date]]</f>
        <v>20</v>
      </c>
      <c r="X83" s="4">
        <f>Table1[[#This Row],[Time to Onboard]]/Table1[[#This Row],[Time to Fill]]*100</f>
        <v>45</v>
      </c>
      <c r="Y83" s="5">
        <f>Table1[[#This Row],[Time to Onboard]]/Table1[[#This Row],[Time to Fill]]*100</f>
        <v>45</v>
      </c>
      <c r="Z83">
        <f>Table1[[#This Row],[Join Date]]-Table1[[#This Row],[Job Posting Date]]</f>
        <v>29</v>
      </c>
      <c r="AA83">
        <f t="shared" ca="1" si="6"/>
        <v>158</v>
      </c>
      <c r="AB83" s="5">
        <f>Table1[[#This Row],[Absentee Days]]/Table1[[#This Row],[Total Work Days]]*100</f>
        <v>0</v>
      </c>
      <c r="AC83">
        <f>YEAR(Table1[[#This Row],[Join Date]])</f>
        <v>2022</v>
      </c>
      <c r="AD83">
        <f>IF(Table1[[#This Row],[Status]]="Active",1,0)</f>
        <v>0</v>
      </c>
      <c r="AE83">
        <f ca="1">IF(Table1[[#This Row],[Status]]="Exited",Table1[[#This Row],[Recruitment Cost]]+Table1[[#This Row],[Onboarding Cost]]+Table1[[#This Row],[Training Cost]],0)</f>
        <v>3088</v>
      </c>
      <c r="AF83">
        <f>IF(Table1[[#This Row],[Training Completion Status]]="Completed",1,0)</f>
        <v>0</v>
      </c>
      <c r="AG83">
        <f t="shared" ca="1" si="7"/>
        <v>3</v>
      </c>
      <c r="AH83">
        <f t="shared" ca="1" si="8"/>
        <v>4</v>
      </c>
      <c r="AI83">
        <f t="shared" ca="1" si="9"/>
        <v>4</v>
      </c>
      <c r="AJ83" t="s">
        <v>317</v>
      </c>
    </row>
    <row r="84" spans="1:36" x14ac:dyDescent="0.2">
      <c r="A84" t="s">
        <v>136</v>
      </c>
      <c r="B84" t="s">
        <v>43</v>
      </c>
      <c r="C84" t="s">
        <v>35</v>
      </c>
      <c r="D84" t="s">
        <v>36</v>
      </c>
      <c r="E84" s="1">
        <v>44902</v>
      </c>
      <c r="F84" s="1">
        <v>44965</v>
      </c>
      <c r="G84" s="1">
        <v>44966</v>
      </c>
      <c r="H84" s="1">
        <v>45088</v>
      </c>
      <c r="I84" t="s">
        <v>57</v>
      </c>
      <c r="J84" s="2">
        <v>3531</v>
      </c>
      <c r="K84" t="s">
        <v>40</v>
      </c>
      <c r="L84" t="s">
        <v>52</v>
      </c>
      <c r="M84">
        <v>260</v>
      </c>
      <c r="N84">
        <v>12</v>
      </c>
      <c r="O84" s="3">
        <v>1330</v>
      </c>
      <c r="P84">
        <f t="shared" ca="1" si="5"/>
        <v>10</v>
      </c>
      <c r="Q84">
        <f ca="1">RANDBETWEEN(0,Table1[[#This Row],[offers made]])</f>
        <v>3</v>
      </c>
      <c r="R84" t="s">
        <v>306</v>
      </c>
      <c r="S84">
        <f>Table1[[#This Row],[Hire Date]]-Table1[[#This Row],[Job Posting Date]]</f>
        <v>63</v>
      </c>
      <c r="T84" s="4">
        <f>Table1[[#This Row],[Join Date]]-Table1[[#This Row],[Hire Date]]</f>
        <v>1</v>
      </c>
      <c r="U84" s="4">
        <f ca="1">IF(Table1[[#This Row],[Status]]="Exited",Table1[[#This Row],[Exit Date]]-Table1[[#This Row],[Join Date]],TODAY()-Table1[[#This Row],[Join Date]])</f>
        <v>122</v>
      </c>
      <c r="V84" t="str">
        <f ca="1">IF(Table1[[#This Row],[Total Tenure in Days]]&lt;=730, "yes","no")</f>
        <v>yes</v>
      </c>
      <c r="W84">
        <f>Table1[[#This Row],[Hire Date]]-Table1[[#This Row],[Job Posting Date]]</f>
        <v>63</v>
      </c>
      <c r="X84" s="4">
        <f>Table1[[#This Row],[Time to Onboard]]/Table1[[#This Row],[Time to Fill]]*100</f>
        <v>1.5873015873015872</v>
      </c>
      <c r="Y84" s="5">
        <f>Table1[[#This Row],[Time to Onboard]]/Table1[[#This Row],[Time to Fill]]*100</f>
        <v>1.5873015873015872</v>
      </c>
      <c r="Z84">
        <f>Table1[[#This Row],[Join Date]]-Table1[[#This Row],[Job Posting Date]]</f>
        <v>64</v>
      </c>
      <c r="AA84">
        <f t="shared" ca="1" si="6"/>
        <v>130</v>
      </c>
      <c r="AB84" s="5">
        <f>Table1[[#This Row],[Absentee Days]]/Table1[[#This Row],[Total Work Days]]*100</f>
        <v>4.6153846153846159</v>
      </c>
      <c r="AC84">
        <f>YEAR(Table1[[#This Row],[Join Date]])</f>
        <v>2023</v>
      </c>
      <c r="AD84">
        <f>IF(Table1[[#This Row],[Status]]="Active",1,0)</f>
        <v>0</v>
      </c>
      <c r="AE84">
        <f ca="1">IF(Table1[[#This Row],[Status]]="Exited",Table1[[#This Row],[Recruitment Cost]]+Table1[[#This Row],[Onboarding Cost]]+Table1[[#This Row],[Training Cost]],0)</f>
        <v>4991</v>
      </c>
      <c r="AF84">
        <f>IF(Table1[[#This Row],[Training Completion Status]]="Completed",1,0)</f>
        <v>1</v>
      </c>
      <c r="AG84">
        <f t="shared" ca="1" si="7"/>
        <v>5</v>
      </c>
      <c r="AH84">
        <f t="shared" ca="1" si="8"/>
        <v>5</v>
      </c>
      <c r="AI84">
        <f t="shared" ca="1" si="9"/>
        <v>4</v>
      </c>
      <c r="AJ84" t="s">
        <v>317</v>
      </c>
    </row>
    <row r="85" spans="1:36" x14ac:dyDescent="0.2">
      <c r="A85" t="s">
        <v>137</v>
      </c>
      <c r="B85" t="s">
        <v>41</v>
      </c>
      <c r="C85" t="s">
        <v>35</v>
      </c>
      <c r="D85" t="s">
        <v>36</v>
      </c>
      <c r="E85" s="1">
        <v>44167</v>
      </c>
      <c r="F85" s="1">
        <v>44235</v>
      </c>
      <c r="G85" s="1">
        <v>44248</v>
      </c>
      <c r="H85" s="1">
        <v>44598</v>
      </c>
      <c r="I85" t="s">
        <v>57</v>
      </c>
      <c r="J85" s="2">
        <v>4330</v>
      </c>
      <c r="K85" t="s">
        <v>40</v>
      </c>
      <c r="L85" t="s">
        <v>55</v>
      </c>
      <c r="M85">
        <v>260</v>
      </c>
      <c r="N85">
        <v>15</v>
      </c>
      <c r="O85" s="3">
        <v>1295</v>
      </c>
      <c r="P85">
        <f t="shared" ca="1" si="5"/>
        <v>9</v>
      </c>
      <c r="Q85">
        <f ca="1">RANDBETWEEN(0,Table1[[#This Row],[offers made]])</f>
        <v>8</v>
      </c>
      <c r="R85" t="s">
        <v>306</v>
      </c>
      <c r="S85">
        <f>Table1[[#This Row],[Hire Date]]-Table1[[#This Row],[Job Posting Date]]</f>
        <v>68</v>
      </c>
      <c r="T85" s="4">
        <f>Table1[[#This Row],[Join Date]]-Table1[[#This Row],[Hire Date]]</f>
        <v>13</v>
      </c>
      <c r="U85" s="4">
        <f ca="1">IF(Table1[[#This Row],[Status]]="Exited",Table1[[#This Row],[Exit Date]]-Table1[[#This Row],[Join Date]],TODAY()-Table1[[#This Row],[Join Date]])</f>
        <v>350</v>
      </c>
      <c r="V85" t="str">
        <f ca="1">IF(Table1[[#This Row],[Total Tenure in Days]]&lt;=730, "yes","no")</f>
        <v>yes</v>
      </c>
      <c r="W85">
        <f>Table1[[#This Row],[Hire Date]]-Table1[[#This Row],[Job Posting Date]]</f>
        <v>68</v>
      </c>
      <c r="X85" s="4">
        <f>Table1[[#This Row],[Time to Onboard]]/Table1[[#This Row],[Time to Fill]]*100</f>
        <v>19.117647058823529</v>
      </c>
      <c r="Y85" s="5">
        <f>Table1[[#This Row],[Time to Onboard]]/Table1[[#This Row],[Time to Fill]]*100</f>
        <v>19.117647058823529</v>
      </c>
      <c r="Z85">
        <f>Table1[[#This Row],[Join Date]]-Table1[[#This Row],[Job Posting Date]]</f>
        <v>81</v>
      </c>
      <c r="AA85">
        <f t="shared" ca="1" si="6"/>
        <v>167</v>
      </c>
      <c r="AB85" s="5">
        <f>Table1[[#This Row],[Absentee Days]]/Table1[[#This Row],[Total Work Days]]*100</f>
        <v>5.7692307692307692</v>
      </c>
      <c r="AC85">
        <f>YEAR(Table1[[#This Row],[Join Date]])</f>
        <v>2021</v>
      </c>
      <c r="AD85">
        <f>IF(Table1[[#This Row],[Status]]="Active",1,0)</f>
        <v>0</v>
      </c>
      <c r="AE85">
        <f ca="1">IF(Table1[[#This Row],[Status]]="Exited",Table1[[#This Row],[Recruitment Cost]]+Table1[[#This Row],[Onboarding Cost]]+Table1[[#This Row],[Training Cost]],0)</f>
        <v>5792</v>
      </c>
      <c r="AF85">
        <f>IF(Table1[[#This Row],[Training Completion Status]]="Completed",1,0)</f>
        <v>0</v>
      </c>
      <c r="AG85">
        <f t="shared" ca="1" si="7"/>
        <v>2</v>
      </c>
      <c r="AH85">
        <f t="shared" ca="1" si="8"/>
        <v>5</v>
      </c>
      <c r="AI85">
        <f t="shared" ca="1" si="9"/>
        <v>4</v>
      </c>
      <c r="AJ85" t="s">
        <v>318</v>
      </c>
    </row>
    <row r="86" spans="1:36" x14ac:dyDescent="0.2">
      <c r="A86" t="s">
        <v>138</v>
      </c>
      <c r="B86" t="s">
        <v>43</v>
      </c>
      <c r="C86" t="s">
        <v>38</v>
      </c>
      <c r="D86" t="s">
        <v>39</v>
      </c>
      <c r="E86" s="1">
        <v>43148</v>
      </c>
      <c r="F86" s="1">
        <v>43193</v>
      </c>
      <c r="G86" s="1">
        <v>43207</v>
      </c>
      <c r="H86" s="1" t="s">
        <v>50</v>
      </c>
      <c r="I86" t="s">
        <v>51</v>
      </c>
      <c r="J86" s="2">
        <v>2432</v>
      </c>
      <c r="K86" t="s">
        <v>34</v>
      </c>
      <c r="L86" t="s">
        <v>52</v>
      </c>
      <c r="M86">
        <v>260</v>
      </c>
      <c r="N86">
        <v>14</v>
      </c>
      <c r="O86" s="3">
        <v>1836</v>
      </c>
      <c r="P86">
        <f t="shared" ca="1" si="5"/>
        <v>10</v>
      </c>
      <c r="Q86">
        <f ca="1">RANDBETWEEN(0,Table1[[#This Row],[offers made]])</f>
        <v>5</v>
      </c>
      <c r="R86" t="s">
        <v>306</v>
      </c>
      <c r="S86">
        <f>Table1[[#This Row],[Hire Date]]-Table1[[#This Row],[Job Posting Date]]</f>
        <v>45</v>
      </c>
      <c r="T86" s="4">
        <f>Table1[[#This Row],[Join Date]]-Table1[[#This Row],[Hire Date]]</f>
        <v>14</v>
      </c>
      <c r="U86" s="4">
        <f ca="1">IF(Table1[[#This Row],[Status]]="Exited",Table1[[#This Row],[Exit Date]]-Table1[[#This Row],[Join Date]],TODAY()-Table1[[#This Row],[Join Date]])</f>
        <v>2454</v>
      </c>
      <c r="V86" t="str">
        <f ca="1">IF(Table1[[#This Row],[Total Tenure in Days]]&lt;=730, "yes","no")</f>
        <v>no</v>
      </c>
      <c r="W86">
        <f>Table1[[#This Row],[Hire Date]]-Table1[[#This Row],[Job Posting Date]]</f>
        <v>45</v>
      </c>
      <c r="X86" s="4">
        <f>Table1[[#This Row],[Time to Onboard]]/Table1[[#This Row],[Time to Fill]]*100</f>
        <v>31.111111111111111</v>
      </c>
      <c r="Y86" s="5">
        <f>Table1[[#This Row],[Time to Onboard]]/Table1[[#This Row],[Time to Fill]]*100</f>
        <v>31.111111111111111</v>
      </c>
      <c r="Z86">
        <f>Table1[[#This Row],[Join Date]]-Table1[[#This Row],[Job Posting Date]]</f>
        <v>59</v>
      </c>
      <c r="AA86">
        <f t="shared" ca="1" si="6"/>
        <v>153</v>
      </c>
      <c r="AB86" s="5">
        <f>Table1[[#This Row],[Absentee Days]]/Table1[[#This Row],[Total Work Days]]*100</f>
        <v>5.384615384615385</v>
      </c>
      <c r="AC86">
        <f>YEAR(Table1[[#This Row],[Join Date]])</f>
        <v>2018</v>
      </c>
      <c r="AD86">
        <f>IF(Table1[[#This Row],[Status]]="Active",1,0)</f>
        <v>1</v>
      </c>
      <c r="AE86">
        <f>IF(Table1[[#This Row],[Status]]="Exited",Table1[[#This Row],[Recruitment Cost]]+Table1[[#This Row],[Onboarding Cost]]+Table1[[#This Row],[Training Cost]],0)</f>
        <v>0</v>
      </c>
      <c r="AF86">
        <f>IF(Table1[[#This Row],[Training Completion Status]]="Completed",1,0)</f>
        <v>1</v>
      </c>
      <c r="AG86">
        <f t="shared" ca="1" si="7"/>
        <v>3</v>
      </c>
      <c r="AH86">
        <f t="shared" ca="1" si="8"/>
        <v>1</v>
      </c>
      <c r="AI86">
        <f t="shared" ca="1" si="9"/>
        <v>5</v>
      </c>
      <c r="AJ86" t="s">
        <v>317</v>
      </c>
    </row>
    <row r="87" spans="1:36" x14ac:dyDescent="0.2">
      <c r="A87" t="s">
        <v>139</v>
      </c>
      <c r="B87" t="s">
        <v>41</v>
      </c>
      <c r="C87" t="s">
        <v>32</v>
      </c>
      <c r="D87" t="s">
        <v>33</v>
      </c>
      <c r="E87" s="1">
        <v>43564</v>
      </c>
      <c r="F87" s="1">
        <v>43635</v>
      </c>
      <c r="G87" s="1">
        <v>43647</v>
      </c>
      <c r="H87" s="1" t="s">
        <v>50</v>
      </c>
      <c r="I87" t="s">
        <v>51</v>
      </c>
      <c r="J87" s="2">
        <v>2980</v>
      </c>
      <c r="K87" t="s">
        <v>40</v>
      </c>
      <c r="L87" t="s">
        <v>52</v>
      </c>
      <c r="M87">
        <v>260</v>
      </c>
      <c r="N87">
        <v>1</v>
      </c>
      <c r="O87" s="3">
        <v>1377</v>
      </c>
      <c r="P87">
        <f t="shared" ca="1" si="5"/>
        <v>7</v>
      </c>
      <c r="Q87">
        <f ca="1">RANDBETWEEN(0,Table1[[#This Row],[offers made]])</f>
        <v>3</v>
      </c>
      <c r="R87" t="s">
        <v>307</v>
      </c>
      <c r="S87">
        <f>Table1[[#This Row],[Hire Date]]-Table1[[#This Row],[Job Posting Date]]</f>
        <v>71</v>
      </c>
      <c r="T87" s="4">
        <f>Table1[[#This Row],[Join Date]]-Table1[[#This Row],[Hire Date]]</f>
        <v>12</v>
      </c>
      <c r="U87" s="4">
        <f ca="1">IF(Table1[[#This Row],[Status]]="Exited",Table1[[#This Row],[Exit Date]]-Table1[[#This Row],[Join Date]],TODAY()-Table1[[#This Row],[Join Date]])</f>
        <v>2014</v>
      </c>
      <c r="V87" t="str">
        <f ca="1">IF(Table1[[#This Row],[Total Tenure in Days]]&lt;=730, "yes","no")</f>
        <v>no</v>
      </c>
      <c r="W87">
        <f>Table1[[#This Row],[Hire Date]]-Table1[[#This Row],[Job Posting Date]]</f>
        <v>71</v>
      </c>
      <c r="X87" s="4">
        <f>Table1[[#This Row],[Time to Onboard]]/Table1[[#This Row],[Time to Fill]]*100</f>
        <v>16.901408450704224</v>
      </c>
      <c r="Y87" s="5">
        <f>Table1[[#This Row],[Time to Onboard]]/Table1[[#This Row],[Time to Fill]]*100</f>
        <v>16.901408450704224</v>
      </c>
      <c r="Z87">
        <f>Table1[[#This Row],[Join Date]]-Table1[[#This Row],[Job Posting Date]]</f>
        <v>83</v>
      </c>
      <c r="AA87">
        <f t="shared" ca="1" si="6"/>
        <v>187</v>
      </c>
      <c r="AB87" s="5">
        <f>Table1[[#This Row],[Absentee Days]]/Table1[[#This Row],[Total Work Days]]*100</f>
        <v>0.38461538461538464</v>
      </c>
      <c r="AC87">
        <f>YEAR(Table1[[#This Row],[Join Date]])</f>
        <v>2019</v>
      </c>
      <c r="AD87">
        <f>IF(Table1[[#This Row],[Status]]="Active",1,0)</f>
        <v>1</v>
      </c>
      <c r="AE87">
        <f>IF(Table1[[#This Row],[Status]]="Exited",Table1[[#This Row],[Recruitment Cost]]+Table1[[#This Row],[Onboarding Cost]]+Table1[[#This Row],[Training Cost]],0)</f>
        <v>0</v>
      </c>
      <c r="AF87">
        <f>IF(Table1[[#This Row],[Training Completion Status]]="Completed",1,0)</f>
        <v>1</v>
      </c>
      <c r="AG87">
        <f t="shared" ca="1" si="7"/>
        <v>3</v>
      </c>
      <c r="AH87">
        <f t="shared" ca="1" si="8"/>
        <v>5</v>
      </c>
      <c r="AI87">
        <f t="shared" ca="1" si="9"/>
        <v>3</v>
      </c>
      <c r="AJ87" t="s">
        <v>318</v>
      </c>
    </row>
    <row r="88" spans="1:36" x14ac:dyDescent="0.2">
      <c r="A88" t="s">
        <v>140</v>
      </c>
      <c r="B88" t="s">
        <v>43</v>
      </c>
      <c r="C88" t="s">
        <v>38</v>
      </c>
      <c r="D88" t="s">
        <v>39</v>
      </c>
      <c r="E88" s="1">
        <v>43143</v>
      </c>
      <c r="F88" s="1">
        <v>43181</v>
      </c>
      <c r="G88" s="1">
        <v>43184</v>
      </c>
      <c r="H88" s="1">
        <v>45263</v>
      </c>
      <c r="I88" t="s">
        <v>57</v>
      </c>
      <c r="J88" s="2">
        <v>3008</v>
      </c>
      <c r="K88" t="s">
        <v>37</v>
      </c>
      <c r="L88" t="s">
        <v>52</v>
      </c>
      <c r="M88">
        <v>260</v>
      </c>
      <c r="N88">
        <v>10</v>
      </c>
      <c r="O88" s="3">
        <v>1515</v>
      </c>
      <c r="P88">
        <f t="shared" ca="1" si="5"/>
        <v>3</v>
      </c>
      <c r="Q88">
        <f ca="1">RANDBETWEEN(0,Table1[[#This Row],[offers made]])</f>
        <v>1</v>
      </c>
      <c r="R88" t="s">
        <v>308</v>
      </c>
      <c r="S88">
        <f>Table1[[#This Row],[Hire Date]]-Table1[[#This Row],[Job Posting Date]]</f>
        <v>38</v>
      </c>
      <c r="T88" s="4">
        <f>Table1[[#This Row],[Join Date]]-Table1[[#This Row],[Hire Date]]</f>
        <v>3</v>
      </c>
      <c r="U88" s="4">
        <f ca="1">IF(Table1[[#This Row],[Status]]="Exited",Table1[[#This Row],[Exit Date]]-Table1[[#This Row],[Join Date]],TODAY()-Table1[[#This Row],[Join Date]])</f>
        <v>2079</v>
      </c>
      <c r="V88" t="str">
        <f ca="1">IF(Table1[[#This Row],[Total Tenure in Days]]&lt;=730, "yes","no")</f>
        <v>no</v>
      </c>
      <c r="W88">
        <f>Table1[[#This Row],[Hire Date]]-Table1[[#This Row],[Job Posting Date]]</f>
        <v>38</v>
      </c>
      <c r="X88" s="4">
        <f>Table1[[#This Row],[Time to Onboard]]/Table1[[#This Row],[Time to Fill]]*100</f>
        <v>7.8947368421052628</v>
      </c>
      <c r="Y88" s="5">
        <f>Table1[[#This Row],[Time to Onboard]]/Table1[[#This Row],[Time to Fill]]*100</f>
        <v>7.8947368421052628</v>
      </c>
      <c r="Z88">
        <f>Table1[[#This Row],[Join Date]]-Table1[[#This Row],[Job Posting Date]]</f>
        <v>41</v>
      </c>
      <c r="AA88">
        <f t="shared" ca="1" si="6"/>
        <v>107</v>
      </c>
      <c r="AB88" s="5">
        <f>Table1[[#This Row],[Absentee Days]]/Table1[[#This Row],[Total Work Days]]*100</f>
        <v>3.8461538461538463</v>
      </c>
      <c r="AC88">
        <f>YEAR(Table1[[#This Row],[Join Date]])</f>
        <v>2018</v>
      </c>
      <c r="AD88">
        <f>IF(Table1[[#This Row],[Status]]="Active",1,0)</f>
        <v>0</v>
      </c>
      <c r="AE88">
        <f ca="1">IF(Table1[[#This Row],[Status]]="Exited",Table1[[#This Row],[Recruitment Cost]]+Table1[[#This Row],[Onboarding Cost]]+Table1[[#This Row],[Training Cost]],0)</f>
        <v>4630</v>
      </c>
      <c r="AF88">
        <f>IF(Table1[[#This Row],[Training Completion Status]]="Completed",1,0)</f>
        <v>1</v>
      </c>
      <c r="AG88">
        <f t="shared" ca="1" si="7"/>
        <v>5</v>
      </c>
      <c r="AH88">
        <f t="shared" ca="1" si="8"/>
        <v>1</v>
      </c>
      <c r="AI88">
        <f t="shared" ca="1" si="9"/>
        <v>1</v>
      </c>
      <c r="AJ88" t="s">
        <v>317</v>
      </c>
    </row>
    <row r="89" spans="1:36" x14ac:dyDescent="0.2">
      <c r="A89" t="s">
        <v>141</v>
      </c>
      <c r="B89" t="s">
        <v>43</v>
      </c>
      <c r="C89" t="s">
        <v>29</v>
      </c>
      <c r="D89" t="s">
        <v>30</v>
      </c>
      <c r="E89" s="1">
        <v>44018</v>
      </c>
      <c r="F89" s="1">
        <v>44064</v>
      </c>
      <c r="G89" s="1">
        <v>44067</v>
      </c>
      <c r="H89" s="1">
        <v>44234</v>
      </c>
      <c r="I89" t="s">
        <v>57</v>
      </c>
      <c r="J89" s="2">
        <v>1725</v>
      </c>
      <c r="K89" t="s">
        <v>40</v>
      </c>
      <c r="L89" t="s">
        <v>52</v>
      </c>
      <c r="M89">
        <v>260</v>
      </c>
      <c r="N89">
        <v>12</v>
      </c>
      <c r="O89" s="3">
        <v>2247</v>
      </c>
      <c r="P89">
        <f t="shared" ca="1" si="5"/>
        <v>5</v>
      </c>
      <c r="Q89">
        <f ca="1">RANDBETWEEN(0,Table1[[#This Row],[offers made]])</f>
        <v>2</v>
      </c>
      <c r="R89" t="s">
        <v>308</v>
      </c>
      <c r="S89">
        <f>Table1[[#This Row],[Hire Date]]-Table1[[#This Row],[Job Posting Date]]</f>
        <v>46</v>
      </c>
      <c r="T89" s="4">
        <f>Table1[[#This Row],[Join Date]]-Table1[[#This Row],[Hire Date]]</f>
        <v>3</v>
      </c>
      <c r="U89" s="4">
        <f ca="1">IF(Table1[[#This Row],[Status]]="Exited",Table1[[#This Row],[Exit Date]]-Table1[[#This Row],[Join Date]],TODAY()-Table1[[#This Row],[Join Date]])</f>
        <v>167</v>
      </c>
      <c r="V89" t="str">
        <f ca="1">IF(Table1[[#This Row],[Total Tenure in Days]]&lt;=730, "yes","no")</f>
        <v>yes</v>
      </c>
      <c r="W89">
        <f>Table1[[#This Row],[Hire Date]]-Table1[[#This Row],[Job Posting Date]]</f>
        <v>46</v>
      </c>
      <c r="X89" s="4">
        <f>Table1[[#This Row],[Time to Onboard]]/Table1[[#This Row],[Time to Fill]]*100</f>
        <v>6.5217391304347823</v>
      </c>
      <c r="Y89" s="5">
        <f>Table1[[#This Row],[Time to Onboard]]/Table1[[#This Row],[Time to Fill]]*100</f>
        <v>6.5217391304347823</v>
      </c>
      <c r="Z89">
        <f>Table1[[#This Row],[Join Date]]-Table1[[#This Row],[Job Posting Date]]</f>
        <v>49</v>
      </c>
      <c r="AA89">
        <f t="shared" ca="1" si="6"/>
        <v>172</v>
      </c>
      <c r="AB89" s="5">
        <f>Table1[[#This Row],[Absentee Days]]/Table1[[#This Row],[Total Work Days]]*100</f>
        <v>4.6153846153846159</v>
      </c>
      <c r="AC89">
        <f>YEAR(Table1[[#This Row],[Join Date]])</f>
        <v>2020</v>
      </c>
      <c r="AD89">
        <f>IF(Table1[[#This Row],[Status]]="Active",1,0)</f>
        <v>0</v>
      </c>
      <c r="AE89">
        <f ca="1">IF(Table1[[#This Row],[Status]]="Exited",Table1[[#This Row],[Recruitment Cost]]+Table1[[#This Row],[Onboarding Cost]]+Table1[[#This Row],[Training Cost]],0)</f>
        <v>4144</v>
      </c>
      <c r="AF89">
        <f>IF(Table1[[#This Row],[Training Completion Status]]="Completed",1,0)</f>
        <v>1</v>
      </c>
      <c r="AG89">
        <f t="shared" ca="1" si="7"/>
        <v>5</v>
      </c>
      <c r="AH89">
        <f t="shared" ca="1" si="8"/>
        <v>5</v>
      </c>
      <c r="AI89">
        <f t="shared" ca="1" si="9"/>
        <v>3</v>
      </c>
      <c r="AJ89" t="s">
        <v>317</v>
      </c>
    </row>
    <row r="90" spans="1:36" x14ac:dyDescent="0.2">
      <c r="A90" t="s">
        <v>142</v>
      </c>
      <c r="B90" t="s">
        <v>42</v>
      </c>
      <c r="C90" t="s">
        <v>32</v>
      </c>
      <c r="D90" t="s">
        <v>33</v>
      </c>
      <c r="E90" s="1">
        <v>43963</v>
      </c>
      <c r="F90" s="1">
        <v>44016</v>
      </c>
      <c r="G90" s="1">
        <v>44017</v>
      </c>
      <c r="H90" s="1">
        <v>45538</v>
      </c>
      <c r="I90" t="s">
        <v>57</v>
      </c>
      <c r="J90" s="2">
        <v>4720</v>
      </c>
      <c r="K90" t="s">
        <v>34</v>
      </c>
      <c r="L90" t="s">
        <v>52</v>
      </c>
      <c r="M90">
        <v>260</v>
      </c>
      <c r="N90">
        <v>14</v>
      </c>
      <c r="O90" s="3">
        <v>1402</v>
      </c>
      <c r="P90">
        <f t="shared" ca="1" si="5"/>
        <v>5</v>
      </c>
      <c r="Q90">
        <f ca="1">RANDBETWEEN(0,Table1[[#This Row],[offers made]])</f>
        <v>4</v>
      </c>
      <c r="R90" t="s">
        <v>308</v>
      </c>
      <c r="S90">
        <f>Table1[[#This Row],[Hire Date]]-Table1[[#This Row],[Job Posting Date]]</f>
        <v>53</v>
      </c>
      <c r="T90" s="4">
        <f>Table1[[#This Row],[Join Date]]-Table1[[#This Row],[Hire Date]]</f>
        <v>1</v>
      </c>
      <c r="U90" s="4">
        <f ca="1">IF(Table1[[#This Row],[Status]]="Exited",Table1[[#This Row],[Exit Date]]-Table1[[#This Row],[Join Date]],TODAY()-Table1[[#This Row],[Join Date]])</f>
        <v>1521</v>
      </c>
      <c r="V90" t="str">
        <f ca="1">IF(Table1[[#This Row],[Total Tenure in Days]]&lt;=730, "yes","no")</f>
        <v>no</v>
      </c>
      <c r="W90">
        <f>Table1[[#This Row],[Hire Date]]-Table1[[#This Row],[Job Posting Date]]</f>
        <v>53</v>
      </c>
      <c r="X90" s="4">
        <f>Table1[[#This Row],[Time to Onboard]]/Table1[[#This Row],[Time to Fill]]*100</f>
        <v>1.8867924528301887</v>
      </c>
      <c r="Y90" s="5">
        <f>Table1[[#This Row],[Time to Onboard]]/Table1[[#This Row],[Time to Fill]]*100</f>
        <v>1.8867924528301887</v>
      </c>
      <c r="Z90">
        <f>Table1[[#This Row],[Join Date]]-Table1[[#This Row],[Job Posting Date]]</f>
        <v>54</v>
      </c>
      <c r="AA90">
        <f t="shared" ca="1" si="6"/>
        <v>163</v>
      </c>
      <c r="AB90" s="5">
        <f>Table1[[#This Row],[Absentee Days]]/Table1[[#This Row],[Total Work Days]]*100</f>
        <v>5.384615384615385</v>
      </c>
      <c r="AC90">
        <f>YEAR(Table1[[#This Row],[Join Date]])</f>
        <v>2020</v>
      </c>
      <c r="AD90">
        <f>IF(Table1[[#This Row],[Status]]="Active",1,0)</f>
        <v>0</v>
      </c>
      <c r="AE90">
        <f ca="1">IF(Table1[[#This Row],[Status]]="Exited",Table1[[#This Row],[Recruitment Cost]]+Table1[[#This Row],[Onboarding Cost]]+Table1[[#This Row],[Training Cost]],0)</f>
        <v>6285</v>
      </c>
      <c r="AF90">
        <f>IF(Table1[[#This Row],[Training Completion Status]]="Completed",1,0)</f>
        <v>1</v>
      </c>
      <c r="AG90">
        <f t="shared" ca="1" si="7"/>
        <v>1</v>
      </c>
      <c r="AH90">
        <f t="shared" ca="1" si="8"/>
        <v>5</v>
      </c>
      <c r="AI90">
        <f t="shared" ca="1" si="9"/>
        <v>2</v>
      </c>
      <c r="AJ90" t="s">
        <v>318</v>
      </c>
    </row>
    <row r="91" spans="1:36" x14ac:dyDescent="0.2">
      <c r="A91" t="s">
        <v>143</v>
      </c>
      <c r="B91" t="s">
        <v>41</v>
      </c>
      <c r="C91" t="s">
        <v>32</v>
      </c>
      <c r="D91" t="s">
        <v>33</v>
      </c>
      <c r="E91" s="1">
        <v>44807</v>
      </c>
      <c r="F91" s="1">
        <v>44867</v>
      </c>
      <c r="G91" s="1">
        <v>44872</v>
      </c>
      <c r="H91" s="1" t="s">
        <v>50</v>
      </c>
      <c r="I91" t="s">
        <v>51</v>
      </c>
      <c r="J91" s="2">
        <v>4766</v>
      </c>
      <c r="K91" t="s">
        <v>40</v>
      </c>
      <c r="L91" t="s">
        <v>55</v>
      </c>
      <c r="M91">
        <v>260</v>
      </c>
      <c r="N91">
        <v>9</v>
      </c>
      <c r="O91" s="3">
        <v>2360</v>
      </c>
      <c r="P91">
        <f t="shared" ca="1" si="5"/>
        <v>4</v>
      </c>
      <c r="Q91">
        <f ca="1">RANDBETWEEN(0,Table1[[#This Row],[offers made]])</f>
        <v>4</v>
      </c>
      <c r="R91" t="s">
        <v>306</v>
      </c>
      <c r="S91">
        <f>Table1[[#This Row],[Hire Date]]-Table1[[#This Row],[Job Posting Date]]</f>
        <v>60</v>
      </c>
      <c r="T91" s="4">
        <f>Table1[[#This Row],[Join Date]]-Table1[[#This Row],[Hire Date]]</f>
        <v>5</v>
      </c>
      <c r="U91" s="4">
        <f ca="1">IF(Table1[[#This Row],[Status]]="Exited",Table1[[#This Row],[Exit Date]]-Table1[[#This Row],[Join Date]],TODAY()-Table1[[#This Row],[Join Date]])</f>
        <v>789</v>
      </c>
      <c r="V91" t="str">
        <f ca="1">IF(Table1[[#This Row],[Total Tenure in Days]]&lt;=730, "yes","no")</f>
        <v>no</v>
      </c>
      <c r="W91">
        <f>Table1[[#This Row],[Hire Date]]-Table1[[#This Row],[Job Posting Date]]</f>
        <v>60</v>
      </c>
      <c r="X91" s="4">
        <f>Table1[[#This Row],[Time to Onboard]]/Table1[[#This Row],[Time to Fill]]*100</f>
        <v>8.3333333333333321</v>
      </c>
      <c r="Y91" s="5">
        <f>Table1[[#This Row],[Time to Onboard]]/Table1[[#This Row],[Time to Fill]]*100</f>
        <v>8.3333333333333321</v>
      </c>
      <c r="Z91">
        <f>Table1[[#This Row],[Join Date]]-Table1[[#This Row],[Job Posting Date]]</f>
        <v>65</v>
      </c>
      <c r="AA91">
        <f t="shared" ca="1" si="6"/>
        <v>122</v>
      </c>
      <c r="AB91" s="5">
        <f>Table1[[#This Row],[Absentee Days]]/Table1[[#This Row],[Total Work Days]]*100</f>
        <v>3.4615384615384617</v>
      </c>
      <c r="AC91">
        <f>YEAR(Table1[[#This Row],[Join Date]])</f>
        <v>2022</v>
      </c>
      <c r="AD91">
        <f>IF(Table1[[#This Row],[Status]]="Active",1,0)</f>
        <v>1</v>
      </c>
      <c r="AE91">
        <f>IF(Table1[[#This Row],[Status]]="Exited",Table1[[#This Row],[Recruitment Cost]]+Table1[[#This Row],[Onboarding Cost]]+Table1[[#This Row],[Training Cost]],0)</f>
        <v>0</v>
      </c>
      <c r="AF91">
        <f>IF(Table1[[#This Row],[Training Completion Status]]="Completed",1,0)</f>
        <v>0</v>
      </c>
      <c r="AG91">
        <f t="shared" ca="1" si="7"/>
        <v>5</v>
      </c>
      <c r="AH91">
        <f t="shared" ca="1" si="8"/>
        <v>1</v>
      </c>
      <c r="AI91">
        <f t="shared" ca="1" si="9"/>
        <v>4</v>
      </c>
      <c r="AJ91" t="s">
        <v>318</v>
      </c>
    </row>
    <row r="92" spans="1:36" x14ac:dyDescent="0.2">
      <c r="A92" t="s">
        <v>144</v>
      </c>
      <c r="B92" t="s">
        <v>43</v>
      </c>
      <c r="C92" t="s">
        <v>35</v>
      </c>
      <c r="D92" t="s">
        <v>36</v>
      </c>
      <c r="E92" s="1">
        <v>44023</v>
      </c>
      <c r="F92" s="1">
        <v>44061</v>
      </c>
      <c r="G92" s="1">
        <v>44066</v>
      </c>
      <c r="H92" s="1">
        <v>44726</v>
      </c>
      <c r="I92" t="s">
        <v>57</v>
      </c>
      <c r="J92" s="2">
        <v>3711</v>
      </c>
      <c r="K92" t="s">
        <v>34</v>
      </c>
      <c r="L92" t="s">
        <v>52</v>
      </c>
      <c r="M92">
        <v>260</v>
      </c>
      <c r="N92">
        <v>11</v>
      </c>
      <c r="O92" s="3">
        <v>2168</v>
      </c>
      <c r="P92">
        <f t="shared" ca="1" si="5"/>
        <v>6</v>
      </c>
      <c r="Q92">
        <f ca="1">RANDBETWEEN(0,Table1[[#This Row],[offers made]])</f>
        <v>5</v>
      </c>
      <c r="R92" t="s">
        <v>306</v>
      </c>
      <c r="S92">
        <f>Table1[[#This Row],[Hire Date]]-Table1[[#This Row],[Job Posting Date]]</f>
        <v>38</v>
      </c>
      <c r="T92" s="4">
        <f>Table1[[#This Row],[Join Date]]-Table1[[#This Row],[Hire Date]]</f>
        <v>5</v>
      </c>
      <c r="U92" s="4">
        <f ca="1">IF(Table1[[#This Row],[Status]]="Exited",Table1[[#This Row],[Exit Date]]-Table1[[#This Row],[Join Date]],TODAY()-Table1[[#This Row],[Join Date]])</f>
        <v>660</v>
      </c>
      <c r="V92" t="str">
        <f ca="1">IF(Table1[[#This Row],[Total Tenure in Days]]&lt;=730, "yes","no")</f>
        <v>yes</v>
      </c>
      <c r="W92">
        <f>Table1[[#This Row],[Hire Date]]-Table1[[#This Row],[Job Posting Date]]</f>
        <v>38</v>
      </c>
      <c r="X92" s="4">
        <f>Table1[[#This Row],[Time to Onboard]]/Table1[[#This Row],[Time to Fill]]*100</f>
        <v>13.157894736842104</v>
      </c>
      <c r="Y92" s="5">
        <f>Table1[[#This Row],[Time to Onboard]]/Table1[[#This Row],[Time to Fill]]*100</f>
        <v>13.157894736842104</v>
      </c>
      <c r="Z92">
        <f>Table1[[#This Row],[Join Date]]-Table1[[#This Row],[Job Posting Date]]</f>
        <v>43</v>
      </c>
      <c r="AA92">
        <f t="shared" ca="1" si="6"/>
        <v>113</v>
      </c>
      <c r="AB92" s="5">
        <f>Table1[[#This Row],[Absentee Days]]/Table1[[#This Row],[Total Work Days]]*100</f>
        <v>4.2307692307692308</v>
      </c>
      <c r="AC92">
        <f>YEAR(Table1[[#This Row],[Join Date]])</f>
        <v>2020</v>
      </c>
      <c r="AD92">
        <f>IF(Table1[[#This Row],[Status]]="Active",1,0)</f>
        <v>0</v>
      </c>
      <c r="AE92">
        <f ca="1">IF(Table1[[#This Row],[Status]]="Exited",Table1[[#This Row],[Recruitment Cost]]+Table1[[#This Row],[Onboarding Cost]]+Table1[[#This Row],[Training Cost]],0)</f>
        <v>5992</v>
      </c>
      <c r="AF92">
        <f>IF(Table1[[#This Row],[Training Completion Status]]="Completed",1,0)</f>
        <v>1</v>
      </c>
      <c r="AG92">
        <f t="shared" ca="1" si="7"/>
        <v>3</v>
      </c>
      <c r="AH92">
        <f t="shared" ca="1" si="8"/>
        <v>5</v>
      </c>
      <c r="AI92">
        <f t="shared" ca="1" si="9"/>
        <v>1</v>
      </c>
      <c r="AJ92" t="s">
        <v>317</v>
      </c>
    </row>
    <row r="93" spans="1:36" x14ac:dyDescent="0.2">
      <c r="A93" t="s">
        <v>145</v>
      </c>
      <c r="B93" t="s">
        <v>42</v>
      </c>
      <c r="C93" t="s">
        <v>38</v>
      </c>
      <c r="D93" t="s">
        <v>39</v>
      </c>
      <c r="E93" s="1">
        <v>44693</v>
      </c>
      <c r="F93" s="1">
        <v>44718</v>
      </c>
      <c r="G93" s="1">
        <v>44722</v>
      </c>
      <c r="H93" s="1" t="s">
        <v>50</v>
      </c>
      <c r="I93" t="s">
        <v>51</v>
      </c>
      <c r="J93" s="2">
        <v>4302</v>
      </c>
      <c r="K93" t="s">
        <v>40</v>
      </c>
      <c r="L93" t="s">
        <v>52</v>
      </c>
      <c r="M93">
        <v>260</v>
      </c>
      <c r="N93">
        <v>17</v>
      </c>
      <c r="O93" s="3">
        <v>2319</v>
      </c>
      <c r="P93">
        <f t="shared" ca="1" si="5"/>
        <v>5</v>
      </c>
      <c r="Q93">
        <f ca="1">RANDBETWEEN(0,Table1[[#This Row],[offers made]])</f>
        <v>5</v>
      </c>
      <c r="R93" t="s">
        <v>307</v>
      </c>
      <c r="S93">
        <f>Table1[[#This Row],[Hire Date]]-Table1[[#This Row],[Job Posting Date]]</f>
        <v>25</v>
      </c>
      <c r="T93" s="4">
        <f>Table1[[#This Row],[Join Date]]-Table1[[#This Row],[Hire Date]]</f>
        <v>4</v>
      </c>
      <c r="U93" s="4">
        <f ca="1">IF(Table1[[#This Row],[Status]]="Exited",Table1[[#This Row],[Exit Date]]-Table1[[#This Row],[Join Date]],TODAY()-Table1[[#This Row],[Join Date]])</f>
        <v>939</v>
      </c>
      <c r="V93" t="str">
        <f ca="1">IF(Table1[[#This Row],[Total Tenure in Days]]&lt;=730, "yes","no")</f>
        <v>no</v>
      </c>
      <c r="W93">
        <f>Table1[[#This Row],[Hire Date]]-Table1[[#This Row],[Job Posting Date]]</f>
        <v>25</v>
      </c>
      <c r="X93" s="4">
        <f>Table1[[#This Row],[Time to Onboard]]/Table1[[#This Row],[Time to Fill]]*100</f>
        <v>16</v>
      </c>
      <c r="Y93" s="5">
        <f>Table1[[#This Row],[Time to Onboard]]/Table1[[#This Row],[Time to Fill]]*100</f>
        <v>16</v>
      </c>
      <c r="Z93">
        <f>Table1[[#This Row],[Join Date]]-Table1[[#This Row],[Job Posting Date]]</f>
        <v>29</v>
      </c>
      <c r="AA93">
        <f t="shared" ca="1" si="6"/>
        <v>145</v>
      </c>
      <c r="AB93" s="5">
        <f>Table1[[#This Row],[Absentee Days]]/Table1[[#This Row],[Total Work Days]]*100</f>
        <v>6.5384615384615392</v>
      </c>
      <c r="AC93">
        <f>YEAR(Table1[[#This Row],[Join Date]])</f>
        <v>2022</v>
      </c>
      <c r="AD93">
        <f>IF(Table1[[#This Row],[Status]]="Active",1,0)</f>
        <v>1</v>
      </c>
      <c r="AE93">
        <f>IF(Table1[[#This Row],[Status]]="Exited",Table1[[#This Row],[Recruitment Cost]]+Table1[[#This Row],[Onboarding Cost]]+Table1[[#This Row],[Training Cost]],0)</f>
        <v>0</v>
      </c>
      <c r="AF93">
        <f>IF(Table1[[#This Row],[Training Completion Status]]="Completed",1,0)</f>
        <v>1</v>
      </c>
      <c r="AG93">
        <f t="shared" ca="1" si="7"/>
        <v>5</v>
      </c>
      <c r="AH93">
        <f t="shared" ca="1" si="8"/>
        <v>5</v>
      </c>
      <c r="AI93">
        <f t="shared" ca="1" si="9"/>
        <v>2</v>
      </c>
      <c r="AJ93" t="s">
        <v>318</v>
      </c>
    </row>
    <row r="94" spans="1:36" x14ac:dyDescent="0.2">
      <c r="A94" t="s">
        <v>146</v>
      </c>
      <c r="B94" t="s">
        <v>43</v>
      </c>
      <c r="C94" t="s">
        <v>35</v>
      </c>
      <c r="D94" t="s">
        <v>36</v>
      </c>
      <c r="E94" s="1">
        <v>44445</v>
      </c>
      <c r="F94" s="1">
        <v>44522</v>
      </c>
      <c r="G94" s="1">
        <v>44527</v>
      </c>
      <c r="H94" s="1" t="s">
        <v>50</v>
      </c>
      <c r="I94" t="s">
        <v>51</v>
      </c>
      <c r="J94" s="2">
        <v>3666</v>
      </c>
      <c r="K94" t="s">
        <v>31</v>
      </c>
      <c r="L94" t="s">
        <v>52</v>
      </c>
      <c r="M94">
        <v>260</v>
      </c>
      <c r="N94">
        <v>8</v>
      </c>
      <c r="O94" s="3">
        <v>2203</v>
      </c>
      <c r="P94">
        <f t="shared" ca="1" si="5"/>
        <v>1</v>
      </c>
      <c r="Q94">
        <f ca="1">RANDBETWEEN(0,Table1[[#This Row],[offers made]])</f>
        <v>1</v>
      </c>
      <c r="R94" t="s">
        <v>308</v>
      </c>
      <c r="S94">
        <f>Table1[[#This Row],[Hire Date]]-Table1[[#This Row],[Job Posting Date]]</f>
        <v>77</v>
      </c>
      <c r="T94" s="4">
        <f>Table1[[#This Row],[Join Date]]-Table1[[#This Row],[Hire Date]]</f>
        <v>5</v>
      </c>
      <c r="U94" s="4">
        <f ca="1">IF(Table1[[#This Row],[Status]]="Exited",Table1[[#This Row],[Exit Date]]-Table1[[#This Row],[Join Date]],TODAY()-Table1[[#This Row],[Join Date]])</f>
        <v>1134</v>
      </c>
      <c r="V94" t="str">
        <f ca="1">IF(Table1[[#This Row],[Total Tenure in Days]]&lt;=730, "yes","no")</f>
        <v>no</v>
      </c>
      <c r="W94">
        <f>Table1[[#This Row],[Hire Date]]-Table1[[#This Row],[Job Posting Date]]</f>
        <v>77</v>
      </c>
      <c r="X94" s="4">
        <f>Table1[[#This Row],[Time to Onboard]]/Table1[[#This Row],[Time to Fill]]*100</f>
        <v>6.4935064935064926</v>
      </c>
      <c r="Y94" s="5">
        <f>Table1[[#This Row],[Time to Onboard]]/Table1[[#This Row],[Time to Fill]]*100</f>
        <v>6.4935064935064926</v>
      </c>
      <c r="Z94">
        <f>Table1[[#This Row],[Join Date]]-Table1[[#This Row],[Job Posting Date]]</f>
        <v>82</v>
      </c>
      <c r="AA94">
        <f t="shared" ca="1" si="6"/>
        <v>110</v>
      </c>
      <c r="AB94" s="5">
        <f>Table1[[#This Row],[Absentee Days]]/Table1[[#This Row],[Total Work Days]]*100</f>
        <v>3.0769230769230771</v>
      </c>
      <c r="AC94">
        <f>YEAR(Table1[[#This Row],[Join Date]])</f>
        <v>2021</v>
      </c>
      <c r="AD94">
        <f>IF(Table1[[#This Row],[Status]]="Active",1,0)</f>
        <v>1</v>
      </c>
      <c r="AE94">
        <f>IF(Table1[[#This Row],[Status]]="Exited",Table1[[#This Row],[Recruitment Cost]]+Table1[[#This Row],[Onboarding Cost]]+Table1[[#This Row],[Training Cost]],0)</f>
        <v>0</v>
      </c>
      <c r="AF94">
        <f>IF(Table1[[#This Row],[Training Completion Status]]="Completed",1,0)</f>
        <v>1</v>
      </c>
      <c r="AG94">
        <f t="shared" ca="1" si="7"/>
        <v>2</v>
      </c>
      <c r="AH94">
        <f t="shared" ca="1" si="8"/>
        <v>2</v>
      </c>
      <c r="AI94">
        <f t="shared" ca="1" si="9"/>
        <v>1</v>
      </c>
      <c r="AJ94" t="s">
        <v>317</v>
      </c>
    </row>
    <row r="95" spans="1:36" x14ac:dyDescent="0.2">
      <c r="A95" t="s">
        <v>147</v>
      </c>
      <c r="B95" t="s">
        <v>43</v>
      </c>
      <c r="C95" t="s">
        <v>38</v>
      </c>
      <c r="D95" t="s">
        <v>39</v>
      </c>
      <c r="E95" s="1">
        <v>43457</v>
      </c>
      <c r="F95" s="1">
        <v>43480</v>
      </c>
      <c r="G95" s="1">
        <v>43483</v>
      </c>
      <c r="H95" s="1">
        <v>44889</v>
      </c>
      <c r="I95" t="s">
        <v>57</v>
      </c>
      <c r="J95" s="2">
        <v>4675</v>
      </c>
      <c r="K95" t="s">
        <v>28</v>
      </c>
      <c r="L95" t="s">
        <v>52</v>
      </c>
      <c r="M95">
        <v>260</v>
      </c>
      <c r="N95">
        <v>20</v>
      </c>
      <c r="O95" s="3">
        <v>1416</v>
      </c>
      <c r="P95">
        <f t="shared" ca="1" si="5"/>
        <v>10</v>
      </c>
      <c r="Q95">
        <f ca="1">RANDBETWEEN(0,Table1[[#This Row],[offers made]])</f>
        <v>4</v>
      </c>
      <c r="R95" t="s">
        <v>306</v>
      </c>
      <c r="S95">
        <f>Table1[[#This Row],[Hire Date]]-Table1[[#This Row],[Job Posting Date]]</f>
        <v>23</v>
      </c>
      <c r="T95" s="4">
        <f>Table1[[#This Row],[Join Date]]-Table1[[#This Row],[Hire Date]]</f>
        <v>3</v>
      </c>
      <c r="U95" s="4">
        <f ca="1">IF(Table1[[#This Row],[Status]]="Exited",Table1[[#This Row],[Exit Date]]-Table1[[#This Row],[Join Date]],TODAY()-Table1[[#This Row],[Join Date]])</f>
        <v>1406</v>
      </c>
      <c r="V95" t="str">
        <f ca="1">IF(Table1[[#This Row],[Total Tenure in Days]]&lt;=730, "yes","no")</f>
        <v>no</v>
      </c>
      <c r="W95">
        <f>Table1[[#This Row],[Hire Date]]-Table1[[#This Row],[Job Posting Date]]</f>
        <v>23</v>
      </c>
      <c r="X95" s="4">
        <f>Table1[[#This Row],[Time to Onboard]]/Table1[[#This Row],[Time to Fill]]*100</f>
        <v>13.043478260869565</v>
      </c>
      <c r="Y95" s="5">
        <f>Table1[[#This Row],[Time to Onboard]]/Table1[[#This Row],[Time to Fill]]*100</f>
        <v>13.043478260869565</v>
      </c>
      <c r="Z95">
        <f>Table1[[#This Row],[Join Date]]-Table1[[#This Row],[Job Posting Date]]</f>
        <v>26</v>
      </c>
      <c r="AA95">
        <f t="shared" ca="1" si="6"/>
        <v>163</v>
      </c>
      <c r="AB95" s="5">
        <f>Table1[[#This Row],[Absentee Days]]/Table1[[#This Row],[Total Work Days]]*100</f>
        <v>7.6923076923076925</v>
      </c>
      <c r="AC95">
        <f>YEAR(Table1[[#This Row],[Join Date]])</f>
        <v>2019</v>
      </c>
      <c r="AD95">
        <f>IF(Table1[[#This Row],[Status]]="Active",1,0)</f>
        <v>0</v>
      </c>
      <c r="AE95">
        <f ca="1">IF(Table1[[#This Row],[Status]]="Exited",Table1[[#This Row],[Recruitment Cost]]+Table1[[#This Row],[Onboarding Cost]]+Table1[[#This Row],[Training Cost]],0)</f>
        <v>6254</v>
      </c>
      <c r="AF95">
        <f>IF(Table1[[#This Row],[Training Completion Status]]="Completed",1,0)</f>
        <v>1</v>
      </c>
      <c r="AG95">
        <f t="shared" ca="1" si="7"/>
        <v>2</v>
      </c>
      <c r="AH95">
        <f t="shared" ca="1" si="8"/>
        <v>4</v>
      </c>
      <c r="AI95">
        <f t="shared" ca="1" si="9"/>
        <v>4</v>
      </c>
      <c r="AJ95" t="s">
        <v>317</v>
      </c>
    </row>
    <row r="96" spans="1:36" x14ac:dyDescent="0.2">
      <c r="A96" t="s">
        <v>148</v>
      </c>
      <c r="B96" t="s">
        <v>41</v>
      </c>
      <c r="C96" t="s">
        <v>35</v>
      </c>
      <c r="D96" t="s">
        <v>36</v>
      </c>
      <c r="E96" s="1">
        <v>44861</v>
      </c>
      <c r="F96" s="1">
        <v>44928</v>
      </c>
      <c r="G96" s="1">
        <v>44935</v>
      </c>
      <c r="H96" s="1" t="s">
        <v>50</v>
      </c>
      <c r="I96" t="s">
        <v>51</v>
      </c>
      <c r="J96" s="2">
        <v>3418</v>
      </c>
      <c r="K96" t="s">
        <v>34</v>
      </c>
      <c r="L96" t="s">
        <v>52</v>
      </c>
      <c r="M96">
        <v>260</v>
      </c>
      <c r="N96">
        <v>1</v>
      </c>
      <c r="O96" s="3">
        <v>1993</v>
      </c>
      <c r="P96">
        <f t="shared" ca="1" si="5"/>
        <v>10</v>
      </c>
      <c r="Q96">
        <f ca="1">RANDBETWEEN(0,Table1[[#This Row],[offers made]])</f>
        <v>1</v>
      </c>
      <c r="R96" t="s">
        <v>306</v>
      </c>
      <c r="S96">
        <f>Table1[[#This Row],[Hire Date]]-Table1[[#This Row],[Job Posting Date]]</f>
        <v>67</v>
      </c>
      <c r="T96" s="4">
        <f>Table1[[#This Row],[Join Date]]-Table1[[#This Row],[Hire Date]]</f>
        <v>7</v>
      </c>
      <c r="U96" s="4">
        <f ca="1">IF(Table1[[#This Row],[Status]]="Exited",Table1[[#This Row],[Exit Date]]-Table1[[#This Row],[Join Date]],TODAY()-Table1[[#This Row],[Join Date]])</f>
        <v>726</v>
      </c>
      <c r="V96" t="str">
        <f ca="1">IF(Table1[[#This Row],[Total Tenure in Days]]&lt;=730, "yes","no")</f>
        <v>yes</v>
      </c>
      <c r="W96">
        <f>Table1[[#This Row],[Hire Date]]-Table1[[#This Row],[Job Posting Date]]</f>
        <v>67</v>
      </c>
      <c r="X96" s="4">
        <f>Table1[[#This Row],[Time to Onboard]]/Table1[[#This Row],[Time to Fill]]*100</f>
        <v>10.44776119402985</v>
      </c>
      <c r="Y96" s="5">
        <f>Table1[[#This Row],[Time to Onboard]]/Table1[[#This Row],[Time to Fill]]*100</f>
        <v>10.44776119402985</v>
      </c>
      <c r="Z96">
        <f>Table1[[#This Row],[Join Date]]-Table1[[#This Row],[Job Posting Date]]</f>
        <v>74</v>
      </c>
      <c r="AA96">
        <f t="shared" ca="1" si="6"/>
        <v>181</v>
      </c>
      <c r="AB96" s="5">
        <f>Table1[[#This Row],[Absentee Days]]/Table1[[#This Row],[Total Work Days]]*100</f>
        <v>0.38461538461538464</v>
      </c>
      <c r="AC96">
        <f>YEAR(Table1[[#This Row],[Join Date]])</f>
        <v>2023</v>
      </c>
      <c r="AD96">
        <f>IF(Table1[[#This Row],[Status]]="Active",1,0)</f>
        <v>1</v>
      </c>
      <c r="AE96">
        <f>IF(Table1[[#This Row],[Status]]="Exited",Table1[[#This Row],[Recruitment Cost]]+Table1[[#This Row],[Onboarding Cost]]+Table1[[#This Row],[Training Cost]],0)</f>
        <v>0</v>
      </c>
      <c r="AF96">
        <f>IF(Table1[[#This Row],[Training Completion Status]]="Completed",1,0)</f>
        <v>1</v>
      </c>
      <c r="AG96">
        <f t="shared" ca="1" si="7"/>
        <v>1</v>
      </c>
      <c r="AH96">
        <f t="shared" ca="1" si="8"/>
        <v>4</v>
      </c>
      <c r="AI96">
        <f t="shared" ca="1" si="9"/>
        <v>2</v>
      </c>
      <c r="AJ96" t="s">
        <v>318</v>
      </c>
    </row>
    <row r="97" spans="1:36" x14ac:dyDescent="0.2">
      <c r="A97" t="s">
        <v>149</v>
      </c>
      <c r="B97" t="s">
        <v>41</v>
      </c>
      <c r="C97" t="s">
        <v>29</v>
      </c>
      <c r="D97" t="s">
        <v>30</v>
      </c>
      <c r="E97" s="1">
        <v>43242</v>
      </c>
      <c r="F97" s="1">
        <v>43266</v>
      </c>
      <c r="G97" s="1">
        <v>43273</v>
      </c>
      <c r="H97" s="1" t="s">
        <v>50</v>
      </c>
      <c r="I97" t="s">
        <v>51</v>
      </c>
      <c r="J97" s="2">
        <v>3334</v>
      </c>
      <c r="K97" t="s">
        <v>34</v>
      </c>
      <c r="L97" t="s">
        <v>52</v>
      </c>
      <c r="M97">
        <v>260</v>
      </c>
      <c r="N97">
        <v>12</v>
      </c>
      <c r="O97" s="3">
        <v>1229</v>
      </c>
      <c r="P97">
        <f t="shared" ca="1" si="5"/>
        <v>10</v>
      </c>
      <c r="Q97">
        <f ca="1">RANDBETWEEN(0,Table1[[#This Row],[offers made]])</f>
        <v>9</v>
      </c>
      <c r="R97" t="s">
        <v>307</v>
      </c>
      <c r="S97">
        <f>Table1[[#This Row],[Hire Date]]-Table1[[#This Row],[Job Posting Date]]</f>
        <v>24</v>
      </c>
      <c r="T97" s="4">
        <f>Table1[[#This Row],[Join Date]]-Table1[[#This Row],[Hire Date]]</f>
        <v>7</v>
      </c>
      <c r="U97" s="4">
        <f ca="1">IF(Table1[[#This Row],[Status]]="Exited",Table1[[#This Row],[Exit Date]]-Table1[[#This Row],[Join Date]],TODAY()-Table1[[#This Row],[Join Date]])</f>
        <v>2388</v>
      </c>
      <c r="V97" t="str">
        <f ca="1">IF(Table1[[#This Row],[Total Tenure in Days]]&lt;=730, "yes","no")</f>
        <v>no</v>
      </c>
      <c r="W97">
        <f>Table1[[#This Row],[Hire Date]]-Table1[[#This Row],[Job Posting Date]]</f>
        <v>24</v>
      </c>
      <c r="X97" s="4">
        <f>Table1[[#This Row],[Time to Onboard]]/Table1[[#This Row],[Time to Fill]]*100</f>
        <v>29.166666666666668</v>
      </c>
      <c r="Y97" s="5">
        <f>Table1[[#This Row],[Time to Onboard]]/Table1[[#This Row],[Time to Fill]]*100</f>
        <v>29.166666666666668</v>
      </c>
      <c r="Z97">
        <f>Table1[[#This Row],[Join Date]]-Table1[[#This Row],[Job Posting Date]]</f>
        <v>31</v>
      </c>
      <c r="AA97">
        <f t="shared" ca="1" si="6"/>
        <v>169</v>
      </c>
      <c r="AB97" s="5">
        <f>Table1[[#This Row],[Absentee Days]]/Table1[[#This Row],[Total Work Days]]*100</f>
        <v>4.6153846153846159</v>
      </c>
      <c r="AC97">
        <f>YEAR(Table1[[#This Row],[Join Date]])</f>
        <v>2018</v>
      </c>
      <c r="AD97">
        <f>IF(Table1[[#This Row],[Status]]="Active",1,0)</f>
        <v>1</v>
      </c>
      <c r="AE97">
        <f>IF(Table1[[#This Row],[Status]]="Exited",Table1[[#This Row],[Recruitment Cost]]+Table1[[#This Row],[Onboarding Cost]]+Table1[[#This Row],[Training Cost]],0)</f>
        <v>0</v>
      </c>
      <c r="AF97">
        <f>IF(Table1[[#This Row],[Training Completion Status]]="Completed",1,0)</f>
        <v>1</v>
      </c>
      <c r="AG97">
        <f t="shared" ca="1" si="7"/>
        <v>5</v>
      </c>
      <c r="AH97">
        <f t="shared" ca="1" si="8"/>
        <v>5</v>
      </c>
      <c r="AI97">
        <f t="shared" ca="1" si="9"/>
        <v>3</v>
      </c>
      <c r="AJ97" t="s">
        <v>317</v>
      </c>
    </row>
    <row r="98" spans="1:36" x14ac:dyDescent="0.2">
      <c r="A98" t="s">
        <v>150</v>
      </c>
      <c r="B98" t="s">
        <v>43</v>
      </c>
      <c r="C98" t="s">
        <v>32</v>
      </c>
      <c r="D98" t="s">
        <v>33</v>
      </c>
      <c r="E98" s="1">
        <v>44626</v>
      </c>
      <c r="F98" s="1">
        <v>44647</v>
      </c>
      <c r="G98" s="1">
        <v>44654</v>
      </c>
      <c r="H98" s="1" t="s">
        <v>50</v>
      </c>
      <c r="I98" t="s">
        <v>51</v>
      </c>
      <c r="J98" s="2">
        <v>3216</v>
      </c>
      <c r="K98" t="s">
        <v>28</v>
      </c>
      <c r="L98" t="s">
        <v>52</v>
      </c>
      <c r="M98">
        <v>260</v>
      </c>
      <c r="N98">
        <v>12</v>
      </c>
      <c r="O98" s="3">
        <v>2249</v>
      </c>
      <c r="P98">
        <f t="shared" ca="1" si="5"/>
        <v>9</v>
      </c>
      <c r="Q98">
        <f ca="1">RANDBETWEEN(0,Table1[[#This Row],[offers made]])</f>
        <v>6</v>
      </c>
      <c r="R98" t="s">
        <v>306</v>
      </c>
      <c r="S98">
        <f>Table1[[#This Row],[Hire Date]]-Table1[[#This Row],[Job Posting Date]]</f>
        <v>21</v>
      </c>
      <c r="T98" s="4">
        <f>Table1[[#This Row],[Join Date]]-Table1[[#This Row],[Hire Date]]</f>
        <v>7</v>
      </c>
      <c r="U98" s="4">
        <f ca="1">IF(Table1[[#This Row],[Status]]="Exited",Table1[[#This Row],[Exit Date]]-Table1[[#This Row],[Join Date]],TODAY()-Table1[[#This Row],[Join Date]])</f>
        <v>1007</v>
      </c>
      <c r="V98" t="str">
        <f ca="1">IF(Table1[[#This Row],[Total Tenure in Days]]&lt;=730, "yes","no")</f>
        <v>no</v>
      </c>
      <c r="W98">
        <f>Table1[[#This Row],[Hire Date]]-Table1[[#This Row],[Job Posting Date]]</f>
        <v>21</v>
      </c>
      <c r="X98" s="4">
        <f>Table1[[#This Row],[Time to Onboard]]/Table1[[#This Row],[Time to Fill]]*100</f>
        <v>33.333333333333329</v>
      </c>
      <c r="Y98" s="5">
        <f>Table1[[#This Row],[Time to Onboard]]/Table1[[#This Row],[Time to Fill]]*100</f>
        <v>33.333333333333329</v>
      </c>
      <c r="Z98">
        <f>Table1[[#This Row],[Join Date]]-Table1[[#This Row],[Job Posting Date]]</f>
        <v>28</v>
      </c>
      <c r="AA98">
        <f t="shared" ca="1" si="6"/>
        <v>198</v>
      </c>
      <c r="AB98" s="5">
        <f>Table1[[#This Row],[Absentee Days]]/Table1[[#This Row],[Total Work Days]]*100</f>
        <v>4.6153846153846159</v>
      </c>
      <c r="AC98">
        <f>YEAR(Table1[[#This Row],[Join Date]])</f>
        <v>2022</v>
      </c>
      <c r="AD98">
        <f>IF(Table1[[#This Row],[Status]]="Active",1,0)</f>
        <v>1</v>
      </c>
      <c r="AE98">
        <f>IF(Table1[[#This Row],[Status]]="Exited",Table1[[#This Row],[Recruitment Cost]]+Table1[[#This Row],[Onboarding Cost]]+Table1[[#This Row],[Training Cost]],0)</f>
        <v>0</v>
      </c>
      <c r="AF98">
        <f>IF(Table1[[#This Row],[Training Completion Status]]="Completed",1,0)</f>
        <v>1</v>
      </c>
      <c r="AG98">
        <f t="shared" ca="1" si="7"/>
        <v>2</v>
      </c>
      <c r="AH98">
        <f t="shared" ca="1" si="8"/>
        <v>4</v>
      </c>
      <c r="AI98">
        <f t="shared" ca="1" si="9"/>
        <v>3</v>
      </c>
      <c r="AJ98" t="s">
        <v>318</v>
      </c>
    </row>
    <row r="99" spans="1:36" x14ac:dyDescent="0.2">
      <c r="A99" t="s">
        <v>151</v>
      </c>
      <c r="B99" t="s">
        <v>43</v>
      </c>
      <c r="C99" t="s">
        <v>35</v>
      </c>
      <c r="D99" t="s">
        <v>36</v>
      </c>
      <c r="E99" s="1">
        <v>43929</v>
      </c>
      <c r="F99" s="1">
        <v>44013</v>
      </c>
      <c r="G99" s="1">
        <v>44018</v>
      </c>
      <c r="H99" s="1">
        <v>45489</v>
      </c>
      <c r="I99" t="s">
        <v>57</v>
      </c>
      <c r="J99" s="2">
        <v>3128</v>
      </c>
      <c r="K99" t="s">
        <v>40</v>
      </c>
      <c r="L99" t="s">
        <v>55</v>
      </c>
      <c r="M99">
        <v>260</v>
      </c>
      <c r="N99">
        <v>13</v>
      </c>
      <c r="O99" s="3">
        <v>1445</v>
      </c>
      <c r="P99">
        <f t="shared" ca="1" si="5"/>
        <v>8</v>
      </c>
      <c r="Q99">
        <f ca="1">RANDBETWEEN(0,Table1[[#This Row],[offers made]])</f>
        <v>0</v>
      </c>
      <c r="R99" t="s">
        <v>307</v>
      </c>
      <c r="S99">
        <f>Table1[[#This Row],[Hire Date]]-Table1[[#This Row],[Job Posting Date]]</f>
        <v>84</v>
      </c>
      <c r="T99" s="4">
        <f>Table1[[#This Row],[Join Date]]-Table1[[#This Row],[Hire Date]]</f>
        <v>5</v>
      </c>
      <c r="U99" s="4">
        <f ca="1">IF(Table1[[#This Row],[Status]]="Exited",Table1[[#This Row],[Exit Date]]-Table1[[#This Row],[Join Date]],TODAY()-Table1[[#This Row],[Join Date]])</f>
        <v>1471</v>
      </c>
      <c r="V99" t="str">
        <f ca="1">IF(Table1[[#This Row],[Total Tenure in Days]]&lt;=730, "yes","no")</f>
        <v>no</v>
      </c>
      <c r="W99">
        <f>Table1[[#This Row],[Hire Date]]-Table1[[#This Row],[Job Posting Date]]</f>
        <v>84</v>
      </c>
      <c r="X99" s="4">
        <f>Table1[[#This Row],[Time to Onboard]]/Table1[[#This Row],[Time to Fill]]*100</f>
        <v>5.9523809523809517</v>
      </c>
      <c r="Y99" s="5">
        <f>Table1[[#This Row],[Time to Onboard]]/Table1[[#This Row],[Time to Fill]]*100</f>
        <v>5.9523809523809517</v>
      </c>
      <c r="Z99">
        <f>Table1[[#This Row],[Join Date]]-Table1[[#This Row],[Job Posting Date]]</f>
        <v>89</v>
      </c>
      <c r="AA99">
        <f t="shared" ca="1" si="6"/>
        <v>198</v>
      </c>
      <c r="AB99" s="5">
        <f>Table1[[#This Row],[Absentee Days]]/Table1[[#This Row],[Total Work Days]]*100</f>
        <v>5</v>
      </c>
      <c r="AC99">
        <f>YEAR(Table1[[#This Row],[Join Date]])</f>
        <v>2020</v>
      </c>
      <c r="AD99">
        <f>IF(Table1[[#This Row],[Status]]="Active",1,0)</f>
        <v>0</v>
      </c>
      <c r="AE99">
        <f ca="1">IF(Table1[[#This Row],[Status]]="Exited",Table1[[#This Row],[Recruitment Cost]]+Table1[[#This Row],[Onboarding Cost]]+Table1[[#This Row],[Training Cost]],0)</f>
        <v>4771</v>
      </c>
      <c r="AF99">
        <f>IF(Table1[[#This Row],[Training Completion Status]]="Completed",1,0)</f>
        <v>0</v>
      </c>
      <c r="AG99">
        <f t="shared" ca="1" si="7"/>
        <v>4</v>
      </c>
      <c r="AH99">
        <f t="shared" ca="1" si="8"/>
        <v>1</v>
      </c>
      <c r="AI99">
        <f t="shared" ca="1" si="9"/>
        <v>3</v>
      </c>
      <c r="AJ99" t="s">
        <v>318</v>
      </c>
    </row>
    <row r="100" spans="1:36" x14ac:dyDescent="0.2">
      <c r="A100" t="s">
        <v>152</v>
      </c>
      <c r="B100" t="s">
        <v>42</v>
      </c>
      <c r="C100" t="s">
        <v>29</v>
      </c>
      <c r="D100" t="s">
        <v>30</v>
      </c>
      <c r="E100" s="1">
        <v>44607</v>
      </c>
      <c r="F100" s="1">
        <v>44697</v>
      </c>
      <c r="G100" s="1">
        <v>44704</v>
      </c>
      <c r="H100" s="1" t="s">
        <v>50</v>
      </c>
      <c r="I100" t="s">
        <v>51</v>
      </c>
      <c r="J100" s="2">
        <v>2097</v>
      </c>
      <c r="K100" t="s">
        <v>31</v>
      </c>
      <c r="L100" t="s">
        <v>52</v>
      </c>
      <c r="M100">
        <v>260</v>
      </c>
      <c r="N100">
        <v>5</v>
      </c>
      <c r="O100" s="3">
        <v>2402</v>
      </c>
      <c r="P100">
        <f t="shared" ca="1" si="5"/>
        <v>7</v>
      </c>
      <c r="Q100">
        <f ca="1">RANDBETWEEN(0,Table1[[#This Row],[offers made]])</f>
        <v>2</v>
      </c>
      <c r="R100" t="s">
        <v>308</v>
      </c>
      <c r="S100">
        <f>Table1[[#This Row],[Hire Date]]-Table1[[#This Row],[Job Posting Date]]</f>
        <v>90</v>
      </c>
      <c r="T100" s="4">
        <f>Table1[[#This Row],[Join Date]]-Table1[[#This Row],[Hire Date]]</f>
        <v>7</v>
      </c>
      <c r="U100" s="4">
        <f ca="1">IF(Table1[[#This Row],[Status]]="Exited",Table1[[#This Row],[Exit Date]]-Table1[[#This Row],[Join Date]],TODAY()-Table1[[#This Row],[Join Date]])</f>
        <v>957</v>
      </c>
      <c r="V100" t="str">
        <f ca="1">IF(Table1[[#This Row],[Total Tenure in Days]]&lt;=730, "yes","no")</f>
        <v>no</v>
      </c>
      <c r="W100">
        <f>Table1[[#This Row],[Hire Date]]-Table1[[#This Row],[Job Posting Date]]</f>
        <v>90</v>
      </c>
      <c r="X100" s="4">
        <f>Table1[[#This Row],[Time to Onboard]]/Table1[[#This Row],[Time to Fill]]*100</f>
        <v>7.7777777777777777</v>
      </c>
      <c r="Y100" s="5">
        <f>Table1[[#This Row],[Time to Onboard]]/Table1[[#This Row],[Time to Fill]]*100</f>
        <v>7.7777777777777777</v>
      </c>
      <c r="Z100">
        <f>Table1[[#This Row],[Join Date]]-Table1[[#This Row],[Job Posting Date]]</f>
        <v>97</v>
      </c>
      <c r="AA100">
        <f t="shared" ca="1" si="6"/>
        <v>111</v>
      </c>
      <c r="AB100" s="5">
        <f>Table1[[#This Row],[Absentee Days]]/Table1[[#This Row],[Total Work Days]]*100</f>
        <v>1.9230769230769231</v>
      </c>
      <c r="AC100">
        <f>YEAR(Table1[[#This Row],[Join Date]])</f>
        <v>2022</v>
      </c>
      <c r="AD100">
        <f>IF(Table1[[#This Row],[Status]]="Active",1,0)</f>
        <v>1</v>
      </c>
      <c r="AE100">
        <f>IF(Table1[[#This Row],[Status]]="Exited",Table1[[#This Row],[Recruitment Cost]]+Table1[[#This Row],[Onboarding Cost]]+Table1[[#This Row],[Training Cost]],0)</f>
        <v>0</v>
      </c>
      <c r="AF100">
        <f>IF(Table1[[#This Row],[Training Completion Status]]="Completed",1,0)</f>
        <v>1</v>
      </c>
      <c r="AG100">
        <f t="shared" ca="1" si="7"/>
        <v>2</v>
      </c>
      <c r="AH100">
        <f t="shared" ca="1" si="8"/>
        <v>3</v>
      </c>
      <c r="AI100">
        <f t="shared" ca="1" si="9"/>
        <v>4</v>
      </c>
      <c r="AJ100" t="s">
        <v>318</v>
      </c>
    </row>
    <row r="101" spans="1:36" x14ac:dyDescent="0.2">
      <c r="A101" t="s">
        <v>153</v>
      </c>
      <c r="B101" t="s">
        <v>41</v>
      </c>
      <c r="C101" t="s">
        <v>35</v>
      </c>
      <c r="D101" t="s">
        <v>36</v>
      </c>
      <c r="E101" s="1">
        <v>43988</v>
      </c>
      <c r="F101" s="1">
        <v>44009</v>
      </c>
      <c r="G101" s="1">
        <v>44016</v>
      </c>
      <c r="H101" s="1">
        <v>44759</v>
      </c>
      <c r="I101" t="s">
        <v>57</v>
      </c>
      <c r="J101" s="2">
        <v>3596</v>
      </c>
      <c r="K101" t="s">
        <v>31</v>
      </c>
      <c r="L101" t="s">
        <v>52</v>
      </c>
      <c r="M101">
        <v>260</v>
      </c>
      <c r="N101">
        <v>11</v>
      </c>
      <c r="O101" s="3">
        <v>2404</v>
      </c>
      <c r="P101">
        <f t="shared" ca="1" si="5"/>
        <v>10</v>
      </c>
      <c r="Q101">
        <f ca="1">RANDBETWEEN(0,Table1[[#This Row],[offers made]])</f>
        <v>3</v>
      </c>
      <c r="R101" t="s">
        <v>306</v>
      </c>
      <c r="S101">
        <f>Table1[[#This Row],[Hire Date]]-Table1[[#This Row],[Job Posting Date]]</f>
        <v>21</v>
      </c>
      <c r="T101" s="4">
        <f>Table1[[#This Row],[Join Date]]-Table1[[#This Row],[Hire Date]]</f>
        <v>7</v>
      </c>
      <c r="U101" s="4">
        <f ca="1">IF(Table1[[#This Row],[Status]]="Exited",Table1[[#This Row],[Exit Date]]-Table1[[#This Row],[Join Date]],TODAY()-Table1[[#This Row],[Join Date]])</f>
        <v>743</v>
      </c>
      <c r="V101" t="str">
        <f ca="1">IF(Table1[[#This Row],[Total Tenure in Days]]&lt;=730, "yes","no")</f>
        <v>no</v>
      </c>
      <c r="W101">
        <f>Table1[[#This Row],[Hire Date]]-Table1[[#This Row],[Job Posting Date]]</f>
        <v>21</v>
      </c>
      <c r="X101" s="4">
        <f>Table1[[#This Row],[Time to Onboard]]/Table1[[#This Row],[Time to Fill]]*100</f>
        <v>33.333333333333329</v>
      </c>
      <c r="Y101" s="5">
        <f>Table1[[#This Row],[Time to Onboard]]/Table1[[#This Row],[Time to Fill]]*100</f>
        <v>33.333333333333329</v>
      </c>
      <c r="Z101">
        <f>Table1[[#This Row],[Join Date]]-Table1[[#This Row],[Job Posting Date]]</f>
        <v>28</v>
      </c>
      <c r="AA101">
        <f t="shared" ca="1" si="6"/>
        <v>191</v>
      </c>
      <c r="AB101" s="5">
        <f>Table1[[#This Row],[Absentee Days]]/Table1[[#This Row],[Total Work Days]]*100</f>
        <v>4.2307692307692308</v>
      </c>
      <c r="AC101">
        <f>YEAR(Table1[[#This Row],[Join Date]])</f>
        <v>2020</v>
      </c>
      <c r="AD101">
        <f>IF(Table1[[#This Row],[Status]]="Active",1,0)</f>
        <v>0</v>
      </c>
      <c r="AE101">
        <f ca="1">IF(Table1[[#This Row],[Status]]="Exited",Table1[[#This Row],[Recruitment Cost]]+Table1[[#This Row],[Onboarding Cost]]+Table1[[#This Row],[Training Cost]],0)</f>
        <v>6191</v>
      </c>
      <c r="AF101">
        <f>IF(Table1[[#This Row],[Training Completion Status]]="Completed",1,0)</f>
        <v>1</v>
      </c>
      <c r="AG101">
        <f t="shared" ca="1" si="7"/>
        <v>1</v>
      </c>
      <c r="AH101">
        <f t="shared" ca="1" si="8"/>
        <v>3</v>
      </c>
      <c r="AI101">
        <f t="shared" ca="1" si="9"/>
        <v>3</v>
      </c>
      <c r="AJ101" t="s">
        <v>317</v>
      </c>
    </row>
    <row r="102" spans="1:36" x14ac:dyDescent="0.2">
      <c r="A102" t="s">
        <v>154</v>
      </c>
      <c r="B102" t="s">
        <v>41</v>
      </c>
      <c r="C102" t="s">
        <v>35</v>
      </c>
      <c r="D102" t="s">
        <v>36</v>
      </c>
      <c r="E102" s="1">
        <v>44236</v>
      </c>
      <c r="F102" s="1">
        <v>44295</v>
      </c>
      <c r="G102" s="1">
        <v>44305</v>
      </c>
      <c r="H102" s="1">
        <v>44581</v>
      </c>
      <c r="I102" t="s">
        <v>57</v>
      </c>
      <c r="J102" s="2">
        <v>2032</v>
      </c>
      <c r="K102" t="s">
        <v>31</v>
      </c>
      <c r="L102" t="s">
        <v>52</v>
      </c>
      <c r="M102">
        <v>260</v>
      </c>
      <c r="N102">
        <v>5</v>
      </c>
      <c r="O102" s="3">
        <v>1618</v>
      </c>
      <c r="P102">
        <f t="shared" ca="1" si="5"/>
        <v>9</v>
      </c>
      <c r="Q102">
        <f ca="1">RANDBETWEEN(0,Table1[[#This Row],[offers made]])</f>
        <v>5</v>
      </c>
      <c r="R102" t="s">
        <v>308</v>
      </c>
      <c r="S102">
        <f>Table1[[#This Row],[Hire Date]]-Table1[[#This Row],[Job Posting Date]]</f>
        <v>59</v>
      </c>
      <c r="T102" s="4">
        <f>Table1[[#This Row],[Join Date]]-Table1[[#This Row],[Hire Date]]</f>
        <v>10</v>
      </c>
      <c r="U102" s="4">
        <f ca="1">IF(Table1[[#This Row],[Status]]="Exited",Table1[[#This Row],[Exit Date]]-Table1[[#This Row],[Join Date]],TODAY()-Table1[[#This Row],[Join Date]])</f>
        <v>276</v>
      </c>
      <c r="V102" t="str">
        <f ca="1">IF(Table1[[#This Row],[Total Tenure in Days]]&lt;=730, "yes","no")</f>
        <v>yes</v>
      </c>
      <c r="W102">
        <f>Table1[[#This Row],[Hire Date]]-Table1[[#This Row],[Job Posting Date]]</f>
        <v>59</v>
      </c>
      <c r="X102" s="4">
        <f>Table1[[#This Row],[Time to Onboard]]/Table1[[#This Row],[Time to Fill]]*100</f>
        <v>16.949152542372879</v>
      </c>
      <c r="Y102" s="5">
        <f>Table1[[#This Row],[Time to Onboard]]/Table1[[#This Row],[Time to Fill]]*100</f>
        <v>16.949152542372879</v>
      </c>
      <c r="Z102">
        <f>Table1[[#This Row],[Join Date]]-Table1[[#This Row],[Job Posting Date]]</f>
        <v>69</v>
      </c>
      <c r="AA102">
        <f t="shared" ca="1" si="6"/>
        <v>142</v>
      </c>
      <c r="AB102" s="5">
        <f>Table1[[#This Row],[Absentee Days]]/Table1[[#This Row],[Total Work Days]]*100</f>
        <v>1.9230769230769231</v>
      </c>
      <c r="AC102">
        <f>YEAR(Table1[[#This Row],[Join Date]])</f>
        <v>2021</v>
      </c>
      <c r="AD102">
        <f>IF(Table1[[#This Row],[Status]]="Active",1,0)</f>
        <v>0</v>
      </c>
      <c r="AE102">
        <f ca="1">IF(Table1[[#This Row],[Status]]="Exited",Table1[[#This Row],[Recruitment Cost]]+Table1[[#This Row],[Onboarding Cost]]+Table1[[#This Row],[Training Cost]],0)</f>
        <v>3792</v>
      </c>
      <c r="AF102">
        <f>IF(Table1[[#This Row],[Training Completion Status]]="Completed",1,0)</f>
        <v>1</v>
      </c>
      <c r="AG102">
        <f t="shared" ca="1" si="7"/>
        <v>2</v>
      </c>
      <c r="AH102">
        <f t="shared" ca="1" si="8"/>
        <v>1</v>
      </c>
      <c r="AI102">
        <f t="shared" ca="1" si="9"/>
        <v>5</v>
      </c>
      <c r="AJ102" t="s">
        <v>318</v>
      </c>
    </row>
    <row r="103" spans="1:36" x14ac:dyDescent="0.2">
      <c r="A103" t="s">
        <v>155</v>
      </c>
      <c r="B103" t="s">
        <v>42</v>
      </c>
      <c r="C103" t="s">
        <v>35</v>
      </c>
      <c r="D103" t="s">
        <v>36</v>
      </c>
      <c r="E103" s="1">
        <v>43988</v>
      </c>
      <c r="F103" s="1">
        <v>44021</v>
      </c>
      <c r="G103" s="1">
        <v>44034</v>
      </c>
      <c r="H103" s="1" t="s">
        <v>50</v>
      </c>
      <c r="I103" t="s">
        <v>51</v>
      </c>
      <c r="J103" s="2">
        <v>2735</v>
      </c>
      <c r="K103" t="s">
        <v>37</v>
      </c>
      <c r="L103" t="s">
        <v>52</v>
      </c>
      <c r="M103">
        <v>260</v>
      </c>
      <c r="N103">
        <v>2</v>
      </c>
      <c r="O103" s="3">
        <v>2315</v>
      </c>
      <c r="P103">
        <f t="shared" ca="1" si="5"/>
        <v>3</v>
      </c>
      <c r="Q103">
        <f ca="1">RANDBETWEEN(0,Table1[[#This Row],[offers made]])</f>
        <v>2</v>
      </c>
      <c r="R103" t="s">
        <v>306</v>
      </c>
      <c r="S103">
        <f>Table1[[#This Row],[Hire Date]]-Table1[[#This Row],[Job Posting Date]]</f>
        <v>33</v>
      </c>
      <c r="T103" s="4">
        <f>Table1[[#This Row],[Join Date]]-Table1[[#This Row],[Hire Date]]</f>
        <v>13</v>
      </c>
      <c r="U103" s="4">
        <f ca="1">IF(Table1[[#This Row],[Status]]="Exited",Table1[[#This Row],[Exit Date]]-Table1[[#This Row],[Join Date]],TODAY()-Table1[[#This Row],[Join Date]])</f>
        <v>1627</v>
      </c>
      <c r="V103" t="str">
        <f ca="1">IF(Table1[[#This Row],[Total Tenure in Days]]&lt;=730, "yes","no")</f>
        <v>no</v>
      </c>
      <c r="W103">
        <f>Table1[[#This Row],[Hire Date]]-Table1[[#This Row],[Job Posting Date]]</f>
        <v>33</v>
      </c>
      <c r="X103" s="4">
        <f>Table1[[#This Row],[Time to Onboard]]/Table1[[#This Row],[Time to Fill]]*100</f>
        <v>39.393939393939391</v>
      </c>
      <c r="Y103" s="5">
        <f>Table1[[#This Row],[Time to Onboard]]/Table1[[#This Row],[Time to Fill]]*100</f>
        <v>39.393939393939391</v>
      </c>
      <c r="Z103">
        <f>Table1[[#This Row],[Join Date]]-Table1[[#This Row],[Job Posting Date]]</f>
        <v>46</v>
      </c>
      <c r="AA103">
        <f t="shared" ca="1" si="6"/>
        <v>139</v>
      </c>
      <c r="AB103" s="5">
        <f>Table1[[#This Row],[Absentee Days]]/Table1[[#This Row],[Total Work Days]]*100</f>
        <v>0.76923076923076927</v>
      </c>
      <c r="AC103">
        <f>YEAR(Table1[[#This Row],[Join Date]])</f>
        <v>2020</v>
      </c>
      <c r="AD103">
        <f>IF(Table1[[#This Row],[Status]]="Active",1,0)</f>
        <v>1</v>
      </c>
      <c r="AE103">
        <f>IF(Table1[[#This Row],[Status]]="Exited",Table1[[#This Row],[Recruitment Cost]]+Table1[[#This Row],[Onboarding Cost]]+Table1[[#This Row],[Training Cost]],0)</f>
        <v>0</v>
      </c>
      <c r="AF103">
        <f>IF(Table1[[#This Row],[Training Completion Status]]="Completed",1,0)</f>
        <v>1</v>
      </c>
      <c r="AG103">
        <f t="shared" ca="1" si="7"/>
        <v>3</v>
      </c>
      <c r="AH103">
        <f t="shared" ca="1" si="8"/>
        <v>3</v>
      </c>
      <c r="AI103">
        <f t="shared" ca="1" si="9"/>
        <v>3</v>
      </c>
      <c r="AJ103" t="s">
        <v>317</v>
      </c>
    </row>
    <row r="104" spans="1:36" x14ac:dyDescent="0.2">
      <c r="A104" t="s">
        <v>156</v>
      </c>
      <c r="B104" t="s">
        <v>42</v>
      </c>
      <c r="C104" t="s">
        <v>29</v>
      </c>
      <c r="D104" t="s">
        <v>30</v>
      </c>
      <c r="E104" s="1">
        <v>44404</v>
      </c>
      <c r="F104" s="1">
        <v>44473</v>
      </c>
      <c r="G104" s="1">
        <v>44488</v>
      </c>
      <c r="H104" s="1">
        <v>45648</v>
      </c>
      <c r="I104" t="s">
        <v>57</v>
      </c>
      <c r="J104" s="2">
        <v>1866</v>
      </c>
      <c r="K104" t="s">
        <v>28</v>
      </c>
      <c r="L104" t="s">
        <v>52</v>
      </c>
      <c r="M104">
        <v>260</v>
      </c>
      <c r="N104">
        <v>18</v>
      </c>
      <c r="O104" s="3">
        <v>1624</v>
      </c>
      <c r="P104">
        <f t="shared" ca="1" si="5"/>
        <v>2</v>
      </c>
      <c r="Q104">
        <f ca="1">RANDBETWEEN(0,Table1[[#This Row],[offers made]])</f>
        <v>2</v>
      </c>
      <c r="R104" t="s">
        <v>308</v>
      </c>
      <c r="S104">
        <f>Table1[[#This Row],[Hire Date]]-Table1[[#This Row],[Job Posting Date]]</f>
        <v>69</v>
      </c>
      <c r="T104" s="4">
        <f>Table1[[#This Row],[Join Date]]-Table1[[#This Row],[Hire Date]]</f>
        <v>15</v>
      </c>
      <c r="U104" s="4">
        <f ca="1">IF(Table1[[#This Row],[Status]]="Exited",Table1[[#This Row],[Exit Date]]-Table1[[#This Row],[Join Date]],TODAY()-Table1[[#This Row],[Join Date]])</f>
        <v>1160</v>
      </c>
      <c r="V104" t="str">
        <f ca="1">IF(Table1[[#This Row],[Total Tenure in Days]]&lt;=730, "yes","no")</f>
        <v>no</v>
      </c>
      <c r="W104">
        <f>Table1[[#This Row],[Hire Date]]-Table1[[#This Row],[Job Posting Date]]</f>
        <v>69</v>
      </c>
      <c r="X104" s="4">
        <f>Table1[[#This Row],[Time to Onboard]]/Table1[[#This Row],[Time to Fill]]*100</f>
        <v>21.739130434782609</v>
      </c>
      <c r="Y104" s="5">
        <f>Table1[[#This Row],[Time to Onboard]]/Table1[[#This Row],[Time to Fill]]*100</f>
        <v>21.739130434782609</v>
      </c>
      <c r="Z104">
        <f>Table1[[#This Row],[Join Date]]-Table1[[#This Row],[Job Posting Date]]</f>
        <v>84</v>
      </c>
      <c r="AA104">
        <f t="shared" ca="1" si="6"/>
        <v>155</v>
      </c>
      <c r="AB104" s="5">
        <f>Table1[[#This Row],[Absentee Days]]/Table1[[#This Row],[Total Work Days]]*100</f>
        <v>6.9230769230769234</v>
      </c>
      <c r="AC104">
        <f>YEAR(Table1[[#This Row],[Join Date]])</f>
        <v>2021</v>
      </c>
      <c r="AD104">
        <f>IF(Table1[[#This Row],[Status]]="Active",1,0)</f>
        <v>0</v>
      </c>
      <c r="AE104">
        <f ca="1">IF(Table1[[#This Row],[Status]]="Exited",Table1[[#This Row],[Recruitment Cost]]+Table1[[#This Row],[Onboarding Cost]]+Table1[[#This Row],[Training Cost]],0)</f>
        <v>3645</v>
      </c>
      <c r="AF104">
        <f>IF(Table1[[#This Row],[Training Completion Status]]="Completed",1,0)</f>
        <v>1</v>
      </c>
      <c r="AG104">
        <f t="shared" ca="1" si="7"/>
        <v>2</v>
      </c>
      <c r="AH104">
        <f t="shared" ca="1" si="8"/>
        <v>1</v>
      </c>
      <c r="AI104">
        <f t="shared" ca="1" si="9"/>
        <v>3</v>
      </c>
      <c r="AJ104" t="s">
        <v>318</v>
      </c>
    </row>
    <row r="105" spans="1:36" x14ac:dyDescent="0.2">
      <c r="A105" t="s">
        <v>157</v>
      </c>
      <c r="B105" t="s">
        <v>43</v>
      </c>
      <c r="C105" t="s">
        <v>26</v>
      </c>
      <c r="D105" t="s">
        <v>27</v>
      </c>
      <c r="E105" s="1">
        <v>44541</v>
      </c>
      <c r="F105" s="1">
        <v>44631</v>
      </c>
      <c r="G105" s="1">
        <v>44633</v>
      </c>
      <c r="H105" s="1">
        <v>45206</v>
      </c>
      <c r="I105" t="s">
        <v>57</v>
      </c>
      <c r="J105" s="2">
        <v>3903</v>
      </c>
      <c r="K105" t="s">
        <v>37</v>
      </c>
      <c r="L105" t="s">
        <v>55</v>
      </c>
      <c r="M105">
        <v>260</v>
      </c>
      <c r="N105">
        <v>7</v>
      </c>
      <c r="O105" s="3">
        <v>1316</v>
      </c>
      <c r="P105">
        <f t="shared" ca="1" si="5"/>
        <v>7</v>
      </c>
      <c r="Q105">
        <f ca="1">RANDBETWEEN(0,Table1[[#This Row],[offers made]])</f>
        <v>6</v>
      </c>
      <c r="R105" t="s">
        <v>307</v>
      </c>
      <c r="S105">
        <f>Table1[[#This Row],[Hire Date]]-Table1[[#This Row],[Job Posting Date]]</f>
        <v>90</v>
      </c>
      <c r="T105" s="4">
        <f>Table1[[#This Row],[Join Date]]-Table1[[#This Row],[Hire Date]]</f>
        <v>2</v>
      </c>
      <c r="U105" s="4">
        <f ca="1">IF(Table1[[#This Row],[Status]]="Exited",Table1[[#This Row],[Exit Date]]-Table1[[#This Row],[Join Date]],TODAY()-Table1[[#This Row],[Join Date]])</f>
        <v>573</v>
      </c>
      <c r="V105" t="str">
        <f ca="1">IF(Table1[[#This Row],[Total Tenure in Days]]&lt;=730, "yes","no")</f>
        <v>yes</v>
      </c>
      <c r="W105">
        <f>Table1[[#This Row],[Hire Date]]-Table1[[#This Row],[Job Posting Date]]</f>
        <v>90</v>
      </c>
      <c r="X105" s="4">
        <f>Table1[[#This Row],[Time to Onboard]]/Table1[[#This Row],[Time to Fill]]*100</f>
        <v>2.2222222222222223</v>
      </c>
      <c r="Y105" s="5">
        <f>Table1[[#This Row],[Time to Onboard]]/Table1[[#This Row],[Time to Fill]]*100</f>
        <v>2.2222222222222223</v>
      </c>
      <c r="Z105">
        <f>Table1[[#This Row],[Join Date]]-Table1[[#This Row],[Job Posting Date]]</f>
        <v>92</v>
      </c>
      <c r="AA105">
        <f t="shared" ca="1" si="6"/>
        <v>170</v>
      </c>
      <c r="AB105" s="5">
        <f>Table1[[#This Row],[Absentee Days]]/Table1[[#This Row],[Total Work Days]]*100</f>
        <v>2.6923076923076925</v>
      </c>
      <c r="AC105">
        <f>YEAR(Table1[[#This Row],[Join Date]])</f>
        <v>2022</v>
      </c>
      <c r="AD105">
        <f>IF(Table1[[#This Row],[Status]]="Active",1,0)</f>
        <v>0</v>
      </c>
      <c r="AE105">
        <f ca="1">IF(Table1[[#This Row],[Status]]="Exited",Table1[[#This Row],[Recruitment Cost]]+Table1[[#This Row],[Onboarding Cost]]+Table1[[#This Row],[Training Cost]],0)</f>
        <v>5389</v>
      </c>
      <c r="AF105">
        <f>IF(Table1[[#This Row],[Training Completion Status]]="Completed",1,0)</f>
        <v>0</v>
      </c>
      <c r="AG105">
        <f t="shared" ca="1" si="7"/>
        <v>4</v>
      </c>
      <c r="AH105">
        <f t="shared" ca="1" si="8"/>
        <v>3</v>
      </c>
      <c r="AI105">
        <f t="shared" ca="1" si="9"/>
        <v>3</v>
      </c>
      <c r="AJ105" t="s">
        <v>318</v>
      </c>
    </row>
    <row r="106" spans="1:36" x14ac:dyDescent="0.2">
      <c r="A106" t="s">
        <v>158</v>
      </c>
      <c r="B106" t="s">
        <v>42</v>
      </c>
      <c r="C106" t="s">
        <v>38</v>
      </c>
      <c r="D106" t="s">
        <v>39</v>
      </c>
      <c r="E106" s="1">
        <v>44814</v>
      </c>
      <c r="F106" s="1">
        <v>44832</v>
      </c>
      <c r="G106" s="1">
        <v>44843</v>
      </c>
      <c r="H106" s="1">
        <v>45281</v>
      </c>
      <c r="I106" t="s">
        <v>57</v>
      </c>
      <c r="J106" s="2">
        <v>3537</v>
      </c>
      <c r="K106" t="s">
        <v>37</v>
      </c>
      <c r="L106" t="s">
        <v>52</v>
      </c>
      <c r="M106">
        <v>260</v>
      </c>
      <c r="N106">
        <v>4</v>
      </c>
      <c r="O106" s="3">
        <v>1384</v>
      </c>
      <c r="P106">
        <f t="shared" ca="1" si="5"/>
        <v>9</v>
      </c>
      <c r="Q106">
        <f ca="1">RANDBETWEEN(0,Table1[[#This Row],[offers made]])</f>
        <v>6</v>
      </c>
      <c r="R106" t="s">
        <v>306</v>
      </c>
      <c r="S106">
        <f>Table1[[#This Row],[Hire Date]]-Table1[[#This Row],[Job Posting Date]]</f>
        <v>18</v>
      </c>
      <c r="T106" s="4">
        <f>Table1[[#This Row],[Join Date]]-Table1[[#This Row],[Hire Date]]</f>
        <v>11</v>
      </c>
      <c r="U106" s="4">
        <f ca="1">IF(Table1[[#This Row],[Status]]="Exited",Table1[[#This Row],[Exit Date]]-Table1[[#This Row],[Join Date]],TODAY()-Table1[[#This Row],[Join Date]])</f>
        <v>438</v>
      </c>
      <c r="V106" t="str">
        <f ca="1">IF(Table1[[#This Row],[Total Tenure in Days]]&lt;=730, "yes","no")</f>
        <v>yes</v>
      </c>
      <c r="W106">
        <f>Table1[[#This Row],[Hire Date]]-Table1[[#This Row],[Job Posting Date]]</f>
        <v>18</v>
      </c>
      <c r="X106" s="4">
        <f>Table1[[#This Row],[Time to Onboard]]/Table1[[#This Row],[Time to Fill]]*100</f>
        <v>61.111111111111114</v>
      </c>
      <c r="Y106" s="5">
        <f>Table1[[#This Row],[Time to Onboard]]/Table1[[#This Row],[Time to Fill]]*100</f>
        <v>61.111111111111114</v>
      </c>
      <c r="Z106">
        <f>Table1[[#This Row],[Join Date]]-Table1[[#This Row],[Job Posting Date]]</f>
        <v>29</v>
      </c>
      <c r="AA106">
        <f t="shared" ca="1" si="6"/>
        <v>183</v>
      </c>
      <c r="AB106" s="5">
        <f>Table1[[#This Row],[Absentee Days]]/Table1[[#This Row],[Total Work Days]]*100</f>
        <v>1.5384615384615385</v>
      </c>
      <c r="AC106">
        <f>YEAR(Table1[[#This Row],[Join Date]])</f>
        <v>2022</v>
      </c>
      <c r="AD106">
        <f>IF(Table1[[#This Row],[Status]]="Active",1,0)</f>
        <v>0</v>
      </c>
      <c r="AE106">
        <f ca="1">IF(Table1[[#This Row],[Status]]="Exited",Table1[[#This Row],[Recruitment Cost]]+Table1[[#This Row],[Onboarding Cost]]+Table1[[#This Row],[Training Cost]],0)</f>
        <v>5104</v>
      </c>
      <c r="AF106">
        <f>IF(Table1[[#This Row],[Training Completion Status]]="Completed",1,0)</f>
        <v>1</v>
      </c>
      <c r="AG106">
        <f t="shared" ca="1" si="7"/>
        <v>4</v>
      </c>
      <c r="AH106">
        <f t="shared" ca="1" si="8"/>
        <v>3</v>
      </c>
      <c r="AI106">
        <f t="shared" ca="1" si="9"/>
        <v>4</v>
      </c>
      <c r="AJ106" t="s">
        <v>317</v>
      </c>
    </row>
    <row r="107" spans="1:36" x14ac:dyDescent="0.2">
      <c r="A107" t="s">
        <v>159</v>
      </c>
      <c r="B107" t="s">
        <v>43</v>
      </c>
      <c r="C107" t="s">
        <v>38</v>
      </c>
      <c r="D107" t="s">
        <v>39</v>
      </c>
      <c r="E107" s="1">
        <v>44356</v>
      </c>
      <c r="F107" s="1">
        <v>44435</v>
      </c>
      <c r="G107" s="1">
        <v>44448</v>
      </c>
      <c r="H107" s="1" t="s">
        <v>50</v>
      </c>
      <c r="I107" t="s">
        <v>51</v>
      </c>
      <c r="J107" s="2">
        <v>3318</v>
      </c>
      <c r="K107" t="s">
        <v>40</v>
      </c>
      <c r="L107" t="s">
        <v>52</v>
      </c>
      <c r="M107">
        <v>260</v>
      </c>
      <c r="N107">
        <v>5</v>
      </c>
      <c r="O107" s="3">
        <v>1510</v>
      </c>
      <c r="P107">
        <f t="shared" ca="1" si="5"/>
        <v>9</v>
      </c>
      <c r="Q107">
        <f ca="1">RANDBETWEEN(0,Table1[[#This Row],[offers made]])</f>
        <v>9</v>
      </c>
      <c r="R107" t="s">
        <v>307</v>
      </c>
      <c r="S107">
        <f>Table1[[#This Row],[Hire Date]]-Table1[[#This Row],[Job Posting Date]]</f>
        <v>79</v>
      </c>
      <c r="T107" s="4">
        <f>Table1[[#This Row],[Join Date]]-Table1[[#This Row],[Hire Date]]</f>
        <v>13</v>
      </c>
      <c r="U107" s="4">
        <f ca="1">IF(Table1[[#This Row],[Status]]="Exited",Table1[[#This Row],[Exit Date]]-Table1[[#This Row],[Join Date]],TODAY()-Table1[[#This Row],[Join Date]])</f>
        <v>1213</v>
      </c>
      <c r="V107" t="str">
        <f ca="1">IF(Table1[[#This Row],[Total Tenure in Days]]&lt;=730, "yes","no")</f>
        <v>no</v>
      </c>
      <c r="W107">
        <f>Table1[[#This Row],[Hire Date]]-Table1[[#This Row],[Job Posting Date]]</f>
        <v>79</v>
      </c>
      <c r="X107" s="4">
        <f>Table1[[#This Row],[Time to Onboard]]/Table1[[#This Row],[Time to Fill]]*100</f>
        <v>16.455696202531644</v>
      </c>
      <c r="Y107" s="5">
        <f>Table1[[#This Row],[Time to Onboard]]/Table1[[#This Row],[Time to Fill]]*100</f>
        <v>16.455696202531644</v>
      </c>
      <c r="Z107">
        <f>Table1[[#This Row],[Join Date]]-Table1[[#This Row],[Job Posting Date]]</f>
        <v>92</v>
      </c>
      <c r="AA107">
        <f t="shared" ca="1" si="6"/>
        <v>126</v>
      </c>
      <c r="AB107" s="5">
        <f>Table1[[#This Row],[Absentee Days]]/Table1[[#This Row],[Total Work Days]]*100</f>
        <v>1.9230769230769231</v>
      </c>
      <c r="AC107">
        <f>YEAR(Table1[[#This Row],[Join Date]])</f>
        <v>2021</v>
      </c>
      <c r="AD107">
        <f>IF(Table1[[#This Row],[Status]]="Active",1,0)</f>
        <v>1</v>
      </c>
      <c r="AE107">
        <f>IF(Table1[[#This Row],[Status]]="Exited",Table1[[#This Row],[Recruitment Cost]]+Table1[[#This Row],[Onboarding Cost]]+Table1[[#This Row],[Training Cost]],0)</f>
        <v>0</v>
      </c>
      <c r="AF107">
        <f>IF(Table1[[#This Row],[Training Completion Status]]="Completed",1,0)</f>
        <v>1</v>
      </c>
      <c r="AG107">
        <f t="shared" ca="1" si="7"/>
        <v>2</v>
      </c>
      <c r="AH107">
        <f t="shared" ca="1" si="8"/>
        <v>4</v>
      </c>
      <c r="AI107">
        <f t="shared" ca="1" si="9"/>
        <v>1</v>
      </c>
      <c r="AJ107" t="s">
        <v>318</v>
      </c>
    </row>
    <row r="108" spans="1:36" x14ac:dyDescent="0.2">
      <c r="A108" t="s">
        <v>160</v>
      </c>
      <c r="B108" t="s">
        <v>43</v>
      </c>
      <c r="C108" t="s">
        <v>32</v>
      </c>
      <c r="D108" t="s">
        <v>33</v>
      </c>
      <c r="E108" s="1">
        <v>43364</v>
      </c>
      <c r="F108" s="1">
        <v>43430</v>
      </c>
      <c r="G108" s="1">
        <v>43436</v>
      </c>
      <c r="H108" s="1">
        <v>43823</v>
      </c>
      <c r="I108" t="s">
        <v>57</v>
      </c>
      <c r="J108" s="2">
        <v>3541</v>
      </c>
      <c r="K108" t="s">
        <v>28</v>
      </c>
      <c r="L108" t="s">
        <v>52</v>
      </c>
      <c r="M108">
        <v>260</v>
      </c>
      <c r="N108">
        <v>20</v>
      </c>
      <c r="O108" s="3">
        <v>1433</v>
      </c>
      <c r="P108">
        <f t="shared" ca="1" si="5"/>
        <v>1</v>
      </c>
      <c r="Q108">
        <f ca="1">RANDBETWEEN(0,Table1[[#This Row],[offers made]])</f>
        <v>1</v>
      </c>
      <c r="R108" t="s">
        <v>308</v>
      </c>
      <c r="S108">
        <f>Table1[[#This Row],[Hire Date]]-Table1[[#This Row],[Job Posting Date]]</f>
        <v>66</v>
      </c>
      <c r="T108" s="4">
        <f>Table1[[#This Row],[Join Date]]-Table1[[#This Row],[Hire Date]]</f>
        <v>6</v>
      </c>
      <c r="U108" s="4">
        <f ca="1">IF(Table1[[#This Row],[Status]]="Exited",Table1[[#This Row],[Exit Date]]-Table1[[#This Row],[Join Date]],TODAY()-Table1[[#This Row],[Join Date]])</f>
        <v>387</v>
      </c>
      <c r="V108" t="str">
        <f ca="1">IF(Table1[[#This Row],[Total Tenure in Days]]&lt;=730, "yes","no")</f>
        <v>yes</v>
      </c>
      <c r="W108">
        <f>Table1[[#This Row],[Hire Date]]-Table1[[#This Row],[Job Posting Date]]</f>
        <v>66</v>
      </c>
      <c r="X108" s="4">
        <f>Table1[[#This Row],[Time to Onboard]]/Table1[[#This Row],[Time to Fill]]*100</f>
        <v>9.0909090909090917</v>
      </c>
      <c r="Y108" s="5">
        <f>Table1[[#This Row],[Time to Onboard]]/Table1[[#This Row],[Time to Fill]]*100</f>
        <v>9.0909090909090917</v>
      </c>
      <c r="Z108">
        <f>Table1[[#This Row],[Join Date]]-Table1[[#This Row],[Job Posting Date]]</f>
        <v>72</v>
      </c>
      <c r="AA108">
        <f t="shared" ca="1" si="6"/>
        <v>200</v>
      </c>
      <c r="AB108" s="5">
        <f>Table1[[#This Row],[Absentee Days]]/Table1[[#This Row],[Total Work Days]]*100</f>
        <v>7.6923076923076925</v>
      </c>
      <c r="AC108">
        <f>YEAR(Table1[[#This Row],[Join Date]])</f>
        <v>2018</v>
      </c>
      <c r="AD108">
        <f>IF(Table1[[#This Row],[Status]]="Active",1,0)</f>
        <v>0</v>
      </c>
      <c r="AE108">
        <f ca="1">IF(Table1[[#This Row],[Status]]="Exited",Table1[[#This Row],[Recruitment Cost]]+Table1[[#This Row],[Onboarding Cost]]+Table1[[#This Row],[Training Cost]],0)</f>
        <v>5174</v>
      </c>
      <c r="AF108">
        <f>IF(Table1[[#This Row],[Training Completion Status]]="Completed",1,0)</f>
        <v>1</v>
      </c>
      <c r="AG108">
        <f t="shared" ca="1" si="7"/>
        <v>1</v>
      </c>
      <c r="AH108">
        <f t="shared" ca="1" si="8"/>
        <v>4</v>
      </c>
      <c r="AI108">
        <f t="shared" ca="1" si="9"/>
        <v>4</v>
      </c>
      <c r="AJ108" t="s">
        <v>318</v>
      </c>
    </row>
    <row r="109" spans="1:36" x14ac:dyDescent="0.2">
      <c r="A109" t="s">
        <v>161</v>
      </c>
      <c r="B109" t="s">
        <v>41</v>
      </c>
      <c r="C109" t="s">
        <v>32</v>
      </c>
      <c r="D109" t="s">
        <v>33</v>
      </c>
      <c r="E109" s="1">
        <v>44351</v>
      </c>
      <c r="F109" s="1">
        <v>44408</v>
      </c>
      <c r="G109" s="1">
        <v>44411</v>
      </c>
      <c r="H109" s="1">
        <v>44564</v>
      </c>
      <c r="I109" t="s">
        <v>57</v>
      </c>
      <c r="J109" s="2">
        <v>2317</v>
      </c>
      <c r="K109" t="s">
        <v>28</v>
      </c>
      <c r="L109" t="s">
        <v>52</v>
      </c>
      <c r="M109">
        <v>260</v>
      </c>
      <c r="N109">
        <v>3</v>
      </c>
      <c r="O109" s="3">
        <v>1434</v>
      </c>
      <c r="P109">
        <f t="shared" ca="1" si="5"/>
        <v>7</v>
      </c>
      <c r="Q109">
        <f ca="1">RANDBETWEEN(0,Table1[[#This Row],[offers made]])</f>
        <v>6</v>
      </c>
      <c r="R109" t="s">
        <v>308</v>
      </c>
      <c r="S109">
        <f>Table1[[#This Row],[Hire Date]]-Table1[[#This Row],[Job Posting Date]]</f>
        <v>57</v>
      </c>
      <c r="T109" s="4">
        <f>Table1[[#This Row],[Join Date]]-Table1[[#This Row],[Hire Date]]</f>
        <v>3</v>
      </c>
      <c r="U109" s="4">
        <f ca="1">IF(Table1[[#This Row],[Status]]="Exited",Table1[[#This Row],[Exit Date]]-Table1[[#This Row],[Join Date]],TODAY()-Table1[[#This Row],[Join Date]])</f>
        <v>153</v>
      </c>
      <c r="V109" t="str">
        <f ca="1">IF(Table1[[#This Row],[Total Tenure in Days]]&lt;=730, "yes","no")</f>
        <v>yes</v>
      </c>
      <c r="W109">
        <f>Table1[[#This Row],[Hire Date]]-Table1[[#This Row],[Job Posting Date]]</f>
        <v>57</v>
      </c>
      <c r="X109" s="4">
        <f>Table1[[#This Row],[Time to Onboard]]/Table1[[#This Row],[Time to Fill]]*100</f>
        <v>5.2631578947368416</v>
      </c>
      <c r="Y109" s="5">
        <f>Table1[[#This Row],[Time to Onboard]]/Table1[[#This Row],[Time to Fill]]*100</f>
        <v>5.2631578947368416</v>
      </c>
      <c r="Z109">
        <f>Table1[[#This Row],[Join Date]]-Table1[[#This Row],[Job Posting Date]]</f>
        <v>60</v>
      </c>
      <c r="AA109">
        <f t="shared" ca="1" si="6"/>
        <v>166</v>
      </c>
      <c r="AB109" s="5">
        <f>Table1[[#This Row],[Absentee Days]]/Table1[[#This Row],[Total Work Days]]*100</f>
        <v>1.153846153846154</v>
      </c>
      <c r="AC109">
        <f>YEAR(Table1[[#This Row],[Join Date]])</f>
        <v>2021</v>
      </c>
      <c r="AD109">
        <f>IF(Table1[[#This Row],[Status]]="Active",1,0)</f>
        <v>0</v>
      </c>
      <c r="AE109">
        <f ca="1">IF(Table1[[#This Row],[Status]]="Exited",Table1[[#This Row],[Recruitment Cost]]+Table1[[#This Row],[Onboarding Cost]]+Table1[[#This Row],[Training Cost]],0)</f>
        <v>3917</v>
      </c>
      <c r="AF109">
        <f>IF(Table1[[#This Row],[Training Completion Status]]="Completed",1,0)</f>
        <v>1</v>
      </c>
      <c r="AG109">
        <f t="shared" ca="1" si="7"/>
        <v>2</v>
      </c>
      <c r="AH109">
        <f t="shared" ca="1" si="8"/>
        <v>1</v>
      </c>
      <c r="AI109">
        <f t="shared" ca="1" si="9"/>
        <v>3</v>
      </c>
      <c r="AJ109" t="s">
        <v>317</v>
      </c>
    </row>
    <row r="110" spans="1:36" x14ac:dyDescent="0.2">
      <c r="A110" t="s">
        <v>162</v>
      </c>
      <c r="B110" t="s">
        <v>42</v>
      </c>
      <c r="C110" t="s">
        <v>35</v>
      </c>
      <c r="D110" t="s">
        <v>36</v>
      </c>
      <c r="E110" s="1">
        <v>44149</v>
      </c>
      <c r="F110" s="1">
        <v>44165</v>
      </c>
      <c r="G110" s="1">
        <v>44172</v>
      </c>
      <c r="H110" s="1" t="s">
        <v>50</v>
      </c>
      <c r="I110" t="s">
        <v>51</v>
      </c>
      <c r="J110" s="2">
        <v>2706</v>
      </c>
      <c r="K110" t="s">
        <v>40</v>
      </c>
      <c r="L110" t="s">
        <v>52</v>
      </c>
      <c r="M110">
        <v>260</v>
      </c>
      <c r="N110">
        <v>14</v>
      </c>
      <c r="O110" s="3">
        <v>2216</v>
      </c>
      <c r="P110">
        <f t="shared" ca="1" si="5"/>
        <v>8</v>
      </c>
      <c r="Q110">
        <f ca="1">RANDBETWEEN(0,Table1[[#This Row],[offers made]])</f>
        <v>8</v>
      </c>
      <c r="R110" t="s">
        <v>307</v>
      </c>
      <c r="S110">
        <f>Table1[[#This Row],[Hire Date]]-Table1[[#This Row],[Job Posting Date]]</f>
        <v>16</v>
      </c>
      <c r="T110" s="4">
        <f>Table1[[#This Row],[Join Date]]-Table1[[#This Row],[Hire Date]]</f>
        <v>7</v>
      </c>
      <c r="U110" s="4">
        <f ca="1">IF(Table1[[#This Row],[Status]]="Exited",Table1[[#This Row],[Exit Date]]-Table1[[#This Row],[Join Date]],TODAY()-Table1[[#This Row],[Join Date]])</f>
        <v>1489</v>
      </c>
      <c r="V110" t="str">
        <f ca="1">IF(Table1[[#This Row],[Total Tenure in Days]]&lt;=730, "yes","no")</f>
        <v>no</v>
      </c>
      <c r="W110">
        <f>Table1[[#This Row],[Hire Date]]-Table1[[#This Row],[Job Posting Date]]</f>
        <v>16</v>
      </c>
      <c r="X110" s="4">
        <f>Table1[[#This Row],[Time to Onboard]]/Table1[[#This Row],[Time to Fill]]*100</f>
        <v>43.75</v>
      </c>
      <c r="Y110" s="5">
        <f>Table1[[#This Row],[Time to Onboard]]/Table1[[#This Row],[Time to Fill]]*100</f>
        <v>43.75</v>
      </c>
      <c r="Z110">
        <f>Table1[[#This Row],[Join Date]]-Table1[[#This Row],[Job Posting Date]]</f>
        <v>23</v>
      </c>
      <c r="AA110">
        <f t="shared" ca="1" si="6"/>
        <v>180</v>
      </c>
      <c r="AB110" s="5">
        <f>Table1[[#This Row],[Absentee Days]]/Table1[[#This Row],[Total Work Days]]*100</f>
        <v>5.384615384615385</v>
      </c>
      <c r="AC110">
        <f>YEAR(Table1[[#This Row],[Join Date]])</f>
        <v>2020</v>
      </c>
      <c r="AD110">
        <f>IF(Table1[[#This Row],[Status]]="Active",1,0)</f>
        <v>1</v>
      </c>
      <c r="AE110">
        <f>IF(Table1[[#This Row],[Status]]="Exited",Table1[[#This Row],[Recruitment Cost]]+Table1[[#This Row],[Onboarding Cost]]+Table1[[#This Row],[Training Cost]],0)</f>
        <v>0</v>
      </c>
      <c r="AF110">
        <f>IF(Table1[[#This Row],[Training Completion Status]]="Completed",1,0)</f>
        <v>1</v>
      </c>
      <c r="AG110">
        <f t="shared" ca="1" si="7"/>
        <v>2</v>
      </c>
      <c r="AH110">
        <f t="shared" ca="1" si="8"/>
        <v>2</v>
      </c>
      <c r="AI110">
        <f t="shared" ca="1" si="9"/>
        <v>1</v>
      </c>
      <c r="AJ110" t="s">
        <v>317</v>
      </c>
    </row>
    <row r="111" spans="1:36" x14ac:dyDescent="0.2">
      <c r="A111" t="s">
        <v>163</v>
      </c>
      <c r="B111" t="s">
        <v>42</v>
      </c>
      <c r="C111" t="s">
        <v>29</v>
      </c>
      <c r="D111" t="s">
        <v>30</v>
      </c>
      <c r="E111" s="1">
        <v>43775</v>
      </c>
      <c r="F111" s="1">
        <v>43841</v>
      </c>
      <c r="G111" s="1">
        <v>43855</v>
      </c>
      <c r="H111" s="1" t="s">
        <v>50</v>
      </c>
      <c r="I111" t="s">
        <v>51</v>
      </c>
      <c r="J111" s="2">
        <v>4500</v>
      </c>
      <c r="K111" t="s">
        <v>28</v>
      </c>
      <c r="L111" t="s">
        <v>52</v>
      </c>
      <c r="M111">
        <v>260</v>
      </c>
      <c r="N111">
        <v>16</v>
      </c>
      <c r="O111" s="3">
        <v>2489</v>
      </c>
      <c r="P111">
        <f t="shared" ca="1" si="5"/>
        <v>9</v>
      </c>
      <c r="Q111">
        <f ca="1">RANDBETWEEN(0,Table1[[#This Row],[offers made]])</f>
        <v>4</v>
      </c>
      <c r="R111" t="s">
        <v>306</v>
      </c>
      <c r="S111">
        <f>Table1[[#This Row],[Hire Date]]-Table1[[#This Row],[Job Posting Date]]</f>
        <v>66</v>
      </c>
      <c r="T111" s="4">
        <f>Table1[[#This Row],[Join Date]]-Table1[[#This Row],[Hire Date]]</f>
        <v>14</v>
      </c>
      <c r="U111" s="4">
        <f ca="1">IF(Table1[[#This Row],[Status]]="Exited",Table1[[#This Row],[Exit Date]]-Table1[[#This Row],[Join Date]],TODAY()-Table1[[#This Row],[Join Date]])</f>
        <v>1806</v>
      </c>
      <c r="V111" t="str">
        <f ca="1">IF(Table1[[#This Row],[Total Tenure in Days]]&lt;=730, "yes","no")</f>
        <v>no</v>
      </c>
      <c r="W111">
        <f>Table1[[#This Row],[Hire Date]]-Table1[[#This Row],[Job Posting Date]]</f>
        <v>66</v>
      </c>
      <c r="X111" s="4">
        <f>Table1[[#This Row],[Time to Onboard]]/Table1[[#This Row],[Time to Fill]]*100</f>
        <v>21.212121212121211</v>
      </c>
      <c r="Y111" s="5">
        <f>Table1[[#This Row],[Time to Onboard]]/Table1[[#This Row],[Time to Fill]]*100</f>
        <v>21.212121212121211</v>
      </c>
      <c r="Z111">
        <f>Table1[[#This Row],[Join Date]]-Table1[[#This Row],[Job Posting Date]]</f>
        <v>80</v>
      </c>
      <c r="AA111">
        <f t="shared" ca="1" si="6"/>
        <v>193</v>
      </c>
      <c r="AB111" s="5">
        <f>Table1[[#This Row],[Absentee Days]]/Table1[[#This Row],[Total Work Days]]*100</f>
        <v>6.1538461538461542</v>
      </c>
      <c r="AC111">
        <f>YEAR(Table1[[#This Row],[Join Date]])</f>
        <v>2020</v>
      </c>
      <c r="AD111">
        <f>IF(Table1[[#This Row],[Status]]="Active",1,0)</f>
        <v>1</v>
      </c>
      <c r="AE111">
        <f>IF(Table1[[#This Row],[Status]]="Exited",Table1[[#This Row],[Recruitment Cost]]+Table1[[#This Row],[Onboarding Cost]]+Table1[[#This Row],[Training Cost]],0)</f>
        <v>0</v>
      </c>
      <c r="AF111">
        <f>IF(Table1[[#This Row],[Training Completion Status]]="Completed",1,0)</f>
        <v>1</v>
      </c>
      <c r="AG111">
        <f t="shared" ca="1" si="7"/>
        <v>5</v>
      </c>
      <c r="AH111">
        <f t="shared" ca="1" si="8"/>
        <v>2</v>
      </c>
      <c r="AI111">
        <f t="shared" ca="1" si="9"/>
        <v>3</v>
      </c>
      <c r="AJ111" t="s">
        <v>318</v>
      </c>
    </row>
    <row r="112" spans="1:36" x14ac:dyDescent="0.2">
      <c r="A112" t="s">
        <v>164</v>
      </c>
      <c r="B112" t="s">
        <v>43</v>
      </c>
      <c r="C112" t="s">
        <v>38</v>
      </c>
      <c r="D112" t="s">
        <v>39</v>
      </c>
      <c r="E112" s="1">
        <v>43547</v>
      </c>
      <c r="F112" s="1">
        <v>43634</v>
      </c>
      <c r="G112" s="1">
        <v>43643</v>
      </c>
      <c r="H112" s="1">
        <v>44539</v>
      </c>
      <c r="I112" t="s">
        <v>57</v>
      </c>
      <c r="J112" s="2">
        <v>3979</v>
      </c>
      <c r="K112" t="s">
        <v>31</v>
      </c>
      <c r="L112" t="s">
        <v>55</v>
      </c>
      <c r="M112">
        <v>260</v>
      </c>
      <c r="N112">
        <v>20</v>
      </c>
      <c r="O112" s="3">
        <v>1302</v>
      </c>
      <c r="P112">
        <f t="shared" ca="1" si="5"/>
        <v>3</v>
      </c>
      <c r="Q112">
        <f ca="1">RANDBETWEEN(0,Table1[[#This Row],[offers made]])</f>
        <v>1</v>
      </c>
      <c r="R112" t="s">
        <v>307</v>
      </c>
      <c r="S112">
        <f>Table1[[#This Row],[Hire Date]]-Table1[[#This Row],[Job Posting Date]]</f>
        <v>87</v>
      </c>
      <c r="T112" s="4">
        <f>Table1[[#This Row],[Join Date]]-Table1[[#This Row],[Hire Date]]</f>
        <v>9</v>
      </c>
      <c r="U112" s="4">
        <f ca="1">IF(Table1[[#This Row],[Status]]="Exited",Table1[[#This Row],[Exit Date]]-Table1[[#This Row],[Join Date]],TODAY()-Table1[[#This Row],[Join Date]])</f>
        <v>896</v>
      </c>
      <c r="V112" t="str">
        <f ca="1">IF(Table1[[#This Row],[Total Tenure in Days]]&lt;=730, "yes","no")</f>
        <v>no</v>
      </c>
      <c r="W112">
        <f>Table1[[#This Row],[Hire Date]]-Table1[[#This Row],[Job Posting Date]]</f>
        <v>87</v>
      </c>
      <c r="X112" s="4">
        <f>Table1[[#This Row],[Time to Onboard]]/Table1[[#This Row],[Time to Fill]]*100</f>
        <v>10.344827586206897</v>
      </c>
      <c r="Y112" s="5">
        <f>Table1[[#This Row],[Time to Onboard]]/Table1[[#This Row],[Time to Fill]]*100</f>
        <v>10.344827586206897</v>
      </c>
      <c r="Z112">
        <f>Table1[[#This Row],[Join Date]]-Table1[[#This Row],[Job Posting Date]]</f>
        <v>96</v>
      </c>
      <c r="AA112">
        <f t="shared" ca="1" si="6"/>
        <v>143</v>
      </c>
      <c r="AB112" s="5">
        <f>Table1[[#This Row],[Absentee Days]]/Table1[[#This Row],[Total Work Days]]*100</f>
        <v>7.6923076923076925</v>
      </c>
      <c r="AC112">
        <f>YEAR(Table1[[#This Row],[Join Date]])</f>
        <v>2019</v>
      </c>
      <c r="AD112">
        <f>IF(Table1[[#This Row],[Status]]="Active",1,0)</f>
        <v>0</v>
      </c>
      <c r="AE112">
        <f ca="1">IF(Table1[[#This Row],[Status]]="Exited",Table1[[#This Row],[Recruitment Cost]]+Table1[[#This Row],[Onboarding Cost]]+Table1[[#This Row],[Training Cost]],0)</f>
        <v>5424</v>
      </c>
      <c r="AF112">
        <f>IF(Table1[[#This Row],[Training Completion Status]]="Completed",1,0)</f>
        <v>0</v>
      </c>
      <c r="AG112">
        <f t="shared" ca="1" si="7"/>
        <v>5</v>
      </c>
      <c r="AH112">
        <f t="shared" ca="1" si="8"/>
        <v>2</v>
      </c>
      <c r="AI112">
        <f t="shared" ca="1" si="9"/>
        <v>2</v>
      </c>
      <c r="AJ112" t="s">
        <v>318</v>
      </c>
    </row>
    <row r="113" spans="1:36" x14ac:dyDescent="0.2">
      <c r="A113" t="s">
        <v>165</v>
      </c>
      <c r="B113" t="s">
        <v>42</v>
      </c>
      <c r="C113" t="s">
        <v>26</v>
      </c>
      <c r="D113" t="s">
        <v>27</v>
      </c>
      <c r="E113" s="1">
        <v>44425</v>
      </c>
      <c r="F113" s="1">
        <v>44484</v>
      </c>
      <c r="G113" s="1">
        <v>44485</v>
      </c>
      <c r="H113" s="1" t="s">
        <v>50</v>
      </c>
      <c r="I113" t="s">
        <v>51</v>
      </c>
      <c r="J113" s="2">
        <v>1678</v>
      </c>
      <c r="K113" t="s">
        <v>37</v>
      </c>
      <c r="L113" t="s">
        <v>52</v>
      </c>
      <c r="M113">
        <v>260</v>
      </c>
      <c r="N113">
        <v>7</v>
      </c>
      <c r="O113" s="3">
        <v>2086</v>
      </c>
      <c r="P113">
        <f t="shared" ca="1" si="5"/>
        <v>3</v>
      </c>
      <c r="Q113">
        <f ca="1">RANDBETWEEN(0,Table1[[#This Row],[offers made]])</f>
        <v>3</v>
      </c>
      <c r="R113" t="s">
        <v>307</v>
      </c>
      <c r="S113">
        <f>Table1[[#This Row],[Hire Date]]-Table1[[#This Row],[Job Posting Date]]</f>
        <v>59</v>
      </c>
      <c r="T113" s="4">
        <f>Table1[[#This Row],[Join Date]]-Table1[[#This Row],[Hire Date]]</f>
        <v>1</v>
      </c>
      <c r="U113" s="4">
        <f ca="1">IF(Table1[[#This Row],[Status]]="Exited",Table1[[#This Row],[Exit Date]]-Table1[[#This Row],[Join Date]],TODAY()-Table1[[#This Row],[Join Date]])</f>
        <v>1176</v>
      </c>
      <c r="V113" t="str">
        <f ca="1">IF(Table1[[#This Row],[Total Tenure in Days]]&lt;=730, "yes","no")</f>
        <v>no</v>
      </c>
      <c r="W113">
        <f>Table1[[#This Row],[Hire Date]]-Table1[[#This Row],[Job Posting Date]]</f>
        <v>59</v>
      </c>
      <c r="X113" s="4">
        <f>Table1[[#This Row],[Time to Onboard]]/Table1[[#This Row],[Time to Fill]]*100</f>
        <v>1.6949152542372881</v>
      </c>
      <c r="Y113" s="5">
        <f>Table1[[#This Row],[Time to Onboard]]/Table1[[#This Row],[Time to Fill]]*100</f>
        <v>1.6949152542372881</v>
      </c>
      <c r="Z113">
        <f>Table1[[#This Row],[Join Date]]-Table1[[#This Row],[Job Posting Date]]</f>
        <v>60</v>
      </c>
      <c r="AA113">
        <f t="shared" ca="1" si="6"/>
        <v>100</v>
      </c>
      <c r="AB113" s="5">
        <f>Table1[[#This Row],[Absentee Days]]/Table1[[#This Row],[Total Work Days]]*100</f>
        <v>2.6923076923076925</v>
      </c>
      <c r="AC113">
        <f>YEAR(Table1[[#This Row],[Join Date]])</f>
        <v>2021</v>
      </c>
      <c r="AD113">
        <f>IF(Table1[[#This Row],[Status]]="Active",1,0)</f>
        <v>1</v>
      </c>
      <c r="AE113">
        <f>IF(Table1[[#This Row],[Status]]="Exited",Table1[[#This Row],[Recruitment Cost]]+Table1[[#This Row],[Onboarding Cost]]+Table1[[#This Row],[Training Cost]],0)</f>
        <v>0</v>
      </c>
      <c r="AF113">
        <f>IF(Table1[[#This Row],[Training Completion Status]]="Completed",1,0)</f>
        <v>1</v>
      </c>
      <c r="AG113">
        <f t="shared" ca="1" si="7"/>
        <v>2</v>
      </c>
      <c r="AH113">
        <f t="shared" ca="1" si="8"/>
        <v>2</v>
      </c>
      <c r="AI113">
        <f t="shared" ca="1" si="9"/>
        <v>4</v>
      </c>
      <c r="AJ113" t="s">
        <v>318</v>
      </c>
    </row>
    <row r="114" spans="1:36" x14ac:dyDescent="0.2">
      <c r="A114" t="s">
        <v>166</v>
      </c>
      <c r="B114" t="s">
        <v>43</v>
      </c>
      <c r="C114" t="s">
        <v>32</v>
      </c>
      <c r="D114" t="s">
        <v>33</v>
      </c>
      <c r="E114" s="1">
        <v>44301</v>
      </c>
      <c r="F114" s="1">
        <v>44329</v>
      </c>
      <c r="G114" s="1">
        <v>44338</v>
      </c>
      <c r="H114" s="1">
        <v>44473</v>
      </c>
      <c r="I114" t="s">
        <v>57</v>
      </c>
      <c r="J114" s="2">
        <v>3194</v>
      </c>
      <c r="K114" t="s">
        <v>31</v>
      </c>
      <c r="L114" t="s">
        <v>52</v>
      </c>
      <c r="M114">
        <v>260</v>
      </c>
      <c r="N114">
        <v>4</v>
      </c>
      <c r="O114" s="3">
        <v>2266</v>
      </c>
      <c r="P114">
        <f t="shared" ca="1" si="5"/>
        <v>9</v>
      </c>
      <c r="Q114">
        <f ca="1">RANDBETWEEN(0,Table1[[#This Row],[offers made]])</f>
        <v>3</v>
      </c>
      <c r="R114" t="s">
        <v>306</v>
      </c>
      <c r="S114">
        <f>Table1[[#This Row],[Hire Date]]-Table1[[#This Row],[Job Posting Date]]</f>
        <v>28</v>
      </c>
      <c r="T114" s="4">
        <f>Table1[[#This Row],[Join Date]]-Table1[[#This Row],[Hire Date]]</f>
        <v>9</v>
      </c>
      <c r="U114" s="4">
        <f ca="1">IF(Table1[[#This Row],[Status]]="Exited",Table1[[#This Row],[Exit Date]]-Table1[[#This Row],[Join Date]],TODAY()-Table1[[#This Row],[Join Date]])</f>
        <v>135</v>
      </c>
      <c r="V114" t="str">
        <f ca="1">IF(Table1[[#This Row],[Total Tenure in Days]]&lt;=730, "yes","no")</f>
        <v>yes</v>
      </c>
      <c r="W114">
        <f>Table1[[#This Row],[Hire Date]]-Table1[[#This Row],[Job Posting Date]]</f>
        <v>28</v>
      </c>
      <c r="X114" s="4">
        <f>Table1[[#This Row],[Time to Onboard]]/Table1[[#This Row],[Time to Fill]]*100</f>
        <v>32.142857142857146</v>
      </c>
      <c r="Y114" s="5">
        <f>Table1[[#This Row],[Time to Onboard]]/Table1[[#This Row],[Time to Fill]]*100</f>
        <v>32.142857142857146</v>
      </c>
      <c r="Z114">
        <f>Table1[[#This Row],[Join Date]]-Table1[[#This Row],[Job Posting Date]]</f>
        <v>37</v>
      </c>
      <c r="AA114">
        <f t="shared" ca="1" si="6"/>
        <v>163</v>
      </c>
      <c r="AB114" s="5">
        <f>Table1[[#This Row],[Absentee Days]]/Table1[[#This Row],[Total Work Days]]*100</f>
        <v>1.5384615384615385</v>
      </c>
      <c r="AC114">
        <f>YEAR(Table1[[#This Row],[Join Date]])</f>
        <v>2021</v>
      </c>
      <c r="AD114">
        <f>IF(Table1[[#This Row],[Status]]="Active",1,0)</f>
        <v>0</v>
      </c>
      <c r="AE114">
        <f ca="1">IF(Table1[[#This Row],[Status]]="Exited",Table1[[#This Row],[Recruitment Cost]]+Table1[[#This Row],[Onboarding Cost]]+Table1[[#This Row],[Training Cost]],0)</f>
        <v>5623</v>
      </c>
      <c r="AF114">
        <f>IF(Table1[[#This Row],[Training Completion Status]]="Completed",1,0)</f>
        <v>1</v>
      </c>
      <c r="AG114">
        <f t="shared" ca="1" si="7"/>
        <v>1</v>
      </c>
      <c r="AH114">
        <f t="shared" ca="1" si="8"/>
        <v>4</v>
      </c>
      <c r="AI114">
        <f t="shared" ca="1" si="9"/>
        <v>4</v>
      </c>
      <c r="AJ114" t="s">
        <v>318</v>
      </c>
    </row>
    <row r="115" spans="1:36" x14ac:dyDescent="0.2">
      <c r="A115" t="s">
        <v>167</v>
      </c>
      <c r="B115" t="s">
        <v>41</v>
      </c>
      <c r="C115" t="s">
        <v>35</v>
      </c>
      <c r="D115" t="s">
        <v>36</v>
      </c>
      <c r="E115" s="1">
        <v>43292</v>
      </c>
      <c r="F115" s="1">
        <v>43338</v>
      </c>
      <c r="G115" s="1">
        <v>43339</v>
      </c>
      <c r="H115" s="1" t="s">
        <v>50</v>
      </c>
      <c r="I115" t="s">
        <v>51</v>
      </c>
      <c r="J115" s="2">
        <v>3358</v>
      </c>
      <c r="K115" t="s">
        <v>37</v>
      </c>
      <c r="L115" t="s">
        <v>52</v>
      </c>
      <c r="M115">
        <v>260</v>
      </c>
      <c r="N115">
        <v>2</v>
      </c>
      <c r="O115" s="3">
        <v>1941</v>
      </c>
      <c r="P115">
        <f t="shared" ca="1" si="5"/>
        <v>4</v>
      </c>
      <c r="Q115">
        <f ca="1">RANDBETWEEN(0,Table1[[#This Row],[offers made]])</f>
        <v>2</v>
      </c>
      <c r="R115" t="s">
        <v>307</v>
      </c>
      <c r="S115">
        <f>Table1[[#This Row],[Hire Date]]-Table1[[#This Row],[Job Posting Date]]</f>
        <v>46</v>
      </c>
      <c r="T115" s="4">
        <f>Table1[[#This Row],[Join Date]]-Table1[[#This Row],[Hire Date]]</f>
        <v>1</v>
      </c>
      <c r="U115" s="4">
        <f ca="1">IF(Table1[[#This Row],[Status]]="Exited",Table1[[#This Row],[Exit Date]]-Table1[[#This Row],[Join Date]],TODAY()-Table1[[#This Row],[Join Date]])</f>
        <v>2322</v>
      </c>
      <c r="V115" t="str">
        <f ca="1">IF(Table1[[#This Row],[Total Tenure in Days]]&lt;=730, "yes","no")</f>
        <v>no</v>
      </c>
      <c r="W115">
        <f>Table1[[#This Row],[Hire Date]]-Table1[[#This Row],[Job Posting Date]]</f>
        <v>46</v>
      </c>
      <c r="X115" s="4">
        <f>Table1[[#This Row],[Time to Onboard]]/Table1[[#This Row],[Time to Fill]]*100</f>
        <v>2.1739130434782608</v>
      </c>
      <c r="Y115" s="5">
        <f>Table1[[#This Row],[Time to Onboard]]/Table1[[#This Row],[Time to Fill]]*100</f>
        <v>2.1739130434782608</v>
      </c>
      <c r="Z115">
        <f>Table1[[#This Row],[Join Date]]-Table1[[#This Row],[Job Posting Date]]</f>
        <v>47</v>
      </c>
      <c r="AA115">
        <f t="shared" ca="1" si="6"/>
        <v>147</v>
      </c>
      <c r="AB115" s="5">
        <f>Table1[[#This Row],[Absentee Days]]/Table1[[#This Row],[Total Work Days]]*100</f>
        <v>0.76923076923076927</v>
      </c>
      <c r="AC115">
        <f>YEAR(Table1[[#This Row],[Join Date]])</f>
        <v>2018</v>
      </c>
      <c r="AD115">
        <f>IF(Table1[[#This Row],[Status]]="Active",1,0)</f>
        <v>1</v>
      </c>
      <c r="AE115">
        <f>IF(Table1[[#This Row],[Status]]="Exited",Table1[[#This Row],[Recruitment Cost]]+Table1[[#This Row],[Onboarding Cost]]+Table1[[#This Row],[Training Cost]],0)</f>
        <v>0</v>
      </c>
      <c r="AF115">
        <f>IF(Table1[[#This Row],[Training Completion Status]]="Completed",1,0)</f>
        <v>1</v>
      </c>
      <c r="AG115">
        <f t="shared" ca="1" si="7"/>
        <v>2</v>
      </c>
      <c r="AH115">
        <f t="shared" ca="1" si="8"/>
        <v>2</v>
      </c>
      <c r="AI115">
        <f t="shared" ca="1" si="9"/>
        <v>5</v>
      </c>
      <c r="AJ115" t="s">
        <v>318</v>
      </c>
    </row>
    <row r="116" spans="1:36" x14ac:dyDescent="0.2">
      <c r="A116" t="s">
        <v>168</v>
      </c>
      <c r="B116" t="s">
        <v>42</v>
      </c>
      <c r="C116" t="s">
        <v>26</v>
      </c>
      <c r="D116" t="s">
        <v>27</v>
      </c>
      <c r="E116" s="1">
        <v>44454</v>
      </c>
      <c r="F116" s="1">
        <v>44535</v>
      </c>
      <c r="G116" s="1">
        <v>44544</v>
      </c>
      <c r="H116" s="1">
        <v>44731</v>
      </c>
      <c r="I116" t="s">
        <v>57</v>
      </c>
      <c r="J116" s="2">
        <v>2995</v>
      </c>
      <c r="K116" t="s">
        <v>40</v>
      </c>
      <c r="L116" t="s">
        <v>52</v>
      </c>
      <c r="M116">
        <v>260</v>
      </c>
      <c r="N116">
        <v>13</v>
      </c>
      <c r="O116" s="3">
        <v>2123</v>
      </c>
      <c r="P116">
        <f t="shared" ca="1" si="5"/>
        <v>9</v>
      </c>
      <c r="Q116">
        <f ca="1">RANDBETWEEN(0,Table1[[#This Row],[offers made]])</f>
        <v>3</v>
      </c>
      <c r="R116" t="s">
        <v>308</v>
      </c>
      <c r="S116">
        <f>Table1[[#This Row],[Hire Date]]-Table1[[#This Row],[Job Posting Date]]</f>
        <v>81</v>
      </c>
      <c r="T116" s="4">
        <f>Table1[[#This Row],[Join Date]]-Table1[[#This Row],[Hire Date]]</f>
        <v>9</v>
      </c>
      <c r="U116" s="4">
        <f ca="1">IF(Table1[[#This Row],[Status]]="Exited",Table1[[#This Row],[Exit Date]]-Table1[[#This Row],[Join Date]],TODAY()-Table1[[#This Row],[Join Date]])</f>
        <v>187</v>
      </c>
      <c r="V116" t="str">
        <f ca="1">IF(Table1[[#This Row],[Total Tenure in Days]]&lt;=730, "yes","no")</f>
        <v>yes</v>
      </c>
      <c r="W116">
        <f>Table1[[#This Row],[Hire Date]]-Table1[[#This Row],[Job Posting Date]]</f>
        <v>81</v>
      </c>
      <c r="X116" s="4">
        <f>Table1[[#This Row],[Time to Onboard]]/Table1[[#This Row],[Time to Fill]]*100</f>
        <v>11.111111111111111</v>
      </c>
      <c r="Y116" s="5">
        <f>Table1[[#This Row],[Time to Onboard]]/Table1[[#This Row],[Time to Fill]]*100</f>
        <v>11.111111111111111</v>
      </c>
      <c r="Z116">
        <f>Table1[[#This Row],[Join Date]]-Table1[[#This Row],[Job Posting Date]]</f>
        <v>90</v>
      </c>
      <c r="AA116">
        <f t="shared" ca="1" si="6"/>
        <v>113</v>
      </c>
      <c r="AB116" s="5">
        <f>Table1[[#This Row],[Absentee Days]]/Table1[[#This Row],[Total Work Days]]*100</f>
        <v>5</v>
      </c>
      <c r="AC116">
        <f>YEAR(Table1[[#This Row],[Join Date]])</f>
        <v>2021</v>
      </c>
      <c r="AD116">
        <f>IF(Table1[[#This Row],[Status]]="Active",1,0)</f>
        <v>0</v>
      </c>
      <c r="AE116">
        <f ca="1">IF(Table1[[#This Row],[Status]]="Exited",Table1[[#This Row],[Recruitment Cost]]+Table1[[#This Row],[Onboarding Cost]]+Table1[[#This Row],[Training Cost]],0)</f>
        <v>5231</v>
      </c>
      <c r="AF116">
        <f>IF(Table1[[#This Row],[Training Completion Status]]="Completed",1,0)</f>
        <v>1</v>
      </c>
      <c r="AG116">
        <f t="shared" ca="1" si="7"/>
        <v>5</v>
      </c>
      <c r="AH116">
        <f t="shared" ca="1" si="8"/>
        <v>4</v>
      </c>
      <c r="AI116">
        <f t="shared" ca="1" si="9"/>
        <v>5</v>
      </c>
      <c r="AJ116" t="s">
        <v>317</v>
      </c>
    </row>
    <row r="117" spans="1:36" x14ac:dyDescent="0.2">
      <c r="A117" t="s">
        <v>169</v>
      </c>
      <c r="B117" t="s">
        <v>41</v>
      </c>
      <c r="C117" t="s">
        <v>32</v>
      </c>
      <c r="D117" t="s">
        <v>33</v>
      </c>
      <c r="E117" s="1">
        <v>43726</v>
      </c>
      <c r="F117" s="1">
        <v>43790</v>
      </c>
      <c r="G117" s="1">
        <v>43802</v>
      </c>
      <c r="H117" s="1">
        <v>45495</v>
      </c>
      <c r="I117" t="s">
        <v>57</v>
      </c>
      <c r="J117" s="2">
        <v>3047</v>
      </c>
      <c r="K117" t="s">
        <v>31</v>
      </c>
      <c r="L117" t="s">
        <v>55</v>
      </c>
      <c r="M117">
        <v>260</v>
      </c>
      <c r="N117">
        <v>16</v>
      </c>
      <c r="O117" s="3">
        <v>1935</v>
      </c>
      <c r="P117">
        <f t="shared" ca="1" si="5"/>
        <v>5</v>
      </c>
      <c r="Q117">
        <f ca="1">RANDBETWEEN(0,Table1[[#This Row],[offers made]])</f>
        <v>3</v>
      </c>
      <c r="R117" t="s">
        <v>307</v>
      </c>
      <c r="S117">
        <f>Table1[[#This Row],[Hire Date]]-Table1[[#This Row],[Job Posting Date]]</f>
        <v>64</v>
      </c>
      <c r="T117" s="4">
        <f>Table1[[#This Row],[Join Date]]-Table1[[#This Row],[Hire Date]]</f>
        <v>12</v>
      </c>
      <c r="U117" s="4">
        <f ca="1">IF(Table1[[#This Row],[Status]]="Exited",Table1[[#This Row],[Exit Date]]-Table1[[#This Row],[Join Date]],TODAY()-Table1[[#This Row],[Join Date]])</f>
        <v>1693</v>
      </c>
      <c r="V117" t="str">
        <f ca="1">IF(Table1[[#This Row],[Total Tenure in Days]]&lt;=730, "yes","no")</f>
        <v>no</v>
      </c>
      <c r="W117">
        <f>Table1[[#This Row],[Hire Date]]-Table1[[#This Row],[Job Posting Date]]</f>
        <v>64</v>
      </c>
      <c r="X117" s="4">
        <f>Table1[[#This Row],[Time to Onboard]]/Table1[[#This Row],[Time to Fill]]*100</f>
        <v>18.75</v>
      </c>
      <c r="Y117" s="5">
        <f>Table1[[#This Row],[Time to Onboard]]/Table1[[#This Row],[Time to Fill]]*100</f>
        <v>18.75</v>
      </c>
      <c r="Z117">
        <f>Table1[[#This Row],[Join Date]]-Table1[[#This Row],[Job Posting Date]]</f>
        <v>76</v>
      </c>
      <c r="AA117">
        <f t="shared" ca="1" si="6"/>
        <v>155</v>
      </c>
      <c r="AB117" s="5">
        <f>Table1[[#This Row],[Absentee Days]]/Table1[[#This Row],[Total Work Days]]*100</f>
        <v>6.1538461538461542</v>
      </c>
      <c r="AC117">
        <f>YEAR(Table1[[#This Row],[Join Date]])</f>
        <v>2019</v>
      </c>
      <c r="AD117">
        <f>IF(Table1[[#This Row],[Status]]="Active",1,0)</f>
        <v>0</v>
      </c>
      <c r="AE117">
        <f ca="1">IF(Table1[[#This Row],[Status]]="Exited",Table1[[#This Row],[Recruitment Cost]]+Table1[[#This Row],[Onboarding Cost]]+Table1[[#This Row],[Training Cost]],0)</f>
        <v>5137</v>
      </c>
      <c r="AF117">
        <f>IF(Table1[[#This Row],[Training Completion Status]]="Completed",1,0)</f>
        <v>0</v>
      </c>
      <c r="AG117">
        <f t="shared" ca="1" si="7"/>
        <v>1</v>
      </c>
      <c r="AH117">
        <f t="shared" ca="1" si="8"/>
        <v>3</v>
      </c>
      <c r="AI117">
        <f t="shared" ca="1" si="9"/>
        <v>1</v>
      </c>
      <c r="AJ117" t="s">
        <v>317</v>
      </c>
    </row>
    <row r="118" spans="1:36" x14ac:dyDescent="0.2">
      <c r="A118" t="s">
        <v>170</v>
      </c>
      <c r="B118" t="s">
        <v>42</v>
      </c>
      <c r="C118" t="s">
        <v>35</v>
      </c>
      <c r="D118" t="s">
        <v>36</v>
      </c>
      <c r="E118" s="1">
        <v>43640</v>
      </c>
      <c r="F118" s="1">
        <v>43665</v>
      </c>
      <c r="G118" s="1">
        <v>43670</v>
      </c>
      <c r="H118" s="1">
        <v>44213</v>
      </c>
      <c r="I118" t="s">
        <v>57</v>
      </c>
      <c r="J118" s="2">
        <v>4915</v>
      </c>
      <c r="K118" t="s">
        <v>40</v>
      </c>
      <c r="L118" t="s">
        <v>55</v>
      </c>
      <c r="M118">
        <v>260</v>
      </c>
      <c r="N118">
        <v>4</v>
      </c>
      <c r="O118" s="3">
        <v>1638</v>
      </c>
      <c r="P118">
        <f t="shared" ca="1" si="5"/>
        <v>3</v>
      </c>
      <c r="Q118">
        <f ca="1">RANDBETWEEN(0,Table1[[#This Row],[offers made]])</f>
        <v>0</v>
      </c>
      <c r="R118" t="s">
        <v>308</v>
      </c>
      <c r="S118">
        <f>Table1[[#This Row],[Hire Date]]-Table1[[#This Row],[Job Posting Date]]</f>
        <v>25</v>
      </c>
      <c r="T118" s="4">
        <f>Table1[[#This Row],[Join Date]]-Table1[[#This Row],[Hire Date]]</f>
        <v>5</v>
      </c>
      <c r="U118" s="4">
        <f ca="1">IF(Table1[[#This Row],[Status]]="Exited",Table1[[#This Row],[Exit Date]]-Table1[[#This Row],[Join Date]],TODAY()-Table1[[#This Row],[Join Date]])</f>
        <v>543</v>
      </c>
      <c r="V118" t="str">
        <f ca="1">IF(Table1[[#This Row],[Total Tenure in Days]]&lt;=730, "yes","no")</f>
        <v>yes</v>
      </c>
      <c r="W118">
        <f>Table1[[#This Row],[Hire Date]]-Table1[[#This Row],[Job Posting Date]]</f>
        <v>25</v>
      </c>
      <c r="X118" s="4">
        <f>Table1[[#This Row],[Time to Onboard]]/Table1[[#This Row],[Time to Fill]]*100</f>
        <v>20</v>
      </c>
      <c r="Y118" s="5">
        <f>Table1[[#This Row],[Time to Onboard]]/Table1[[#This Row],[Time to Fill]]*100</f>
        <v>20</v>
      </c>
      <c r="Z118">
        <f>Table1[[#This Row],[Join Date]]-Table1[[#This Row],[Job Posting Date]]</f>
        <v>30</v>
      </c>
      <c r="AA118">
        <f t="shared" ca="1" si="6"/>
        <v>183</v>
      </c>
      <c r="AB118" s="5">
        <f>Table1[[#This Row],[Absentee Days]]/Table1[[#This Row],[Total Work Days]]*100</f>
        <v>1.5384615384615385</v>
      </c>
      <c r="AC118">
        <f>YEAR(Table1[[#This Row],[Join Date]])</f>
        <v>2019</v>
      </c>
      <c r="AD118">
        <f>IF(Table1[[#This Row],[Status]]="Active",1,0)</f>
        <v>0</v>
      </c>
      <c r="AE118">
        <f ca="1">IF(Table1[[#This Row],[Status]]="Exited",Table1[[#This Row],[Recruitment Cost]]+Table1[[#This Row],[Onboarding Cost]]+Table1[[#This Row],[Training Cost]],0)</f>
        <v>6736</v>
      </c>
      <c r="AF118">
        <f>IF(Table1[[#This Row],[Training Completion Status]]="Completed",1,0)</f>
        <v>0</v>
      </c>
      <c r="AG118">
        <f t="shared" ca="1" si="7"/>
        <v>1</v>
      </c>
      <c r="AH118">
        <f t="shared" ca="1" si="8"/>
        <v>1</v>
      </c>
      <c r="AI118">
        <f t="shared" ca="1" si="9"/>
        <v>3</v>
      </c>
      <c r="AJ118" t="s">
        <v>317</v>
      </c>
    </row>
    <row r="119" spans="1:36" x14ac:dyDescent="0.2">
      <c r="A119" t="s">
        <v>171</v>
      </c>
      <c r="B119" t="s">
        <v>43</v>
      </c>
      <c r="C119" t="s">
        <v>32</v>
      </c>
      <c r="D119" t="s">
        <v>33</v>
      </c>
      <c r="E119" s="1">
        <v>44324</v>
      </c>
      <c r="F119" s="1">
        <v>44396</v>
      </c>
      <c r="G119" s="1">
        <v>44399</v>
      </c>
      <c r="H119" s="1">
        <v>44643</v>
      </c>
      <c r="I119" t="s">
        <v>57</v>
      </c>
      <c r="J119" s="2">
        <v>3513</v>
      </c>
      <c r="K119" t="s">
        <v>40</v>
      </c>
      <c r="L119" t="s">
        <v>52</v>
      </c>
      <c r="M119">
        <v>260</v>
      </c>
      <c r="N119">
        <v>18</v>
      </c>
      <c r="O119" s="3">
        <v>2009</v>
      </c>
      <c r="P119">
        <f t="shared" ca="1" si="5"/>
        <v>7</v>
      </c>
      <c r="Q119">
        <f ca="1">RANDBETWEEN(0,Table1[[#This Row],[offers made]])</f>
        <v>3</v>
      </c>
      <c r="R119" t="s">
        <v>308</v>
      </c>
      <c r="S119">
        <f>Table1[[#This Row],[Hire Date]]-Table1[[#This Row],[Job Posting Date]]</f>
        <v>72</v>
      </c>
      <c r="T119" s="4">
        <f>Table1[[#This Row],[Join Date]]-Table1[[#This Row],[Hire Date]]</f>
        <v>3</v>
      </c>
      <c r="U119" s="4">
        <f ca="1">IF(Table1[[#This Row],[Status]]="Exited",Table1[[#This Row],[Exit Date]]-Table1[[#This Row],[Join Date]],TODAY()-Table1[[#This Row],[Join Date]])</f>
        <v>244</v>
      </c>
      <c r="V119" t="str">
        <f ca="1">IF(Table1[[#This Row],[Total Tenure in Days]]&lt;=730, "yes","no")</f>
        <v>yes</v>
      </c>
      <c r="W119">
        <f>Table1[[#This Row],[Hire Date]]-Table1[[#This Row],[Job Posting Date]]</f>
        <v>72</v>
      </c>
      <c r="X119" s="4">
        <f>Table1[[#This Row],[Time to Onboard]]/Table1[[#This Row],[Time to Fill]]*100</f>
        <v>4.1666666666666661</v>
      </c>
      <c r="Y119" s="5">
        <f>Table1[[#This Row],[Time to Onboard]]/Table1[[#This Row],[Time to Fill]]*100</f>
        <v>4.1666666666666661</v>
      </c>
      <c r="Z119">
        <f>Table1[[#This Row],[Join Date]]-Table1[[#This Row],[Job Posting Date]]</f>
        <v>75</v>
      </c>
      <c r="AA119">
        <f t="shared" ca="1" si="6"/>
        <v>101</v>
      </c>
      <c r="AB119" s="5">
        <f>Table1[[#This Row],[Absentee Days]]/Table1[[#This Row],[Total Work Days]]*100</f>
        <v>6.9230769230769234</v>
      </c>
      <c r="AC119">
        <f>YEAR(Table1[[#This Row],[Join Date]])</f>
        <v>2021</v>
      </c>
      <c r="AD119">
        <f>IF(Table1[[#This Row],[Status]]="Active",1,0)</f>
        <v>0</v>
      </c>
      <c r="AE119">
        <f ca="1">IF(Table1[[#This Row],[Status]]="Exited",Table1[[#This Row],[Recruitment Cost]]+Table1[[#This Row],[Onboarding Cost]]+Table1[[#This Row],[Training Cost]],0)</f>
        <v>5623</v>
      </c>
      <c r="AF119">
        <f>IF(Table1[[#This Row],[Training Completion Status]]="Completed",1,0)</f>
        <v>1</v>
      </c>
      <c r="AG119">
        <f t="shared" ca="1" si="7"/>
        <v>1</v>
      </c>
      <c r="AH119">
        <f t="shared" ca="1" si="8"/>
        <v>1</v>
      </c>
      <c r="AI119">
        <f t="shared" ca="1" si="9"/>
        <v>3</v>
      </c>
      <c r="AJ119" t="s">
        <v>317</v>
      </c>
    </row>
    <row r="120" spans="1:36" x14ac:dyDescent="0.2">
      <c r="A120" t="s">
        <v>172</v>
      </c>
      <c r="B120" t="s">
        <v>42</v>
      </c>
      <c r="C120" t="s">
        <v>26</v>
      </c>
      <c r="D120" t="s">
        <v>27</v>
      </c>
      <c r="E120" s="1">
        <v>43141</v>
      </c>
      <c r="F120" s="1">
        <v>43187</v>
      </c>
      <c r="G120" s="1">
        <v>43191</v>
      </c>
      <c r="H120" s="1" t="s">
        <v>50</v>
      </c>
      <c r="I120" t="s">
        <v>51</v>
      </c>
      <c r="J120" s="2">
        <v>3922</v>
      </c>
      <c r="K120" t="s">
        <v>28</v>
      </c>
      <c r="L120" t="s">
        <v>55</v>
      </c>
      <c r="M120">
        <v>260</v>
      </c>
      <c r="N120">
        <v>20</v>
      </c>
      <c r="O120" s="3">
        <v>1384</v>
      </c>
      <c r="P120">
        <f t="shared" ca="1" si="5"/>
        <v>9</v>
      </c>
      <c r="Q120">
        <f ca="1">RANDBETWEEN(0,Table1[[#This Row],[offers made]])</f>
        <v>5</v>
      </c>
      <c r="R120" t="s">
        <v>308</v>
      </c>
      <c r="S120">
        <f>Table1[[#This Row],[Hire Date]]-Table1[[#This Row],[Job Posting Date]]</f>
        <v>46</v>
      </c>
      <c r="T120" s="4">
        <f>Table1[[#This Row],[Join Date]]-Table1[[#This Row],[Hire Date]]</f>
        <v>4</v>
      </c>
      <c r="U120" s="4">
        <f ca="1">IF(Table1[[#This Row],[Status]]="Exited",Table1[[#This Row],[Exit Date]]-Table1[[#This Row],[Join Date]],TODAY()-Table1[[#This Row],[Join Date]])</f>
        <v>2470</v>
      </c>
      <c r="V120" t="str">
        <f ca="1">IF(Table1[[#This Row],[Total Tenure in Days]]&lt;=730, "yes","no")</f>
        <v>no</v>
      </c>
      <c r="W120">
        <f>Table1[[#This Row],[Hire Date]]-Table1[[#This Row],[Job Posting Date]]</f>
        <v>46</v>
      </c>
      <c r="X120" s="4">
        <f>Table1[[#This Row],[Time to Onboard]]/Table1[[#This Row],[Time to Fill]]*100</f>
        <v>8.695652173913043</v>
      </c>
      <c r="Y120" s="5">
        <f>Table1[[#This Row],[Time to Onboard]]/Table1[[#This Row],[Time to Fill]]*100</f>
        <v>8.695652173913043</v>
      </c>
      <c r="Z120">
        <f>Table1[[#This Row],[Join Date]]-Table1[[#This Row],[Job Posting Date]]</f>
        <v>50</v>
      </c>
      <c r="AA120">
        <f t="shared" ca="1" si="6"/>
        <v>188</v>
      </c>
      <c r="AB120" s="5">
        <f>Table1[[#This Row],[Absentee Days]]/Table1[[#This Row],[Total Work Days]]*100</f>
        <v>7.6923076923076925</v>
      </c>
      <c r="AC120">
        <f>YEAR(Table1[[#This Row],[Join Date]])</f>
        <v>2018</v>
      </c>
      <c r="AD120">
        <f>IF(Table1[[#This Row],[Status]]="Active",1,0)</f>
        <v>1</v>
      </c>
      <c r="AE120">
        <f>IF(Table1[[#This Row],[Status]]="Exited",Table1[[#This Row],[Recruitment Cost]]+Table1[[#This Row],[Onboarding Cost]]+Table1[[#This Row],[Training Cost]],0)</f>
        <v>0</v>
      </c>
      <c r="AF120">
        <f>IF(Table1[[#This Row],[Training Completion Status]]="Completed",1,0)</f>
        <v>0</v>
      </c>
      <c r="AG120">
        <f t="shared" ca="1" si="7"/>
        <v>4</v>
      </c>
      <c r="AH120">
        <f t="shared" ca="1" si="8"/>
        <v>5</v>
      </c>
      <c r="AI120">
        <f t="shared" ca="1" si="9"/>
        <v>4</v>
      </c>
      <c r="AJ120" t="s">
        <v>317</v>
      </c>
    </row>
    <row r="121" spans="1:36" x14ac:dyDescent="0.2">
      <c r="A121" t="s">
        <v>173</v>
      </c>
      <c r="B121" t="s">
        <v>42</v>
      </c>
      <c r="C121" t="s">
        <v>35</v>
      </c>
      <c r="D121" t="s">
        <v>36</v>
      </c>
      <c r="E121" s="1">
        <v>43684</v>
      </c>
      <c r="F121" s="1">
        <v>43730</v>
      </c>
      <c r="G121" s="1">
        <v>43736</v>
      </c>
      <c r="H121" s="1">
        <v>43965</v>
      </c>
      <c r="I121" t="s">
        <v>57</v>
      </c>
      <c r="J121" s="2">
        <v>4333</v>
      </c>
      <c r="K121" t="s">
        <v>28</v>
      </c>
      <c r="L121" t="s">
        <v>52</v>
      </c>
      <c r="M121">
        <v>260</v>
      </c>
      <c r="N121">
        <v>15</v>
      </c>
      <c r="O121" s="3">
        <v>1849</v>
      </c>
      <c r="P121">
        <f t="shared" ca="1" si="5"/>
        <v>4</v>
      </c>
      <c r="Q121">
        <f ca="1">RANDBETWEEN(0,Table1[[#This Row],[offers made]])</f>
        <v>3</v>
      </c>
      <c r="R121" t="s">
        <v>306</v>
      </c>
      <c r="S121">
        <f>Table1[[#This Row],[Hire Date]]-Table1[[#This Row],[Job Posting Date]]</f>
        <v>46</v>
      </c>
      <c r="T121" s="4">
        <f>Table1[[#This Row],[Join Date]]-Table1[[#This Row],[Hire Date]]</f>
        <v>6</v>
      </c>
      <c r="U121" s="4">
        <f ca="1">IF(Table1[[#This Row],[Status]]="Exited",Table1[[#This Row],[Exit Date]]-Table1[[#This Row],[Join Date]],TODAY()-Table1[[#This Row],[Join Date]])</f>
        <v>229</v>
      </c>
      <c r="V121" t="str">
        <f ca="1">IF(Table1[[#This Row],[Total Tenure in Days]]&lt;=730, "yes","no")</f>
        <v>yes</v>
      </c>
      <c r="W121">
        <f>Table1[[#This Row],[Hire Date]]-Table1[[#This Row],[Job Posting Date]]</f>
        <v>46</v>
      </c>
      <c r="X121" s="4">
        <f>Table1[[#This Row],[Time to Onboard]]/Table1[[#This Row],[Time to Fill]]*100</f>
        <v>13.043478260869565</v>
      </c>
      <c r="Y121" s="5">
        <f>Table1[[#This Row],[Time to Onboard]]/Table1[[#This Row],[Time to Fill]]*100</f>
        <v>13.043478260869565</v>
      </c>
      <c r="Z121">
        <f>Table1[[#This Row],[Join Date]]-Table1[[#This Row],[Job Posting Date]]</f>
        <v>52</v>
      </c>
      <c r="AA121">
        <f t="shared" ca="1" si="6"/>
        <v>135</v>
      </c>
      <c r="AB121" s="5">
        <f>Table1[[#This Row],[Absentee Days]]/Table1[[#This Row],[Total Work Days]]*100</f>
        <v>5.7692307692307692</v>
      </c>
      <c r="AC121">
        <f>YEAR(Table1[[#This Row],[Join Date]])</f>
        <v>2019</v>
      </c>
      <c r="AD121">
        <f>IF(Table1[[#This Row],[Status]]="Active",1,0)</f>
        <v>0</v>
      </c>
      <c r="AE121">
        <f ca="1">IF(Table1[[#This Row],[Status]]="Exited",Table1[[#This Row],[Recruitment Cost]]+Table1[[#This Row],[Onboarding Cost]]+Table1[[#This Row],[Training Cost]],0)</f>
        <v>6317</v>
      </c>
      <c r="AF121">
        <f>IF(Table1[[#This Row],[Training Completion Status]]="Completed",1,0)</f>
        <v>1</v>
      </c>
      <c r="AG121">
        <f t="shared" ca="1" si="7"/>
        <v>3</v>
      </c>
      <c r="AH121">
        <f t="shared" ca="1" si="8"/>
        <v>1</v>
      </c>
      <c r="AI121">
        <f t="shared" ca="1" si="9"/>
        <v>3</v>
      </c>
      <c r="AJ121" t="s">
        <v>317</v>
      </c>
    </row>
    <row r="122" spans="1:36" x14ac:dyDescent="0.2">
      <c r="A122" t="s">
        <v>174</v>
      </c>
      <c r="B122" t="s">
        <v>42</v>
      </c>
      <c r="C122" t="s">
        <v>35</v>
      </c>
      <c r="D122" t="s">
        <v>36</v>
      </c>
      <c r="E122" s="1">
        <v>44641</v>
      </c>
      <c r="F122" s="1">
        <v>44683</v>
      </c>
      <c r="G122" s="1">
        <v>44685</v>
      </c>
      <c r="H122" s="1">
        <v>45160</v>
      </c>
      <c r="I122" t="s">
        <v>57</v>
      </c>
      <c r="J122" s="2">
        <v>1641</v>
      </c>
      <c r="K122" t="s">
        <v>37</v>
      </c>
      <c r="L122" t="s">
        <v>52</v>
      </c>
      <c r="M122">
        <v>260</v>
      </c>
      <c r="N122">
        <v>12</v>
      </c>
      <c r="O122" s="3">
        <v>1998</v>
      </c>
      <c r="P122">
        <f t="shared" ca="1" si="5"/>
        <v>2</v>
      </c>
      <c r="Q122">
        <f ca="1">RANDBETWEEN(0,Table1[[#This Row],[offers made]])</f>
        <v>2</v>
      </c>
      <c r="R122" t="s">
        <v>308</v>
      </c>
      <c r="S122">
        <f>Table1[[#This Row],[Hire Date]]-Table1[[#This Row],[Job Posting Date]]</f>
        <v>42</v>
      </c>
      <c r="T122" s="4">
        <f>Table1[[#This Row],[Join Date]]-Table1[[#This Row],[Hire Date]]</f>
        <v>2</v>
      </c>
      <c r="U122" s="4">
        <f ca="1">IF(Table1[[#This Row],[Status]]="Exited",Table1[[#This Row],[Exit Date]]-Table1[[#This Row],[Join Date]],TODAY()-Table1[[#This Row],[Join Date]])</f>
        <v>475</v>
      </c>
      <c r="V122" t="str">
        <f ca="1">IF(Table1[[#This Row],[Total Tenure in Days]]&lt;=730, "yes","no")</f>
        <v>yes</v>
      </c>
      <c r="W122">
        <f>Table1[[#This Row],[Hire Date]]-Table1[[#This Row],[Job Posting Date]]</f>
        <v>42</v>
      </c>
      <c r="X122" s="4">
        <f>Table1[[#This Row],[Time to Onboard]]/Table1[[#This Row],[Time to Fill]]*100</f>
        <v>4.7619047619047619</v>
      </c>
      <c r="Y122" s="5">
        <f>Table1[[#This Row],[Time to Onboard]]/Table1[[#This Row],[Time to Fill]]*100</f>
        <v>4.7619047619047619</v>
      </c>
      <c r="Z122">
        <f>Table1[[#This Row],[Join Date]]-Table1[[#This Row],[Job Posting Date]]</f>
        <v>44</v>
      </c>
      <c r="AA122">
        <f t="shared" ca="1" si="6"/>
        <v>142</v>
      </c>
      <c r="AB122" s="5">
        <f>Table1[[#This Row],[Absentee Days]]/Table1[[#This Row],[Total Work Days]]*100</f>
        <v>4.6153846153846159</v>
      </c>
      <c r="AC122">
        <f>YEAR(Table1[[#This Row],[Join Date]])</f>
        <v>2022</v>
      </c>
      <c r="AD122">
        <f>IF(Table1[[#This Row],[Status]]="Active",1,0)</f>
        <v>0</v>
      </c>
      <c r="AE122">
        <f ca="1">IF(Table1[[#This Row],[Status]]="Exited",Table1[[#This Row],[Recruitment Cost]]+Table1[[#This Row],[Onboarding Cost]]+Table1[[#This Row],[Training Cost]],0)</f>
        <v>3781</v>
      </c>
      <c r="AF122">
        <f>IF(Table1[[#This Row],[Training Completion Status]]="Completed",1,0)</f>
        <v>1</v>
      </c>
      <c r="AG122">
        <f t="shared" ca="1" si="7"/>
        <v>2</v>
      </c>
      <c r="AH122">
        <f t="shared" ca="1" si="8"/>
        <v>5</v>
      </c>
      <c r="AI122">
        <f t="shared" ca="1" si="9"/>
        <v>4</v>
      </c>
      <c r="AJ122" t="s">
        <v>318</v>
      </c>
    </row>
    <row r="123" spans="1:36" x14ac:dyDescent="0.2">
      <c r="A123" t="s">
        <v>175</v>
      </c>
      <c r="B123" t="s">
        <v>41</v>
      </c>
      <c r="C123" t="s">
        <v>35</v>
      </c>
      <c r="D123" t="s">
        <v>36</v>
      </c>
      <c r="E123" s="1">
        <v>44661</v>
      </c>
      <c r="F123" s="1">
        <v>44690</v>
      </c>
      <c r="G123" s="1">
        <v>44693</v>
      </c>
      <c r="H123" s="1" t="s">
        <v>50</v>
      </c>
      <c r="I123" t="s">
        <v>51</v>
      </c>
      <c r="J123" s="2">
        <v>4051</v>
      </c>
      <c r="K123" t="s">
        <v>28</v>
      </c>
      <c r="L123" t="s">
        <v>55</v>
      </c>
      <c r="M123">
        <v>260</v>
      </c>
      <c r="N123">
        <v>3</v>
      </c>
      <c r="O123" s="3">
        <v>2143</v>
      </c>
      <c r="P123">
        <f t="shared" ca="1" si="5"/>
        <v>1</v>
      </c>
      <c r="Q123">
        <f ca="1">RANDBETWEEN(0,Table1[[#This Row],[offers made]])</f>
        <v>1</v>
      </c>
      <c r="R123" t="s">
        <v>308</v>
      </c>
      <c r="S123">
        <f>Table1[[#This Row],[Hire Date]]-Table1[[#This Row],[Job Posting Date]]</f>
        <v>29</v>
      </c>
      <c r="T123" s="4">
        <f>Table1[[#This Row],[Join Date]]-Table1[[#This Row],[Hire Date]]</f>
        <v>3</v>
      </c>
      <c r="U123" s="4">
        <f ca="1">IF(Table1[[#This Row],[Status]]="Exited",Table1[[#This Row],[Exit Date]]-Table1[[#This Row],[Join Date]],TODAY()-Table1[[#This Row],[Join Date]])</f>
        <v>968</v>
      </c>
      <c r="V123" t="str">
        <f ca="1">IF(Table1[[#This Row],[Total Tenure in Days]]&lt;=730, "yes","no")</f>
        <v>no</v>
      </c>
      <c r="W123">
        <f>Table1[[#This Row],[Hire Date]]-Table1[[#This Row],[Job Posting Date]]</f>
        <v>29</v>
      </c>
      <c r="X123" s="4">
        <f>Table1[[#This Row],[Time to Onboard]]/Table1[[#This Row],[Time to Fill]]*100</f>
        <v>10.344827586206897</v>
      </c>
      <c r="Y123" s="5">
        <f>Table1[[#This Row],[Time to Onboard]]/Table1[[#This Row],[Time to Fill]]*100</f>
        <v>10.344827586206897</v>
      </c>
      <c r="Z123">
        <f>Table1[[#This Row],[Join Date]]-Table1[[#This Row],[Job Posting Date]]</f>
        <v>32</v>
      </c>
      <c r="AA123">
        <f t="shared" ca="1" si="6"/>
        <v>197</v>
      </c>
      <c r="AB123" s="5">
        <f>Table1[[#This Row],[Absentee Days]]/Table1[[#This Row],[Total Work Days]]*100</f>
        <v>1.153846153846154</v>
      </c>
      <c r="AC123">
        <f>YEAR(Table1[[#This Row],[Join Date]])</f>
        <v>2022</v>
      </c>
      <c r="AD123">
        <f>IF(Table1[[#This Row],[Status]]="Active",1,0)</f>
        <v>1</v>
      </c>
      <c r="AE123">
        <f>IF(Table1[[#This Row],[Status]]="Exited",Table1[[#This Row],[Recruitment Cost]]+Table1[[#This Row],[Onboarding Cost]]+Table1[[#This Row],[Training Cost]],0)</f>
        <v>0</v>
      </c>
      <c r="AF123">
        <f>IF(Table1[[#This Row],[Training Completion Status]]="Completed",1,0)</f>
        <v>0</v>
      </c>
      <c r="AG123">
        <f t="shared" ca="1" si="7"/>
        <v>5</v>
      </c>
      <c r="AH123">
        <f t="shared" ca="1" si="8"/>
        <v>1</v>
      </c>
      <c r="AI123">
        <f t="shared" ca="1" si="9"/>
        <v>4</v>
      </c>
      <c r="AJ123" t="s">
        <v>318</v>
      </c>
    </row>
    <row r="124" spans="1:36" x14ac:dyDescent="0.2">
      <c r="A124" t="s">
        <v>176</v>
      </c>
      <c r="B124" t="s">
        <v>42</v>
      </c>
      <c r="C124" t="s">
        <v>29</v>
      </c>
      <c r="D124" t="s">
        <v>30</v>
      </c>
      <c r="E124" s="1">
        <v>44745</v>
      </c>
      <c r="F124" s="1">
        <v>44814</v>
      </c>
      <c r="G124" s="1">
        <v>44827</v>
      </c>
      <c r="H124" s="1" t="s">
        <v>50</v>
      </c>
      <c r="I124" t="s">
        <v>51</v>
      </c>
      <c r="J124" s="2">
        <v>1618</v>
      </c>
      <c r="K124" t="s">
        <v>34</v>
      </c>
      <c r="L124" t="s">
        <v>52</v>
      </c>
      <c r="M124">
        <v>260</v>
      </c>
      <c r="N124">
        <v>1</v>
      </c>
      <c r="O124" s="3">
        <v>2458</v>
      </c>
      <c r="P124">
        <f t="shared" ca="1" si="5"/>
        <v>4</v>
      </c>
      <c r="Q124">
        <f ca="1">RANDBETWEEN(0,Table1[[#This Row],[offers made]])</f>
        <v>0</v>
      </c>
      <c r="R124" t="s">
        <v>306</v>
      </c>
      <c r="S124">
        <f>Table1[[#This Row],[Hire Date]]-Table1[[#This Row],[Job Posting Date]]</f>
        <v>69</v>
      </c>
      <c r="T124" s="4">
        <f>Table1[[#This Row],[Join Date]]-Table1[[#This Row],[Hire Date]]</f>
        <v>13</v>
      </c>
      <c r="U124" s="4">
        <f ca="1">IF(Table1[[#This Row],[Status]]="Exited",Table1[[#This Row],[Exit Date]]-Table1[[#This Row],[Join Date]],TODAY()-Table1[[#This Row],[Join Date]])</f>
        <v>834</v>
      </c>
      <c r="V124" t="str">
        <f ca="1">IF(Table1[[#This Row],[Total Tenure in Days]]&lt;=730, "yes","no")</f>
        <v>no</v>
      </c>
      <c r="W124">
        <f>Table1[[#This Row],[Hire Date]]-Table1[[#This Row],[Job Posting Date]]</f>
        <v>69</v>
      </c>
      <c r="X124" s="4">
        <f>Table1[[#This Row],[Time to Onboard]]/Table1[[#This Row],[Time to Fill]]*100</f>
        <v>18.840579710144929</v>
      </c>
      <c r="Y124" s="5">
        <f>Table1[[#This Row],[Time to Onboard]]/Table1[[#This Row],[Time to Fill]]*100</f>
        <v>18.840579710144929</v>
      </c>
      <c r="Z124">
        <f>Table1[[#This Row],[Join Date]]-Table1[[#This Row],[Job Posting Date]]</f>
        <v>82</v>
      </c>
      <c r="AA124">
        <f t="shared" ca="1" si="6"/>
        <v>173</v>
      </c>
      <c r="AB124" s="5">
        <f>Table1[[#This Row],[Absentee Days]]/Table1[[#This Row],[Total Work Days]]*100</f>
        <v>0.38461538461538464</v>
      </c>
      <c r="AC124">
        <f>YEAR(Table1[[#This Row],[Join Date]])</f>
        <v>2022</v>
      </c>
      <c r="AD124">
        <f>IF(Table1[[#This Row],[Status]]="Active",1,0)</f>
        <v>1</v>
      </c>
      <c r="AE124">
        <f>IF(Table1[[#This Row],[Status]]="Exited",Table1[[#This Row],[Recruitment Cost]]+Table1[[#This Row],[Onboarding Cost]]+Table1[[#This Row],[Training Cost]],0)</f>
        <v>0</v>
      </c>
      <c r="AF124">
        <f>IF(Table1[[#This Row],[Training Completion Status]]="Completed",1,0)</f>
        <v>1</v>
      </c>
      <c r="AG124">
        <f t="shared" ca="1" si="7"/>
        <v>4</v>
      </c>
      <c r="AH124">
        <f t="shared" ca="1" si="8"/>
        <v>3</v>
      </c>
      <c r="AI124">
        <f t="shared" ca="1" si="9"/>
        <v>1</v>
      </c>
      <c r="AJ124" t="s">
        <v>317</v>
      </c>
    </row>
    <row r="125" spans="1:36" x14ac:dyDescent="0.2">
      <c r="A125" t="s">
        <v>177</v>
      </c>
      <c r="B125" t="s">
        <v>41</v>
      </c>
      <c r="C125" t="s">
        <v>38</v>
      </c>
      <c r="D125" t="s">
        <v>39</v>
      </c>
      <c r="E125" s="1">
        <v>43705</v>
      </c>
      <c r="F125" s="1">
        <v>43779</v>
      </c>
      <c r="G125" s="1">
        <v>43793</v>
      </c>
      <c r="H125" s="1">
        <v>45294</v>
      </c>
      <c r="I125" t="s">
        <v>57</v>
      </c>
      <c r="J125" s="2">
        <v>4498</v>
      </c>
      <c r="K125" t="s">
        <v>37</v>
      </c>
      <c r="L125" t="s">
        <v>52</v>
      </c>
      <c r="M125">
        <v>260</v>
      </c>
      <c r="N125">
        <v>17</v>
      </c>
      <c r="O125" s="3">
        <v>1784</v>
      </c>
      <c r="P125">
        <f t="shared" ca="1" si="5"/>
        <v>6</v>
      </c>
      <c r="Q125">
        <f ca="1">RANDBETWEEN(0,Table1[[#This Row],[offers made]])</f>
        <v>1</v>
      </c>
      <c r="R125" t="s">
        <v>307</v>
      </c>
      <c r="S125">
        <f>Table1[[#This Row],[Hire Date]]-Table1[[#This Row],[Job Posting Date]]</f>
        <v>74</v>
      </c>
      <c r="T125" s="4">
        <f>Table1[[#This Row],[Join Date]]-Table1[[#This Row],[Hire Date]]</f>
        <v>14</v>
      </c>
      <c r="U125" s="4">
        <f ca="1">IF(Table1[[#This Row],[Status]]="Exited",Table1[[#This Row],[Exit Date]]-Table1[[#This Row],[Join Date]],TODAY()-Table1[[#This Row],[Join Date]])</f>
        <v>1501</v>
      </c>
      <c r="V125" t="str">
        <f ca="1">IF(Table1[[#This Row],[Total Tenure in Days]]&lt;=730, "yes","no")</f>
        <v>no</v>
      </c>
      <c r="W125">
        <f>Table1[[#This Row],[Hire Date]]-Table1[[#This Row],[Job Posting Date]]</f>
        <v>74</v>
      </c>
      <c r="X125" s="4">
        <f>Table1[[#This Row],[Time to Onboard]]/Table1[[#This Row],[Time to Fill]]*100</f>
        <v>18.918918918918919</v>
      </c>
      <c r="Y125" s="5">
        <f>Table1[[#This Row],[Time to Onboard]]/Table1[[#This Row],[Time to Fill]]*100</f>
        <v>18.918918918918919</v>
      </c>
      <c r="Z125">
        <f>Table1[[#This Row],[Join Date]]-Table1[[#This Row],[Job Posting Date]]</f>
        <v>88</v>
      </c>
      <c r="AA125">
        <f t="shared" ca="1" si="6"/>
        <v>167</v>
      </c>
      <c r="AB125" s="5">
        <f>Table1[[#This Row],[Absentee Days]]/Table1[[#This Row],[Total Work Days]]*100</f>
        <v>6.5384615384615392</v>
      </c>
      <c r="AC125">
        <f>YEAR(Table1[[#This Row],[Join Date]])</f>
        <v>2019</v>
      </c>
      <c r="AD125">
        <f>IF(Table1[[#This Row],[Status]]="Active",1,0)</f>
        <v>0</v>
      </c>
      <c r="AE125">
        <f ca="1">IF(Table1[[#This Row],[Status]]="Exited",Table1[[#This Row],[Recruitment Cost]]+Table1[[#This Row],[Onboarding Cost]]+Table1[[#This Row],[Training Cost]],0)</f>
        <v>6449</v>
      </c>
      <c r="AF125">
        <f>IF(Table1[[#This Row],[Training Completion Status]]="Completed",1,0)</f>
        <v>1</v>
      </c>
      <c r="AG125">
        <f t="shared" ca="1" si="7"/>
        <v>3</v>
      </c>
      <c r="AH125">
        <f t="shared" ca="1" si="8"/>
        <v>2</v>
      </c>
      <c r="AI125">
        <f t="shared" ca="1" si="9"/>
        <v>1</v>
      </c>
      <c r="AJ125" t="s">
        <v>318</v>
      </c>
    </row>
    <row r="126" spans="1:36" x14ac:dyDescent="0.2">
      <c r="A126" t="s">
        <v>178</v>
      </c>
      <c r="B126" t="s">
        <v>43</v>
      </c>
      <c r="C126" t="s">
        <v>38</v>
      </c>
      <c r="D126" t="s">
        <v>39</v>
      </c>
      <c r="E126" s="1">
        <v>44392</v>
      </c>
      <c r="F126" s="1">
        <v>44482</v>
      </c>
      <c r="G126" s="1">
        <v>44493</v>
      </c>
      <c r="H126" s="1">
        <v>45098</v>
      </c>
      <c r="I126" t="s">
        <v>57</v>
      </c>
      <c r="J126" s="2">
        <v>2783</v>
      </c>
      <c r="K126" t="s">
        <v>40</v>
      </c>
      <c r="L126" t="s">
        <v>52</v>
      </c>
      <c r="M126">
        <v>260</v>
      </c>
      <c r="N126">
        <v>19</v>
      </c>
      <c r="O126" s="3">
        <v>1560</v>
      </c>
      <c r="P126">
        <f t="shared" ca="1" si="5"/>
        <v>6</v>
      </c>
      <c r="Q126">
        <f ca="1">RANDBETWEEN(0,Table1[[#This Row],[offers made]])</f>
        <v>6</v>
      </c>
      <c r="R126" t="s">
        <v>307</v>
      </c>
      <c r="S126">
        <f>Table1[[#This Row],[Hire Date]]-Table1[[#This Row],[Job Posting Date]]</f>
        <v>90</v>
      </c>
      <c r="T126" s="4">
        <f>Table1[[#This Row],[Join Date]]-Table1[[#This Row],[Hire Date]]</f>
        <v>11</v>
      </c>
      <c r="U126" s="4">
        <f ca="1">IF(Table1[[#This Row],[Status]]="Exited",Table1[[#This Row],[Exit Date]]-Table1[[#This Row],[Join Date]],TODAY()-Table1[[#This Row],[Join Date]])</f>
        <v>605</v>
      </c>
      <c r="V126" t="str">
        <f ca="1">IF(Table1[[#This Row],[Total Tenure in Days]]&lt;=730, "yes","no")</f>
        <v>yes</v>
      </c>
      <c r="W126">
        <f>Table1[[#This Row],[Hire Date]]-Table1[[#This Row],[Job Posting Date]]</f>
        <v>90</v>
      </c>
      <c r="X126" s="4">
        <f>Table1[[#This Row],[Time to Onboard]]/Table1[[#This Row],[Time to Fill]]*100</f>
        <v>12.222222222222221</v>
      </c>
      <c r="Y126" s="5">
        <f>Table1[[#This Row],[Time to Onboard]]/Table1[[#This Row],[Time to Fill]]*100</f>
        <v>12.222222222222221</v>
      </c>
      <c r="Z126">
        <f>Table1[[#This Row],[Join Date]]-Table1[[#This Row],[Job Posting Date]]</f>
        <v>101</v>
      </c>
      <c r="AA126">
        <f t="shared" ca="1" si="6"/>
        <v>185</v>
      </c>
      <c r="AB126" s="5">
        <f>Table1[[#This Row],[Absentee Days]]/Table1[[#This Row],[Total Work Days]]*100</f>
        <v>7.3076923076923084</v>
      </c>
      <c r="AC126">
        <f>YEAR(Table1[[#This Row],[Join Date]])</f>
        <v>2021</v>
      </c>
      <c r="AD126">
        <f>IF(Table1[[#This Row],[Status]]="Active",1,0)</f>
        <v>0</v>
      </c>
      <c r="AE126">
        <f ca="1">IF(Table1[[#This Row],[Status]]="Exited",Table1[[#This Row],[Recruitment Cost]]+Table1[[#This Row],[Onboarding Cost]]+Table1[[#This Row],[Training Cost]],0)</f>
        <v>4528</v>
      </c>
      <c r="AF126">
        <f>IF(Table1[[#This Row],[Training Completion Status]]="Completed",1,0)</f>
        <v>1</v>
      </c>
      <c r="AG126">
        <f t="shared" ca="1" si="7"/>
        <v>2</v>
      </c>
      <c r="AH126">
        <f t="shared" ca="1" si="8"/>
        <v>2</v>
      </c>
      <c r="AI126">
        <f t="shared" ca="1" si="9"/>
        <v>1</v>
      </c>
      <c r="AJ126" t="s">
        <v>317</v>
      </c>
    </row>
    <row r="127" spans="1:36" x14ac:dyDescent="0.2">
      <c r="A127" t="s">
        <v>179</v>
      </c>
      <c r="B127" t="s">
        <v>43</v>
      </c>
      <c r="C127" t="s">
        <v>38</v>
      </c>
      <c r="D127" t="s">
        <v>39</v>
      </c>
      <c r="E127" s="1">
        <v>43536</v>
      </c>
      <c r="F127" s="1">
        <v>43587</v>
      </c>
      <c r="G127" s="1">
        <v>43600</v>
      </c>
      <c r="H127" s="1">
        <v>44828</v>
      </c>
      <c r="I127" t="s">
        <v>57</v>
      </c>
      <c r="J127" s="2">
        <v>3702</v>
      </c>
      <c r="K127" t="s">
        <v>34</v>
      </c>
      <c r="L127" t="s">
        <v>52</v>
      </c>
      <c r="M127">
        <v>260</v>
      </c>
      <c r="N127">
        <v>5</v>
      </c>
      <c r="O127" s="3">
        <v>2356</v>
      </c>
      <c r="P127">
        <f t="shared" ca="1" si="5"/>
        <v>10</v>
      </c>
      <c r="Q127">
        <f ca="1">RANDBETWEEN(0,Table1[[#This Row],[offers made]])</f>
        <v>7</v>
      </c>
      <c r="R127" t="s">
        <v>308</v>
      </c>
      <c r="S127">
        <f>Table1[[#This Row],[Hire Date]]-Table1[[#This Row],[Job Posting Date]]</f>
        <v>51</v>
      </c>
      <c r="T127" s="4">
        <f>Table1[[#This Row],[Join Date]]-Table1[[#This Row],[Hire Date]]</f>
        <v>13</v>
      </c>
      <c r="U127" s="4">
        <f ca="1">IF(Table1[[#This Row],[Status]]="Exited",Table1[[#This Row],[Exit Date]]-Table1[[#This Row],[Join Date]],TODAY()-Table1[[#This Row],[Join Date]])</f>
        <v>1228</v>
      </c>
      <c r="V127" t="str">
        <f ca="1">IF(Table1[[#This Row],[Total Tenure in Days]]&lt;=730, "yes","no")</f>
        <v>no</v>
      </c>
      <c r="W127">
        <f>Table1[[#This Row],[Hire Date]]-Table1[[#This Row],[Job Posting Date]]</f>
        <v>51</v>
      </c>
      <c r="X127" s="4">
        <f>Table1[[#This Row],[Time to Onboard]]/Table1[[#This Row],[Time to Fill]]*100</f>
        <v>25.490196078431371</v>
      </c>
      <c r="Y127" s="5">
        <f>Table1[[#This Row],[Time to Onboard]]/Table1[[#This Row],[Time to Fill]]*100</f>
        <v>25.490196078431371</v>
      </c>
      <c r="Z127">
        <f>Table1[[#This Row],[Join Date]]-Table1[[#This Row],[Job Posting Date]]</f>
        <v>64</v>
      </c>
      <c r="AA127">
        <f t="shared" ca="1" si="6"/>
        <v>106</v>
      </c>
      <c r="AB127" s="5">
        <f>Table1[[#This Row],[Absentee Days]]/Table1[[#This Row],[Total Work Days]]*100</f>
        <v>1.9230769230769231</v>
      </c>
      <c r="AC127">
        <f>YEAR(Table1[[#This Row],[Join Date]])</f>
        <v>2019</v>
      </c>
      <c r="AD127">
        <f>IF(Table1[[#This Row],[Status]]="Active",1,0)</f>
        <v>0</v>
      </c>
      <c r="AE127">
        <f ca="1">IF(Table1[[#This Row],[Status]]="Exited",Table1[[#This Row],[Recruitment Cost]]+Table1[[#This Row],[Onboarding Cost]]+Table1[[#This Row],[Training Cost]],0)</f>
        <v>6164</v>
      </c>
      <c r="AF127">
        <f>IF(Table1[[#This Row],[Training Completion Status]]="Completed",1,0)</f>
        <v>1</v>
      </c>
      <c r="AG127">
        <f t="shared" ca="1" si="7"/>
        <v>2</v>
      </c>
      <c r="AH127">
        <f t="shared" ca="1" si="8"/>
        <v>4</v>
      </c>
      <c r="AI127">
        <f t="shared" ca="1" si="9"/>
        <v>4</v>
      </c>
      <c r="AJ127" t="s">
        <v>317</v>
      </c>
    </row>
    <row r="128" spans="1:36" x14ac:dyDescent="0.2">
      <c r="A128" t="s">
        <v>180</v>
      </c>
      <c r="B128" t="s">
        <v>42</v>
      </c>
      <c r="C128" t="s">
        <v>26</v>
      </c>
      <c r="D128" t="s">
        <v>27</v>
      </c>
      <c r="E128" s="1">
        <v>44190</v>
      </c>
      <c r="F128" s="1">
        <v>44206</v>
      </c>
      <c r="G128" s="1">
        <v>44213</v>
      </c>
      <c r="H128" s="1">
        <v>44732</v>
      </c>
      <c r="I128" t="s">
        <v>57</v>
      </c>
      <c r="J128" s="2">
        <v>1919</v>
      </c>
      <c r="K128" t="s">
        <v>34</v>
      </c>
      <c r="L128" t="s">
        <v>52</v>
      </c>
      <c r="M128">
        <v>260</v>
      </c>
      <c r="N128">
        <v>0</v>
      </c>
      <c r="O128" s="3">
        <v>2486</v>
      </c>
      <c r="P128">
        <f t="shared" ca="1" si="5"/>
        <v>7</v>
      </c>
      <c r="Q128">
        <f ca="1">RANDBETWEEN(0,Table1[[#This Row],[offers made]])</f>
        <v>7</v>
      </c>
      <c r="R128" t="s">
        <v>306</v>
      </c>
      <c r="S128">
        <f>Table1[[#This Row],[Hire Date]]-Table1[[#This Row],[Job Posting Date]]</f>
        <v>16</v>
      </c>
      <c r="T128" s="4">
        <f>Table1[[#This Row],[Join Date]]-Table1[[#This Row],[Hire Date]]</f>
        <v>7</v>
      </c>
      <c r="U128" s="4">
        <f ca="1">IF(Table1[[#This Row],[Status]]="Exited",Table1[[#This Row],[Exit Date]]-Table1[[#This Row],[Join Date]],TODAY()-Table1[[#This Row],[Join Date]])</f>
        <v>519</v>
      </c>
      <c r="V128" t="str">
        <f ca="1">IF(Table1[[#This Row],[Total Tenure in Days]]&lt;=730, "yes","no")</f>
        <v>yes</v>
      </c>
      <c r="W128">
        <f>Table1[[#This Row],[Hire Date]]-Table1[[#This Row],[Job Posting Date]]</f>
        <v>16</v>
      </c>
      <c r="X128" s="4">
        <f>Table1[[#This Row],[Time to Onboard]]/Table1[[#This Row],[Time to Fill]]*100</f>
        <v>43.75</v>
      </c>
      <c r="Y128" s="5">
        <f>Table1[[#This Row],[Time to Onboard]]/Table1[[#This Row],[Time to Fill]]*100</f>
        <v>43.75</v>
      </c>
      <c r="Z128">
        <f>Table1[[#This Row],[Join Date]]-Table1[[#This Row],[Job Posting Date]]</f>
        <v>23</v>
      </c>
      <c r="AA128">
        <f t="shared" ca="1" si="6"/>
        <v>145</v>
      </c>
      <c r="AB128" s="5">
        <f>Table1[[#This Row],[Absentee Days]]/Table1[[#This Row],[Total Work Days]]*100</f>
        <v>0</v>
      </c>
      <c r="AC128">
        <f>YEAR(Table1[[#This Row],[Join Date]])</f>
        <v>2021</v>
      </c>
      <c r="AD128">
        <f>IF(Table1[[#This Row],[Status]]="Active",1,0)</f>
        <v>0</v>
      </c>
      <c r="AE128">
        <f ca="1">IF(Table1[[#This Row],[Status]]="Exited",Table1[[#This Row],[Recruitment Cost]]+Table1[[#This Row],[Onboarding Cost]]+Table1[[#This Row],[Training Cost]],0)</f>
        <v>4550</v>
      </c>
      <c r="AF128">
        <f>IF(Table1[[#This Row],[Training Completion Status]]="Completed",1,0)</f>
        <v>1</v>
      </c>
      <c r="AG128">
        <f t="shared" ca="1" si="7"/>
        <v>3</v>
      </c>
      <c r="AH128">
        <f t="shared" ca="1" si="8"/>
        <v>3</v>
      </c>
      <c r="AI128">
        <f t="shared" ca="1" si="9"/>
        <v>4</v>
      </c>
      <c r="AJ128" t="s">
        <v>318</v>
      </c>
    </row>
    <row r="129" spans="1:36" x14ac:dyDescent="0.2">
      <c r="A129" t="s">
        <v>181</v>
      </c>
      <c r="B129" t="s">
        <v>42</v>
      </c>
      <c r="C129" t="s">
        <v>29</v>
      </c>
      <c r="D129" t="s">
        <v>30</v>
      </c>
      <c r="E129" s="1">
        <v>43166</v>
      </c>
      <c r="F129" s="1">
        <v>43182</v>
      </c>
      <c r="G129" s="1">
        <v>43196</v>
      </c>
      <c r="H129" s="1">
        <v>44939</v>
      </c>
      <c r="I129" t="s">
        <v>57</v>
      </c>
      <c r="J129" s="2">
        <v>3944</v>
      </c>
      <c r="K129" t="s">
        <v>34</v>
      </c>
      <c r="L129" t="s">
        <v>52</v>
      </c>
      <c r="M129">
        <v>260</v>
      </c>
      <c r="N129">
        <v>8</v>
      </c>
      <c r="O129" s="3">
        <v>1307</v>
      </c>
      <c r="P129">
        <f t="shared" ca="1" si="5"/>
        <v>8</v>
      </c>
      <c r="Q129">
        <f ca="1">RANDBETWEEN(0,Table1[[#This Row],[offers made]])</f>
        <v>7</v>
      </c>
      <c r="R129" t="s">
        <v>306</v>
      </c>
      <c r="S129">
        <f>Table1[[#This Row],[Hire Date]]-Table1[[#This Row],[Job Posting Date]]</f>
        <v>16</v>
      </c>
      <c r="T129" s="4">
        <f>Table1[[#This Row],[Join Date]]-Table1[[#This Row],[Hire Date]]</f>
        <v>14</v>
      </c>
      <c r="U129" s="4">
        <f ca="1">IF(Table1[[#This Row],[Status]]="Exited",Table1[[#This Row],[Exit Date]]-Table1[[#This Row],[Join Date]],TODAY()-Table1[[#This Row],[Join Date]])</f>
        <v>1743</v>
      </c>
      <c r="V129" t="str">
        <f ca="1">IF(Table1[[#This Row],[Total Tenure in Days]]&lt;=730, "yes","no")</f>
        <v>no</v>
      </c>
      <c r="W129">
        <f>Table1[[#This Row],[Hire Date]]-Table1[[#This Row],[Job Posting Date]]</f>
        <v>16</v>
      </c>
      <c r="X129" s="4">
        <f>Table1[[#This Row],[Time to Onboard]]/Table1[[#This Row],[Time to Fill]]*100</f>
        <v>87.5</v>
      </c>
      <c r="Y129" s="5">
        <f>Table1[[#This Row],[Time to Onboard]]/Table1[[#This Row],[Time to Fill]]*100</f>
        <v>87.5</v>
      </c>
      <c r="Z129">
        <f>Table1[[#This Row],[Join Date]]-Table1[[#This Row],[Job Posting Date]]</f>
        <v>30</v>
      </c>
      <c r="AA129">
        <f t="shared" ca="1" si="6"/>
        <v>133</v>
      </c>
      <c r="AB129" s="5">
        <f>Table1[[#This Row],[Absentee Days]]/Table1[[#This Row],[Total Work Days]]*100</f>
        <v>3.0769230769230771</v>
      </c>
      <c r="AC129">
        <f>YEAR(Table1[[#This Row],[Join Date]])</f>
        <v>2018</v>
      </c>
      <c r="AD129">
        <f>IF(Table1[[#This Row],[Status]]="Active",1,0)</f>
        <v>0</v>
      </c>
      <c r="AE129">
        <f ca="1">IF(Table1[[#This Row],[Status]]="Exited",Table1[[#This Row],[Recruitment Cost]]+Table1[[#This Row],[Onboarding Cost]]+Table1[[#This Row],[Training Cost]],0)</f>
        <v>5384</v>
      </c>
      <c r="AF129">
        <f>IF(Table1[[#This Row],[Training Completion Status]]="Completed",1,0)</f>
        <v>1</v>
      </c>
      <c r="AG129">
        <f t="shared" ca="1" si="7"/>
        <v>2</v>
      </c>
      <c r="AH129">
        <f t="shared" ca="1" si="8"/>
        <v>1</v>
      </c>
      <c r="AI129">
        <f t="shared" ca="1" si="9"/>
        <v>1</v>
      </c>
      <c r="AJ129" t="s">
        <v>318</v>
      </c>
    </row>
    <row r="130" spans="1:36" x14ac:dyDescent="0.2">
      <c r="A130" t="s">
        <v>182</v>
      </c>
      <c r="B130" t="s">
        <v>41</v>
      </c>
      <c r="C130" t="s">
        <v>32</v>
      </c>
      <c r="D130" t="s">
        <v>33</v>
      </c>
      <c r="E130" s="1">
        <v>44300</v>
      </c>
      <c r="F130" s="1">
        <v>44377</v>
      </c>
      <c r="G130" s="1">
        <v>44389</v>
      </c>
      <c r="H130" s="1">
        <v>45232</v>
      </c>
      <c r="I130" t="s">
        <v>57</v>
      </c>
      <c r="J130" s="2">
        <v>4468</v>
      </c>
      <c r="K130" t="s">
        <v>31</v>
      </c>
      <c r="L130" t="s">
        <v>55</v>
      </c>
      <c r="M130">
        <v>260</v>
      </c>
      <c r="N130">
        <v>6</v>
      </c>
      <c r="O130" s="3">
        <v>1313</v>
      </c>
      <c r="P130">
        <f t="shared" ref="P130:P193" ca="1" si="10">RANDBETWEEN(1,10)</f>
        <v>3</v>
      </c>
      <c r="Q130">
        <f ca="1">RANDBETWEEN(0,Table1[[#This Row],[offers made]])</f>
        <v>2</v>
      </c>
      <c r="R130" t="s">
        <v>308</v>
      </c>
      <c r="S130">
        <f>Table1[[#This Row],[Hire Date]]-Table1[[#This Row],[Job Posting Date]]</f>
        <v>77</v>
      </c>
      <c r="T130" s="4">
        <f>Table1[[#This Row],[Join Date]]-Table1[[#This Row],[Hire Date]]</f>
        <v>12</v>
      </c>
      <c r="U130" s="4">
        <f ca="1">IF(Table1[[#This Row],[Status]]="Exited",Table1[[#This Row],[Exit Date]]-Table1[[#This Row],[Join Date]],TODAY()-Table1[[#This Row],[Join Date]])</f>
        <v>843</v>
      </c>
      <c r="V130" t="str">
        <f ca="1">IF(Table1[[#This Row],[Total Tenure in Days]]&lt;=730, "yes","no")</f>
        <v>no</v>
      </c>
      <c r="W130">
        <f>Table1[[#This Row],[Hire Date]]-Table1[[#This Row],[Job Posting Date]]</f>
        <v>77</v>
      </c>
      <c r="X130" s="4">
        <f>Table1[[#This Row],[Time to Onboard]]/Table1[[#This Row],[Time to Fill]]*100</f>
        <v>15.584415584415584</v>
      </c>
      <c r="Y130" s="5">
        <f>Table1[[#This Row],[Time to Onboard]]/Table1[[#This Row],[Time to Fill]]*100</f>
        <v>15.584415584415584</v>
      </c>
      <c r="Z130">
        <f>Table1[[#This Row],[Join Date]]-Table1[[#This Row],[Job Posting Date]]</f>
        <v>89</v>
      </c>
      <c r="AA130">
        <f t="shared" ref="AA130:AA193" ca="1" si="11">RANDBETWEEN(100,200)</f>
        <v>134</v>
      </c>
      <c r="AB130" s="5">
        <f>Table1[[#This Row],[Absentee Days]]/Table1[[#This Row],[Total Work Days]]*100</f>
        <v>2.3076923076923079</v>
      </c>
      <c r="AC130">
        <f>YEAR(Table1[[#This Row],[Join Date]])</f>
        <v>2021</v>
      </c>
      <c r="AD130">
        <f>IF(Table1[[#This Row],[Status]]="Active",1,0)</f>
        <v>0</v>
      </c>
      <c r="AE130">
        <f ca="1">IF(Table1[[#This Row],[Status]]="Exited",Table1[[#This Row],[Recruitment Cost]]+Table1[[#This Row],[Onboarding Cost]]+Table1[[#This Row],[Training Cost]],0)</f>
        <v>5915</v>
      </c>
      <c r="AF130">
        <f>IF(Table1[[#This Row],[Training Completion Status]]="Completed",1,0)</f>
        <v>0</v>
      </c>
      <c r="AG130">
        <f t="shared" ref="AG130:AG193" ca="1" si="12">RANDBETWEEN(1,5)</f>
        <v>2</v>
      </c>
      <c r="AH130">
        <f t="shared" ref="AH130:AH193" ca="1" si="13">RANDBETWEEN(1,5)</f>
        <v>1</v>
      </c>
      <c r="AI130">
        <f t="shared" ref="AI130:AI193" ca="1" si="14">RANDBETWEEN(1, 5)</f>
        <v>1</v>
      </c>
      <c r="AJ130" t="s">
        <v>317</v>
      </c>
    </row>
    <row r="131" spans="1:36" x14ac:dyDescent="0.2">
      <c r="A131" t="s">
        <v>183</v>
      </c>
      <c r="B131" t="s">
        <v>42</v>
      </c>
      <c r="C131" t="s">
        <v>29</v>
      </c>
      <c r="D131" t="s">
        <v>30</v>
      </c>
      <c r="E131" s="1">
        <v>44137</v>
      </c>
      <c r="F131" s="1">
        <v>44218</v>
      </c>
      <c r="G131" s="1">
        <v>44232</v>
      </c>
      <c r="H131" s="1">
        <v>45375</v>
      </c>
      <c r="I131" t="s">
        <v>57</v>
      </c>
      <c r="J131" s="2">
        <v>3622</v>
      </c>
      <c r="K131" t="s">
        <v>28</v>
      </c>
      <c r="L131" t="s">
        <v>52</v>
      </c>
      <c r="M131">
        <v>260</v>
      </c>
      <c r="N131">
        <v>10</v>
      </c>
      <c r="O131" s="3">
        <v>1402</v>
      </c>
      <c r="P131">
        <f t="shared" ca="1" si="10"/>
        <v>5</v>
      </c>
      <c r="Q131">
        <f ca="1">RANDBETWEEN(0,Table1[[#This Row],[offers made]])</f>
        <v>4</v>
      </c>
      <c r="R131" t="s">
        <v>308</v>
      </c>
      <c r="S131">
        <f>Table1[[#This Row],[Hire Date]]-Table1[[#This Row],[Job Posting Date]]</f>
        <v>81</v>
      </c>
      <c r="T131" s="4">
        <f>Table1[[#This Row],[Join Date]]-Table1[[#This Row],[Hire Date]]</f>
        <v>14</v>
      </c>
      <c r="U131" s="4">
        <f ca="1">IF(Table1[[#This Row],[Status]]="Exited",Table1[[#This Row],[Exit Date]]-Table1[[#This Row],[Join Date]],TODAY()-Table1[[#This Row],[Join Date]])</f>
        <v>1143</v>
      </c>
      <c r="V131" t="str">
        <f ca="1">IF(Table1[[#This Row],[Total Tenure in Days]]&lt;=730, "yes","no")</f>
        <v>no</v>
      </c>
      <c r="W131">
        <f>Table1[[#This Row],[Hire Date]]-Table1[[#This Row],[Job Posting Date]]</f>
        <v>81</v>
      </c>
      <c r="X131" s="4">
        <f>Table1[[#This Row],[Time to Onboard]]/Table1[[#This Row],[Time to Fill]]*100</f>
        <v>17.283950617283949</v>
      </c>
      <c r="Y131" s="5">
        <f>Table1[[#This Row],[Time to Onboard]]/Table1[[#This Row],[Time to Fill]]*100</f>
        <v>17.283950617283949</v>
      </c>
      <c r="Z131">
        <f>Table1[[#This Row],[Join Date]]-Table1[[#This Row],[Job Posting Date]]</f>
        <v>95</v>
      </c>
      <c r="AA131">
        <f t="shared" ca="1" si="11"/>
        <v>114</v>
      </c>
      <c r="AB131" s="5">
        <f>Table1[[#This Row],[Absentee Days]]/Table1[[#This Row],[Total Work Days]]*100</f>
        <v>3.8461538461538463</v>
      </c>
      <c r="AC131">
        <f>YEAR(Table1[[#This Row],[Join Date]])</f>
        <v>2021</v>
      </c>
      <c r="AD131">
        <f>IF(Table1[[#This Row],[Status]]="Active",1,0)</f>
        <v>0</v>
      </c>
      <c r="AE131">
        <f ca="1">IF(Table1[[#This Row],[Status]]="Exited",Table1[[#This Row],[Recruitment Cost]]+Table1[[#This Row],[Onboarding Cost]]+Table1[[#This Row],[Training Cost]],0)</f>
        <v>5138</v>
      </c>
      <c r="AF131">
        <f>IF(Table1[[#This Row],[Training Completion Status]]="Completed",1,0)</f>
        <v>1</v>
      </c>
      <c r="AG131">
        <f t="shared" ca="1" si="12"/>
        <v>2</v>
      </c>
      <c r="AH131">
        <f t="shared" ca="1" si="13"/>
        <v>2</v>
      </c>
      <c r="AI131">
        <f t="shared" ca="1" si="14"/>
        <v>3</v>
      </c>
      <c r="AJ131" t="s">
        <v>317</v>
      </c>
    </row>
    <row r="132" spans="1:36" x14ac:dyDescent="0.2">
      <c r="A132" t="s">
        <v>184</v>
      </c>
      <c r="B132" t="s">
        <v>41</v>
      </c>
      <c r="C132" t="s">
        <v>29</v>
      </c>
      <c r="D132" t="s">
        <v>30</v>
      </c>
      <c r="E132" s="1">
        <v>44673</v>
      </c>
      <c r="F132" s="1">
        <v>44700</v>
      </c>
      <c r="G132" s="1">
        <v>44713</v>
      </c>
      <c r="H132" s="1" t="s">
        <v>50</v>
      </c>
      <c r="I132" t="s">
        <v>51</v>
      </c>
      <c r="J132" s="2">
        <v>3032</v>
      </c>
      <c r="K132" t="s">
        <v>28</v>
      </c>
      <c r="L132" t="s">
        <v>52</v>
      </c>
      <c r="M132">
        <v>260</v>
      </c>
      <c r="N132">
        <v>5</v>
      </c>
      <c r="O132" s="3">
        <v>1254</v>
      </c>
      <c r="P132">
        <f t="shared" ca="1" si="10"/>
        <v>3</v>
      </c>
      <c r="Q132">
        <f ca="1">RANDBETWEEN(0,Table1[[#This Row],[offers made]])</f>
        <v>0</v>
      </c>
      <c r="R132" t="s">
        <v>306</v>
      </c>
      <c r="S132">
        <f>Table1[[#This Row],[Hire Date]]-Table1[[#This Row],[Job Posting Date]]</f>
        <v>27</v>
      </c>
      <c r="T132" s="4">
        <f>Table1[[#This Row],[Join Date]]-Table1[[#This Row],[Hire Date]]</f>
        <v>13</v>
      </c>
      <c r="U132" s="4">
        <f ca="1">IF(Table1[[#This Row],[Status]]="Exited",Table1[[#This Row],[Exit Date]]-Table1[[#This Row],[Join Date]],TODAY()-Table1[[#This Row],[Join Date]])</f>
        <v>948</v>
      </c>
      <c r="V132" t="str">
        <f ca="1">IF(Table1[[#This Row],[Total Tenure in Days]]&lt;=730, "yes","no")</f>
        <v>no</v>
      </c>
      <c r="W132">
        <f>Table1[[#This Row],[Hire Date]]-Table1[[#This Row],[Job Posting Date]]</f>
        <v>27</v>
      </c>
      <c r="X132" s="4">
        <f>Table1[[#This Row],[Time to Onboard]]/Table1[[#This Row],[Time to Fill]]*100</f>
        <v>48.148148148148145</v>
      </c>
      <c r="Y132" s="5">
        <f>Table1[[#This Row],[Time to Onboard]]/Table1[[#This Row],[Time to Fill]]*100</f>
        <v>48.148148148148145</v>
      </c>
      <c r="Z132">
        <f>Table1[[#This Row],[Join Date]]-Table1[[#This Row],[Job Posting Date]]</f>
        <v>40</v>
      </c>
      <c r="AA132">
        <f t="shared" ca="1" si="11"/>
        <v>147</v>
      </c>
      <c r="AB132" s="5">
        <f>Table1[[#This Row],[Absentee Days]]/Table1[[#This Row],[Total Work Days]]*100</f>
        <v>1.9230769230769231</v>
      </c>
      <c r="AC132">
        <f>YEAR(Table1[[#This Row],[Join Date]])</f>
        <v>2022</v>
      </c>
      <c r="AD132">
        <f>IF(Table1[[#This Row],[Status]]="Active",1,0)</f>
        <v>1</v>
      </c>
      <c r="AE132">
        <f>IF(Table1[[#This Row],[Status]]="Exited",Table1[[#This Row],[Recruitment Cost]]+Table1[[#This Row],[Onboarding Cost]]+Table1[[#This Row],[Training Cost]],0)</f>
        <v>0</v>
      </c>
      <c r="AF132">
        <f>IF(Table1[[#This Row],[Training Completion Status]]="Completed",1,0)</f>
        <v>1</v>
      </c>
      <c r="AG132">
        <f t="shared" ca="1" si="12"/>
        <v>5</v>
      </c>
      <c r="AH132">
        <f t="shared" ca="1" si="13"/>
        <v>1</v>
      </c>
      <c r="AI132">
        <f t="shared" ca="1" si="14"/>
        <v>3</v>
      </c>
      <c r="AJ132" t="s">
        <v>317</v>
      </c>
    </row>
    <row r="133" spans="1:36" x14ac:dyDescent="0.2">
      <c r="A133" t="s">
        <v>185</v>
      </c>
      <c r="B133" t="s">
        <v>43</v>
      </c>
      <c r="C133" t="s">
        <v>38</v>
      </c>
      <c r="D133" t="s">
        <v>39</v>
      </c>
      <c r="E133" s="1">
        <v>43206</v>
      </c>
      <c r="F133" s="1">
        <v>43271</v>
      </c>
      <c r="G133" s="1">
        <v>43272</v>
      </c>
      <c r="H133" s="1" t="s">
        <v>50</v>
      </c>
      <c r="I133" t="s">
        <v>51</v>
      </c>
      <c r="J133" s="2">
        <v>1650</v>
      </c>
      <c r="K133" t="s">
        <v>31</v>
      </c>
      <c r="L133" t="s">
        <v>52</v>
      </c>
      <c r="M133">
        <v>260</v>
      </c>
      <c r="N133">
        <v>9</v>
      </c>
      <c r="O133" s="3">
        <v>2023</v>
      </c>
      <c r="P133">
        <f t="shared" ca="1" si="10"/>
        <v>10</v>
      </c>
      <c r="Q133">
        <f ca="1">RANDBETWEEN(0,Table1[[#This Row],[offers made]])</f>
        <v>8</v>
      </c>
      <c r="R133" t="s">
        <v>307</v>
      </c>
      <c r="S133">
        <f>Table1[[#This Row],[Hire Date]]-Table1[[#This Row],[Job Posting Date]]</f>
        <v>65</v>
      </c>
      <c r="T133" s="4">
        <f>Table1[[#This Row],[Join Date]]-Table1[[#This Row],[Hire Date]]</f>
        <v>1</v>
      </c>
      <c r="U133" s="4">
        <f ca="1">IF(Table1[[#This Row],[Status]]="Exited",Table1[[#This Row],[Exit Date]]-Table1[[#This Row],[Join Date]],TODAY()-Table1[[#This Row],[Join Date]])</f>
        <v>2389</v>
      </c>
      <c r="V133" t="str">
        <f ca="1">IF(Table1[[#This Row],[Total Tenure in Days]]&lt;=730, "yes","no")</f>
        <v>no</v>
      </c>
      <c r="W133">
        <f>Table1[[#This Row],[Hire Date]]-Table1[[#This Row],[Job Posting Date]]</f>
        <v>65</v>
      </c>
      <c r="X133" s="4">
        <f>Table1[[#This Row],[Time to Onboard]]/Table1[[#This Row],[Time to Fill]]*100</f>
        <v>1.5384615384615385</v>
      </c>
      <c r="Y133" s="5">
        <f>Table1[[#This Row],[Time to Onboard]]/Table1[[#This Row],[Time to Fill]]*100</f>
        <v>1.5384615384615385</v>
      </c>
      <c r="Z133">
        <f>Table1[[#This Row],[Join Date]]-Table1[[#This Row],[Job Posting Date]]</f>
        <v>66</v>
      </c>
      <c r="AA133">
        <f t="shared" ca="1" si="11"/>
        <v>130</v>
      </c>
      <c r="AB133" s="5">
        <f>Table1[[#This Row],[Absentee Days]]/Table1[[#This Row],[Total Work Days]]*100</f>
        <v>3.4615384615384617</v>
      </c>
      <c r="AC133">
        <f>YEAR(Table1[[#This Row],[Join Date]])</f>
        <v>2018</v>
      </c>
      <c r="AD133">
        <f>IF(Table1[[#This Row],[Status]]="Active",1,0)</f>
        <v>1</v>
      </c>
      <c r="AE133">
        <f>IF(Table1[[#This Row],[Status]]="Exited",Table1[[#This Row],[Recruitment Cost]]+Table1[[#This Row],[Onboarding Cost]]+Table1[[#This Row],[Training Cost]],0)</f>
        <v>0</v>
      </c>
      <c r="AF133">
        <f>IF(Table1[[#This Row],[Training Completion Status]]="Completed",1,0)</f>
        <v>1</v>
      </c>
      <c r="AG133">
        <f t="shared" ca="1" si="12"/>
        <v>4</v>
      </c>
      <c r="AH133">
        <f t="shared" ca="1" si="13"/>
        <v>1</v>
      </c>
      <c r="AI133">
        <f t="shared" ca="1" si="14"/>
        <v>3</v>
      </c>
      <c r="AJ133" t="s">
        <v>317</v>
      </c>
    </row>
    <row r="134" spans="1:36" x14ac:dyDescent="0.2">
      <c r="A134" t="s">
        <v>186</v>
      </c>
      <c r="B134" t="s">
        <v>42</v>
      </c>
      <c r="C134" t="s">
        <v>38</v>
      </c>
      <c r="D134" t="s">
        <v>39</v>
      </c>
      <c r="E134" s="1">
        <v>43907</v>
      </c>
      <c r="F134" s="1">
        <v>43973</v>
      </c>
      <c r="G134" s="1">
        <v>43975</v>
      </c>
      <c r="H134" s="1" t="s">
        <v>50</v>
      </c>
      <c r="I134" t="s">
        <v>51</v>
      </c>
      <c r="J134" s="2">
        <v>3994</v>
      </c>
      <c r="K134" t="s">
        <v>37</v>
      </c>
      <c r="L134" t="s">
        <v>52</v>
      </c>
      <c r="M134">
        <v>260</v>
      </c>
      <c r="N134">
        <v>9</v>
      </c>
      <c r="O134" s="3">
        <v>1536</v>
      </c>
      <c r="P134">
        <f t="shared" ca="1" si="10"/>
        <v>10</v>
      </c>
      <c r="Q134">
        <f ca="1">RANDBETWEEN(0,Table1[[#This Row],[offers made]])</f>
        <v>0</v>
      </c>
      <c r="R134" t="s">
        <v>307</v>
      </c>
      <c r="S134">
        <f>Table1[[#This Row],[Hire Date]]-Table1[[#This Row],[Job Posting Date]]</f>
        <v>66</v>
      </c>
      <c r="T134" s="4">
        <f>Table1[[#This Row],[Join Date]]-Table1[[#This Row],[Hire Date]]</f>
        <v>2</v>
      </c>
      <c r="U134" s="4">
        <f ca="1">IF(Table1[[#This Row],[Status]]="Exited",Table1[[#This Row],[Exit Date]]-Table1[[#This Row],[Join Date]],TODAY()-Table1[[#This Row],[Join Date]])</f>
        <v>1686</v>
      </c>
      <c r="V134" t="str">
        <f ca="1">IF(Table1[[#This Row],[Total Tenure in Days]]&lt;=730, "yes","no")</f>
        <v>no</v>
      </c>
      <c r="W134">
        <f>Table1[[#This Row],[Hire Date]]-Table1[[#This Row],[Job Posting Date]]</f>
        <v>66</v>
      </c>
      <c r="X134" s="4">
        <f>Table1[[#This Row],[Time to Onboard]]/Table1[[#This Row],[Time to Fill]]*100</f>
        <v>3.0303030303030303</v>
      </c>
      <c r="Y134" s="5">
        <f>Table1[[#This Row],[Time to Onboard]]/Table1[[#This Row],[Time to Fill]]*100</f>
        <v>3.0303030303030303</v>
      </c>
      <c r="Z134">
        <f>Table1[[#This Row],[Join Date]]-Table1[[#This Row],[Job Posting Date]]</f>
        <v>68</v>
      </c>
      <c r="AA134">
        <f t="shared" ca="1" si="11"/>
        <v>175</v>
      </c>
      <c r="AB134" s="5">
        <f>Table1[[#This Row],[Absentee Days]]/Table1[[#This Row],[Total Work Days]]*100</f>
        <v>3.4615384615384617</v>
      </c>
      <c r="AC134">
        <f>YEAR(Table1[[#This Row],[Join Date]])</f>
        <v>2020</v>
      </c>
      <c r="AD134">
        <f>IF(Table1[[#This Row],[Status]]="Active",1,0)</f>
        <v>1</v>
      </c>
      <c r="AE134">
        <f>IF(Table1[[#This Row],[Status]]="Exited",Table1[[#This Row],[Recruitment Cost]]+Table1[[#This Row],[Onboarding Cost]]+Table1[[#This Row],[Training Cost]],0)</f>
        <v>0</v>
      </c>
      <c r="AF134">
        <f>IF(Table1[[#This Row],[Training Completion Status]]="Completed",1,0)</f>
        <v>1</v>
      </c>
      <c r="AG134">
        <f t="shared" ca="1" si="12"/>
        <v>1</v>
      </c>
      <c r="AH134">
        <f t="shared" ca="1" si="13"/>
        <v>1</v>
      </c>
      <c r="AI134">
        <f t="shared" ca="1" si="14"/>
        <v>3</v>
      </c>
      <c r="AJ134" t="s">
        <v>318</v>
      </c>
    </row>
    <row r="135" spans="1:36" x14ac:dyDescent="0.2">
      <c r="A135" t="s">
        <v>187</v>
      </c>
      <c r="B135" t="s">
        <v>43</v>
      </c>
      <c r="C135" t="s">
        <v>38</v>
      </c>
      <c r="D135" t="s">
        <v>39</v>
      </c>
      <c r="E135" s="1">
        <v>44866</v>
      </c>
      <c r="F135" s="1">
        <v>44887</v>
      </c>
      <c r="G135" s="1">
        <v>44890</v>
      </c>
      <c r="H135" s="1" t="s">
        <v>50</v>
      </c>
      <c r="I135" t="s">
        <v>51</v>
      </c>
      <c r="J135" s="2">
        <v>4437</v>
      </c>
      <c r="K135" t="s">
        <v>37</v>
      </c>
      <c r="L135" t="s">
        <v>52</v>
      </c>
      <c r="M135">
        <v>260</v>
      </c>
      <c r="N135">
        <v>0</v>
      </c>
      <c r="O135" s="3">
        <v>1821</v>
      </c>
      <c r="P135">
        <f t="shared" ca="1" si="10"/>
        <v>9</v>
      </c>
      <c r="Q135">
        <f ca="1">RANDBETWEEN(0,Table1[[#This Row],[offers made]])</f>
        <v>6</v>
      </c>
      <c r="R135" t="s">
        <v>308</v>
      </c>
      <c r="S135">
        <f>Table1[[#This Row],[Hire Date]]-Table1[[#This Row],[Job Posting Date]]</f>
        <v>21</v>
      </c>
      <c r="T135" s="4">
        <f>Table1[[#This Row],[Join Date]]-Table1[[#This Row],[Hire Date]]</f>
        <v>3</v>
      </c>
      <c r="U135" s="4">
        <f ca="1">IF(Table1[[#This Row],[Status]]="Exited",Table1[[#This Row],[Exit Date]]-Table1[[#This Row],[Join Date]],TODAY()-Table1[[#This Row],[Join Date]])</f>
        <v>771</v>
      </c>
      <c r="V135" t="str">
        <f ca="1">IF(Table1[[#This Row],[Total Tenure in Days]]&lt;=730, "yes","no")</f>
        <v>no</v>
      </c>
      <c r="W135">
        <f>Table1[[#This Row],[Hire Date]]-Table1[[#This Row],[Job Posting Date]]</f>
        <v>21</v>
      </c>
      <c r="X135" s="4">
        <f>Table1[[#This Row],[Time to Onboard]]/Table1[[#This Row],[Time to Fill]]*100</f>
        <v>14.285714285714285</v>
      </c>
      <c r="Y135" s="5">
        <f>Table1[[#This Row],[Time to Onboard]]/Table1[[#This Row],[Time to Fill]]*100</f>
        <v>14.285714285714285</v>
      </c>
      <c r="Z135">
        <f>Table1[[#This Row],[Join Date]]-Table1[[#This Row],[Job Posting Date]]</f>
        <v>24</v>
      </c>
      <c r="AA135">
        <f t="shared" ca="1" si="11"/>
        <v>178</v>
      </c>
      <c r="AB135" s="5">
        <f>Table1[[#This Row],[Absentee Days]]/Table1[[#This Row],[Total Work Days]]*100</f>
        <v>0</v>
      </c>
      <c r="AC135">
        <f>YEAR(Table1[[#This Row],[Join Date]])</f>
        <v>2022</v>
      </c>
      <c r="AD135">
        <f>IF(Table1[[#This Row],[Status]]="Active",1,0)</f>
        <v>1</v>
      </c>
      <c r="AE135">
        <f>IF(Table1[[#This Row],[Status]]="Exited",Table1[[#This Row],[Recruitment Cost]]+Table1[[#This Row],[Onboarding Cost]]+Table1[[#This Row],[Training Cost]],0)</f>
        <v>0</v>
      </c>
      <c r="AF135">
        <f>IF(Table1[[#This Row],[Training Completion Status]]="Completed",1,0)</f>
        <v>1</v>
      </c>
      <c r="AG135">
        <f t="shared" ca="1" si="12"/>
        <v>4</v>
      </c>
      <c r="AH135">
        <f t="shared" ca="1" si="13"/>
        <v>2</v>
      </c>
      <c r="AI135">
        <f t="shared" ca="1" si="14"/>
        <v>5</v>
      </c>
      <c r="AJ135" t="s">
        <v>318</v>
      </c>
    </row>
    <row r="136" spans="1:36" x14ac:dyDescent="0.2">
      <c r="A136" t="s">
        <v>188</v>
      </c>
      <c r="B136" t="s">
        <v>43</v>
      </c>
      <c r="C136" t="s">
        <v>26</v>
      </c>
      <c r="D136" t="s">
        <v>27</v>
      </c>
      <c r="E136" s="1">
        <v>43995</v>
      </c>
      <c r="F136" s="1">
        <v>44040</v>
      </c>
      <c r="G136" s="1">
        <v>44050</v>
      </c>
      <c r="H136" s="1">
        <v>45566</v>
      </c>
      <c r="I136" t="s">
        <v>57</v>
      </c>
      <c r="J136" s="2">
        <v>3237</v>
      </c>
      <c r="K136" t="s">
        <v>37</v>
      </c>
      <c r="L136" t="s">
        <v>55</v>
      </c>
      <c r="M136">
        <v>260</v>
      </c>
      <c r="N136">
        <v>8</v>
      </c>
      <c r="O136" s="3">
        <v>1763</v>
      </c>
      <c r="P136">
        <f t="shared" ca="1" si="10"/>
        <v>10</v>
      </c>
      <c r="Q136">
        <f ca="1">RANDBETWEEN(0,Table1[[#This Row],[offers made]])</f>
        <v>3</v>
      </c>
      <c r="R136" t="s">
        <v>308</v>
      </c>
      <c r="S136">
        <f>Table1[[#This Row],[Hire Date]]-Table1[[#This Row],[Job Posting Date]]</f>
        <v>45</v>
      </c>
      <c r="T136" s="4">
        <f>Table1[[#This Row],[Join Date]]-Table1[[#This Row],[Hire Date]]</f>
        <v>10</v>
      </c>
      <c r="U136" s="4">
        <f ca="1">IF(Table1[[#This Row],[Status]]="Exited",Table1[[#This Row],[Exit Date]]-Table1[[#This Row],[Join Date]],TODAY()-Table1[[#This Row],[Join Date]])</f>
        <v>1516</v>
      </c>
      <c r="V136" t="str">
        <f ca="1">IF(Table1[[#This Row],[Total Tenure in Days]]&lt;=730, "yes","no")</f>
        <v>no</v>
      </c>
      <c r="W136">
        <f>Table1[[#This Row],[Hire Date]]-Table1[[#This Row],[Job Posting Date]]</f>
        <v>45</v>
      </c>
      <c r="X136" s="4">
        <f>Table1[[#This Row],[Time to Onboard]]/Table1[[#This Row],[Time to Fill]]*100</f>
        <v>22.222222222222221</v>
      </c>
      <c r="Y136" s="5">
        <f>Table1[[#This Row],[Time to Onboard]]/Table1[[#This Row],[Time to Fill]]*100</f>
        <v>22.222222222222221</v>
      </c>
      <c r="Z136">
        <f>Table1[[#This Row],[Join Date]]-Table1[[#This Row],[Job Posting Date]]</f>
        <v>55</v>
      </c>
      <c r="AA136">
        <f t="shared" ca="1" si="11"/>
        <v>154</v>
      </c>
      <c r="AB136" s="5">
        <f>Table1[[#This Row],[Absentee Days]]/Table1[[#This Row],[Total Work Days]]*100</f>
        <v>3.0769230769230771</v>
      </c>
      <c r="AC136">
        <f>YEAR(Table1[[#This Row],[Join Date]])</f>
        <v>2020</v>
      </c>
      <c r="AD136">
        <f>IF(Table1[[#This Row],[Status]]="Active",1,0)</f>
        <v>0</v>
      </c>
      <c r="AE136">
        <f ca="1">IF(Table1[[#This Row],[Status]]="Exited",Table1[[#This Row],[Recruitment Cost]]+Table1[[#This Row],[Onboarding Cost]]+Table1[[#This Row],[Training Cost]],0)</f>
        <v>5154</v>
      </c>
      <c r="AF136">
        <f>IF(Table1[[#This Row],[Training Completion Status]]="Completed",1,0)</f>
        <v>0</v>
      </c>
      <c r="AG136">
        <f t="shared" ca="1" si="12"/>
        <v>3</v>
      </c>
      <c r="AH136">
        <f t="shared" ca="1" si="13"/>
        <v>2</v>
      </c>
      <c r="AI136">
        <f t="shared" ca="1" si="14"/>
        <v>5</v>
      </c>
      <c r="AJ136" t="s">
        <v>317</v>
      </c>
    </row>
    <row r="137" spans="1:36" x14ac:dyDescent="0.2">
      <c r="A137" t="s">
        <v>189</v>
      </c>
      <c r="B137" t="s">
        <v>42</v>
      </c>
      <c r="C137" t="s">
        <v>26</v>
      </c>
      <c r="D137" t="s">
        <v>27</v>
      </c>
      <c r="E137" s="1">
        <v>44209</v>
      </c>
      <c r="F137" s="1">
        <v>44249</v>
      </c>
      <c r="G137" s="1">
        <v>44259</v>
      </c>
      <c r="H137" s="1">
        <v>45150</v>
      </c>
      <c r="I137" t="s">
        <v>57</v>
      </c>
      <c r="J137" s="2">
        <v>2370</v>
      </c>
      <c r="K137" t="s">
        <v>28</v>
      </c>
      <c r="L137" t="s">
        <v>52</v>
      </c>
      <c r="M137">
        <v>260</v>
      </c>
      <c r="N137">
        <v>9</v>
      </c>
      <c r="O137" s="3">
        <v>1640</v>
      </c>
      <c r="P137">
        <f t="shared" ca="1" si="10"/>
        <v>10</v>
      </c>
      <c r="Q137">
        <f ca="1">RANDBETWEEN(0,Table1[[#This Row],[offers made]])</f>
        <v>3</v>
      </c>
      <c r="R137" t="s">
        <v>306</v>
      </c>
      <c r="S137">
        <f>Table1[[#This Row],[Hire Date]]-Table1[[#This Row],[Job Posting Date]]</f>
        <v>40</v>
      </c>
      <c r="T137" s="4">
        <f>Table1[[#This Row],[Join Date]]-Table1[[#This Row],[Hire Date]]</f>
        <v>10</v>
      </c>
      <c r="U137" s="4">
        <f ca="1">IF(Table1[[#This Row],[Status]]="Exited",Table1[[#This Row],[Exit Date]]-Table1[[#This Row],[Join Date]],TODAY()-Table1[[#This Row],[Join Date]])</f>
        <v>891</v>
      </c>
      <c r="V137" t="str">
        <f ca="1">IF(Table1[[#This Row],[Total Tenure in Days]]&lt;=730, "yes","no")</f>
        <v>no</v>
      </c>
      <c r="W137">
        <f>Table1[[#This Row],[Hire Date]]-Table1[[#This Row],[Job Posting Date]]</f>
        <v>40</v>
      </c>
      <c r="X137" s="4">
        <f>Table1[[#This Row],[Time to Onboard]]/Table1[[#This Row],[Time to Fill]]*100</f>
        <v>25</v>
      </c>
      <c r="Y137" s="5">
        <f>Table1[[#This Row],[Time to Onboard]]/Table1[[#This Row],[Time to Fill]]*100</f>
        <v>25</v>
      </c>
      <c r="Z137">
        <f>Table1[[#This Row],[Join Date]]-Table1[[#This Row],[Job Posting Date]]</f>
        <v>50</v>
      </c>
      <c r="AA137">
        <f t="shared" ca="1" si="11"/>
        <v>183</v>
      </c>
      <c r="AB137" s="5">
        <f>Table1[[#This Row],[Absentee Days]]/Table1[[#This Row],[Total Work Days]]*100</f>
        <v>3.4615384615384617</v>
      </c>
      <c r="AC137">
        <f>YEAR(Table1[[#This Row],[Join Date]])</f>
        <v>2021</v>
      </c>
      <c r="AD137">
        <f>IF(Table1[[#This Row],[Status]]="Active",1,0)</f>
        <v>0</v>
      </c>
      <c r="AE137">
        <f ca="1">IF(Table1[[#This Row],[Status]]="Exited",Table1[[#This Row],[Recruitment Cost]]+Table1[[#This Row],[Onboarding Cost]]+Table1[[#This Row],[Training Cost]],0)</f>
        <v>4193</v>
      </c>
      <c r="AF137">
        <f>IF(Table1[[#This Row],[Training Completion Status]]="Completed",1,0)</f>
        <v>1</v>
      </c>
      <c r="AG137">
        <f t="shared" ca="1" si="12"/>
        <v>2</v>
      </c>
      <c r="AH137">
        <f t="shared" ca="1" si="13"/>
        <v>3</v>
      </c>
      <c r="AI137">
        <f t="shared" ca="1" si="14"/>
        <v>5</v>
      </c>
      <c r="AJ137" t="s">
        <v>317</v>
      </c>
    </row>
    <row r="138" spans="1:36" x14ac:dyDescent="0.2">
      <c r="A138" t="s">
        <v>190</v>
      </c>
      <c r="B138" t="s">
        <v>43</v>
      </c>
      <c r="C138" t="s">
        <v>29</v>
      </c>
      <c r="D138" t="s">
        <v>30</v>
      </c>
      <c r="E138" s="1">
        <v>43957</v>
      </c>
      <c r="F138" s="1">
        <v>44004</v>
      </c>
      <c r="G138" s="1">
        <v>44016</v>
      </c>
      <c r="H138" s="1">
        <v>44987</v>
      </c>
      <c r="I138" t="s">
        <v>57</v>
      </c>
      <c r="J138" s="2">
        <v>4231</v>
      </c>
      <c r="K138" t="s">
        <v>37</v>
      </c>
      <c r="L138" t="s">
        <v>55</v>
      </c>
      <c r="M138">
        <v>260</v>
      </c>
      <c r="N138">
        <v>12</v>
      </c>
      <c r="O138" s="3">
        <v>1400</v>
      </c>
      <c r="P138">
        <f t="shared" ca="1" si="10"/>
        <v>7</v>
      </c>
      <c r="Q138">
        <f ca="1">RANDBETWEEN(0,Table1[[#This Row],[offers made]])</f>
        <v>2</v>
      </c>
      <c r="R138" t="s">
        <v>306</v>
      </c>
      <c r="S138">
        <f>Table1[[#This Row],[Hire Date]]-Table1[[#This Row],[Job Posting Date]]</f>
        <v>47</v>
      </c>
      <c r="T138" s="4">
        <f>Table1[[#This Row],[Join Date]]-Table1[[#This Row],[Hire Date]]</f>
        <v>12</v>
      </c>
      <c r="U138" s="4">
        <f ca="1">IF(Table1[[#This Row],[Status]]="Exited",Table1[[#This Row],[Exit Date]]-Table1[[#This Row],[Join Date]],TODAY()-Table1[[#This Row],[Join Date]])</f>
        <v>971</v>
      </c>
      <c r="V138" t="str">
        <f ca="1">IF(Table1[[#This Row],[Total Tenure in Days]]&lt;=730, "yes","no")</f>
        <v>no</v>
      </c>
      <c r="W138">
        <f>Table1[[#This Row],[Hire Date]]-Table1[[#This Row],[Job Posting Date]]</f>
        <v>47</v>
      </c>
      <c r="X138" s="4">
        <f>Table1[[#This Row],[Time to Onboard]]/Table1[[#This Row],[Time to Fill]]*100</f>
        <v>25.531914893617021</v>
      </c>
      <c r="Y138" s="5">
        <f>Table1[[#This Row],[Time to Onboard]]/Table1[[#This Row],[Time to Fill]]*100</f>
        <v>25.531914893617021</v>
      </c>
      <c r="Z138">
        <f>Table1[[#This Row],[Join Date]]-Table1[[#This Row],[Job Posting Date]]</f>
        <v>59</v>
      </c>
      <c r="AA138">
        <f t="shared" ca="1" si="11"/>
        <v>109</v>
      </c>
      <c r="AB138" s="5">
        <f>Table1[[#This Row],[Absentee Days]]/Table1[[#This Row],[Total Work Days]]*100</f>
        <v>4.6153846153846159</v>
      </c>
      <c r="AC138">
        <f>YEAR(Table1[[#This Row],[Join Date]])</f>
        <v>2020</v>
      </c>
      <c r="AD138">
        <f>IF(Table1[[#This Row],[Status]]="Active",1,0)</f>
        <v>0</v>
      </c>
      <c r="AE138">
        <f ca="1">IF(Table1[[#This Row],[Status]]="Exited",Table1[[#This Row],[Recruitment Cost]]+Table1[[#This Row],[Onboarding Cost]]+Table1[[#This Row],[Training Cost]],0)</f>
        <v>5740</v>
      </c>
      <c r="AF138">
        <f>IF(Table1[[#This Row],[Training Completion Status]]="Completed",1,0)</f>
        <v>0</v>
      </c>
      <c r="AG138">
        <f t="shared" ca="1" si="12"/>
        <v>3</v>
      </c>
      <c r="AH138">
        <f t="shared" ca="1" si="13"/>
        <v>3</v>
      </c>
      <c r="AI138">
        <f t="shared" ca="1" si="14"/>
        <v>1</v>
      </c>
      <c r="AJ138" t="s">
        <v>318</v>
      </c>
    </row>
    <row r="139" spans="1:36" x14ac:dyDescent="0.2">
      <c r="A139" t="s">
        <v>191</v>
      </c>
      <c r="B139" t="s">
        <v>41</v>
      </c>
      <c r="C139" t="s">
        <v>32</v>
      </c>
      <c r="D139" t="s">
        <v>33</v>
      </c>
      <c r="E139" s="1">
        <v>43766</v>
      </c>
      <c r="F139" s="1">
        <v>43828</v>
      </c>
      <c r="G139" s="1">
        <v>43835</v>
      </c>
      <c r="H139" s="1" t="s">
        <v>50</v>
      </c>
      <c r="I139" t="s">
        <v>51</v>
      </c>
      <c r="J139" s="2">
        <v>2060</v>
      </c>
      <c r="K139" t="s">
        <v>28</v>
      </c>
      <c r="L139" t="s">
        <v>52</v>
      </c>
      <c r="M139">
        <v>260</v>
      </c>
      <c r="N139">
        <v>0</v>
      </c>
      <c r="O139" s="3">
        <v>1680</v>
      </c>
      <c r="P139">
        <f t="shared" ca="1" si="10"/>
        <v>9</v>
      </c>
      <c r="Q139">
        <f ca="1">RANDBETWEEN(0,Table1[[#This Row],[offers made]])</f>
        <v>8</v>
      </c>
      <c r="R139" t="s">
        <v>307</v>
      </c>
      <c r="S139">
        <f>Table1[[#This Row],[Hire Date]]-Table1[[#This Row],[Job Posting Date]]</f>
        <v>62</v>
      </c>
      <c r="T139" s="4">
        <f>Table1[[#This Row],[Join Date]]-Table1[[#This Row],[Hire Date]]</f>
        <v>7</v>
      </c>
      <c r="U139" s="4">
        <f ca="1">IF(Table1[[#This Row],[Status]]="Exited",Table1[[#This Row],[Exit Date]]-Table1[[#This Row],[Join Date]],TODAY()-Table1[[#This Row],[Join Date]])</f>
        <v>1826</v>
      </c>
      <c r="V139" t="str">
        <f ca="1">IF(Table1[[#This Row],[Total Tenure in Days]]&lt;=730, "yes","no")</f>
        <v>no</v>
      </c>
      <c r="W139">
        <f>Table1[[#This Row],[Hire Date]]-Table1[[#This Row],[Job Posting Date]]</f>
        <v>62</v>
      </c>
      <c r="X139" s="4">
        <f>Table1[[#This Row],[Time to Onboard]]/Table1[[#This Row],[Time to Fill]]*100</f>
        <v>11.29032258064516</v>
      </c>
      <c r="Y139" s="5">
        <f>Table1[[#This Row],[Time to Onboard]]/Table1[[#This Row],[Time to Fill]]*100</f>
        <v>11.29032258064516</v>
      </c>
      <c r="Z139">
        <f>Table1[[#This Row],[Join Date]]-Table1[[#This Row],[Job Posting Date]]</f>
        <v>69</v>
      </c>
      <c r="AA139">
        <f t="shared" ca="1" si="11"/>
        <v>144</v>
      </c>
      <c r="AB139" s="5">
        <f>Table1[[#This Row],[Absentee Days]]/Table1[[#This Row],[Total Work Days]]*100</f>
        <v>0</v>
      </c>
      <c r="AC139">
        <f>YEAR(Table1[[#This Row],[Join Date]])</f>
        <v>2020</v>
      </c>
      <c r="AD139">
        <f>IF(Table1[[#This Row],[Status]]="Active",1,0)</f>
        <v>1</v>
      </c>
      <c r="AE139">
        <f>IF(Table1[[#This Row],[Status]]="Exited",Table1[[#This Row],[Recruitment Cost]]+Table1[[#This Row],[Onboarding Cost]]+Table1[[#This Row],[Training Cost]],0)</f>
        <v>0</v>
      </c>
      <c r="AF139">
        <f>IF(Table1[[#This Row],[Training Completion Status]]="Completed",1,0)</f>
        <v>1</v>
      </c>
      <c r="AG139">
        <f t="shared" ca="1" si="12"/>
        <v>3</v>
      </c>
      <c r="AH139">
        <f t="shared" ca="1" si="13"/>
        <v>2</v>
      </c>
      <c r="AI139">
        <f t="shared" ca="1" si="14"/>
        <v>3</v>
      </c>
      <c r="AJ139" t="s">
        <v>318</v>
      </c>
    </row>
    <row r="140" spans="1:36" x14ac:dyDescent="0.2">
      <c r="A140" t="s">
        <v>192</v>
      </c>
      <c r="B140" t="s">
        <v>42</v>
      </c>
      <c r="C140" t="s">
        <v>29</v>
      </c>
      <c r="D140" t="s">
        <v>30</v>
      </c>
      <c r="E140" s="1">
        <v>43212</v>
      </c>
      <c r="F140" s="1">
        <v>43278</v>
      </c>
      <c r="G140" s="1">
        <v>43281</v>
      </c>
      <c r="H140" s="1" t="s">
        <v>50</v>
      </c>
      <c r="I140" t="s">
        <v>51</v>
      </c>
      <c r="J140" s="2">
        <v>3393</v>
      </c>
      <c r="K140" t="s">
        <v>37</v>
      </c>
      <c r="L140" t="s">
        <v>55</v>
      </c>
      <c r="M140">
        <v>260</v>
      </c>
      <c r="N140">
        <v>4</v>
      </c>
      <c r="O140" s="3">
        <v>1773</v>
      </c>
      <c r="P140">
        <f t="shared" ca="1" si="10"/>
        <v>7</v>
      </c>
      <c r="Q140">
        <f ca="1">RANDBETWEEN(0,Table1[[#This Row],[offers made]])</f>
        <v>6</v>
      </c>
      <c r="R140" t="s">
        <v>306</v>
      </c>
      <c r="S140">
        <f>Table1[[#This Row],[Hire Date]]-Table1[[#This Row],[Job Posting Date]]</f>
        <v>66</v>
      </c>
      <c r="T140" s="4">
        <f>Table1[[#This Row],[Join Date]]-Table1[[#This Row],[Hire Date]]</f>
        <v>3</v>
      </c>
      <c r="U140" s="4">
        <f ca="1">IF(Table1[[#This Row],[Status]]="Exited",Table1[[#This Row],[Exit Date]]-Table1[[#This Row],[Join Date]],TODAY()-Table1[[#This Row],[Join Date]])</f>
        <v>2380</v>
      </c>
      <c r="V140" t="str">
        <f ca="1">IF(Table1[[#This Row],[Total Tenure in Days]]&lt;=730, "yes","no")</f>
        <v>no</v>
      </c>
      <c r="W140">
        <f>Table1[[#This Row],[Hire Date]]-Table1[[#This Row],[Job Posting Date]]</f>
        <v>66</v>
      </c>
      <c r="X140" s="4">
        <f>Table1[[#This Row],[Time to Onboard]]/Table1[[#This Row],[Time to Fill]]*100</f>
        <v>4.5454545454545459</v>
      </c>
      <c r="Y140" s="5">
        <f>Table1[[#This Row],[Time to Onboard]]/Table1[[#This Row],[Time to Fill]]*100</f>
        <v>4.5454545454545459</v>
      </c>
      <c r="Z140">
        <f>Table1[[#This Row],[Join Date]]-Table1[[#This Row],[Job Posting Date]]</f>
        <v>69</v>
      </c>
      <c r="AA140">
        <f t="shared" ca="1" si="11"/>
        <v>136</v>
      </c>
      <c r="AB140" s="5">
        <f>Table1[[#This Row],[Absentee Days]]/Table1[[#This Row],[Total Work Days]]*100</f>
        <v>1.5384615384615385</v>
      </c>
      <c r="AC140">
        <f>YEAR(Table1[[#This Row],[Join Date]])</f>
        <v>2018</v>
      </c>
      <c r="AD140">
        <f>IF(Table1[[#This Row],[Status]]="Active",1,0)</f>
        <v>1</v>
      </c>
      <c r="AE140">
        <f>IF(Table1[[#This Row],[Status]]="Exited",Table1[[#This Row],[Recruitment Cost]]+Table1[[#This Row],[Onboarding Cost]]+Table1[[#This Row],[Training Cost]],0)</f>
        <v>0</v>
      </c>
      <c r="AF140">
        <f>IF(Table1[[#This Row],[Training Completion Status]]="Completed",1,0)</f>
        <v>0</v>
      </c>
      <c r="AG140">
        <f t="shared" ca="1" si="12"/>
        <v>2</v>
      </c>
      <c r="AH140">
        <f t="shared" ca="1" si="13"/>
        <v>3</v>
      </c>
      <c r="AI140">
        <f t="shared" ca="1" si="14"/>
        <v>1</v>
      </c>
      <c r="AJ140" t="s">
        <v>317</v>
      </c>
    </row>
    <row r="141" spans="1:36" x14ac:dyDescent="0.2">
      <c r="A141" t="s">
        <v>193</v>
      </c>
      <c r="B141" t="s">
        <v>42</v>
      </c>
      <c r="C141" t="s">
        <v>26</v>
      </c>
      <c r="D141" t="s">
        <v>27</v>
      </c>
      <c r="E141" s="1">
        <v>44400</v>
      </c>
      <c r="F141" s="1">
        <v>44461</v>
      </c>
      <c r="G141" s="1">
        <v>44471</v>
      </c>
      <c r="H141" s="1" t="s">
        <v>50</v>
      </c>
      <c r="I141" t="s">
        <v>51</v>
      </c>
      <c r="J141" s="2">
        <v>3778</v>
      </c>
      <c r="K141" t="s">
        <v>34</v>
      </c>
      <c r="L141" t="s">
        <v>52</v>
      </c>
      <c r="M141">
        <v>260</v>
      </c>
      <c r="N141">
        <v>12</v>
      </c>
      <c r="O141" s="3">
        <v>2448</v>
      </c>
      <c r="P141">
        <f t="shared" ca="1" si="10"/>
        <v>5</v>
      </c>
      <c r="Q141">
        <f ca="1">RANDBETWEEN(0,Table1[[#This Row],[offers made]])</f>
        <v>1</v>
      </c>
      <c r="R141" t="s">
        <v>308</v>
      </c>
      <c r="S141">
        <f>Table1[[#This Row],[Hire Date]]-Table1[[#This Row],[Job Posting Date]]</f>
        <v>61</v>
      </c>
      <c r="T141" s="4">
        <f>Table1[[#This Row],[Join Date]]-Table1[[#This Row],[Hire Date]]</f>
        <v>10</v>
      </c>
      <c r="U141" s="4">
        <f ca="1">IF(Table1[[#This Row],[Status]]="Exited",Table1[[#This Row],[Exit Date]]-Table1[[#This Row],[Join Date]],TODAY()-Table1[[#This Row],[Join Date]])</f>
        <v>1190</v>
      </c>
      <c r="V141" t="str">
        <f ca="1">IF(Table1[[#This Row],[Total Tenure in Days]]&lt;=730, "yes","no")</f>
        <v>no</v>
      </c>
      <c r="W141">
        <f>Table1[[#This Row],[Hire Date]]-Table1[[#This Row],[Job Posting Date]]</f>
        <v>61</v>
      </c>
      <c r="X141" s="4">
        <f>Table1[[#This Row],[Time to Onboard]]/Table1[[#This Row],[Time to Fill]]*100</f>
        <v>16.393442622950818</v>
      </c>
      <c r="Y141" s="5">
        <f>Table1[[#This Row],[Time to Onboard]]/Table1[[#This Row],[Time to Fill]]*100</f>
        <v>16.393442622950818</v>
      </c>
      <c r="Z141">
        <f>Table1[[#This Row],[Join Date]]-Table1[[#This Row],[Job Posting Date]]</f>
        <v>71</v>
      </c>
      <c r="AA141">
        <f t="shared" ca="1" si="11"/>
        <v>197</v>
      </c>
      <c r="AB141" s="5">
        <f>Table1[[#This Row],[Absentee Days]]/Table1[[#This Row],[Total Work Days]]*100</f>
        <v>4.6153846153846159</v>
      </c>
      <c r="AC141">
        <f>YEAR(Table1[[#This Row],[Join Date]])</f>
        <v>2021</v>
      </c>
      <c r="AD141">
        <f>IF(Table1[[#This Row],[Status]]="Active",1,0)</f>
        <v>1</v>
      </c>
      <c r="AE141">
        <f>IF(Table1[[#This Row],[Status]]="Exited",Table1[[#This Row],[Recruitment Cost]]+Table1[[#This Row],[Onboarding Cost]]+Table1[[#This Row],[Training Cost]],0)</f>
        <v>0</v>
      </c>
      <c r="AF141">
        <f>IF(Table1[[#This Row],[Training Completion Status]]="Completed",1,0)</f>
        <v>1</v>
      </c>
      <c r="AG141">
        <f t="shared" ca="1" si="12"/>
        <v>3</v>
      </c>
      <c r="AH141">
        <f t="shared" ca="1" si="13"/>
        <v>2</v>
      </c>
      <c r="AI141">
        <f t="shared" ca="1" si="14"/>
        <v>4</v>
      </c>
      <c r="AJ141" t="s">
        <v>317</v>
      </c>
    </row>
    <row r="142" spans="1:36" x14ac:dyDescent="0.2">
      <c r="A142" t="s">
        <v>194</v>
      </c>
      <c r="B142" t="s">
        <v>42</v>
      </c>
      <c r="C142" t="s">
        <v>26</v>
      </c>
      <c r="D142" t="s">
        <v>27</v>
      </c>
      <c r="E142" s="1">
        <v>43145</v>
      </c>
      <c r="F142" s="1">
        <v>43228</v>
      </c>
      <c r="G142" s="1">
        <v>43241</v>
      </c>
      <c r="H142" s="1" t="s">
        <v>50</v>
      </c>
      <c r="I142" t="s">
        <v>51</v>
      </c>
      <c r="J142" s="2">
        <v>3014</v>
      </c>
      <c r="K142" t="s">
        <v>37</v>
      </c>
      <c r="L142" t="s">
        <v>52</v>
      </c>
      <c r="M142">
        <v>260</v>
      </c>
      <c r="N142">
        <v>12</v>
      </c>
      <c r="O142" s="3">
        <v>1495</v>
      </c>
      <c r="P142">
        <f t="shared" ca="1" si="10"/>
        <v>10</v>
      </c>
      <c r="Q142">
        <f ca="1">RANDBETWEEN(0,Table1[[#This Row],[offers made]])</f>
        <v>4</v>
      </c>
      <c r="R142" t="s">
        <v>307</v>
      </c>
      <c r="S142">
        <f>Table1[[#This Row],[Hire Date]]-Table1[[#This Row],[Job Posting Date]]</f>
        <v>83</v>
      </c>
      <c r="T142" s="4">
        <f>Table1[[#This Row],[Join Date]]-Table1[[#This Row],[Hire Date]]</f>
        <v>13</v>
      </c>
      <c r="U142" s="4">
        <f ca="1">IF(Table1[[#This Row],[Status]]="Exited",Table1[[#This Row],[Exit Date]]-Table1[[#This Row],[Join Date]],TODAY()-Table1[[#This Row],[Join Date]])</f>
        <v>2420</v>
      </c>
      <c r="V142" t="str">
        <f ca="1">IF(Table1[[#This Row],[Total Tenure in Days]]&lt;=730, "yes","no")</f>
        <v>no</v>
      </c>
      <c r="W142">
        <f>Table1[[#This Row],[Hire Date]]-Table1[[#This Row],[Job Posting Date]]</f>
        <v>83</v>
      </c>
      <c r="X142" s="4">
        <f>Table1[[#This Row],[Time to Onboard]]/Table1[[#This Row],[Time to Fill]]*100</f>
        <v>15.66265060240964</v>
      </c>
      <c r="Y142" s="5">
        <f>Table1[[#This Row],[Time to Onboard]]/Table1[[#This Row],[Time to Fill]]*100</f>
        <v>15.66265060240964</v>
      </c>
      <c r="Z142">
        <f>Table1[[#This Row],[Join Date]]-Table1[[#This Row],[Job Posting Date]]</f>
        <v>96</v>
      </c>
      <c r="AA142">
        <f t="shared" ca="1" si="11"/>
        <v>106</v>
      </c>
      <c r="AB142" s="5">
        <f>Table1[[#This Row],[Absentee Days]]/Table1[[#This Row],[Total Work Days]]*100</f>
        <v>4.6153846153846159</v>
      </c>
      <c r="AC142">
        <f>YEAR(Table1[[#This Row],[Join Date]])</f>
        <v>2018</v>
      </c>
      <c r="AD142">
        <f>IF(Table1[[#This Row],[Status]]="Active",1,0)</f>
        <v>1</v>
      </c>
      <c r="AE142">
        <f>IF(Table1[[#This Row],[Status]]="Exited",Table1[[#This Row],[Recruitment Cost]]+Table1[[#This Row],[Onboarding Cost]]+Table1[[#This Row],[Training Cost]],0)</f>
        <v>0</v>
      </c>
      <c r="AF142">
        <f>IF(Table1[[#This Row],[Training Completion Status]]="Completed",1,0)</f>
        <v>1</v>
      </c>
      <c r="AG142">
        <f t="shared" ca="1" si="12"/>
        <v>4</v>
      </c>
      <c r="AH142">
        <f t="shared" ca="1" si="13"/>
        <v>3</v>
      </c>
      <c r="AI142">
        <f t="shared" ca="1" si="14"/>
        <v>4</v>
      </c>
      <c r="AJ142" t="s">
        <v>318</v>
      </c>
    </row>
    <row r="143" spans="1:36" x14ac:dyDescent="0.2">
      <c r="A143" t="s">
        <v>195</v>
      </c>
      <c r="B143" t="s">
        <v>43</v>
      </c>
      <c r="C143" t="s">
        <v>38</v>
      </c>
      <c r="D143" t="s">
        <v>39</v>
      </c>
      <c r="E143" s="1">
        <v>44046</v>
      </c>
      <c r="F143" s="1">
        <v>44116</v>
      </c>
      <c r="G143" s="1">
        <v>44129</v>
      </c>
      <c r="H143" s="1">
        <v>45488</v>
      </c>
      <c r="I143" t="s">
        <v>57</v>
      </c>
      <c r="J143" s="2">
        <v>4837</v>
      </c>
      <c r="K143" t="s">
        <v>31</v>
      </c>
      <c r="L143" t="s">
        <v>55</v>
      </c>
      <c r="M143">
        <v>260</v>
      </c>
      <c r="N143">
        <v>1</v>
      </c>
      <c r="O143" s="3">
        <v>1257</v>
      </c>
      <c r="P143">
        <f t="shared" ca="1" si="10"/>
        <v>1</v>
      </c>
      <c r="Q143">
        <f ca="1">RANDBETWEEN(0,Table1[[#This Row],[offers made]])</f>
        <v>0</v>
      </c>
      <c r="R143" t="s">
        <v>306</v>
      </c>
      <c r="S143">
        <f>Table1[[#This Row],[Hire Date]]-Table1[[#This Row],[Job Posting Date]]</f>
        <v>70</v>
      </c>
      <c r="T143" s="4">
        <f>Table1[[#This Row],[Join Date]]-Table1[[#This Row],[Hire Date]]</f>
        <v>13</v>
      </c>
      <c r="U143" s="4">
        <f ca="1">IF(Table1[[#This Row],[Status]]="Exited",Table1[[#This Row],[Exit Date]]-Table1[[#This Row],[Join Date]],TODAY()-Table1[[#This Row],[Join Date]])</f>
        <v>1359</v>
      </c>
      <c r="V143" t="str">
        <f ca="1">IF(Table1[[#This Row],[Total Tenure in Days]]&lt;=730, "yes","no")</f>
        <v>no</v>
      </c>
      <c r="W143">
        <f>Table1[[#This Row],[Hire Date]]-Table1[[#This Row],[Job Posting Date]]</f>
        <v>70</v>
      </c>
      <c r="X143" s="4">
        <f>Table1[[#This Row],[Time to Onboard]]/Table1[[#This Row],[Time to Fill]]*100</f>
        <v>18.571428571428573</v>
      </c>
      <c r="Y143" s="5">
        <f>Table1[[#This Row],[Time to Onboard]]/Table1[[#This Row],[Time to Fill]]*100</f>
        <v>18.571428571428573</v>
      </c>
      <c r="Z143">
        <f>Table1[[#This Row],[Join Date]]-Table1[[#This Row],[Job Posting Date]]</f>
        <v>83</v>
      </c>
      <c r="AA143">
        <f t="shared" ca="1" si="11"/>
        <v>199</v>
      </c>
      <c r="AB143" s="5">
        <f>Table1[[#This Row],[Absentee Days]]/Table1[[#This Row],[Total Work Days]]*100</f>
        <v>0.38461538461538464</v>
      </c>
      <c r="AC143">
        <f>YEAR(Table1[[#This Row],[Join Date]])</f>
        <v>2020</v>
      </c>
      <c r="AD143">
        <f>IF(Table1[[#This Row],[Status]]="Active",1,0)</f>
        <v>0</v>
      </c>
      <c r="AE143">
        <f ca="1">IF(Table1[[#This Row],[Status]]="Exited",Table1[[#This Row],[Recruitment Cost]]+Table1[[#This Row],[Onboarding Cost]]+Table1[[#This Row],[Training Cost]],0)</f>
        <v>6293</v>
      </c>
      <c r="AF143">
        <f>IF(Table1[[#This Row],[Training Completion Status]]="Completed",1,0)</f>
        <v>0</v>
      </c>
      <c r="AG143">
        <f t="shared" ca="1" si="12"/>
        <v>1</v>
      </c>
      <c r="AH143">
        <f t="shared" ca="1" si="13"/>
        <v>1</v>
      </c>
      <c r="AI143">
        <f t="shared" ca="1" si="14"/>
        <v>4</v>
      </c>
      <c r="AJ143" t="s">
        <v>317</v>
      </c>
    </row>
    <row r="144" spans="1:36" x14ac:dyDescent="0.2">
      <c r="A144" t="s">
        <v>196</v>
      </c>
      <c r="B144" t="s">
        <v>41</v>
      </c>
      <c r="C144" t="s">
        <v>26</v>
      </c>
      <c r="D144" t="s">
        <v>27</v>
      </c>
      <c r="E144" s="1">
        <v>43948</v>
      </c>
      <c r="F144" s="1">
        <v>43964</v>
      </c>
      <c r="G144" s="1">
        <v>43978</v>
      </c>
      <c r="H144" s="1">
        <v>44207</v>
      </c>
      <c r="I144" t="s">
        <v>57</v>
      </c>
      <c r="J144" s="2">
        <v>4326</v>
      </c>
      <c r="K144" t="s">
        <v>37</v>
      </c>
      <c r="L144" t="s">
        <v>52</v>
      </c>
      <c r="M144">
        <v>260</v>
      </c>
      <c r="N144">
        <v>9</v>
      </c>
      <c r="O144" s="3">
        <v>2084</v>
      </c>
      <c r="P144">
        <f t="shared" ca="1" si="10"/>
        <v>8</v>
      </c>
      <c r="Q144">
        <f ca="1">RANDBETWEEN(0,Table1[[#This Row],[offers made]])</f>
        <v>7</v>
      </c>
      <c r="R144" t="s">
        <v>308</v>
      </c>
      <c r="S144">
        <f>Table1[[#This Row],[Hire Date]]-Table1[[#This Row],[Job Posting Date]]</f>
        <v>16</v>
      </c>
      <c r="T144" s="4">
        <f>Table1[[#This Row],[Join Date]]-Table1[[#This Row],[Hire Date]]</f>
        <v>14</v>
      </c>
      <c r="U144" s="4">
        <f ca="1">IF(Table1[[#This Row],[Status]]="Exited",Table1[[#This Row],[Exit Date]]-Table1[[#This Row],[Join Date]],TODAY()-Table1[[#This Row],[Join Date]])</f>
        <v>229</v>
      </c>
      <c r="V144" t="str">
        <f ca="1">IF(Table1[[#This Row],[Total Tenure in Days]]&lt;=730, "yes","no")</f>
        <v>yes</v>
      </c>
      <c r="W144">
        <f>Table1[[#This Row],[Hire Date]]-Table1[[#This Row],[Job Posting Date]]</f>
        <v>16</v>
      </c>
      <c r="X144" s="4">
        <f>Table1[[#This Row],[Time to Onboard]]/Table1[[#This Row],[Time to Fill]]*100</f>
        <v>87.5</v>
      </c>
      <c r="Y144" s="5">
        <f>Table1[[#This Row],[Time to Onboard]]/Table1[[#This Row],[Time to Fill]]*100</f>
        <v>87.5</v>
      </c>
      <c r="Z144">
        <f>Table1[[#This Row],[Join Date]]-Table1[[#This Row],[Job Posting Date]]</f>
        <v>30</v>
      </c>
      <c r="AA144">
        <f t="shared" ca="1" si="11"/>
        <v>183</v>
      </c>
      <c r="AB144" s="5">
        <f>Table1[[#This Row],[Absentee Days]]/Table1[[#This Row],[Total Work Days]]*100</f>
        <v>3.4615384615384617</v>
      </c>
      <c r="AC144">
        <f>YEAR(Table1[[#This Row],[Join Date]])</f>
        <v>2020</v>
      </c>
      <c r="AD144">
        <f>IF(Table1[[#This Row],[Status]]="Active",1,0)</f>
        <v>0</v>
      </c>
      <c r="AE144">
        <f ca="1">IF(Table1[[#This Row],[Status]]="Exited",Table1[[#This Row],[Recruitment Cost]]+Table1[[#This Row],[Onboarding Cost]]+Table1[[#This Row],[Training Cost]],0)</f>
        <v>6593</v>
      </c>
      <c r="AF144">
        <f>IF(Table1[[#This Row],[Training Completion Status]]="Completed",1,0)</f>
        <v>1</v>
      </c>
      <c r="AG144">
        <f t="shared" ca="1" si="12"/>
        <v>1</v>
      </c>
      <c r="AH144">
        <f t="shared" ca="1" si="13"/>
        <v>1</v>
      </c>
      <c r="AI144">
        <f t="shared" ca="1" si="14"/>
        <v>5</v>
      </c>
      <c r="AJ144" t="s">
        <v>317</v>
      </c>
    </row>
    <row r="145" spans="1:36" x14ac:dyDescent="0.2">
      <c r="A145" t="s">
        <v>197</v>
      </c>
      <c r="B145" t="s">
        <v>43</v>
      </c>
      <c r="C145" t="s">
        <v>29</v>
      </c>
      <c r="D145" t="s">
        <v>30</v>
      </c>
      <c r="E145" s="1">
        <v>44697</v>
      </c>
      <c r="F145" s="1">
        <v>44728</v>
      </c>
      <c r="G145" s="1">
        <v>44733</v>
      </c>
      <c r="H145" s="1" t="s">
        <v>50</v>
      </c>
      <c r="I145" t="s">
        <v>51</v>
      </c>
      <c r="J145" s="2">
        <v>3778</v>
      </c>
      <c r="K145" t="s">
        <v>34</v>
      </c>
      <c r="L145" t="s">
        <v>52</v>
      </c>
      <c r="M145">
        <v>260</v>
      </c>
      <c r="N145">
        <v>19</v>
      </c>
      <c r="O145" s="3">
        <v>1962</v>
      </c>
      <c r="P145">
        <f t="shared" ca="1" si="10"/>
        <v>5</v>
      </c>
      <c r="Q145">
        <f ca="1">RANDBETWEEN(0,Table1[[#This Row],[offers made]])</f>
        <v>2</v>
      </c>
      <c r="R145" t="s">
        <v>306</v>
      </c>
      <c r="S145">
        <f>Table1[[#This Row],[Hire Date]]-Table1[[#This Row],[Job Posting Date]]</f>
        <v>31</v>
      </c>
      <c r="T145" s="4">
        <f>Table1[[#This Row],[Join Date]]-Table1[[#This Row],[Hire Date]]</f>
        <v>5</v>
      </c>
      <c r="U145" s="4">
        <f ca="1">IF(Table1[[#This Row],[Status]]="Exited",Table1[[#This Row],[Exit Date]]-Table1[[#This Row],[Join Date]],TODAY()-Table1[[#This Row],[Join Date]])</f>
        <v>928</v>
      </c>
      <c r="V145" t="str">
        <f ca="1">IF(Table1[[#This Row],[Total Tenure in Days]]&lt;=730, "yes","no")</f>
        <v>no</v>
      </c>
      <c r="W145">
        <f>Table1[[#This Row],[Hire Date]]-Table1[[#This Row],[Job Posting Date]]</f>
        <v>31</v>
      </c>
      <c r="X145" s="4">
        <f>Table1[[#This Row],[Time to Onboard]]/Table1[[#This Row],[Time to Fill]]*100</f>
        <v>16.129032258064516</v>
      </c>
      <c r="Y145" s="5">
        <f>Table1[[#This Row],[Time to Onboard]]/Table1[[#This Row],[Time to Fill]]*100</f>
        <v>16.129032258064516</v>
      </c>
      <c r="Z145">
        <f>Table1[[#This Row],[Join Date]]-Table1[[#This Row],[Job Posting Date]]</f>
        <v>36</v>
      </c>
      <c r="AA145">
        <f t="shared" ca="1" si="11"/>
        <v>148</v>
      </c>
      <c r="AB145" s="5">
        <f>Table1[[#This Row],[Absentee Days]]/Table1[[#This Row],[Total Work Days]]*100</f>
        <v>7.3076923076923084</v>
      </c>
      <c r="AC145">
        <f>YEAR(Table1[[#This Row],[Join Date]])</f>
        <v>2022</v>
      </c>
      <c r="AD145">
        <f>IF(Table1[[#This Row],[Status]]="Active",1,0)</f>
        <v>1</v>
      </c>
      <c r="AE145">
        <f>IF(Table1[[#This Row],[Status]]="Exited",Table1[[#This Row],[Recruitment Cost]]+Table1[[#This Row],[Onboarding Cost]]+Table1[[#This Row],[Training Cost]],0)</f>
        <v>0</v>
      </c>
      <c r="AF145">
        <f>IF(Table1[[#This Row],[Training Completion Status]]="Completed",1,0)</f>
        <v>1</v>
      </c>
      <c r="AG145">
        <f t="shared" ca="1" si="12"/>
        <v>4</v>
      </c>
      <c r="AH145">
        <f t="shared" ca="1" si="13"/>
        <v>5</v>
      </c>
      <c r="AI145">
        <f t="shared" ca="1" si="14"/>
        <v>4</v>
      </c>
      <c r="AJ145" t="s">
        <v>318</v>
      </c>
    </row>
    <row r="146" spans="1:36" x14ac:dyDescent="0.2">
      <c r="A146" t="s">
        <v>198</v>
      </c>
      <c r="B146" t="s">
        <v>43</v>
      </c>
      <c r="C146" t="s">
        <v>29</v>
      </c>
      <c r="D146" t="s">
        <v>30</v>
      </c>
      <c r="E146" s="1">
        <v>43780</v>
      </c>
      <c r="F146" s="1">
        <v>43860</v>
      </c>
      <c r="G146" s="1">
        <v>43874</v>
      </c>
      <c r="H146" s="1" t="s">
        <v>50</v>
      </c>
      <c r="I146" t="s">
        <v>51</v>
      </c>
      <c r="J146" s="2">
        <v>2057</v>
      </c>
      <c r="K146" t="s">
        <v>37</v>
      </c>
      <c r="L146" t="s">
        <v>52</v>
      </c>
      <c r="M146">
        <v>260</v>
      </c>
      <c r="N146">
        <v>20</v>
      </c>
      <c r="O146" s="3">
        <v>2451</v>
      </c>
      <c r="P146">
        <f t="shared" ca="1" si="10"/>
        <v>7</v>
      </c>
      <c r="Q146">
        <f ca="1">RANDBETWEEN(0,Table1[[#This Row],[offers made]])</f>
        <v>6</v>
      </c>
      <c r="R146" t="s">
        <v>306</v>
      </c>
      <c r="S146">
        <f>Table1[[#This Row],[Hire Date]]-Table1[[#This Row],[Job Posting Date]]</f>
        <v>80</v>
      </c>
      <c r="T146" s="4">
        <f>Table1[[#This Row],[Join Date]]-Table1[[#This Row],[Hire Date]]</f>
        <v>14</v>
      </c>
      <c r="U146" s="4">
        <f ca="1">IF(Table1[[#This Row],[Status]]="Exited",Table1[[#This Row],[Exit Date]]-Table1[[#This Row],[Join Date]],TODAY()-Table1[[#This Row],[Join Date]])</f>
        <v>1787</v>
      </c>
      <c r="V146" t="str">
        <f ca="1">IF(Table1[[#This Row],[Total Tenure in Days]]&lt;=730, "yes","no")</f>
        <v>no</v>
      </c>
      <c r="W146">
        <f>Table1[[#This Row],[Hire Date]]-Table1[[#This Row],[Job Posting Date]]</f>
        <v>80</v>
      </c>
      <c r="X146" s="4">
        <f>Table1[[#This Row],[Time to Onboard]]/Table1[[#This Row],[Time to Fill]]*100</f>
        <v>17.5</v>
      </c>
      <c r="Y146" s="5">
        <f>Table1[[#This Row],[Time to Onboard]]/Table1[[#This Row],[Time to Fill]]*100</f>
        <v>17.5</v>
      </c>
      <c r="Z146">
        <f>Table1[[#This Row],[Join Date]]-Table1[[#This Row],[Job Posting Date]]</f>
        <v>94</v>
      </c>
      <c r="AA146">
        <f t="shared" ca="1" si="11"/>
        <v>116</v>
      </c>
      <c r="AB146" s="5">
        <f>Table1[[#This Row],[Absentee Days]]/Table1[[#This Row],[Total Work Days]]*100</f>
        <v>7.6923076923076925</v>
      </c>
      <c r="AC146">
        <f>YEAR(Table1[[#This Row],[Join Date]])</f>
        <v>2020</v>
      </c>
      <c r="AD146">
        <f>IF(Table1[[#This Row],[Status]]="Active",1,0)</f>
        <v>1</v>
      </c>
      <c r="AE146">
        <f>IF(Table1[[#This Row],[Status]]="Exited",Table1[[#This Row],[Recruitment Cost]]+Table1[[#This Row],[Onboarding Cost]]+Table1[[#This Row],[Training Cost]],0)</f>
        <v>0</v>
      </c>
      <c r="AF146">
        <f>IF(Table1[[#This Row],[Training Completion Status]]="Completed",1,0)</f>
        <v>1</v>
      </c>
      <c r="AG146">
        <f t="shared" ca="1" si="12"/>
        <v>5</v>
      </c>
      <c r="AH146">
        <f t="shared" ca="1" si="13"/>
        <v>4</v>
      </c>
      <c r="AI146">
        <f t="shared" ca="1" si="14"/>
        <v>1</v>
      </c>
      <c r="AJ146" t="s">
        <v>317</v>
      </c>
    </row>
    <row r="147" spans="1:36" x14ac:dyDescent="0.2">
      <c r="A147" t="s">
        <v>199</v>
      </c>
      <c r="B147" t="s">
        <v>41</v>
      </c>
      <c r="C147" t="s">
        <v>29</v>
      </c>
      <c r="D147" t="s">
        <v>30</v>
      </c>
      <c r="E147" s="1">
        <v>44781</v>
      </c>
      <c r="F147" s="1">
        <v>44800</v>
      </c>
      <c r="G147" s="1">
        <v>44809</v>
      </c>
      <c r="H147" s="1">
        <v>45358</v>
      </c>
      <c r="I147" t="s">
        <v>57</v>
      </c>
      <c r="J147" s="2">
        <v>3959</v>
      </c>
      <c r="K147" t="s">
        <v>34</v>
      </c>
      <c r="L147" t="s">
        <v>52</v>
      </c>
      <c r="M147">
        <v>260</v>
      </c>
      <c r="N147">
        <v>12</v>
      </c>
      <c r="O147" s="3">
        <v>2444</v>
      </c>
      <c r="P147">
        <f t="shared" ca="1" si="10"/>
        <v>1</v>
      </c>
      <c r="Q147">
        <f ca="1">RANDBETWEEN(0,Table1[[#This Row],[offers made]])</f>
        <v>0</v>
      </c>
      <c r="R147" t="s">
        <v>307</v>
      </c>
      <c r="S147">
        <f>Table1[[#This Row],[Hire Date]]-Table1[[#This Row],[Job Posting Date]]</f>
        <v>19</v>
      </c>
      <c r="T147" s="4">
        <f>Table1[[#This Row],[Join Date]]-Table1[[#This Row],[Hire Date]]</f>
        <v>9</v>
      </c>
      <c r="U147" s="4">
        <f ca="1">IF(Table1[[#This Row],[Status]]="Exited",Table1[[#This Row],[Exit Date]]-Table1[[#This Row],[Join Date]],TODAY()-Table1[[#This Row],[Join Date]])</f>
        <v>549</v>
      </c>
      <c r="V147" t="str">
        <f ca="1">IF(Table1[[#This Row],[Total Tenure in Days]]&lt;=730, "yes","no")</f>
        <v>yes</v>
      </c>
      <c r="W147">
        <f>Table1[[#This Row],[Hire Date]]-Table1[[#This Row],[Job Posting Date]]</f>
        <v>19</v>
      </c>
      <c r="X147" s="4">
        <f>Table1[[#This Row],[Time to Onboard]]/Table1[[#This Row],[Time to Fill]]*100</f>
        <v>47.368421052631575</v>
      </c>
      <c r="Y147" s="5">
        <f>Table1[[#This Row],[Time to Onboard]]/Table1[[#This Row],[Time to Fill]]*100</f>
        <v>47.368421052631575</v>
      </c>
      <c r="Z147">
        <f>Table1[[#This Row],[Join Date]]-Table1[[#This Row],[Job Posting Date]]</f>
        <v>28</v>
      </c>
      <c r="AA147">
        <f t="shared" ca="1" si="11"/>
        <v>163</v>
      </c>
      <c r="AB147" s="5">
        <f>Table1[[#This Row],[Absentee Days]]/Table1[[#This Row],[Total Work Days]]*100</f>
        <v>4.6153846153846159</v>
      </c>
      <c r="AC147">
        <f>YEAR(Table1[[#This Row],[Join Date]])</f>
        <v>2022</v>
      </c>
      <c r="AD147">
        <f>IF(Table1[[#This Row],[Status]]="Active",1,0)</f>
        <v>0</v>
      </c>
      <c r="AE147">
        <f ca="1">IF(Table1[[#This Row],[Status]]="Exited",Table1[[#This Row],[Recruitment Cost]]+Table1[[#This Row],[Onboarding Cost]]+Table1[[#This Row],[Training Cost]],0)</f>
        <v>6566</v>
      </c>
      <c r="AF147">
        <f>IF(Table1[[#This Row],[Training Completion Status]]="Completed",1,0)</f>
        <v>1</v>
      </c>
      <c r="AG147">
        <f t="shared" ca="1" si="12"/>
        <v>4</v>
      </c>
      <c r="AH147">
        <f t="shared" ca="1" si="13"/>
        <v>2</v>
      </c>
      <c r="AI147">
        <f t="shared" ca="1" si="14"/>
        <v>5</v>
      </c>
      <c r="AJ147" t="s">
        <v>318</v>
      </c>
    </row>
    <row r="148" spans="1:36" x14ac:dyDescent="0.2">
      <c r="A148" t="s">
        <v>200</v>
      </c>
      <c r="B148" t="s">
        <v>43</v>
      </c>
      <c r="C148" t="s">
        <v>38</v>
      </c>
      <c r="D148" t="s">
        <v>39</v>
      </c>
      <c r="E148" s="1">
        <v>44625</v>
      </c>
      <c r="F148" s="1">
        <v>44653</v>
      </c>
      <c r="G148" s="1">
        <v>44666</v>
      </c>
      <c r="H148" s="1">
        <v>45206</v>
      </c>
      <c r="I148" t="s">
        <v>57</v>
      </c>
      <c r="J148" s="2">
        <v>2498</v>
      </c>
      <c r="K148" t="s">
        <v>28</v>
      </c>
      <c r="L148" t="s">
        <v>55</v>
      </c>
      <c r="M148">
        <v>260</v>
      </c>
      <c r="N148">
        <v>3</v>
      </c>
      <c r="O148" s="3">
        <v>1212</v>
      </c>
      <c r="P148">
        <f t="shared" ca="1" si="10"/>
        <v>3</v>
      </c>
      <c r="Q148">
        <f ca="1">RANDBETWEEN(0,Table1[[#This Row],[offers made]])</f>
        <v>3</v>
      </c>
      <c r="R148" t="s">
        <v>306</v>
      </c>
      <c r="S148">
        <f>Table1[[#This Row],[Hire Date]]-Table1[[#This Row],[Job Posting Date]]</f>
        <v>28</v>
      </c>
      <c r="T148" s="4">
        <f>Table1[[#This Row],[Join Date]]-Table1[[#This Row],[Hire Date]]</f>
        <v>13</v>
      </c>
      <c r="U148" s="4">
        <f ca="1">IF(Table1[[#This Row],[Status]]="Exited",Table1[[#This Row],[Exit Date]]-Table1[[#This Row],[Join Date]],TODAY()-Table1[[#This Row],[Join Date]])</f>
        <v>540</v>
      </c>
      <c r="V148" t="str">
        <f ca="1">IF(Table1[[#This Row],[Total Tenure in Days]]&lt;=730, "yes","no")</f>
        <v>yes</v>
      </c>
      <c r="W148">
        <f>Table1[[#This Row],[Hire Date]]-Table1[[#This Row],[Job Posting Date]]</f>
        <v>28</v>
      </c>
      <c r="X148" s="4">
        <f>Table1[[#This Row],[Time to Onboard]]/Table1[[#This Row],[Time to Fill]]*100</f>
        <v>46.428571428571431</v>
      </c>
      <c r="Y148" s="5">
        <f>Table1[[#This Row],[Time to Onboard]]/Table1[[#This Row],[Time to Fill]]*100</f>
        <v>46.428571428571431</v>
      </c>
      <c r="Z148">
        <f>Table1[[#This Row],[Join Date]]-Table1[[#This Row],[Job Posting Date]]</f>
        <v>41</v>
      </c>
      <c r="AA148">
        <f t="shared" ca="1" si="11"/>
        <v>136</v>
      </c>
      <c r="AB148" s="5">
        <f>Table1[[#This Row],[Absentee Days]]/Table1[[#This Row],[Total Work Days]]*100</f>
        <v>1.153846153846154</v>
      </c>
      <c r="AC148">
        <f>YEAR(Table1[[#This Row],[Join Date]])</f>
        <v>2022</v>
      </c>
      <c r="AD148">
        <f>IF(Table1[[#This Row],[Status]]="Active",1,0)</f>
        <v>0</v>
      </c>
      <c r="AE148">
        <f ca="1">IF(Table1[[#This Row],[Status]]="Exited",Table1[[#This Row],[Recruitment Cost]]+Table1[[#This Row],[Onboarding Cost]]+Table1[[#This Row],[Training Cost]],0)</f>
        <v>3846</v>
      </c>
      <c r="AF148">
        <f>IF(Table1[[#This Row],[Training Completion Status]]="Completed",1,0)</f>
        <v>0</v>
      </c>
      <c r="AG148">
        <f t="shared" ca="1" si="12"/>
        <v>3</v>
      </c>
      <c r="AH148">
        <f t="shared" ca="1" si="13"/>
        <v>5</v>
      </c>
      <c r="AI148">
        <f t="shared" ca="1" si="14"/>
        <v>1</v>
      </c>
      <c r="AJ148" t="s">
        <v>317</v>
      </c>
    </row>
    <row r="149" spans="1:36" x14ac:dyDescent="0.2">
      <c r="A149" t="s">
        <v>201</v>
      </c>
      <c r="B149" t="s">
        <v>42</v>
      </c>
      <c r="C149" t="s">
        <v>26</v>
      </c>
      <c r="D149" t="s">
        <v>27</v>
      </c>
      <c r="E149" s="1">
        <v>44192</v>
      </c>
      <c r="F149" s="1">
        <v>44275</v>
      </c>
      <c r="G149" s="1">
        <v>44290</v>
      </c>
      <c r="H149" s="1" t="s">
        <v>50</v>
      </c>
      <c r="I149" t="s">
        <v>51</v>
      </c>
      <c r="J149" s="2">
        <v>3576</v>
      </c>
      <c r="K149" t="s">
        <v>31</v>
      </c>
      <c r="L149" t="s">
        <v>52</v>
      </c>
      <c r="M149">
        <v>260</v>
      </c>
      <c r="N149">
        <v>2</v>
      </c>
      <c r="O149" s="3">
        <v>1422</v>
      </c>
      <c r="P149">
        <f t="shared" ca="1" si="10"/>
        <v>8</v>
      </c>
      <c r="Q149">
        <f ca="1">RANDBETWEEN(0,Table1[[#This Row],[offers made]])</f>
        <v>1</v>
      </c>
      <c r="R149" t="s">
        <v>307</v>
      </c>
      <c r="S149">
        <f>Table1[[#This Row],[Hire Date]]-Table1[[#This Row],[Job Posting Date]]</f>
        <v>83</v>
      </c>
      <c r="T149" s="4">
        <f>Table1[[#This Row],[Join Date]]-Table1[[#This Row],[Hire Date]]</f>
        <v>15</v>
      </c>
      <c r="U149" s="4">
        <f ca="1">IF(Table1[[#This Row],[Status]]="Exited",Table1[[#This Row],[Exit Date]]-Table1[[#This Row],[Join Date]],TODAY()-Table1[[#This Row],[Join Date]])</f>
        <v>1371</v>
      </c>
      <c r="V149" t="str">
        <f ca="1">IF(Table1[[#This Row],[Total Tenure in Days]]&lt;=730, "yes","no")</f>
        <v>no</v>
      </c>
      <c r="W149">
        <f>Table1[[#This Row],[Hire Date]]-Table1[[#This Row],[Job Posting Date]]</f>
        <v>83</v>
      </c>
      <c r="X149" s="4">
        <f>Table1[[#This Row],[Time to Onboard]]/Table1[[#This Row],[Time to Fill]]*100</f>
        <v>18.072289156626507</v>
      </c>
      <c r="Y149" s="5">
        <f>Table1[[#This Row],[Time to Onboard]]/Table1[[#This Row],[Time to Fill]]*100</f>
        <v>18.072289156626507</v>
      </c>
      <c r="Z149">
        <f>Table1[[#This Row],[Join Date]]-Table1[[#This Row],[Job Posting Date]]</f>
        <v>98</v>
      </c>
      <c r="AA149">
        <f t="shared" ca="1" si="11"/>
        <v>189</v>
      </c>
      <c r="AB149" s="5">
        <f>Table1[[#This Row],[Absentee Days]]/Table1[[#This Row],[Total Work Days]]*100</f>
        <v>0.76923076923076927</v>
      </c>
      <c r="AC149">
        <f>YEAR(Table1[[#This Row],[Join Date]])</f>
        <v>2021</v>
      </c>
      <c r="AD149">
        <f>IF(Table1[[#This Row],[Status]]="Active",1,0)</f>
        <v>1</v>
      </c>
      <c r="AE149">
        <f>IF(Table1[[#This Row],[Status]]="Exited",Table1[[#This Row],[Recruitment Cost]]+Table1[[#This Row],[Onboarding Cost]]+Table1[[#This Row],[Training Cost]],0)</f>
        <v>0</v>
      </c>
      <c r="AF149">
        <f>IF(Table1[[#This Row],[Training Completion Status]]="Completed",1,0)</f>
        <v>1</v>
      </c>
      <c r="AG149">
        <f t="shared" ca="1" si="12"/>
        <v>3</v>
      </c>
      <c r="AH149">
        <f t="shared" ca="1" si="13"/>
        <v>3</v>
      </c>
      <c r="AI149">
        <f t="shared" ca="1" si="14"/>
        <v>4</v>
      </c>
      <c r="AJ149" t="s">
        <v>318</v>
      </c>
    </row>
    <row r="150" spans="1:36" x14ac:dyDescent="0.2">
      <c r="A150" t="s">
        <v>202</v>
      </c>
      <c r="B150" t="s">
        <v>42</v>
      </c>
      <c r="C150" t="s">
        <v>29</v>
      </c>
      <c r="D150" t="s">
        <v>30</v>
      </c>
      <c r="E150" s="1">
        <v>44293</v>
      </c>
      <c r="F150" s="1">
        <v>44343</v>
      </c>
      <c r="G150" s="1">
        <v>44344</v>
      </c>
      <c r="H150" s="1">
        <v>44655</v>
      </c>
      <c r="I150" t="s">
        <v>57</v>
      </c>
      <c r="J150" s="2">
        <v>4094</v>
      </c>
      <c r="K150" t="s">
        <v>40</v>
      </c>
      <c r="L150" t="s">
        <v>55</v>
      </c>
      <c r="M150">
        <v>260</v>
      </c>
      <c r="N150">
        <v>8</v>
      </c>
      <c r="O150" s="3">
        <v>1541</v>
      </c>
      <c r="P150">
        <f t="shared" ca="1" si="10"/>
        <v>10</v>
      </c>
      <c r="Q150">
        <f ca="1">RANDBETWEEN(0,Table1[[#This Row],[offers made]])</f>
        <v>2</v>
      </c>
      <c r="R150" t="s">
        <v>306</v>
      </c>
      <c r="S150">
        <f>Table1[[#This Row],[Hire Date]]-Table1[[#This Row],[Job Posting Date]]</f>
        <v>50</v>
      </c>
      <c r="T150" s="4">
        <f>Table1[[#This Row],[Join Date]]-Table1[[#This Row],[Hire Date]]</f>
        <v>1</v>
      </c>
      <c r="U150" s="4">
        <f ca="1">IF(Table1[[#This Row],[Status]]="Exited",Table1[[#This Row],[Exit Date]]-Table1[[#This Row],[Join Date]],TODAY()-Table1[[#This Row],[Join Date]])</f>
        <v>311</v>
      </c>
      <c r="V150" t="str">
        <f ca="1">IF(Table1[[#This Row],[Total Tenure in Days]]&lt;=730, "yes","no")</f>
        <v>yes</v>
      </c>
      <c r="W150">
        <f>Table1[[#This Row],[Hire Date]]-Table1[[#This Row],[Job Posting Date]]</f>
        <v>50</v>
      </c>
      <c r="X150" s="4">
        <f>Table1[[#This Row],[Time to Onboard]]/Table1[[#This Row],[Time to Fill]]*100</f>
        <v>2</v>
      </c>
      <c r="Y150" s="5">
        <f>Table1[[#This Row],[Time to Onboard]]/Table1[[#This Row],[Time to Fill]]*100</f>
        <v>2</v>
      </c>
      <c r="Z150">
        <f>Table1[[#This Row],[Join Date]]-Table1[[#This Row],[Job Posting Date]]</f>
        <v>51</v>
      </c>
      <c r="AA150">
        <f t="shared" ca="1" si="11"/>
        <v>160</v>
      </c>
      <c r="AB150" s="5">
        <f>Table1[[#This Row],[Absentee Days]]/Table1[[#This Row],[Total Work Days]]*100</f>
        <v>3.0769230769230771</v>
      </c>
      <c r="AC150">
        <f>YEAR(Table1[[#This Row],[Join Date]])</f>
        <v>2021</v>
      </c>
      <c r="AD150">
        <f>IF(Table1[[#This Row],[Status]]="Active",1,0)</f>
        <v>0</v>
      </c>
      <c r="AE150">
        <f ca="1">IF(Table1[[#This Row],[Status]]="Exited",Table1[[#This Row],[Recruitment Cost]]+Table1[[#This Row],[Onboarding Cost]]+Table1[[#This Row],[Training Cost]],0)</f>
        <v>5795</v>
      </c>
      <c r="AF150">
        <f>IF(Table1[[#This Row],[Training Completion Status]]="Completed",1,0)</f>
        <v>0</v>
      </c>
      <c r="AG150">
        <f t="shared" ca="1" si="12"/>
        <v>1</v>
      </c>
      <c r="AH150">
        <f t="shared" ca="1" si="13"/>
        <v>1</v>
      </c>
      <c r="AI150">
        <f t="shared" ca="1" si="14"/>
        <v>3</v>
      </c>
      <c r="AJ150" t="s">
        <v>318</v>
      </c>
    </row>
    <row r="151" spans="1:36" x14ac:dyDescent="0.2">
      <c r="A151" t="s">
        <v>203</v>
      </c>
      <c r="B151" t="s">
        <v>42</v>
      </c>
      <c r="C151" t="s">
        <v>29</v>
      </c>
      <c r="D151" t="s">
        <v>30</v>
      </c>
      <c r="E151" s="1">
        <v>44630</v>
      </c>
      <c r="F151" s="1">
        <v>44717</v>
      </c>
      <c r="G151" s="1">
        <v>44719</v>
      </c>
      <c r="H151" s="1" t="s">
        <v>50</v>
      </c>
      <c r="I151" t="s">
        <v>51</v>
      </c>
      <c r="J151" s="2">
        <v>4030</v>
      </c>
      <c r="K151" t="s">
        <v>31</v>
      </c>
      <c r="L151" t="s">
        <v>52</v>
      </c>
      <c r="M151">
        <v>260</v>
      </c>
      <c r="N151">
        <v>8</v>
      </c>
      <c r="O151" s="3">
        <v>1506</v>
      </c>
      <c r="P151">
        <f t="shared" ca="1" si="10"/>
        <v>2</v>
      </c>
      <c r="Q151">
        <f ca="1">RANDBETWEEN(0,Table1[[#This Row],[offers made]])</f>
        <v>2</v>
      </c>
      <c r="R151" t="s">
        <v>306</v>
      </c>
      <c r="S151">
        <f>Table1[[#This Row],[Hire Date]]-Table1[[#This Row],[Job Posting Date]]</f>
        <v>87</v>
      </c>
      <c r="T151" s="4">
        <f>Table1[[#This Row],[Join Date]]-Table1[[#This Row],[Hire Date]]</f>
        <v>2</v>
      </c>
      <c r="U151" s="4">
        <f ca="1">IF(Table1[[#This Row],[Status]]="Exited",Table1[[#This Row],[Exit Date]]-Table1[[#This Row],[Join Date]],TODAY()-Table1[[#This Row],[Join Date]])</f>
        <v>942</v>
      </c>
      <c r="V151" t="str">
        <f ca="1">IF(Table1[[#This Row],[Total Tenure in Days]]&lt;=730, "yes","no")</f>
        <v>no</v>
      </c>
      <c r="W151">
        <f>Table1[[#This Row],[Hire Date]]-Table1[[#This Row],[Job Posting Date]]</f>
        <v>87</v>
      </c>
      <c r="X151" s="4">
        <f>Table1[[#This Row],[Time to Onboard]]/Table1[[#This Row],[Time to Fill]]*100</f>
        <v>2.2988505747126435</v>
      </c>
      <c r="Y151" s="5">
        <f>Table1[[#This Row],[Time to Onboard]]/Table1[[#This Row],[Time to Fill]]*100</f>
        <v>2.2988505747126435</v>
      </c>
      <c r="Z151">
        <f>Table1[[#This Row],[Join Date]]-Table1[[#This Row],[Job Posting Date]]</f>
        <v>89</v>
      </c>
      <c r="AA151">
        <f t="shared" ca="1" si="11"/>
        <v>170</v>
      </c>
      <c r="AB151" s="5">
        <f>Table1[[#This Row],[Absentee Days]]/Table1[[#This Row],[Total Work Days]]*100</f>
        <v>3.0769230769230771</v>
      </c>
      <c r="AC151">
        <f>YEAR(Table1[[#This Row],[Join Date]])</f>
        <v>2022</v>
      </c>
      <c r="AD151">
        <f>IF(Table1[[#This Row],[Status]]="Active",1,0)</f>
        <v>1</v>
      </c>
      <c r="AE151">
        <f>IF(Table1[[#This Row],[Status]]="Exited",Table1[[#This Row],[Recruitment Cost]]+Table1[[#This Row],[Onboarding Cost]]+Table1[[#This Row],[Training Cost]],0)</f>
        <v>0</v>
      </c>
      <c r="AF151">
        <f>IF(Table1[[#This Row],[Training Completion Status]]="Completed",1,0)</f>
        <v>1</v>
      </c>
      <c r="AG151">
        <f t="shared" ca="1" si="12"/>
        <v>4</v>
      </c>
      <c r="AH151">
        <f t="shared" ca="1" si="13"/>
        <v>5</v>
      </c>
      <c r="AI151">
        <f t="shared" ca="1" si="14"/>
        <v>2</v>
      </c>
      <c r="AJ151" t="s">
        <v>317</v>
      </c>
    </row>
    <row r="152" spans="1:36" x14ac:dyDescent="0.2">
      <c r="A152" t="s">
        <v>204</v>
      </c>
      <c r="B152" t="s">
        <v>43</v>
      </c>
      <c r="C152" t="s">
        <v>38</v>
      </c>
      <c r="D152" t="s">
        <v>39</v>
      </c>
      <c r="E152" s="1">
        <v>43226</v>
      </c>
      <c r="F152" s="1">
        <v>43250</v>
      </c>
      <c r="G152" s="1">
        <v>43259</v>
      </c>
      <c r="H152" s="1">
        <v>43943</v>
      </c>
      <c r="I152" t="s">
        <v>57</v>
      </c>
      <c r="J152" s="2">
        <v>4155</v>
      </c>
      <c r="K152" t="s">
        <v>37</v>
      </c>
      <c r="L152" t="s">
        <v>52</v>
      </c>
      <c r="M152">
        <v>260</v>
      </c>
      <c r="N152">
        <v>8</v>
      </c>
      <c r="O152" s="3">
        <v>1292</v>
      </c>
      <c r="P152">
        <f t="shared" ca="1" si="10"/>
        <v>1</v>
      </c>
      <c r="Q152">
        <f ca="1">RANDBETWEEN(0,Table1[[#This Row],[offers made]])</f>
        <v>1</v>
      </c>
      <c r="R152" t="s">
        <v>306</v>
      </c>
      <c r="S152">
        <f>Table1[[#This Row],[Hire Date]]-Table1[[#This Row],[Job Posting Date]]</f>
        <v>24</v>
      </c>
      <c r="T152" s="4">
        <f>Table1[[#This Row],[Join Date]]-Table1[[#This Row],[Hire Date]]</f>
        <v>9</v>
      </c>
      <c r="U152" s="4">
        <f ca="1">IF(Table1[[#This Row],[Status]]="Exited",Table1[[#This Row],[Exit Date]]-Table1[[#This Row],[Join Date]],TODAY()-Table1[[#This Row],[Join Date]])</f>
        <v>684</v>
      </c>
      <c r="V152" t="str">
        <f ca="1">IF(Table1[[#This Row],[Total Tenure in Days]]&lt;=730, "yes","no")</f>
        <v>yes</v>
      </c>
      <c r="W152">
        <f>Table1[[#This Row],[Hire Date]]-Table1[[#This Row],[Job Posting Date]]</f>
        <v>24</v>
      </c>
      <c r="X152" s="4">
        <f>Table1[[#This Row],[Time to Onboard]]/Table1[[#This Row],[Time to Fill]]*100</f>
        <v>37.5</v>
      </c>
      <c r="Y152" s="5">
        <f>Table1[[#This Row],[Time to Onboard]]/Table1[[#This Row],[Time to Fill]]*100</f>
        <v>37.5</v>
      </c>
      <c r="Z152">
        <f>Table1[[#This Row],[Join Date]]-Table1[[#This Row],[Job Posting Date]]</f>
        <v>33</v>
      </c>
      <c r="AA152">
        <f t="shared" ca="1" si="11"/>
        <v>116</v>
      </c>
      <c r="AB152" s="5">
        <f>Table1[[#This Row],[Absentee Days]]/Table1[[#This Row],[Total Work Days]]*100</f>
        <v>3.0769230769230771</v>
      </c>
      <c r="AC152">
        <f>YEAR(Table1[[#This Row],[Join Date]])</f>
        <v>2018</v>
      </c>
      <c r="AD152">
        <f>IF(Table1[[#This Row],[Status]]="Active",1,0)</f>
        <v>0</v>
      </c>
      <c r="AE152">
        <f ca="1">IF(Table1[[#This Row],[Status]]="Exited",Table1[[#This Row],[Recruitment Cost]]+Table1[[#This Row],[Onboarding Cost]]+Table1[[#This Row],[Training Cost]],0)</f>
        <v>5563</v>
      </c>
      <c r="AF152">
        <f>IF(Table1[[#This Row],[Training Completion Status]]="Completed",1,0)</f>
        <v>1</v>
      </c>
      <c r="AG152">
        <f t="shared" ca="1" si="12"/>
        <v>2</v>
      </c>
      <c r="AH152">
        <f t="shared" ca="1" si="13"/>
        <v>1</v>
      </c>
      <c r="AI152">
        <f t="shared" ca="1" si="14"/>
        <v>5</v>
      </c>
      <c r="AJ152" t="s">
        <v>318</v>
      </c>
    </row>
    <row r="153" spans="1:36" x14ac:dyDescent="0.2">
      <c r="A153" t="s">
        <v>205</v>
      </c>
      <c r="B153" t="s">
        <v>43</v>
      </c>
      <c r="C153" t="s">
        <v>32</v>
      </c>
      <c r="D153" t="s">
        <v>33</v>
      </c>
      <c r="E153" s="1">
        <v>43558</v>
      </c>
      <c r="F153" s="1">
        <v>43607</v>
      </c>
      <c r="G153" s="1">
        <v>43620</v>
      </c>
      <c r="H153" s="1">
        <v>45076</v>
      </c>
      <c r="I153" t="s">
        <v>57</v>
      </c>
      <c r="J153" s="2">
        <v>3801</v>
      </c>
      <c r="K153" t="s">
        <v>31</v>
      </c>
      <c r="L153" t="s">
        <v>52</v>
      </c>
      <c r="M153">
        <v>260</v>
      </c>
      <c r="N153">
        <v>1</v>
      </c>
      <c r="O153" s="3">
        <v>1362</v>
      </c>
      <c r="P153">
        <f t="shared" ca="1" si="10"/>
        <v>6</v>
      </c>
      <c r="Q153">
        <f ca="1">RANDBETWEEN(0,Table1[[#This Row],[offers made]])</f>
        <v>4</v>
      </c>
      <c r="R153" t="s">
        <v>306</v>
      </c>
      <c r="S153">
        <f>Table1[[#This Row],[Hire Date]]-Table1[[#This Row],[Job Posting Date]]</f>
        <v>49</v>
      </c>
      <c r="T153" s="4">
        <f>Table1[[#This Row],[Join Date]]-Table1[[#This Row],[Hire Date]]</f>
        <v>13</v>
      </c>
      <c r="U153" s="4">
        <f ca="1">IF(Table1[[#This Row],[Status]]="Exited",Table1[[#This Row],[Exit Date]]-Table1[[#This Row],[Join Date]],TODAY()-Table1[[#This Row],[Join Date]])</f>
        <v>1456</v>
      </c>
      <c r="V153" t="str">
        <f ca="1">IF(Table1[[#This Row],[Total Tenure in Days]]&lt;=730, "yes","no")</f>
        <v>no</v>
      </c>
      <c r="W153">
        <f>Table1[[#This Row],[Hire Date]]-Table1[[#This Row],[Job Posting Date]]</f>
        <v>49</v>
      </c>
      <c r="X153" s="4">
        <f>Table1[[#This Row],[Time to Onboard]]/Table1[[#This Row],[Time to Fill]]*100</f>
        <v>26.530612244897959</v>
      </c>
      <c r="Y153" s="5">
        <f>Table1[[#This Row],[Time to Onboard]]/Table1[[#This Row],[Time to Fill]]*100</f>
        <v>26.530612244897959</v>
      </c>
      <c r="Z153">
        <f>Table1[[#This Row],[Join Date]]-Table1[[#This Row],[Job Posting Date]]</f>
        <v>62</v>
      </c>
      <c r="AA153">
        <f t="shared" ca="1" si="11"/>
        <v>161</v>
      </c>
      <c r="AB153" s="5">
        <f>Table1[[#This Row],[Absentee Days]]/Table1[[#This Row],[Total Work Days]]*100</f>
        <v>0.38461538461538464</v>
      </c>
      <c r="AC153">
        <f>YEAR(Table1[[#This Row],[Join Date]])</f>
        <v>2019</v>
      </c>
      <c r="AD153">
        <f>IF(Table1[[#This Row],[Status]]="Active",1,0)</f>
        <v>0</v>
      </c>
      <c r="AE153">
        <f ca="1">IF(Table1[[#This Row],[Status]]="Exited",Table1[[#This Row],[Recruitment Cost]]+Table1[[#This Row],[Onboarding Cost]]+Table1[[#This Row],[Training Cost]],0)</f>
        <v>5324</v>
      </c>
      <c r="AF153">
        <f>IF(Table1[[#This Row],[Training Completion Status]]="Completed",1,0)</f>
        <v>1</v>
      </c>
      <c r="AG153">
        <f t="shared" ca="1" si="12"/>
        <v>2</v>
      </c>
      <c r="AH153">
        <f t="shared" ca="1" si="13"/>
        <v>4</v>
      </c>
      <c r="AI153">
        <f t="shared" ca="1" si="14"/>
        <v>3</v>
      </c>
      <c r="AJ153" t="s">
        <v>318</v>
      </c>
    </row>
    <row r="154" spans="1:36" x14ac:dyDescent="0.2">
      <c r="A154" t="s">
        <v>206</v>
      </c>
      <c r="B154" t="s">
        <v>43</v>
      </c>
      <c r="C154" t="s">
        <v>32</v>
      </c>
      <c r="D154" t="s">
        <v>33</v>
      </c>
      <c r="E154" s="1">
        <v>43986</v>
      </c>
      <c r="F154" s="1">
        <v>44052</v>
      </c>
      <c r="G154" s="1">
        <v>44066</v>
      </c>
      <c r="H154" s="1">
        <v>44369</v>
      </c>
      <c r="I154" t="s">
        <v>57</v>
      </c>
      <c r="J154" s="2">
        <v>2068</v>
      </c>
      <c r="K154" t="s">
        <v>40</v>
      </c>
      <c r="L154" t="s">
        <v>52</v>
      </c>
      <c r="M154">
        <v>260</v>
      </c>
      <c r="N154">
        <v>13</v>
      </c>
      <c r="O154" s="3">
        <v>1318</v>
      </c>
      <c r="P154">
        <f t="shared" ca="1" si="10"/>
        <v>5</v>
      </c>
      <c r="Q154">
        <f ca="1">RANDBETWEEN(0,Table1[[#This Row],[offers made]])</f>
        <v>0</v>
      </c>
      <c r="R154" t="s">
        <v>308</v>
      </c>
      <c r="S154">
        <f>Table1[[#This Row],[Hire Date]]-Table1[[#This Row],[Job Posting Date]]</f>
        <v>66</v>
      </c>
      <c r="T154" s="4">
        <f>Table1[[#This Row],[Join Date]]-Table1[[#This Row],[Hire Date]]</f>
        <v>14</v>
      </c>
      <c r="U154" s="4">
        <f ca="1">IF(Table1[[#This Row],[Status]]="Exited",Table1[[#This Row],[Exit Date]]-Table1[[#This Row],[Join Date]],TODAY()-Table1[[#This Row],[Join Date]])</f>
        <v>303</v>
      </c>
      <c r="V154" t="str">
        <f ca="1">IF(Table1[[#This Row],[Total Tenure in Days]]&lt;=730, "yes","no")</f>
        <v>yes</v>
      </c>
      <c r="W154">
        <f>Table1[[#This Row],[Hire Date]]-Table1[[#This Row],[Job Posting Date]]</f>
        <v>66</v>
      </c>
      <c r="X154" s="4">
        <f>Table1[[#This Row],[Time to Onboard]]/Table1[[#This Row],[Time to Fill]]*100</f>
        <v>21.212121212121211</v>
      </c>
      <c r="Y154" s="5">
        <f>Table1[[#This Row],[Time to Onboard]]/Table1[[#This Row],[Time to Fill]]*100</f>
        <v>21.212121212121211</v>
      </c>
      <c r="Z154">
        <f>Table1[[#This Row],[Join Date]]-Table1[[#This Row],[Job Posting Date]]</f>
        <v>80</v>
      </c>
      <c r="AA154">
        <f t="shared" ca="1" si="11"/>
        <v>142</v>
      </c>
      <c r="AB154" s="5">
        <f>Table1[[#This Row],[Absentee Days]]/Table1[[#This Row],[Total Work Days]]*100</f>
        <v>5</v>
      </c>
      <c r="AC154">
        <f>YEAR(Table1[[#This Row],[Join Date]])</f>
        <v>2020</v>
      </c>
      <c r="AD154">
        <f>IF(Table1[[#This Row],[Status]]="Active",1,0)</f>
        <v>0</v>
      </c>
      <c r="AE154">
        <f ca="1">IF(Table1[[#This Row],[Status]]="Exited",Table1[[#This Row],[Recruitment Cost]]+Table1[[#This Row],[Onboarding Cost]]+Table1[[#This Row],[Training Cost]],0)</f>
        <v>3528</v>
      </c>
      <c r="AF154">
        <f>IF(Table1[[#This Row],[Training Completion Status]]="Completed",1,0)</f>
        <v>1</v>
      </c>
      <c r="AG154">
        <f t="shared" ca="1" si="12"/>
        <v>1</v>
      </c>
      <c r="AH154">
        <f t="shared" ca="1" si="13"/>
        <v>3</v>
      </c>
      <c r="AI154">
        <f t="shared" ca="1" si="14"/>
        <v>4</v>
      </c>
      <c r="AJ154" t="s">
        <v>317</v>
      </c>
    </row>
    <row r="155" spans="1:36" x14ac:dyDescent="0.2">
      <c r="A155" t="s">
        <v>207</v>
      </c>
      <c r="B155" t="s">
        <v>42</v>
      </c>
      <c r="C155" t="s">
        <v>32</v>
      </c>
      <c r="D155" t="s">
        <v>33</v>
      </c>
      <c r="E155" s="1">
        <v>44739</v>
      </c>
      <c r="F155" s="1">
        <v>44824</v>
      </c>
      <c r="G155" s="1">
        <v>44825</v>
      </c>
      <c r="H155" s="1">
        <v>45500</v>
      </c>
      <c r="I155" t="s">
        <v>57</v>
      </c>
      <c r="J155" s="2">
        <v>3317</v>
      </c>
      <c r="K155" t="s">
        <v>34</v>
      </c>
      <c r="L155" t="s">
        <v>55</v>
      </c>
      <c r="M155">
        <v>260</v>
      </c>
      <c r="N155">
        <v>11</v>
      </c>
      <c r="O155" s="3">
        <v>1704</v>
      </c>
      <c r="P155">
        <f t="shared" ca="1" si="10"/>
        <v>10</v>
      </c>
      <c r="Q155">
        <f ca="1">RANDBETWEEN(0,Table1[[#This Row],[offers made]])</f>
        <v>5</v>
      </c>
      <c r="R155" t="s">
        <v>306</v>
      </c>
      <c r="S155">
        <f>Table1[[#This Row],[Hire Date]]-Table1[[#This Row],[Job Posting Date]]</f>
        <v>85</v>
      </c>
      <c r="T155" s="4">
        <f>Table1[[#This Row],[Join Date]]-Table1[[#This Row],[Hire Date]]</f>
        <v>1</v>
      </c>
      <c r="U155" s="4">
        <f ca="1">IF(Table1[[#This Row],[Status]]="Exited",Table1[[#This Row],[Exit Date]]-Table1[[#This Row],[Join Date]],TODAY()-Table1[[#This Row],[Join Date]])</f>
        <v>675</v>
      </c>
      <c r="V155" t="str">
        <f ca="1">IF(Table1[[#This Row],[Total Tenure in Days]]&lt;=730, "yes","no")</f>
        <v>yes</v>
      </c>
      <c r="W155">
        <f>Table1[[#This Row],[Hire Date]]-Table1[[#This Row],[Job Posting Date]]</f>
        <v>85</v>
      </c>
      <c r="X155" s="4">
        <f>Table1[[#This Row],[Time to Onboard]]/Table1[[#This Row],[Time to Fill]]*100</f>
        <v>1.1764705882352942</v>
      </c>
      <c r="Y155" s="5">
        <f>Table1[[#This Row],[Time to Onboard]]/Table1[[#This Row],[Time to Fill]]*100</f>
        <v>1.1764705882352942</v>
      </c>
      <c r="Z155">
        <f>Table1[[#This Row],[Join Date]]-Table1[[#This Row],[Job Posting Date]]</f>
        <v>86</v>
      </c>
      <c r="AA155">
        <f t="shared" ca="1" si="11"/>
        <v>170</v>
      </c>
      <c r="AB155" s="5">
        <f>Table1[[#This Row],[Absentee Days]]/Table1[[#This Row],[Total Work Days]]*100</f>
        <v>4.2307692307692308</v>
      </c>
      <c r="AC155">
        <f>YEAR(Table1[[#This Row],[Join Date]])</f>
        <v>2022</v>
      </c>
      <c r="AD155">
        <f>IF(Table1[[#This Row],[Status]]="Active",1,0)</f>
        <v>0</v>
      </c>
      <c r="AE155">
        <f ca="1">IF(Table1[[#This Row],[Status]]="Exited",Table1[[#This Row],[Recruitment Cost]]+Table1[[#This Row],[Onboarding Cost]]+Table1[[#This Row],[Training Cost]],0)</f>
        <v>5191</v>
      </c>
      <c r="AF155">
        <f>IF(Table1[[#This Row],[Training Completion Status]]="Completed",1,0)</f>
        <v>0</v>
      </c>
      <c r="AG155">
        <f t="shared" ca="1" si="12"/>
        <v>1</v>
      </c>
      <c r="AH155">
        <f t="shared" ca="1" si="13"/>
        <v>3</v>
      </c>
      <c r="AI155">
        <f t="shared" ca="1" si="14"/>
        <v>3</v>
      </c>
      <c r="AJ155" t="s">
        <v>317</v>
      </c>
    </row>
    <row r="156" spans="1:36" x14ac:dyDescent="0.2">
      <c r="A156" t="s">
        <v>208</v>
      </c>
      <c r="B156" t="s">
        <v>41</v>
      </c>
      <c r="C156" t="s">
        <v>35</v>
      </c>
      <c r="D156" t="s">
        <v>36</v>
      </c>
      <c r="E156" s="1">
        <v>44509</v>
      </c>
      <c r="F156" s="1">
        <v>44565</v>
      </c>
      <c r="G156" s="1">
        <v>44575</v>
      </c>
      <c r="H156" s="1" t="s">
        <v>50</v>
      </c>
      <c r="I156" t="s">
        <v>51</v>
      </c>
      <c r="J156" s="2">
        <v>4427</v>
      </c>
      <c r="K156" t="s">
        <v>31</v>
      </c>
      <c r="L156" t="s">
        <v>52</v>
      </c>
      <c r="M156">
        <v>260</v>
      </c>
      <c r="N156">
        <v>13</v>
      </c>
      <c r="O156" s="3">
        <v>1596</v>
      </c>
      <c r="P156">
        <f t="shared" ca="1" si="10"/>
        <v>4</v>
      </c>
      <c r="Q156">
        <f ca="1">RANDBETWEEN(0,Table1[[#This Row],[offers made]])</f>
        <v>3</v>
      </c>
      <c r="R156" t="s">
        <v>306</v>
      </c>
      <c r="S156">
        <f>Table1[[#This Row],[Hire Date]]-Table1[[#This Row],[Job Posting Date]]</f>
        <v>56</v>
      </c>
      <c r="T156" s="4">
        <f>Table1[[#This Row],[Join Date]]-Table1[[#This Row],[Hire Date]]</f>
        <v>10</v>
      </c>
      <c r="U156" s="4">
        <f ca="1">IF(Table1[[#This Row],[Status]]="Exited",Table1[[#This Row],[Exit Date]]-Table1[[#This Row],[Join Date]],TODAY()-Table1[[#This Row],[Join Date]])</f>
        <v>1086</v>
      </c>
      <c r="V156" t="str">
        <f ca="1">IF(Table1[[#This Row],[Total Tenure in Days]]&lt;=730, "yes","no")</f>
        <v>no</v>
      </c>
      <c r="W156">
        <f>Table1[[#This Row],[Hire Date]]-Table1[[#This Row],[Job Posting Date]]</f>
        <v>56</v>
      </c>
      <c r="X156" s="4">
        <f>Table1[[#This Row],[Time to Onboard]]/Table1[[#This Row],[Time to Fill]]*100</f>
        <v>17.857142857142858</v>
      </c>
      <c r="Y156" s="5">
        <f>Table1[[#This Row],[Time to Onboard]]/Table1[[#This Row],[Time to Fill]]*100</f>
        <v>17.857142857142858</v>
      </c>
      <c r="Z156">
        <f>Table1[[#This Row],[Join Date]]-Table1[[#This Row],[Job Posting Date]]</f>
        <v>66</v>
      </c>
      <c r="AA156">
        <f t="shared" ca="1" si="11"/>
        <v>149</v>
      </c>
      <c r="AB156" s="5">
        <f>Table1[[#This Row],[Absentee Days]]/Table1[[#This Row],[Total Work Days]]*100</f>
        <v>5</v>
      </c>
      <c r="AC156">
        <f>YEAR(Table1[[#This Row],[Join Date]])</f>
        <v>2022</v>
      </c>
      <c r="AD156">
        <f>IF(Table1[[#This Row],[Status]]="Active",1,0)</f>
        <v>1</v>
      </c>
      <c r="AE156">
        <f>IF(Table1[[#This Row],[Status]]="Exited",Table1[[#This Row],[Recruitment Cost]]+Table1[[#This Row],[Onboarding Cost]]+Table1[[#This Row],[Training Cost]],0)</f>
        <v>0</v>
      </c>
      <c r="AF156">
        <f>IF(Table1[[#This Row],[Training Completion Status]]="Completed",1,0)</f>
        <v>1</v>
      </c>
      <c r="AG156">
        <f t="shared" ca="1" si="12"/>
        <v>1</v>
      </c>
      <c r="AH156">
        <f t="shared" ca="1" si="13"/>
        <v>1</v>
      </c>
      <c r="AI156">
        <f t="shared" ca="1" si="14"/>
        <v>3</v>
      </c>
      <c r="AJ156" t="s">
        <v>317</v>
      </c>
    </row>
    <row r="157" spans="1:36" x14ac:dyDescent="0.2">
      <c r="A157" t="s">
        <v>209</v>
      </c>
      <c r="B157" t="s">
        <v>41</v>
      </c>
      <c r="C157" t="s">
        <v>38</v>
      </c>
      <c r="D157" t="s">
        <v>39</v>
      </c>
      <c r="E157" s="1">
        <v>43977</v>
      </c>
      <c r="F157" s="1">
        <v>44037</v>
      </c>
      <c r="G157" s="1">
        <v>44049</v>
      </c>
      <c r="H157" s="1" t="s">
        <v>50</v>
      </c>
      <c r="I157" t="s">
        <v>51</v>
      </c>
      <c r="J157" s="2">
        <v>4512</v>
      </c>
      <c r="K157" t="s">
        <v>34</v>
      </c>
      <c r="L157" t="s">
        <v>52</v>
      </c>
      <c r="M157">
        <v>260</v>
      </c>
      <c r="N157">
        <v>10</v>
      </c>
      <c r="O157" s="3">
        <v>2307</v>
      </c>
      <c r="P157">
        <f t="shared" ca="1" si="10"/>
        <v>3</v>
      </c>
      <c r="Q157">
        <f ca="1">RANDBETWEEN(0,Table1[[#This Row],[offers made]])</f>
        <v>3</v>
      </c>
      <c r="R157" t="s">
        <v>308</v>
      </c>
      <c r="S157">
        <f>Table1[[#This Row],[Hire Date]]-Table1[[#This Row],[Job Posting Date]]</f>
        <v>60</v>
      </c>
      <c r="T157" s="4">
        <f>Table1[[#This Row],[Join Date]]-Table1[[#This Row],[Hire Date]]</f>
        <v>12</v>
      </c>
      <c r="U157" s="4">
        <f ca="1">IF(Table1[[#This Row],[Status]]="Exited",Table1[[#This Row],[Exit Date]]-Table1[[#This Row],[Join Date]],TODAY()-Table1[[#This Row],[Join Date]])</f>
        <v>1612</v>
      </c>
      <c r="V157" t="str">
        <f ca="1">IF(Table1[[#This Row],[Total Tenure in Days]]&lt;=730, "yes","no")</f>
        <v>no</v>
      </c>
      <c r="W157">
        <f>Table1[[#This Row],[Hire Date]]-Table1[[#This Row],[Job Posting Date]]</f>
        <v>60</v>
      </c>
      <c r="X157" s="4">
        <f>Table1[[#This Row],[Time to Onboard]]/Table1[[#This Row],[Time to Fill]]*100</f>
        <v>20</v>
      </c>
      <c r="Y157" s="5">
        <f>Table1[[#This Row],[Time to Onboard]]/Table1[[#This Row],[Time to Fill]]*100</f>
        <v>20</v>
      </c>
      <c r="Z157">
        <f>Table1[[#This Row],[Join Date]]-Table1[[#This Row],[Job Posting Date]]</f>
        <v>72</v>
      </c>
      <c r="AA157">
        <f t="shared" ca="1" si="11"/>
        <v>117</v>
      </c>
      <c r="AB157" s="5">
        <f>Table1[[#This Row],[Absentee Days]]/Table1[[#This Row],[Total Work Days]]*100</f>
        <v>3.8461538461538463</v>
      </c>
      <c r="AC157">
        <f>YEAR(Table1[[#This Row],[Join Date]])</f>
        <v>2020</v>
      </c>
      <c r="AD157">
        <f>IF(Table1[[#This Row],[Status]]="Active",1,0)</f>
        <v>1</v>
      </c>
      <c r="AE157">
        <f>IF(Table1[[#This Row],[Status]]="Exited",Table1[[#This Row],[Recruitment Cost]]+Table1[[#This Row],[Onboarding Cost]]+Table1[[#This Row],[Training Cost]],0)</f>
        <v>0</v>
      </c>
      <c r="AF157">
        <f>IF(Table1[[#This Row],[Training Completion Status]]="Completed",1,0)</f>
        <v>1</v>
      </c>
      <c r="AG157">
        <f t="shared" ca="1" si="12"/>
        <v>3</v>
      </c>
      <c r="AH157">
        <f t="shared" ca="1" si="13"/>
        <v>4</v>
      </c>
      <c r="AI157">
        <f t="shared" ca="1" si="14"/>
        <v>3</v>
      </c>
      <c r="AJ157" t="s">
        <v>318</v>
      </c>
    </row>
    <row r="158" spans="1:36" x14ac:dyDescent="0.2">
      <c r="A158" t="s">
        <v>210</v>
      </c>
      <c r="B158" t="s">
        <v>42</v>
      </c>
      <c r="C158" t="s">
        <v>26</v>
      </c>
      <c r="D158" t="s">
        <v>27</v>
      </c>
      <c r="E158" s="1">
        <v>43417</v>
      </c>
      <c r="F158" s="1">
        <v>43463</v>
      </c>
      <c r="G158" s="1">
        <v>43464</v>
      </c>
      <c r="H158" s="1">
        <v>45351</v>
      </c>
      <c r="I158" t="s">
        <v>57</v>
      </c>
      <c r="J158" s="2">
        <v>4190</v>
      </c>
      <c r="K158" t="s">
        <v>31</v>
      </c>
      <c r="L158" t="s">
        <v>52</v>
      </c>
      <c r="M158">
        <v>260</v>
      </c>
      <c r="N158">
        <v>5</v>
      </c>
      <c r="O158" s="3">
        <v>1409</v>
      </c>
      <c r="P158">
        <f t="shared" ca="1" si="10"/>
        <v>10</v>
      </c>
      <c r="Q158">
        <f ca="1">RANDBETWEEN(0,Table1[[#This Row],[offers made]])</f>
        <v>2</v>
      </c>
      <c r="R158" t="s">
        <v>307</v>
      </c>
      <c r="S158">
        <f>Table1[[#This Row],[Hire Date]]-Table1[[#This Row],[Job Posting Date]]</f>
        <v>46</v>
      </c>
      <c r="T158" s="4">
        <f>Table1[[#This Row],[Join Date]]-Table1[[#This Row],[Hire Date]]</f>
        <v>1</v>
      </c>
      <c r="U158" s="4">
        <f ca="1">IF(Table1[[#This Row],[Status]]="Exited",Table1[[#This Row],[Exit Date]]-Table1[[#This Row],[Join Date]],TODAY()-Table1[[#This Row],[Join Date]])</f>
        <v>1887</v>
      </c>
      <c r="V158" t="str">
        <f ca="1">IF(Table1[[#This Row],[Total Tenure in Days]]&lt;=730, "yes","no")</f>
        <v>no</v>
      </c>
      <c r="W158">
        <f>Table1[[#This Row],[Hire Date]]-Table1[[#This Row],[Job Posting Date]]</f>
        <v>46</v>
      </c>
      <c r="X158" s="4">
        <f>Table1[[#This Row],[Time to Onboard]]/Table1[[#This Row],[Time to Fill]]*100</f>
        <v>2.1739130434782608</v>
      </c>
      <c r="Y158" s="5">
        <f>Table1[[#This Row],[Time to Onboard]]/Table1[[#This Row],[Time to Fill]]*100</f>
        <v>2.1739130434782608</v>
      </c>
      <c r="Z158">
        <f>Table1[[#This Row],[Join Date]]-Table1[[#This Row],[Job Posting Date]]</f>
        <v>47</v>
      </c>
      <c r="AA158">
        <f t="shared" ca="1" si="11"/>
        <v>156</v>
      </c>
      <c r="AB158" s="5">
        <f>Table1[[#This Row],[Absentee Days]]/Table1[[#This Row],[Total Work Days]]*100</f>
        <v>1.9230769230769231</v>
      </c>
      <c r="AC158">
        <f>YEAR(Table1[[#This Row],[Join Date]])</f>
        <v>2018</v>
      </c>
      <c r="AD158">
        <f>IF(Table1[[#This Row],[Status]]="Active",1,0)</f>
        <v>0</v>
      </c>
      <c r="AE158">
        <f ca="1">IF(Table1[[#This Row],[Status]]="Exited",Table1[[#This Row],[Recruitment Cost]]+Table1[[#This Row],[Onboarding Cost]]+Table1[[#This Row],[Training Cost]],0)</f>
        <v>5755</v>
      </c>
      <c r="AF158">
        <f>IF(Table1[[#This Row],[Training Completion Status]]="Completed",1,0)</f>
        <v>1</v>
      </c>
      <c r="AG158">
        <f t="shared" ca="1" si="12"/>
        <v>2</v>
      </c>
      <c r="AH158">
        <f t="shared" ca="1" si="13"/>
        <v>3</v>
      </c>
      <c r="AI158">
        <f t="shared" ca="1" si="14"/>
        <v>1</v>
      </c>
      <c r="AJ158" t="s">
        <v>317</v>
      </c>
    </row>
    <row r="159" spans="1:36" x14ac:dyDescent="0.2">
      <c r="A159" t="s">
        <v>211</v>
      </c>
      <c r="B159" t="s">
        <v>42</v>
      </c>
      <c r="C159" t="s">
        <v>38</v>
      </c>
      <c r="D159" t="s">
        <v>39</v>
      </c>
      <c r="E159" s="1">
        <v>43797</v>
      </c>
      <c r="F159" s="1">
        <v>43816</v>
      </c>
      <c r="G159" s="1">
        <v>43829</v>
      </c>
      <c r="H159" s="1" t="s">
        <v>50</v>
      </c>
      <c r="I159" t="s">
        <v>51</v>
      </c>
      <c r="J159" s="2">
        <v>2125</v>
      </c>
      <c r="K159" t="s">
        <v>28</v>
      </c>
      <c r="L159" t="s">
        <v>52</v>
      </c>
      <c r="M159">
        <v>260</v>
      </c>
      <c r="N159">
        <v>19</v>
      </c>
      <c r="O159" s="3">
        <v>2109</v>
      </c>
      <c r="P159">
        <f t="shared" ca="1" si="10"/>
        <v>9</v>
      </c>
      <c r="Q159">
        <f ca="1">RANDBETWEEN(0,Table1[[#This Row],[offers made]])</f>
        <v>9</v>
      </c>
      <c r="R159" t="s">
        <v>308</v>
      </c>
      <c r="S159">
        <f>Table1[[#This Row],[Hire Date]]-Table1[[#This Row],[Job Posting Date]]</f>
        <v>19</v>
      </c>
      <c r="T159" s="4">
        <f>Table1[[#This Row],[Join Date]]-Table1[[#This Row],[Hire Date]]</f>
        <v>13</v>
      </c>
      <c r="U159" s="4">
        <f ca="1">IF(Table1[[#This Row],[Status]]="Exited",Table1[[#This Row],[Exit Date]]-Table1[[#This Row],[Join Date]],TODAY()-Table1[[#This Row],[Join Date]])</f>
        <v>1832</v>
      </c>
      <c r="V159" t="str">
        <f ca="1">IF(Table1[[#This Row],[Total Tenure in Days]]&lt;=730, "yes","no")</f>
        <v>no</v>
      </c>
      <c r="W159">
        <f>Table1[[#This Row],[Hire Date]]-Table1[[#This Row],[Job Posting Date]]</f>
        <v>19</v>
      </c>
      <c r="X159" s="4">
        <f>Table1[[#This Row],[Time to Onboard]]/Table1[[#This Row],[Time to Fill]]*100</f>
        <v>68.421052631578945</v>
      </c>
      <c r="Y159" s="5">
        <f>Table1[[#This Row],[Time to Onboard]]/Table1[[#This Row],[Time to Fill]]*100</f>
        <v>68.421052631578945</v>
      </c>
      <c r="Z159">
        <f>Table1[[#This Row],[Join Date]]-Table1[[#This Row],[Job Posting Date]]</f>
        <v>32</v>
      </c>
      <c r="AA159">
        <f t="shared" ca="1" si="11"/>
        <v>136</v>
      </c>
      <c r="AB159" s="5">
        <f>Table1[[#This Row],[Absentee Days]]/Table1[[#This Row],[Total Work Days]]*100</f>
        <v>7.3076923076923084</v>
      </c>
      <c r="AC159">
        <f>YEAR(Table1[[#This Row],[Join Date]])</f>
        <v>2019</v>
      </c>
      <c r="AD159">
        <f>IF(Table1[[#This Row],[Status]]="Active",1,0)</f>
        <v>1</v>
      </c>
      <c r="AE159">
        <f>IF(Table1[[#This Row],[Status]]="Exited",Table1[[#This Row],[Recruitment Cost]]+Table1[[#This Row],[Onboarding Cost]]+Table1[[#This Row],[Training Cost]],0)</f>
        <v>0</v>
      </c>
      <c r="AF159">
        <f>IF(Table1[[#This Row],[Training Completion Status]]="Completed",1,0)</f>
        <v>1</v>
      </c>
      <c r="AG159">
        <f t="shared" ca="1" si="12"/>
        <v>2</v>
      </c>
      <c r="AH159">
        <f t="shared" ca="1" si="13"/>
        <v>3</v>
      </c>
      <c r="AI159">
        <f t="shared" ca="1" si="14"/>
        <v>4</v>
      </c>
      <c r="AJ159" t="s">
        <v>318</v>
      </c>
    </row>
    <row r="160" spans="1:36" x14ac:dyDescent="0.2">
      <c r="A160" t="s">
        <v>212</v>
      </c>
      <c r="B160" t="s">
        <v>41</v>
      </c>
      <c r="C160" t="s">
        <v>38</v>
      </c>
      <c r="D160" t="s">
        <v>39</v>
      </c>
      <c r="E160" s="1">
        <v>44885</v>
      </c>
      <c r="F160" s="1">
        <v>44960</v>
      </c>
      <c r="G160" s="1">
        <v>44968</v>
      </c>
      <c r="H160" s="1" t="s">
        <v>50</v>
      </c>
      <c r="I160" t="s">
        <v>51</v>
      </c>
      <c r="J160" s="2">
        <v>4746</v>
      </c>
      <c r="K160" t="s">
        <v>40</v>
      </c>
      <c r="L160" t="s">
        <v>52</v>
      </c>
      <c r="M160">
        <v>260</v>
      </c>
      <c r="N160">
        <v>18</v>
      </c>
      <c r="O160" s="3">
        <v>1501</v>
      </c>
      <c r="P160">
        <f t="shared" ca="1" si="10"/>
        <v>10</v>
      </c>
      <c r="Q160">
        <f ca="1">RANDBETWEEN(0,Table1[[#This Row],[offers made]])</f>
        <v>3</v>
      </c>
      <c r="R160" t="s">
        <v>307</v>
      </c>
      <c r="S160">
        <f>Table1[[#This Row],[Hire Date]]-Table1[[#This Row],[Job Posting Date]]</f>
        <v>75</v>
      </c>
      <c r="T160" s="4">
        <f>Table1[[#This Row],[Join Date]]-Table1[[#This Row],[Hire Date]]</f>
        <v>8</v>
      </c>
      <c r="U160" s="4">
        <f ca="1">IF(Table1[[#This Row],[Status]]="Exited",Table1[[#This Row],[Exit Date]]-Table1[[#This Row],[Join Date]],TODAY()-Table1[[#This Row],[Join Date]])</f>
        <v>693</v>
      </c>
      <c r="V160" t="str">
        <f ca="1">IF(Table1[[#This Row],[Total Tenure in Days]]&lt;=730, "yes","no")</f>
        <v>yes</v>
      </c>
      <c r="W160">
        <f>Table1[[#This Row],[Hire Date]]-Table1[[#This Row],[Job Posting Date]]</f>
        <v>75</v>
      </c>
      <c r="X160" s="4">
        <f>Table1[[#This Row],[Time to Onboard]]/Table1[[#This Row],[Time to Fill]]*100</f>
        <v>10.666666666666668</v>
      </c>
      <c r="Y160" s="5">
        <f>Table1[[#This Row],[Time to Onboard]]/Table1[[#This Row],[Time to Fill]]*100</f>
        <v>10.666666666666668</v>
      </c>
      <c r="Z160">
        <f>Table1[[#This Row],[Join Date]]-Table1[[#This Row],[Job Posting Date]]</f>
        <v>83</v>
      </c>
      <c r="AA160">
        <f t="shared" ca="1" si="11"/>
        <v>107</v>
      </c>
      <c r="AB160" s="5">
        <f>Table1[[#This Row],[Absentee Days]]/Table1[[#This Row],[Total Work Days]]*100</f>
        <v>6.9230769230769234</v>
      </c>
      <c r="AC160">
        <f>YEAR(Table1[[#This Row],[Join Date]])</f>
        <v>2023</v>
      </c>
      <c r="AD160">
        <f>IF(Table1[[#This Row],[Status]]="Active",1,0)</f>
        <v>1</v>
      </c>
      <c r="AE160">
        <f>IF(Table1[[#This Row],[Status]]="Exited",Table1[[#This Row],[Recruitment Cost]]+Table1[[#This Row],[Onboarding Cost]]+Table1[[#This Row],[Training Cost]],0)</f>
        <v>0</v>
      </c>
      <c r="AF160">
        <f>IF(Table1[[#This Row],[Training Completion Status]]="Completed",1,0)</f>
        <v>1</v>
      </c>
      <c r="AG160">
        <f t="shared" ca="1" si="12"/>
        <v>1</v>
      </c>
      <c r="AH160">
        <f t="shared" ca="1" si="13"/>
        <v>1</v>
      </c>
      <c r="AI160">
        <f t="shared" ca="1" si="14"/>
        <v>5</v>
      </c>
      <c r="AJ160" t="s">
        <v>317</v>
      </c>
    </row>
    <row r="161" spans="1:36" x14ac:dyDescent="0.2">
      <c r="A161" t="s">
        <v>213</v>
      </c>
      <c r="B161" t="s">
        <v>43</v>
      </c>
      <c r="C161" t="s">
        <v>38</v>
      </c>
      <c r="D161" t="s">
        <v>39</v>
      </c>
      <c r="E161" s="1">
        <v>43968</v>
      </c>
      <c r="F161" s="1">
        <v>44044</v>
      </c>
      <c r="G161" s="1">
        <v>44054</v>
      </c>
      <c r="H161" s="1">
        <v>45165</v>
      </c>
      <c r="I161" t="s">
        <v>57</v>
      </c>
      <c r="J161" s="2">
        <v>3336</v>
      </c>
      <c r="K161" t="s">
        <v>28</v>
      </c>
      <c r="L161" t="s">
        <v>55</v>
      </c>
      <c r="M161">
        <v>260</v>
      </c>
      <c r="N161">
        <v>1</v>
      </c>
      <c r="O161" s="3">
        <v>2329</v>
      </c>
      <c r="P161">
        <f t="shared" ca="1" si="10"/>
        <v>10</v>
      </c>
      <c r="Q161">
        <f ca="1">RANDBETWEEN(0,Table1[[#This Row],[offers made]])</f>
        <v>8</v>
      </c>
      <c r="R161" t="s">
        <v>306</v>
      </c>
      <c r="S161">
        <f>Table1[[#This Row],[Hire Date]]-Table1[[#This Row],[Job Posting Date]]</f>
        <v>76</v>
      </c>
      <c r="T161" s="4">
        <f>Table1[[#This Row],[Join Date]]-Table1[[#This Row],[Hire Date]]</f>
        <v>10</v>
      </c>
      <c r="U161" s="4">
        <f ca="1">IF(Table1[[#This Row],[Status]]="Exited",Table1[[#This Row],[Exit Date]]-Table1[[#This Row],[Join Date]],TODAY()-Table1[[#This Row],[Join Date]])</f>
        <v>1111</v>
      </c>
      <c r="V161" t="str">
        <f ca="1">IF(Table1[[#This Row],[Total Tenure in Days]]&lt;=730, "yes","no")</f>
        <v>no</v>
      </c>
      <c r="W161">
        <f>Table1[[#This Row],[Hire Date]]-Table1[[#This Row],[Job Posting Date]]</f>
        <v>76</v>
      </c>
      <c r="X161" s="4">
        <f>Table1[[#This Row],[Time to Onboard]]/Table1[[#This Row],[Time to Fill]]*100</f>
        <v>13.157894736842104</v>
      </c>
      <c r="Y161" s="5">
        <f>Table1[[#This Row],[Time to Onboard]]/Table1[[#This Row],[Time to Fill]]*100</f>
        <v>13.157894736842104</v>
      </c>
      <c r="Z161">
        <f>Table1[[#This Row],[Join Date]]-Table1[[#This Row],[Job Posting Date]]</f>
        <v>86</v>
      </c>
      <c r="AA161">
        <f t="shared" ca="1" si="11"/>
        <v>137</v>
      </c>
      <c r="AB161" s="5">
        <f>Table1[[#This Row],[Absentee Days]]/Table1[[#This Row],[Total Work Days]]*100</f>
        <v>0.38461538461538464</v>
      </c>
      <c r="AC161">
        <f>YEAR(Table1[[#This Row],[Join Date]])</f>
        <v>2020</v>
      </c>
      <c r="AD161">
        <f>IF(Table1[[#This Row],[Status]]="Active",1,0)</f>
        <v>0</v>
      </c>
      <c r="AE161">
        <f ca="1">IF(Table1[[#This Row],[Status]]="Exited",Table1[[#This Row],[Recruitment Cost]]+Table1[[#This Row],[Onboarding Cost]]+Table1[[#This Row],[Training Cost]],0)</f>
        <v>5802</v>
      </c>
      <c r="AF161">
        <f>IF(Table1[[#This Row],[Training Completion Status]]="Completed",1,0)</f>
        <v>0</v>
      </c>
      <c r="AG161">
        <f t="shared" ca="1" si="12"/>
        <v>2</v>
      </c>
      <c r="AH161">
        <f t="shared" ca="1" si="13"/>
        <v>4</v>
      </c>
      <c r="AI161">
        <f t="shared" ca="1" si="14"/>
        <v>1</v>
      </c>
      <c r="AJ161" t="s">
        <v>317</v>
      </c>
    </row>
    <row r="162" spans="1:36" x14ac:dyDescent="0.2">
      <c r="A162" t="s">
        <v>214</v>
      </c>
      <c r="B162" t="s">
        <v>41</v>
      </c>
      <c r="C162" t="s">
        <v>26</v>
      </c>
      <c r="D162" t="s">
        <v>27</v>
      </c>
      <c r="E162" s="1">
        <v>43975</v>
      </c>
      <c r="F162" s="1">
        <v>44020</v>
      </c>
      <c r="G162" s="1">
        <v>44021</v>
      </c>
      <c r="H162" s="1">
        <v>44438</v>
      </c>
      <c r="I162" t="s">
        <v>57</v>
      </c>
      <c r="J162" s="2">
        <v>2032</v>
      </c>
      <c r="K162" t="s">
        <v>40</v>
      </c>
      <c r="L162" t="s">
        <v>55</v>
      </c>
      <c r="M162">
        <v>260</v>
      </c>
      <c r="N162">
        <v>0</v>
      </c>
      <c r="O162" s="3">
        <v>1363</v>
      </c>
      <c r="P162">
        <f t="shared" ca="1" si="10"/>
        <v>2</v>
      </c>
      <c r="Q162">
        <f ca="1">RANDBETWEEN(0,Table1[[#This Row],[offers made]])</f>
        <v>2</v>
      </c>
      <c r="R162" t="s">
        <v>308</v>
      </c>
      <c r="S162">
        <f>Table1[[#This Row],[Hire Date]]-Table1[[#This Row],[Job Posting Date]]</f>
        <v>45</v>
      </c>
      <c r="T162" s="4">
        <f>Table1[[#This Row],[Join Date]]-Table1[[#This Row],[Hire Date]]</f>
        <v>1</v>
      </c>
      <c r="U162" s="4">
        <f ca="1">IF(Table1[[#This Row],[Status]]="Exited",Table1[[#This Row],[Exit Date]]-Table1[[#This Row],[Join Date]],TODAY()-Table1[[#This Row],[Join Date]])</f>
        <v>417</v>
      </c>
      <c r="V162" t="str">
        <f ca="1">IF(Table1[[#This Row],[Total Tenure in Days]]&lt;=730, "yes","no")</f>
        <v>yes</v>
      </c>
      <c r="W162">
        <f>Table1[[#This Row],[Hire Date]]-Table1[[#This Row],[Job Posting Date]]</f>
        <v>45</v>
      </c>
      <c r="X162" s="4">
        <f>Table1[[#This Row],[Time to Onboard]]/Table1[[#This Row],[Time to Fill]]*100</f>
        <v>2.2222222222222223</v>
      </c>
      <c r="Y162" s="5">
        <f>Table1[[#This Row],[Time to Onboard]]/Table1[[#This Row],[Time to Fill]]*100</f>
        <v>2.2222222222222223</v>
      </c>
      <c r="Z162">
        <f>Table1[[#This Row],[Join Date]]-Table1[[#This Row],[Job Posting Date]]</f>
        <v>46</v>
      </c>
      <c r="AA162">
        <f t="shared" ca="1" si="11"/>
        <v>178</v>
      </c>
      <c r="AB162" s="5">
        <f>Table1[[#This Row],[Absentee Days]]/Table1[[#This Row],[Total Work Days]]*100</f>
        <v>0</v>
      </c>
      <c r="AC162">
        <f>YEAR(Table1[[#This Row],[Join Date]])</f>
        <v>2020</v>
      </c>
      <c r="AD162">
        <f>IF(Table1[[#This Row],[Status]]="Active",1,0)</f>
        <v>0</v>
      </c>
      <c r="AE162">
        <f ca="1">IF(Table1[[#This Row],[Status]]="Exited",Table1[[#This Row],[Recruitment Cost]]+Table1[[#This Row],[Onboarding Cost]]+Table1[[#This Row],[Training Cost]],0)</f>
        <v>3573</v>
      </c>
      <c r="AF162">
        <f>IF(Table1[[#This Row],[Training Completion Status]]="Completed",1,0)</f>
        <v>0</v>
      </c>
      <c r="AG162">
        <f t="shared" ca="1" si="12"/>
        <v>5</v>
      </c>
      <c r="AH162">
        <f t="shared" ca="1" si="13"/>
        <v>4</v>
      </c>
      <c r="AI162">
        <f t="shared" ca="1" si="14"/>
        <v>2</v>
      </c>
      <c r="AJ162" t="s">
        <v>318</v>
      </c>
    </row>
    <row r="163" spans="1:36" x14ac:dyDescent="0.2">
      <c r="A163" t="s">
        <v>215</v>
      </c>
      <c r="B163" t="s">
        <v>42</v>
      </c>
      <c r="C163" t="s">
        <v>35</v>
      </c>
      <c r="D163" t="s">
        <v>36</v>
      </c>
      <c r="E163" s="1">
        <v>43674</v>
      </c>
      <c r="F163" s="1">
        <v>43709</v>
      </c>
      <c r="G163" s="1">
        <v>43721</v>
      </c>
      <c r="H163" s="1">
        <v>45510</v>
      </c>
      <c r="I163" t="s">
        <v>57</v>
      </c>
      <c r="J163" s="2">
        <v>2457</v>
      </c>
      <c r="K163" t="s">
        <v>37</v>
      </c>
      <c r="L163" t="s">
        <v>52</v>
      </c>
      <c r="M163">
        <v>260</v>
      </c>
      <c r="N163">
        <v>9</v>
      </c>
      <c r="O163" s="3">
        <v>1353</v>
      </c>
      <c r="P163">
        <f t="shared" ca="1" si="10"/>
        <v>6</v>
      </c>
      <c r="Q163">
        <f ca="1">RANDBETWEEN(0,Table1[[#This Row],[offers made]])</f>
        <v>2</v>
      </c>
      <c r="R163" t="s">
        <v>308</v>
      </c>
      <c r="S163">
        <f>Table1[[#This Row],[Hire Date]]-Table1[[#This Row],[Job Posting Date]]</f>
        <v>35</v>
      </c>
      <c r="T163" s="4">
        <f>Table1[[#This Row],[Join Date]]-Table1[[#This Row],[Hire Date]]</f>
        <v>12</v>
      </c>
      <c r="U163" s="4">
        <f ca="1">IF(Table1[[#This Row],[Status]]="Exited",Table1[[#This Row],[Exit Date]]-Table1[[#This Row],[Join Date]],TODAY()-Table1[[#This Row],[Join Date]])</f>
        <v>1789</v>
      </c>
      <c r="V163" t="str">
        <f ca="1">IF(Table1[[#This Row],[Total Tenure in Days]]&lt;=730, "yes","no")</f>
        <v>no</v>
      </c>
      <c r="W163">
        <f>Table1[[#This Row],[Hire Date]]-Table1[[#This Row],[Job Posting Date]]</f>
        <v>35</v>
      </c>
      <c r="X163" s="4">
        <f>Table1[[#This Row],[Time to Onboard]]/Table1[[#This Row],[Time to Fill]]*100</f>
        <v>34.285714285714285</v>
      </c>
      <c r="Y163" s="5">
        <f>Table1[[#This Row],[Time to Onboard]]/Table1[[#This Row],[Time to Fill]]*100</f>
        <v>34.285714285714285</v>
      </c>
      <c r="Z163">
        <f>Table1[[#This Row],[Join Date]]-Table1[[#This Row],[Job Posting Date]]</f>
        <v>47</v>
      </c>
      <c r="AA163">
        <f t="shared" ca="1" si="11"/>
        <v>175</v>
      </c>
      <c r="AB163" s="5">
        <f>Table1[[#This Row],[Absentee Days]]/Table1[[#This Row],[Total Work Days]]*100</f>
        <v>3.4615384615384617</v>
      </c>
      <c r="AC163">
        <f>YEAR(Table1[[#This Row],[Join Date]])</f>
        <v>2019</v>
      </c>
      <c r="AD163">
        <f>IF(Table1[[#This Row],[Status]]="Active",1,0)</f>
        <v>0</v>
      </c>
      <c r="AE163">
        <f ca="1">IF(Table1[[#This Row],[Status]]="Exited",Table1[[#This Row],[Recruitment Cost]]+Table1[[#This Row],[Onboarding Cost]]+Table1[[#This Row],[Training Cost]],0)</f>
        <v>3985</v>
      </c>
      <c r="AF163">
        <f>IF(Table1[[#This Row],[Training Completion Status]]="Completed",1,0)</f>
        <v>1</v>
      </c>
      <c r="AG163">
        <f t="shared" ca="1" si="12"/>
        <v>5</v>
      </c>
      <c r="AH163">
        <f t="shared" ca="1" si="13"/>
        <v>4</v>
      </c>
      <c r="AI163">
        <f t="shared" ca="1" si="14"/>
        <v>5</v>
      </c>
      <c r="AJ163" t="s">
        <v>318</v>
      </c>
    </row>
    <row r="164" spans="1:36" x14ac:dyDescent="0.2">
      <c r="A164" t="s">
        <v>216</v>
      </c>
      <c r="B164" t="s">
        <v>41</v>
      </c>
      <c r="C164" t="s">
        <v>29</v>
      </c>
      <c r="D164" t="s">
        <v>30</v>
      </c>
      <c r="E164" s="1">
        <v>44250</v>
      </c>
      <c r="F164" s="1">
        <v>44331</v>
      </c>
      <c r="G164" s="1">
        <v>44341</v>
      </c>
      <c r="H164" s="1" t="s">
        <v>50</v>
      </c>
      <c r="I164" t="s">
        <v>51</v>
      </c>
      <c r="J164" s="2">
        <v>2626</v>
      </c>
      <c r="K164" t="s">
        <v>31</v>
      </c>
      <c r="L164" t="s">
        <v>55</v>
      </c>
      <c r="M164">
        <v>260</v>
      </c>
      <c r="N164">
        <v>0</v>
      </c>
      <c r="O164" s="3">
        <v>1216</v>
      </c>
      <c r="P164">
        <f t="shared" ca="1" si="10"/>
        <v>8</v>
      </c>
      <c r="Q164">
        <f ca="1">RANDBETWEEN(0,Table1[[#This Row],[offers made]])</f>
        <v>8</v>
      </c>
      <c r="R164" t="s">
        <v>308</v>
      </c>
      <c r="S164">
        <f>Table1[[#This Row],[Hire Date]]-Table1[[#This Row],[Job Posting Date]]</f>
        <v>81</v>
      </c>
      <c r="T164" s="4">
        <f>Table1[[#This Row],[Join Date]]-Table1[[#This Row],[Hire Date]]</f>
        <v>10</v>
      </c>
      <c r="U164" s="4">
        <f ca="1">IF(Table1[[#This Row],[Status]]="Exited",Table1[[#This Row],[Exit Date]]-Table1[[#This Row],[Join Date]],TODAY()-Table1[[#This Row],[Join Date]])</f>
        <v>1320</v>
      </c>
      <c r="V164" t="str">
        <f ca="1">IF(Table1[[#This Row],[Total Tenure in Days]]&lt;=730, "yes","no")</f>
        <v>no</v>
      </c>
      <c r="W164">
        <f>Table1[[#This Row],[Hire Date]]-Table1[[#This Row],[Job Posting Date]]</f>
        <v>81</v>
      </c>
      <c r="X164" s="4">
        <f>Table1[[#This Row],[Time to Onboard]]/Table1[[#This Row],[Time to Fill]]*100</f>
        <v>12.345679012345679</v>
      </c>
      <c r="Y164" s="5">
        <f>Table1[[#This Row],[Time to Onboard]]/Table1[[#This Row],[Time to Fill]]*100</f>
        <v>12.345679012345679</v>
      </c>
      <c r="Z164">
        <f>Table1[[#This Row],[Join Date]]-Table1[[#This Row],[Job Posting Date]]</f>
        <v>91</v>
      </c>
      <c r="AA164">
        <f t="shared" ca="1" si="11"/>
        <v>168</v>
      </c>
      <c r="AB164" s="5">
        <f>Table1[[#This Row],[Absentee Days]]/Table1[[#This Row],[Total Work Days]]*100</f>
        <v>0</v>
      </c>
      <c r="AC164">
        <f>YEAR(Table1[[#This Row],[Join Date]])</f>
        <v>2021</v>
      </c>
      <c r="AD164">
        <f>IF(Table1[[#This Row],[Status]]="Active",1,0)</f>
        <v>1</v>
      </c>
      <c r="AE164">
        <f>IF(Table1[[#This Row],[Status]]="Exited",Table1[[#This Row],[Recruitment Cost]]+Table1[[#This Row],[Onboarding Cost]]+Table1[[#This Row],[Training Cost]],0)</f>
        <v>0</v>
      </c>
      <c r="AF164">
        <f>IF(Table1[[#This Row],[Training Completion Status]]="Completed",1,0)</f>
        <v>0</v>
      </c>
      <c r="AG164">
        <f t="shared" ca="1" si="12"/>
        <v>5</v>
      </c>
      <c r="AH164">
        <f t="shared" ca="1" si="13"/>
        <v>4</v>
      </c>
      <c r="AI164">
        <f t="shared" ca="1" si="14"/>
        <v>2</v>
      </c>
      <c r="AJ164" t="s">
        <v>318</v>
      </c>
    </row>
    <row r="165" spans="1:36" x14ac:dyDescent="0.2">
      <c r="A165" t="s">
        <v>217</v>
      </c>
      <c r="B165" t="s">
        <v>43</v>
      </c>
      <c r="C165" t="s">
        <v>26</v>
      </c>
      <c r="D165" t="s">
        <v>27</v>
      </c>
      <c r="E165" s="1">
        <v>44446</v>
      </c>
      <c r="F165" s="1">
        <v>44508</v>
      </c>
      <c r="G165" s="1">
        <v>44519</v>
      </c>
      <c r="H165" s="1" t="s">
        <v>50</v>
      </c>
      <c r="I165" t="s">
        <v>51</v>
      </c>
      <c r="J165" s="2">
        <v>3436</v>
      </c>
      <c r="K165" t="s">
        <v>37</v>
      </c>
      <c r="L165" t="s">
        <v>52</v>
      </c>
      <c r="M165">
        <v>260</v>
      </c>
      <c r="N165">
        <v>1</v>
      </c>
      <c r="O165" s="3">
        <v>1275</v>
      </c>
      <c r="P165">
        <f t="shared" ca="1" si="10"/>
        <v>4</v>
      </c>
      <c r="Q165">
        <f ca="1">RANDBETWEEN(0,Table1[[#This Row],[offers made]])</f>
        <v>1</v>
      </c>
      <c r="R165" t="s">
        <v>306</v>
      </c>
      <c r="S165">
        <f>Table1[[#This Row],[Hire Date]]-Table1[[#This Row],[Job Posting Date]]</f>
        <v>62</v>
      </c>
      <c r="T165" s="4">
        <f>Table1[[#This Row],[Join Date]]-Table1[[#This Row],[Hire Date]]</f>
        <v>11</v>
      </c>
      <c r="U165" s="4">
        <f ca="1">IF(Table1[[#This Row],[Status]]="Exited",Table1[[#This Row],[Exit Date]]-Table1[[#This Row],[Join Date]],TODAY()-Table1[[#This Row],[Join Date]])</f>
        <v>1142</v>
      </c>
      <c r="V165" t="str">
        <f ca="1">IF(Table1[[#This Row],[Total Tenure in Days]]&lt;=730, "yes","no")</f>
        <v>no</v>
      </c>
      <c r="W165">
        <f>Table1[[#This Row],[Hire Date]]-Table1[[#This Row],[Job Posting Date]]</f>
        <v>62</v>
      </c>
      <c r="X165" s="4">
        <f>Table1[[#This Row],[Time to Onboard]]/Table1[[#This Row],[Time to Fill]]*100</f>
        <v>17.741935483870968</v>
      </c>
      <c r="Y165" s="5">
        <f>Table1[[#This Row],[Time to Onboard]]/Table1[[#This Row],[Time to Fill]]*100</f>
        <v>17.741935483870968</v>
      </c>
      <c r="Z165">
        <f>Table1[[#This Row],[Join Date]]-Table1[[#This Row],[Job Posting Date]]</f>
        <v>73</v>
      </c>
      <c r="AA165">
        <f t="shared" ca="1" si="11"/>
        <v>152</v>
      </c>
      <c r="AB165" s="5">
        <f>Table1[[#This Row],[Absentee Days]]/Table1[[#This Row],[Total Work Days]]*100</f>
        <v>0.38461538461538464</v>
      </c>
      <c r="AC165">
        <f>YEAR(Table1[[#This Row],[Join Date]])</f>
        <v>2021</v>
      </c>
      <c r="AD165">
        <f>IF(Table1[[#This Row],[Status]]="Active",1,0)</f>
        <v>1</v>
      </c>
      <c r="AE165">
        <f>IF(Table1[[#This Row],[Status]]="Exited",Table1[[#This Row],[Recruitment Cost]]+Table1[[#This Row],[Onboarding Cost]]+Table1[[#This Row],[Training Cost]],0)</f>
        <v>0</v>
      </c>
      <c r="AF165">
        <f>IF(Table1[[#This Row],[Training Completion Status]]="Completed",1,0)</f>
        <v>1</v>
      </c>
      <c r="AG165">
        <f t="shared" ca="1" si="12"/>
        <v>2</v>
      </c>
      <c r="AH165">
        <f t="shared" ca="1" si="13"/>
        <v>1</v>
      </c>
      <c r="AI165">
        <f t="shared" ca="1" si="14"/>
        <v>2</v>
      </c>
      <c r="AJ165" t="s">
        <v>317</v>
      </c>
    </row>
    <row r="166" spans="1:36" x14ac:dyDescent="0.2">
      <c r="A166" t="s">
        <v>218</v>
      </c>
      <c r="B166" t="s">
        <v>41</v>
      </c>
      <c r="C166" t="s">
        <v>38</v>
      </c>
      <c r="D166" t="s">
        <v>39</v>
      </c>
      <c r="E166" s="1">
        <v>43375</v>
      </c>
      <c r="F166" s="1">
        <v>43413</v>
      </c>
      <c r="G166" s="1">
        <v>43415</v>
      </c>
      <c r="H166" s="1">
        <v>44037</v>
      </c>
      <c r="I166" t="s">
        <v>57</v>
      </c>
      <c r="J166" s="2">
        <v>2704</v>
      </c>
      <c r="K166" t="s">
        <v>40</v>
      </c>
      <c r="L166" t="s">
        <v>52</v>
      </c>
      <c r="M166">
        <v>260</v>
      </c>
      <c r="N166">
        <v>0</v>
      </c>
      <c r="O166" s="3">
        <v>1898</v>
      </c>
      <c r="P166">
        <f t="shared" ca="1" si="10"/>
        <v>5</v>
      </c>
      <c r="Q166">
        <f ca="1">RANDBETWEEN(0,Table1[[#This Row],[offers made]])</f>
        <v>1</v>
      </c>
      <c r="R166" t="s">
        <v>306</v>
      </c>
      <c r="S166">
        <f>Table1[[#This Row],[Hire Date]]-Table1[[#This Row],[Job Posting Date]]</f>
        <v>38</v>
      </c>
      <c r="T166" s="4">
        <f>Table1[[#This Row],[Join Date]]-Table1[[#This Row],[Hire Date]]</f>
        <v>2</v>
      </c>
      <c r="U166" s="4">
        <f ca="1">IF(Table1[[#This Row],[Status]]="Exited",Table1[[#This Row],[Exit Date]]-Table1[[#This Row],[Join Date]],TODAY()-Table1[[#This Row],[Join Date]])</f>
        <v>622</v>
      </c>
      <c r="V166" t="str">
        <f ca="1">IF(Table1[[#This Row],[Total Tenure in Days]]&lt;=730, "yes","no")</f>
        <v>yes</v>
      </c>
      <c r="W166">
        <f>Table1[[#This Row],[Hire Date]]-Table1[[#This Row],[Job Posting Date]]</f>
        <v>38</v>
      </c>
      <c r="X166" s="4">
        <f>Table1[[#This Row],[Time to Onboard]]/Table1[[#This Row],[Time to Fill]]*100</f>
        <v>5.2631578947368416</v>
      </c>
      <c r="Y166" s="5">
        <f>Table1[[#This Row],[Time to Onboard]]/Table1[[#This Row],[Time to Fill]]*100</f>
        <v>5.2631578947368416</v>
      </c>
      <c r="Z166">
        <f>Table1[[#This Row],[Join Date]]-Table1[[#This Row],[Job Posting Date]]</f>
        <v>40</v>
      </c>
      <c r="AA166">
        <f t="shared" ca="1" si="11"/>
        <v>152</v>
      </c>
      <c r="AB166" s="5">
        <f>Table1[[#This Row],[Absentee Days]]/Table1[[#This Row],[Total Work Days]]*100</f>
        <v>0</v>
      </c>
      <c r="AC166">
        <f>YEAR(Table1[[#This Row],[Join Date]])</f>
        <v>2018</v>
      </c>
      <c r="AD166">
        <f>IF(Table1[[#This Row],[Status]]="Active",1,0)</f>
        <v>0</v>
      </c>
      <c r="AE166">
        <f ca="1">IF(Table1[[#This Row],[Status]]="Exited",Table1[[#This Row],[Recruitment Cost]]+Table1[[#This Row],[Onboarding Cost]]+Table1[[#This Row],[Training Cost]],0)</f>
        <v>4754</v>
      </c>
      <c r="AF166">
        <f>IF(Table1[[#This Row],[Training Completion Status]]="Completed",1,0)</f>
        <v>1</v>
      </c>
      <c r="AG166">
        <f t="shared" ca="1" si="12"/>
        <v>1</v>
      </c>
      <c r="AH166">
        <f t="shared" ca="1" si="13"/>
        <v>3</v>
      </c>
      <c r="AI166">
        <f t="shared" ca="1" si="14"/>
        <v>5</v>
      </c>
      <c r="AJ166" t="s">
        <v>317</v>
      </c>
    </row>
    <row r="167" spans="1:36" x14ac:dyDescent="0.2">
      <c r="A167" t="s">
        <v>219</v>
      </c>
      <c r="B167" t="s">
        <v>41</v>
      </c>
      <c r="C167" t="s">
        <v>26</v>
      </c>
      <c r="D167" t="s">
        <v>27</v>
      </c>
      <c r="E167" s="1">
        <v>43588</v>
      </c>
      <c r="F167" s="1">
        <v>43660</v>
      </c>
      <c r="G167" s="1">
        <v>43669</v>
      </c>
      <c r="H167" s="1">
        <v>43856</v>
      </c>
      <c r="I167" t="s">
        <v>57</v>
      </c>
      <c r="J167" s="2">
        <v>3230</v>
      </c>
      <c r="K167" t="s">
        <v>28</v>
      </c>
      <c r="L167" t="s">
        <v>52</v>
      </c>
      <c r="M167">
        <v>260</v>
      </c>
      <c r="N167">
        <v>11</v>
      </c>
      <c r="O167" s="3">
        <v>1929</v>
      </c>
      <c r="P167">
        <f t="shared" ca="1" si="10"/>
        <v>6</v>
      </c>
      <c r="Q167">
        <f ca="1">RANDBETWEEN(0,Table1[[#This Row],[offers made]])</f>
        <v>1</v>
      </c>
      <c r="R167" t="s">
        <v>306</v>
      </c>
      <c r="S167">
        <f>Table1[[#This Row],[Hire Date]]-Table1[[#This Row],[Job Posting Date]]</f>
        <v>72</v>
      </c>
      <c r="T167" s="4">
        <f>Table1[[#This Row],[Join Date]]-Table1[[#This Row],[Hire Date]]</f>
        <v>9</v>
      </c>
      <c r="U167" s="4">
        <f ca="1">IF(Table1[[#This Row],[Status]]="Exited",Table1[[#This Row],[Exit Date]]-Table1[[#This Row],[Join Date]],TODAY()-Table1[[#This Row],[Join Date]])</f>
        <v>187</v>
      </c>
      <c r="V167" t="str">
        <f ca="1">IF(Table1[[#This Row],[Total Tenure in Days]]&lt;=730, "yes","no")</f>
        <v>yes</v>
      </c>
      <c r="W167">
        <f>Table1[[#This Row],[Hire Date]]-Table1[[#This Row],[Job Posting Date]]</f>
        <v>72</v>
      </c>
      <c r="X167" s="4">
        <f>Table1[[#This Row],[Time to Onboard]]/Table1[[#This Row],[Time to Fill]]*100</f>
        <v>12.5</v>
      </c>
      <c r="Y167" s="5">
        <f>Table1[[#This Row],[Time to Onboard]]/Table1[[#This Row],[Time to Fill]]*100</f>
        <v>12.5</v>
      </c>
      <c r="Z167">
        <f>Table1[[#This Row],[Join Date]]-Table1[[#This Row],[Job Posting Date]]</f>
        <v>81</v>
      </c>
      <c r="AA167">
        <f t="shared" ca="1" si="11"/>
        <v>160</v>
      </c>
      <c r="AB167" s="5">
        <f>Table1[[#This Row],[Absentee Days]]/Table1[[#This Row],[Total Work Days]]*100</f>
        <v>4.2307692307692308</v>
      </c>
      <c r="AC167">
        <f>YEAR(Table1[[#This Row],[Join Date]])</f>
        <v>2019</v>
      </c>
      <c r="AD167">
        <f>IF(Table1[[#This Row],[Status]]="Active",1,0)</f>
        <v>0</v>
      </c>
      <c r="AE167">
        <f ca="1">IF(Table1[[#This Row],[Status]]="Exited",Table1[[#This Row],[Recruitment Cost]]+Table1[[#This Row],[Onboarding Cost]]+Table1[[#This Row],[Training Cost]],0)</f>
        <v>5319</v>
      </c>
      <c r="AF167">
        <f>IF(Table1[[#This Row],[Training Completion Status]]="Completed",1,0)</f>
        <v>1</v>
      </c>
      <c r="AG167">
        <f t="shared" ca="1" si="12"/>
        <v>5</v>
      </c>
      <c r="AH167">
        <f t="shared" ca="1" si="13"/>
        <v>2</v>
      </c>
      <c r="AI167">
        <f t="shared" ca="1" si="14"/>
        <v>4</v>
      </c>
      <c r="AJ167" t="s">
        <v>317</v>
      </c>
    </row>
    <row r="168" spans="1:36" x14ac:dyDescent="0.2">
      <c r="A168" t="s">
        <v>220</v>
      </c>
      <c r="B168" t="s">
        <v>41</v>
      </c>
      <c r="C168" t="s">
        <v>32</v>
      </c>
      <c r="D168" t="s">
        <v>33</v>
      </c>
      <c r="E168" s="1">
        <v>44161</v>
      </c>
      <c r="F168" s="1">
        <v>44202</v>
      </c>
      <c r="G168" s="1">
        <v>44206</v>
      </c>
      <c r="H168" s="1">
        <v>45394</v>
      </c>
      <c r="I168" t="s">
        <v>57</v>
      </c>
      <c r="J168" s="2">
        <v>4764</v>
      </c>
      <c r="K168" t="s">
        <v>31</v>
      </c>
      <c r="L168" t="s">
        <v>52</v>
      </c>
      <c r="M168">
        <v>260</v>
      </c>
      <c r="N168">
        <v>10</v>
      </c>
      <c r="O168" s="3">
        <v>1633</v>
      </c>
      <c r="P168">
        <f t="shared" ca="1" si="10"/>
        <v>6</v>
      </c>
      <c r="Q168">
        <f ca="1">RANDBETWEEN(0,Table1[[#This Row],[offers made]])</f>
        <v>6</v>
      </c>
      <c r="R168" t="s">
        <v>308</v>
      </c>
      <c r="S168">
        <f>Table1[[#This Row],[Hire Date]]-Table1[[#This Row],[Job Posting Date]]</f>
        <v>41</v>
      </c>
      <c r="T168" s="4">
        <f>Table1[[#This Row],[Join Date]]-Table1[[#This Row],[Hire Date]]</f>
        <v>4</v>
      </c>
      <c r="U168" s="4">
        <f ca="1">IF(Table1[[#This Row],[Status]]="Exited",Table1[[#This Row],[Exit Date]]-Table1[[#This Row],[Join Date]],TODAY()-Table1[[#This Row],[Join Date]])</f>
        <v>1188</v>
      </c>
      <c r="V168" t="str">
        <f ca="1">IF(Table1[[#This Row],[Total Tenure in Days]]&lt;=730, "yes","no")</f>
        <v>no</v>
      </c>
      <c r="W168">
        <f>Table1[[#This Row],[Hire Date]]-Table1[[#This Row],[Job Posting Date]]</f>
        <v>41</v>
      </c>
      <c r="X168" s="4">
        <f>Table1[[#This Row],[Time to Onboard]]/Table1[[#This Row],[Time to Fill]]*100</f>
        <v>9.7560975609756095</v>
      </c>
      <c r="Y168" s="5">
        <f>Table1[[#This Row],[Time to Onboard]]/Table1[[#This Row],[Time to Fill]]*100</f>
        <v>9.7560975609756095</v>
      </c>
      <c r="Z168">
        <f>Table1[[#This Row],[Join Date]]-Table1[[#This Row],[Job Posting Date]]</f>
        <v>45</v>
      </c>
      <c r="AA168">
        <f t="shared" ca="1" si="11"/>
        <v>193</v>
      </c>
      <c r="AB168" s="5">
        <f>Table1[[#This Row],[Absentee Days]]/Table1[[#This Row],[Total Work Days]]*100</f>
        <v>3.8461538461538463</v>
      </c>
      <c r="AC168">
        <f>YEAR(Table1[[#This Row],[Join Date]])</f>
        <v>2021</v>
      </c>
      <c r="AD168">
        <f>IF(Table1[[#This Row],[Status]]="Active",1,0)</f>
        <v>0</v>
      </c>
      <c r="AE168">
        <f ca="1">IF(Table1[[#This Row],[Status]]="Exited",Table1[[#This Row],[Recruitment Cost]]+Table1[[#This Row],[Onboarding Cost]]+Table1[[#This Row],[Training Cost]],0)</f>
        <v>6590</v>
      </c>
      <c r="AF168">
        <f>IF(Table1[[#This Row],[Training Completion Status]]="Completed",1,0)</f>
        <v>1</v>
      </c>
      <c r="AG168">
        <f t="shared" ca="1" si="12"/>
        <v>2</v>
      </c>
      <c r="AH168">
        <f t="shared" ca="1" si="13"/>
        <v>1</v>
      </c>
      <c r="AI168">
        <f t="shared" ca="1" si="14"/>
        <v>2</v>
      </c>
      <c r="AJ168" t="s">
        <v>317</v>
      </c>
    </row>
    <row r="169" spans="1:36" x14ac:dyDescent="0.2">
      <c r="A169" t="s">
        <v>221</v>
      </c>
      <c r="B169" t="s">
        <v>41</v>
      </c>
      <c r="C169" t="s">
        <v>38</v>
      </c>
      <c r="D169" t="s">
        <v>39</v>
      </c>
      <c r="E169" s="1">
        <v>43198</v>
      </c>
      <c r="F169" s="1">
        <v>43253</v>
      </c>
      <c r="G169" s="1">
        <v>43255</v>
      </c>
      <c r="H169" s="1">
        <v>44311</v>
      </c>
      <c r="I169" t="s">
        <v>57</v>
      </c>
      <c r="J169" s="2">
        <v>4940</v>
      </c>
      <c r="K169" t="s">
        <v>40</v>
      </c>
      <c r="L169" t="s">
        <v>52</v>
      </c>
      <c r="M169">
        <v>260</v>
      </c>
      <c r="N169">
        <v>6</v>
      </c>
      <c r="O169" s="3">
        <v>1655</v>
      </c>
      <c r="P169">
        <f t="shared" ca="1" si="10"/>
        <v>1</v>
      </c>
      <c r="Q169">
        <f ca="1">RANDBETWEEN(0,Table1[[#This Row],[offers made]])</f>
        <v>1</v>
      </c>
      <c r="R169" t="s">
        <v>308</v>
      </c>
      <c r="S169">
        <f>Table1[[#This Row],[Hire Date]]-Table1[[#This Row],[Job Posting Date]]</f>
        <v>55</v>
      </c>
      <c r="T169" s="4">
        <f>Table1[[#This Row],[Join Date]]-Table1[[#This Row],[Hire Date]]</f>
        <v>2</v>
      </c>
      <c r="U169" s="4">
        <f ca="1">IF(Table1[[#This Row],[Status]]="Exited",Table1[[#This Row],[Exit Date]]-Table1[[#This Row],[Join Date]],TODAY()-Table1[[#This Row],[Join Date]])</f>
        <v>1056</v>
      </c>
      <c r="V169" t="str">
        <f ca="1">IF(Table1[[#This Row],[Total Tenure in Days]]&lt;=730, "yes","no")</f>
        <v>no</v>
      </c>
      <c r="W169">
        <f>Table1[[#This Row],[Hire Date]]-Table1[[#This Row],[Job Posting Date]]</f>
        <v>55</v>
      </c>
      <c r="X169" s="4">
        <f>Table1[[#This Row],[Time to Onboard]]/Table1[[#This Row],[Time to Fill]]*100</f>
        <v>3.6363636363636362</v>
      </c>
      <c r="Y169" s="5">
        <f>Table1[[#This Row],[Time to Onboard]]/Table1[[#This Row],[Time to Fill]]*100</f>
        <v>3.6363636363636362</v>
      </c>
      <c r="Z169">
        <f>Table1[[#This Row],[Join Date]]-Table1[[#This Row],[Job Posting Date]]</f>
        <v>57</v>
      </c>
      <c r="AA169">
        <f t="shared" ca="1" si="11"/>
        <v>129</v>
      </c>
      <c r="AB169" s="5">
        <f>Table1[[#This Row],[Absentee Days]]/Table1[[#This Row],[Total Work Days]]*100</f>
        <v>2.3076923076923079</v>
      </c>
      <c r="AC169">
        <f>YEAR(Table1[[#This Row],[Join Date]])</f>
        <v>2018</v>
      </c>
      <c r="AD169">
        <f>IF(Table1[[#This Row],[Status]]="Active",1,0)</f>
        <v>0</v>
      </c>
      <c r="AE169">
        <f ca="1">IF(Table1[[#This Row],[Status]]="Exited",Table1[[#This Row],[Recruitment Cost]]+Table1[[#This Row],[Onboarding Cost]]+Table1[[#This Row],[Training Cost]],0)</f>
        <v>6724</v>
      </c>
      <c r="AF169">
        <f>IF(Table1[[#This Row],[Training Completion Status]]="Completed",1,0)</f>
        <v>1</v>
      </c>
      <c r="AG169">
        <f t="shared" ca="1" si="12"/>
        <v>3</v>
      </c>
      <c r="AH169">
        <f t="shared" ca="1" si="13"/>
        <v>5</v>
      </c>
      <c r="AI169">
        <f t="shared" ca="1" si="14"/>
        <v>2</v>
      </c>
      <c r="AJ169" t="s">
        <v>317</v>
      </c>
    </row>
    <row r="170" spans="1:36" x14ac:dyDescent="0.2">
      <c r="A170" t="s">
        <v>222</v>
      </c>
      <c r="B170" t="s">
        <v>41</v>
      </c>
      <c r="C170" t="s">
        <v>32</v>
      </c>
      <c r="D170" t="s">
        <v>33</v>
      </c>
      <c r="E170" s="1">
        <v>43536</v>
      </c>
      <c r="F170" s="1">
        <v>43556</v>
      </c>
      <c r="G170" s="1">
        <v>43558</v>
      </c>
      <c r="H170" s="1" t="s">
        <v>50</v>
      </c>
      <c r="I170" t="s">
        <v>51</v>
      </c>
      <c r="J170" s="2">
        <v>2432</v>
      </c>
      <c r="K170" t="s">
        <v>31</v>
      </c>
      <c r="L170" t="s">
        <v>55</v>
      </c>
      <c r="M170">
        <v>260</v>
      </c>
      <c r="N170">
        <v>18</v>
      </c>
      <c r="O170" s="3">
        <v>1786</v>
      </c>
      <c r="P170">
        <f t="shared" ca="1" si="10"/>
        <v>9</v>
      </c>
      <c r="Q170">
        <f ca="1">RANDBETWEEN(0,Table1[[#This Row],[offers made]])</f>
        <v>2</v>
      </c>
      <c r="R170" t="s">
        <v>308</v>
      </c>
      <c r="S170">
        <f>Table1[[#This Row],[Hire Date]]-Table1[[#This Row],[Job Posting Date]]</f>
        <v>20</v>
      </c>
      <c r="T170" s="4">
        <f>Table1[[#This Row],[Join Date]]-Table1[[#This Row],[Hire Date]]</f>
        <v>2</v>
      </c>
      <c r="U170" s="4">
        <f ca="1">IF(Table1[[#This Row],[Status]]="Exited",Table1[[#This Row],[Exit Date]]-Table1[[#This Row],[Join Date]],TODAY()-Table1[[#This Row],[Join Date]])</f>
        <v>2103</v>
      </c>
      <c r="V170" t="str">
        <f ca="1">IF(Table1[[#This Row],[Total Tenure in Days]]&lt;=730, "yes","no")</f>
        <v>no</v>
      </c>
      <c r="W170">
        <f>Table1[[#This Row],[Hire Date]]-Table1[[#This Row],[Job Posting Date]]</f>
        <v>20</v>
      </c>
      <c r="X170" s="4">
        <f>Table1[[#This Row],[Time to Onboard]]/Table1[[#This Row],[Time to Fill]]*100</f>
        <v>10</v>
      </c>
      <c r="Y170" s="5">
        <f>Table1[[#This Row],[Time to Onboard]]/Table1[[#This Row],[Time to Fill]]*100</f>
        <v>10</v>
      </c>
      <c r="Z170">
        <f>Table1[[#This Row],[Join Date]]-Table1[[#This Row],[Job Posting Date]]</f>
        <v>22</v>
      </c>
      <c r="AA170">
        <f t="shared" ca="1" si="11"/>
        <v>187</v>
      </c>
      <c r="AB170" s="5">
        <f>Table1[[#This Row],[Absentee Days]]/Table1[[#This Row],[Total Work Days]]*100</f>
        <v>6.9230769230769234</v>
      </c>
      <c r="AC170">
        <f>YEAR(Table1[[#This Row],[Join Date]])</f>
        <v>2019</v>
      </c>
      <c r="AD170">
        <f>IF(Table1[[#This Row],[Status]]="Active",1,0)</f>
        <v>1</v>
      </c>
      <c r="AE170">
        <f>IF(Table1[[#This Row],[Status]]="Exited",Table1[[#This Row],[Recruitment Cost]]+Table1[[#This Row],[Onboarding Cost]]+Table1[[#This Row],[Training Cost]],0)</f>
        <v>0</v>
      </c>
      <c r="AF170">
        <f>IF(Table1[[#This Row],[Training Completion Status]]="Completed",1,0)</f>
        <v>0</v>
      </c>
      <c r="AG170">
        <f t="shared" ca="1" si="12"/>
        <v>4</v>
      </c>
      <c r="AH170">
        <f t="shared" ca="1" si="13"/>
        <v>1</v>
      </c>
      <c r="AI170">
        <f t="shared" ca="1" si="14"/>
        <v>4</v>
      </c>
      <c r="AJ170" t="s">
        <v>317</v>
      </c>
    </row>
    <row r="171" spans="1:36" x14ac:dyDescent="0.2">
      <c r="A171" t="s">
        <v>223</v>
      </c>
      <c r="B171" t="s">
        <v>42</v>
      </c>
      <c r="C171" t="s">
        <v>35</v>
      </c>
      <c r="D171" t="s">
        <v>36</v>
      </c>
      <c r="E171" s="1">
        <v>44212</v>
      </c>
      <c r="F171" s="1">
        <v>44231</v>
      </c>
      <c r="G171" s="1">
        <v>44233</v>
      </c>
      <c r="H171" s="1" t="s">
        <v>50</v>
      </c>
      <c r="I171" t="s">
        <v>51</v>
      </c>
      <c r="J171" s="2">
        <v>3230</v>
      </c>
      <c r="K171" t="s">
        <v>40</v>
      </c>
      <c r="L171" t="s">
        <v>55</v>
      </c>
      <c r="M171">
        <v>260</v>
      </c>
      <c r="N171">
        <v>16</v>
      </c>
      <c r="O171" s="3">
        <v>1936</v>
      </c>
      <c r="P171">
        <f t="shared" ca="1" si="10"/>
        <v>3</v>
      </c>
      <c r="Q171">
        <f ca="1">RANDBETWEEN(0,Table1[[#This Row],[offers made]])</f>
        <v>0</v>
      </c>
      <c r="R171" t="s">
        <v>306</v>
      </c>
      <c r="S171">
        <f>Table1[[#This Row],[Hire Date]]-Table1[[#This Row],[Job Posting Date]]</f>
        <v>19</v>
      </c>
      <c r="T171" s="4">
        <f>Table1[[#This Row],[Join Date]]-Table1[[#This Row],[Hire Date]]</f>
        <v>2</v>
      </c>
      <c r="U171" s="4">
        <f ca="1">IF(Table1[[#This Row],[Status]]="Exited",Table1[[#This Row],[Exit Date]]-Table1[[#This Row],[Join Date]],TODAY()-Table1[[#This Row],[Join Date]])</f>
        <v>1428</v>
      </c>
      <c r="V171" t="str">
        <f ca="1">IF(Table1[[#This Row],[Total Tenure in Days]]&lt;=730, "yes","no")</f>
        <v>no</v>
      </c>
      <c r="W171">
        <f>Table1[[#This Row],[Hire Date]]-Table1[[#This Row],[Job Posting Date]]</f>
        <v>19</v>
      </c>
      <c r="X171" s="4">
        <f>Table1[[#This Row],[Time to Onboard]]/Table1[[#This Row],[Time to Fill]]*100</f>
        <v>10.526315789473683</v>
      </c>
      <c r="Y171" s="5">
        <f>Table1[[#This Row],[Time to Onboard]]/Table1[[#This Row],[Time to Fill]]*100</f>
        <v>10.526315789473683</v>
      </c>
      <c r="Z171">
        <f>Table1[[#This Row],[Join Date]]-Table1[[#This Row],[Job Posting Date]]</f>
        <v>21</v>
      </c>
      <c r="AA171">
        <f t="shared" ca="1" si="11"/>
        <v>128</v>
      </c>
      <c r="AB171" s="5">
        <f>Table1[[#This Row],[Absentee Days]]/Table1[[#This Row],[Total Work Days]]*100</f>
        <v>6.1538461538461542</v>
      </c>
      <c r="AC171">
        <f>YEAR(Table1[[#This Row],[Join Date]])</f>
        <v>2021</v>
      </c>
      <c r="AD171">
        <f>IF(Table1[[#This Row],[Status]]="Active",1,0)</f>
        <v>1</v>
      </c>
      <c r="AE171">
        <f>IF(Table1[[#This Row],[Status]]="Exited",Table1[[#This Row],[Recruitment Cost]]+Table1[[#This Row],[Onboarding Cost]]+Table1[[#This Row],[Training Cost]],0)</f>
        <v>0</v>
      </c>
      <c r="AF171">
        <f>IF(Table1[[#This Row],[Training Completion Status]]="Completed",1,0)</f>
        <v>0</v>
      </c>
      <c r="AG171">
        <f t="shared" ca="1" si="12"/>
        <v>3</v>
      </c>
      <c r="AH171">
        <f t="shared" ca="1" si="13"/>
        <v>5</v>
      </c>
      <c r="AI171">
        <f t="shared" ca="1" si="14"/>
        <v>1</v>
      </c>
      <c r="AJ171" t="s">
        <v>317</v>
      </c>
    </row>
    <row r="172" spans="1:36" x14ac:dyDescent="0.2">
      <c r="A172" t="s">
        <v>224</v>
      </c>
      <c r="B172" t="s">
        <v>42</v>
      </c>
      <c r="C172" t="s">
        <v>29</v>
      </c>
      <c r="D172" t="s">
        <v>30</v>
      </c>
      <c r="E172" s="1">
        <v>43216</v>
      </c>
      <c r="F172" s="1">
        <v>43233</v>
      </c>
      <c r="G172" s="1">
        <v>43243</v>
      </c>
      <c r="H172" s="1">
        <v>44784</v>
      </c>
      <c r="I172" t="s">
        <v>57</v>
      </c>
      <c r="J172" s="2">
        <v>3430</v>
      </c>
      <c r="K172" t="s">
        <v>37</v>
      </c>
      <c r="L172" t="s">
        <v>52</v>
      </c>
      <c r="M172">
        <v>260</v>
      </c>
      <c r="N172">
        <v>14</v>
      </c>
      <c r="O172" s="3">
        <v>1519</v>
      </c>
      <c r="P172">
        <f t="shared" ca="1" si="10"/>
        <v>4</v>
      </c>
      <c r="Q172">
        <f ca="1">RANDBETWEEN(0,Table1[[#This Row],[offers made]])</f>
        <v>4</v>
      </c>
      <c r="R172" t="s">
        <v>307</v>
      </c>
      <c r="S172">
        <f>Table1[[#This Row],[Hire Date]]-Table1[[#This Row],[Job Posting Date]]</f>
        <v>17</v>
      </c>
      <c r="T172" s="4">
        <f>Table1[[#This Row],[Join Date]]-Table1[[#This Row],[Hire Date]]</f>
        <v>10</v>
      </c>
      <c r="U172" s="4">
        <f ca="1">IF(Table1[[#This Row],[Status]]="Exited",Table1[[#This Row],[Exit Date]]-Table1[[#This Row],[Join Date]],TODAY()-Table1[[#This Row],[Join Date]])</f>
        <v>1541</v>
      </c>
      <c r="V172" t="str">
        <f ca="1">IF(Table1[[#This Row],[Total Tenure in Days]]&lt;=730, "yes","no")</f>
        <v>no</v>
      </c>
      <c r="W172">
        <f>Table1[[#This Row],[Hire Date]]-Table1[[#This Row],[Job Posting Date]]</f>
        <v>17</v>
      </c>
      <c r="X172" s="4">
        <f>Table1[[#This Row],[Time to Onboard]]/Table1[[#This Row],[Time to Fill]]*100</f>
        <v>58.82352941176471</v>
      </c>
      <c r="Y172" s="5">
        <f>Table1[[#This Row],[Time to Onboard]]/Table1[[#This Row],[Time to Fill]]*100</f>
        <v>58.82352941176471</v>
      </c>
      <c r="Z172">
        <f>Table1[[#This Row],[Join Date]]-Table1[[#This Row],[Job Posting Date]]</f>
        <v>27</v>
      </c>
      <c r="AA172">
        <f t="shared" ca="1" si="11"/>
        <v>196</v>
      </c>
      <c r="AB172" s="5">
        <f>Table1[[#This Row],[Absentee Days]]/Table1[[#This Row],[Total Work Days]]*100</f>
        <v>5.384615384615385</v>
      </c>
      <c r="AC172">
        <f>YEAR(Table1[[#This Row],[Join Date]])</f>
        <v>2018</v>
      </c>
      <c r="AD172">
        <f>IF(Table1[[#This Row],[Status]]="Active",1,0)</f>
        <v>0</v>
      </c>
      <c r="AE172">
        <f ca="1">IF(Table1[[#This Row],[Status]]="Exited",Table1[[#This Row],[Recruitment Cost]]+Table1[[#This Row],[Onboarding Cost]]+Table1[[#This Row],[Training Cost]],0)</f>
        <v>5145</v>
      </c>
      <c r="AF172">
        <f>IF(Table1[[#This Row],[Training Completion Status]]="Completed",1,0)</f>
        <v>1</v>
      </c>
      <c r="AG172">
        <f t="shared" ca="1" si="12"/>
        <v>5</v>
      </c>
      <c r="AH172">
        <f t="shared" ca="1" si="13"/>
        <v>3</v>
      </c>
      <c r="AI172">
        <f t="shared" ca="1" si="14"/>
        <v>3</v>
      </c>
      <c r="AJ172" t="s">
        <v>318</v>
      </c>
    </row>
    <row r="173" spans="1:36" x14ac:dyDescent="0.2">
      <c r="A173" t="s">
        <v>225</v>
      </c>
      <c r="B173" t="s">
        <v>42</v>
      </c>
      <c r="C173" t="s">
        <v>32</v>
      </c>
      <c r="D173" t="s">
        <v>33</v>
      </c>
      <c r="E173" s="1">
        <v>43918</v>
      </c>
      <c r="F173" s="1">
        <v>43952</v>
      </c>
      <c r="G173" s="1">
        <v>43957</v>
      </c>
      <c r="H173" s="1" t="s">
        <v>50</v>
      </c>
      <c r="I173" t="s">
        <v>51</v>
      </c>
      <c r="J173" s="2">
        <v>2424</v>
      </c>
      <c r="K173" t="s">
        <v>37</v>
      </c>
      <c r="L173" t="s">
        <v>52</v>
      </c>
      <c r="M173">
        <v>260</v>
      </c>
      <c r="N173">
        <v>16</v>
      </c>
      <c r="O173" s="3">
        <v>1209</v>
      </c>
      <c r="P173">
        <f t="shared" ca="1" si="10"/>
        <v>5</v>
      </c>
      <c r="Q173">
        <f ca="1">RANDBETWEEN(0,Table1[[#This Row],[offers made]])</f>
        <v>4</v>
      </c>
      <c r="R173" t="s">
        <v>307</v>
      </c>
      <c r="S173">
        <f>Table1[[#This Row],[Hire Date]]-Table1[[#This Row],[Job Posting Date]]</f>
        <v>34</v>
      </c>
      <c r="T173" s="4">
        <f>Table1[[#This Row],[Join Date]]-Table1[[#This Row],[Hire Date]]</f>
        <v>5</v>
      </c>
      <c r="U173" s="4">
        <f ca="1">IF(Table1[[#This Row],[Status]]="Exited",Table1[[#This Row],[Exit Date]]-Table1[[#This Row],[Join Date]],TODAY()-Table1[[#This Row],[Join Date]])</f>
        <v>1704</v>
      </c>
      <c r="V173" t="str">
        <f ca="1">IF(Table1[[#This Row],[Total Tenure in Days]]&lt;=730, "yes","no")</f>
        <v>no</v>
      </c>
      <c r="W173">
        <f>Table1[[#This Row],[Hire Date]]-Table1[[#This Row],[Job Posting Date]]</f>
        <v>34</v>
      </c>
      <c r="X173" s="4">
        <f>Table1[[#This Row],[Time to Onboard]]/Table1[[#This Row],[Time to Fill]]*100</f>
        <v>14.705882352941178</v>
      </c>
      <c r="Y173" s="5">
        <f>Table1[[#This Row],[Time to Onboard]]/Table1[[#This Row],[Time to Fill]]*100</f>
        <v>14.705882352941178</v>
      </c>
      <c r="Z173">
        <f>Table1[[#This Row],[Join Date]]-Table1[[#This Row],[Job Posting Date]]</f>
        <v>39</v>
      </c>
      <c r="AA173">
        <f t="shared" ca="1" si="11"/>
        <v>197</v>
      </c>
      <c r="AB173" s="5">
        <f>Table1[[#This Row],[Absentee Days]]/Table1[[#This Row],[Total Work Days]]*100</f>
        <v>6.1538461538461542</v>
      </c>
      <c r="AC173">
        <f>YEAR(Table1[[#This Row],[Join Date]])</f>
        <v>2020</v>
      </c>
      <c r="AD173">
        <f>IF(Table1[[#This Row],[Status]]="Active",1,0)</f>
        <v>1</v>
      </c>
      <c r="AE173">
        <f>IF(Table1[[#This Row],[Status]]="Exited",Table1[[#This Row],[Recruitment Cost]]+Table1[[#This Row],[Onboarding Cost]]+Table1[[#This Row],[Training Cost]],0)</f>
        <v>0</v>
      </c>
      <c r="AF173">
        <f>IF(Table1[[#This Row],[Training Completion Status]]="Completed",1,0)</f>
        <v>1</v>
      </c>
      <c r="AG173">
        <f t="shared" ca="1" si="12"/>
        <v>4</v>
      </c>
      <c r="AH173">
        <f t="shared" ca="1" si="13"/>
        <v>3</v>
      </c>
      <c r="AI173">
        <f t="shared" ca="1" si="14"/>
        <v>1</v>
      </c>
      <c r="AJ173" t="s">
        <v>318</v>
      </c>
    </row>
    <row r="174" spans="1:36" x14ac:dyDescent="0.2">
      <c r="A174" t="s">
        <v>226</v>
      </c>
      <c r="B174" t="s">
        <v>41</v>
      </c>
      <c r="C174" t="s">
        <v>35</v>
      </c>
      <c r="D174" t="s">
        <v>36</v>
      </c>
      <c r="E174" s="1">
        <v>44916</v>
      </c>
      <c r="F174" s="1">
        <v>44948</v>
      </c>
      <c r="G174" s="1">
        <v>44959</v>
      </c>
      <c r="H174" s="1" t="s">
        <v>50</v>
      </c>
      <c r="I174" t="s">
        <v>51</v>
      </c>
      <c r="J174" s="2">
        <v>1914</v>
      </c>
      <c r="K174" t="s">
        <v>37</v>
      </c>
      <c r="L174" t="s">
        <v>55</v>
      </c>
      <c r="M174">
        <v>260</v>
      </c>
      <c r="N174">
        <v>15</v>
      </c>
      <c r="O174" s="3">
        <v>2370</v>
      </c>
      <c r="P174">
        <f t="shared" ca="1" si="10"/>
        <v>4</v>
      </c>
      <c r="Q174">
        <f ca="1">RANDBETWEEN(0,Table1[[#This Row],[offers made]])</f>
        <v>1</v>
      </c>
      <c r="R174" t="s">
        <v>308</v>
      </c>
      <c r="S174">
        <f>Table1[[#This Row],[Hire Date]]-Table1[[#This Row],[Job Posting Date]]</f>
        <v>32</v>
      </c>
      <c r="T174" s="4">
        <f>Table1[[#This Row],[Join Date]]-Table1[[#This Row],[Hire Date]]</f>
        <v>11</v>
      </c>
      <c r="U174" s="4">
        <f ca="1">IF(Table1[[#This Row],[Status]]="Exited",Table1[[#This Row],[Exit Date]]-Table1[[#This Row],[Join Date]],TODAY()-Table1[[#This Row],[Join Date]])</f>
        <v>702</v>
      </c>
      <c r="V174" t="str">
        <f ca="1">IF(Table1[[#This Row],[Total Tenure in Days]]&lt;=730, "yes","no")</f>
        <v>yes</v>
      </c>
      <c r="W174">
        <f>Table1[[#This Row],[Hire Date]]-Table1[[#This Row],[Job Posting Date]]</f>
        <v>32</v>
      </c>
      <c r="X174" s="4">
        <f>Table1[[#This Row],[Time to Onboard]]/Table1[[#This Row],[Time to Fill]]*100</f>
        <v>34.375</v>
      </c>
      <c r="Y174" s="5">
        <f>Table1[[#This Row],[Time to Onboard]]/Table1[[#This Row],[Time to Fill]]*100</f>
        <v>34.375</v>
      </c>
      <c r="Z174">
        <f>Table1[[#This Row],[Join Date]]-Table1[[#This Row],[Job Posting Date]]</f>
        <v>43</v>
      </c>
      <c r="AA174">
        <f t="shared" ca="1" si="11"/>
        <v>130</v>
      </c>
      <c r="AB174" s="5">
        <f>Table1[[#This Row],[Absentee Days]]/Table1[[#This Row],[Total Work Days]]*100</f>
        <v>5.7692307692307692</v>
      </c>
      <c r="AC174">
        <f>YEAR(Table1[[#This Row],[Join Date]])</f>
        <v>2023</v>
      </c>
      <c r="AD174">
        <f>IF(Table1[[#This Row],[Status]]="Active",1,0)</f>
        <v>1</v>
      </c>
      <c r="AE174">
        <f>IF(Table1[[#This Row],[Status]]="Exited",Table1[[#This Row],[Recruitment Cost]]+Table1[[#This Row],[Onboarding Cost]]+Table1[[#This Row],[Training Cost]],0)</f>
        <v>0</v>
      </c>
      <c r="AF174">
        <f>IF(Table1[[#This Row],[Training Completion Status]]="Completed",1,0)</f>
        <v>0</v>
      </c>
      <c r="AG174">
        <f t="shared" ca="1" si="12"/>
        <v>3</v>
      </c>
      <c r="AH174">
        <f t="shared" ca="1" si="13"/>
        <v>1</v>
      </c>
      <c r="AI174">
        <f t="shared" ca="1" si="14"/>
        <v>4</v>
      </c>
      <c r="AJ174" t="s">
        <v>318</v>
      </c>
    </row>
    <row r="175" spans="1:36" x14ac:dyDescent="0.2">
      <c r="A175" t="s">
        <v>227</v>
      </c>
      <c r="B175" t="s">
        <v>41</v>
      </c>
      <c r="C175" t="s">
        <v>29</v>
      </c>
      <c r="D175" t="s">
        <v>30</v>
      </c>
      <c r="E175" s="1">
        <v>43693</v>
      </c>
      <c r="F175" s="1">
        <v>43719</v>
      </c>
      <c r="G175" s="1">
        <v>43722</v>
      </c>
      <c r="H175" s="1" t="s">
        <v>50</v>
      </c>
      <c r="I175" t="s">
        <v>51</v>
      </c>
      <c r="J175" s="2">
        <v>4734</v>
      </c>
      <c r="K175" t="s">
        <v>40</v>
      </c>
      <c r="L175" t="s">
        <v>52</v>
      </c>
      <c r="M175">
        <v>260</v>
      </c>
      <c r="N175">
        <v>7</v>
      </c>
      <c r="O175" s="3">
        <v>2211</v>
      </c>
      <c r="P175">
        <f t="shared" ca="1" si="10"/>
        <v>6</v>
      </c>
      <c r="Q175">
        <f ca="1">RANDBETWEEN(0,Table1[[#This Row],[offers made]])</f>
        <v>4</v>
      </c>
      <c r="R175" t="s">
        <v>307</v>
      </c>
      <c r="S175">
        <f>Table1[[#This Row],[Hire Date]]-Table1[[#This Row],[Job Posting Date]]</f>
        <v>26</v>
      </c>
      <c r="T175" s="4">
        <f>Table1[[#This Row],[Join Date]]-Table1[[#This Row],[Hire Date]]</f>
        <v>3</v>
      </c>
      <c r="U175" s="4">
        <f ca="1">IF(Table1[[#This Row],[Status]]="Exited",Table1[[#This Row],[Exit Date]]-Table1[[#This Row],[Join Date]],TODAY()-Table1[[#This Row],[Join Date]])</f>
        <v>1939</v>
      </c>
      <c r="V175" t="str">
        <f ca="1">IF(Table1[[#This Row],[Total Tenure in Days]]&lt;=730, "yes","no")</f>
        <v>no</v>
      </c>
      <c r="W175">
        <f>Table1[[#This Row],[Hire Date]]-Table1[[#This Row],[Job Posting Date]]</f>
        <v>26</v>
      </c>
      <c r="X175" s="4">
        <f>Table1[[#This Row],[Time to Onboard]]/Table1[[#This Row],[Time to Fill]]*100</f>
        <v>11.538461538461538</v>
      </c>
      <c r="Y175" s="5">
        <f>Table1[[#This Row],[Time to Onboard]]/Table1[[#This Row],[Time to Fill]]*100</f>
        <v>11.538461538461538</v>
      </c>
      <c r="Z175">
        <f>Table1[[#This Row],[Join Date]]-Table1[[#This Row],[Job Posting Date]]</f>
        <v>29</v>
      </c>
      <c r="AA175">
        <f t="shared" ca="1" si="11"/>
        <v>164</v>
      </c>
      <c r="AB175" s="5">
        <f>Table1[[#This Row],[Absentee Days]]/Table1[[#This Row],[Total Work Days]]*100</f>
        <v>2.6923076923076925</v>
      </c>
      <c r="AC175">
        <f>YEAR(Table1[[#This Row],[Join Date]])</f>
        <v>2019</v>
      </c>
      <c r="AD175">
        <f>IF(Table1[[#This Row],[Status]]="Active",1,0)</f>
        <v>1</v>
      </c>
      <c r="AE175">
        <f>IF(Table1[[#This Row],[Status]]="Exited",Table1[[#This Row],[Recruitment Cost]]+Table1[[#This Row],[Onboarding Cost]]+Table1[[#This Row],[Training Cost]],0)</f>
        <v>0</v>
      </c>
      <c r="AF175">
        <f>IF(Table1[[#This Row],[Training Completion Status]]="Completed",1,0)</f>
        <v>1</v>
      </c>
      <c r="AG175">
        <f t="shared" ca="1" si="12"/>
        <v>3</v>
      </c>
      <c r="AH175">
        <f t="shared" ca="1" si="13"/>
        <v>4</v>
      </c>
      <c r="AI175">
        <f t="shared" ca="1" si="14"/>
        <v>1</v>
      </c>
      <c r="AJ175" t="s">
        <v>318</v>
      </c>
    </row>
    <row r="176" spans="1:36" x14ac:dyDescent="0.2">
      <c r="A176" t="s">
        <v>228</v>
      </c>
      <c r="B176" t="s">
        <v>42</v>
      </c>
      <c r="C176" t="s">
        <v>32</v>
      </c>
      <c r="D176" t="s">
        <v>33</v>
      </c>
      <c r="E176" s="1">
        <v>44922</v>
      </c>
      <c r="F176" s="1">
        <v>44960</v>
      </c>
      <c r="G176" s="1">
        <v>44965</v>
      </c>
      <c r="H176" s="1">
        <v>45289</v>
      </c>
      <c r="I176" t="s">
        <v>57</v>
      </c>
      <c r="J176" s="2">
        <v>2172</v>
      </c>
      <c r="K176" t="s">
        <v>37</v>
      </c>
      <c r="L176" t="s">
        <v>52</v>
      </c>
      <c r="M176">
        <v>260</v>
      </c>
      <c r="N176">
        <v>14</v>
      </c>
      <c r="O176" s="3">
        <v>2361</v>
      </c>
      <c r="P176">
        <f t="shared" ca="1" si="10"/>
        <v>3</v>
      </c>
      <c r="Q176">
        <f ca="1">RANDBETWEEN(0,Table1[[#This Row],[offers made]])</f>
        <v>0</v>
      </c>
      <c r="R176" t="s">
        <v>307</v>
      </c>
      <c r="S176">
        <f>Table1[[#This Row],[Hire Date]]-Table1[[#This Row],[Job Posting Date]]</f>
        <v>38</v>
      </c>
      <c r="T176" s="4">
        <f>Table1[[#This Row],[Join Date]]-Table1[[#This Row],[Hire Date]]</f>
        <v>5</v>
      </c>
      <c r="U176" s="4">
        <f ca="1">IF(Table1[[#This Row],[Status]]="Exited",Table1[[#This Row],[Exit Date]]-Table1[[#This Row],[Join Date]],TODAY()-Table1[[#This Row],[Join Date]])</f>
        <v>324</v>
      </c>
      <c r="V176" t="str">
        <f ca="1">IF(Table1[[#This Row],[Total Tenure in Days]]&lt;=730, "yes","no")</f>
        <v>yes</v>
      </c>
      <c r="W176">
        <f>Table1[[#This Row],[Hire Date]]-Table1[[#This Row],[Job Posting Date]]</f>
        <v>38</v>
      </c>
      <c r="X176" s="4">
        <f>Table1[[#This Row],[Time to Onboard]]/Table1[[#This Row],[Time to Fill]]*100</f>
        <v>13.157894736842104</v>
      </c>
      <c r="Y176" s="5">
        <f>Table1[[#This Row],[Time to Onboard]]/Table1[[#This Row],[Time to Fill]]*100</f>
        <v>13.157894736842104</v>
      </c>
      <c r="Z176">
        <f>Table1[[#This Row],[Join Date]]-Table1[[#This Row],[Job Posting Date]]</f>
        <v>43</v>
      </c>
      <c r="AA176">
        <f t="shared" ca="1" si="11"/>
        <v>101</v>
      </c>
      <c r="AB176" s="5">
        <f>Table1[[#This Row],[Absentee Days]]/Table1[[#This Row],[Total Work Days]]*100</f>
        <v>5.384615384615385</v>
      </c>
      <c r="AC176">
        <f>YEAR(Table1[[#This Row],[Join Date]])</f>
        <v>2023</v>
      </c>
      <c r="AD176">
        <f>IF(Table1[[#This Row],[Status]]="Active",1,0)</f>
        <v>0</v>
      </c>
      <c r="AE176">
        <f ca="1">IF(Table1[[#This Row],[Status]]="Exited",Table1[[#This Row],[Recruitment Cost]]+Table1[[#This Row],[Onboarding Cost]]+Table1[[#This Row],[Training Cost]],0)</f>
        <v>4634</v>
      </c>
      <c r="AF176">
        <f>IF(Table1[[#This Row],[Training Completion Status]]="Completed",1,0)</f>
        <v>1</v>
      </c>
      <c r="AG176">
        <f t="shared" ca="1" si="12"/>
        <v>4</v>
      </c>
      <c r="AH176">
        <f t="shared" ca="1" si="13"/>
        <v>2</v>
      </c>
      <c r="AI176">
        <f t="shared" ca="1" si="14"/>
        <v>4</v>
      </c>
      <c r="AJ176" t="s">
        <v>318</v>
      </c>
    </row>
    <row r="177" spans="1:36" x14ac:dyDescent="0.2">
      <c r="A177" t="s">
        <v>229</v>
      </c>
      <c r="B177" t="s">
        <v>41</v>
      </c>
      <c r="C177" t="s">
        <v>26</v>
      </c>
      <c r="D177" t="s">
        <v>27</v>
      </c>
      <c r="E177" s="1">
        <v>43606</v>
      </c>
      <c r="F177" s="1">
        <v>43641</v>
      </c>
      <c r="G177" s="1">
        <v>43653</v>
      </c>
      <c r="H177" s="1" t="s">
        <v>50</v>
      </c>
      <c r="I177" t="s">
        <v>51</v>
      </c>
      <c r="J177" s="2">
        <v>4529</v>
      </c>
      <c r="K177" t="s">
        <v>28</v>
      </c>
      <c r="L177" t="s">
        <v>55</v>
      </c>
      <c r="M177">
        <v>260</v>
      </c>
      <c r="N177">
        <v>9</v>
      </c>
      <c r="O177" s="3">
        <v>1807</v>
      </c>
      <c r="P177">
        <f t="shared" ca="1" si="10"/>
        <v>9</v>
      </c>
      <c r="Q177">
        <f ca="1">RANDBETWEEN(0,Table1[[#This Row],[offers made]])</f>
        <v>4</v>
      </c>
      <c r="R177" t="s">
        <v>306</v>
      </c>
      <c r="S177">
        <f>Table1[[#This Row],[Hire Date]]-Table1[[#This Row],[Job Posting Date]]</f>
        <v>35</v>
      </c>
      <c r="T177" s="4">
        <f>Table1[[#This Row],[Join Date]]-Table1[[#This Row],[Hire Date]]</f>
        <v>12</v>
      </c>
      <c r="U177" s="4">
        <f ca="1">IF(Table1[[#This Row],[Status]]="Exited",Table1[[#This Row],[Exit Date]]-Table1[[#This Row],[Join Date]],TODAY()-Table1[[#This Row],[Join Date]])</f>
        <v>2008</v>
      </c>
      <c r="V177" t="str">
        <f ca="1">IF(Table1[[#This Row],[Total Tenure in Days]]&lt;=730, "yes","no")</f>
        <v>no</v>
      </c>
      <c r="W177">
        <f>Table1[[#This Row],[Hire Date]]-Table1[[#This Row],[Job Posting Date]]</f>
        <v>35</v>
      </c>
      <c r="X177" s="4">
        <f>Table1[[#This Row],[Time to Onboard]]/Table1[[#This Row],[Time to Fill]]*100</f>
        <v>34.285714285714285</v>
      </c>
      <c r="Y177" s="5">
        <f>Table1[[#This Row],[Time to Onboard]]/Table1[[#This Row],[Time to Fill]]*100</f>
        <v>34.285714285714285</v>
      </c>
      <c r="Z177">
        <f>Table1[[#This Row],[Join Date]]-Table1[[#This Row],[Job Posting Date]]</f>
        <v>47</v>
      </c>
      <c r="AA177">
        <f t="shared" ca="1" si="11"/>
        <v>100</v>
      </c>
      <c r="AB177" s="5">
        <f>Table1[[#This Row],[Absentee Days]]/Table1[[#This Row],[Total Work Days]]*100</f>
        <v>3.4615384615384617</v>
      </c>
      <c r="AC177">
        <f>YEAR(Table1[[#This Row],[Join Date]])</f>
        <v>2019</v>
      </c>
      <c r="AD177">
        <f>IF(Table1[[#This Row],[Status]]="Active",1,0)</f>
        <v>1</v>
      </c>
      <c r="AE177">
        <f>IF(Table1[[#This Row],[Status]]="Exited",Table1[[#This Row],[Recruitment Cost]]+Table1[[#This Row],[Onboarding Cost]]+Table1[[#This Row],[Training Cost]],0)</f>
        <v>0</v>
      </c>
      <c r="AF177">
        <f>IF(Table1[[#This Row],[Training Completion Status]]="Completed",1,0)</f>
        <v>0</v>
      </c>
      <c r="AG177">
        <f t="shared" ca="1" si="12"/>
        <v>2</v>
      </c>
      <c r="AH177">
        <f t="shared" ca="1" si="13"/>
        <v>3</v>
      </c>
      <c r="AI177">
        <f t="shared" ca="1" si="14"/>
        <v>5</v>
      </c>
      <c r="AJ177" t="s">
        <v>317</v>
      </c>
    </row>
    <row r="178" spans="1:36" x14ac:dyDescent="0.2">
      <c r="A178" t="s">
        <v>230</v>
      </c>
      <c r="B178" t="s">
        <v>41</v>
      </c>
      <c r="C178" t="s">
        <v>38</v>
      </c>
      <c r="D178" t="s">
        <v>39</v>
      </c>
      <c r="E178" s="1">
        <v>43333</v>
      </c>
      <c r="F178" s="1">
        <v>43348</v>
      </c>
      <c r="G178" s="1">
        <v>43362</v>
      </c>
      <c r="H178" s="1">
        <v>45530</v>
      </c>
      <c r="I178" t="s">
        <v>57</v>
      </c>
      <c r="J178" s="2">
        <v>3189</v>
      </c>
      <c r="K178" t="s">
        <v>34</v>
      </c>
      <c r="L178" t="s">
        <v>55</v>
      </c>
      <c r="M178">
        <v>260</v>
      </c>
      <c r="N178">
        <v>18</v>
      </c>
      <c r="O178" s="3">
        <v>1554</v>
      </c>
      <c r="P178">
        <f t="shared" ca="1" si="10"/>
        <v>2</v>
      </c>
      <c r="Q178">
        <f ca="1">RANDBETWEEN(0,Table1[[#This Row],[offers made]])</f>
        <v>1</v>
      </c>
      <c r="R178" t="s">
        <v>306</v>
      </c>
      <c r="S178">
        <f>Table1[[#This Row],[Hire Date]]-Table1[[#This Row],[Job Posting Date]]</f>
        <v>15</v>
      </c>
      <c r="T178" s="4">
        <f>Table1[[#This Row],[Join Date]]-Table1[[#This Row],[Hire Date]]</f>
        <v>14</v>
      </c>
      <c r="U178" s="4">
        <f ca="1">IF(Table1[[#This Row],[Status]]="Exited",Table1[[#This Row],[Exit Date]]-Table1[[#This Row],[Join Date]],TODAY()-Table1[[#This Row],[Join Date]])</f>
        <v>2168</v>
      </c>
      <c r="V178" t="str">
        <f ca="1">IF(Table1[[#This Row],[Total Tenure in Days]]&lt;=730, "yes","no")</f>
        <v>no</v>
      </c>
      <c r="W178">
        <f>Table1[[#This Row],[Hire Date]]-Table1[[#This Row],[Job Posting Date]]</f>
        <v>15</v>
      </c>
      <c r="X178" s="4">
        <f>Table1[[#This Row],[Time to Onboard]]/Table1[[#This Row],[Time to Fill]]*100</f>
        <v>93.333333333333329</v>
      </c>
      <c r="Y178" s="5">
        <f>Table1[[#This Row],[Time to Onboard]]/Table1[[#This Row],[Time to Fill]]*100</f>
        <v>93.333333333333329</v>
      </c>
      <c r="Z178">
        <f>Table1[[#This Row],[Join Date]]-Table1[[#This Row],[Job Posting Date]]</f>
        <v>29</v>
      </c>
      <c r="AA178">
        <f t="shared" ca="1" si="11"/>
        <v>188</v>
      </c>
      <c r="AB178" s="5">
        <f>Table1[[#This Row],[Absentee Days]]/Table1[[#This Row],[Total Work Days]]*100</f>
        <v>6.9230769230769234</v>
      </c>
      <c r="AC178">
        <f>YEAR(Table1[[#This Row],[Join Date]])</f>
        <v>2018</v>
      </c>
      <c r="AD178">
        <f>IF(Table1[[#This Row],[Status]]="Active",1,0)</f>
        <v>0</v>
      </c>
      <c r="AE178">
        <f ca="1">IF(Table1[[#This Row],[Status]]="Exited",Table1[[#This Row],[Recruitment Cost]]+Table1[[#This Row],[Onboarding Cost]]+Table1[[#This Row],[Training Cost]],0)</f>
        <v>4931</v>
      </c>
      <c r="AF178">
        <f>IF(Table1[[#This Row],[Training Completion Status]]="Completed",1,0)</f>
        <v>0</v>
      </c>
      <c r="AG178">
        <f t="shared" ca="1" si="12"/>
        <v>5</v>
      </c>
      <c r="AH178">
        <f t="shared" ca="1" si="13"/>
        <v>5</v>
      </c>
      <c r="AI178">
        <f t="shared" ca="1" si="14"/>
        <v>5</v>
      </c>
      <c r="AJ178" t="s">
        <v>318</v>
      </c>
    </row>
    <row r="179" spans="1:36" x14ac:dyDescent="0.2">
      <c r="A179" t="s">
        <v>231</v>
      </c>
      <c r="B179" t="s">
        <v>43</v>
      </c>
      <c r="C179" t="s">
        <v>38</v>
      </c>
      <c r="D179" t="s">
        <v>39</v>
      </c>
      <c r="E179" s="1">
        <v>44563</v>
      </c>
      <c r="F179" s="1">
        <v>44602</v>
      </c>
      <c r="G179" s="1">
        <v>44617</v>
      </c>
      <c r="H179" s="1" t="s">
        <v>50</v>
      </c>
      <c r="I179" t="s">
        <v>51</v>
      </c>
      <c r="J179" s="2">
        <v>4780</v>
      </c>
      <c r="K179" t="s">
        <v>28</v>
      </c>
      <c r="L179" t="s">
        <v>55</v>
      </c>
      <c r="M179">
        <v>260</v>
      </c>
      <c r="N179">
        <v>12</v>
      </c>
      <c r="O179" s="3">
        <v>1989</v>
      </c>
      <c r="P179">
        <f t="shared" ca="1" si="10"/>
        <v>3</v>
      </c>
      <c r="Q179">
        <f ca="1">RANDBETWEEN(0,Table1[[#This Row],[offers made]])</f>
        <v>2</v>
      </c>
      <c r="R179" t="s">
        <v>308</v>
      </c>
      <c r="S179">
        <f>Table1[[#This Row],[Hire Date]]-Table1[[#This Row],[Job Posting Date]]</f>
        <v>39</v>
      </c>
      <c r="T179" s="4">
        <f>Table1[[#This Row],[Join Date]]-Table1[[#This Row],[Hire Date]]</f>
        <v>15</v>
      </c>
      <c r="U179" s="4">
        <f ca="1">IF(Table1[[#This Row],[Status]]="Exited",Table1[[#This Row],[Exit Date]]-Table1[[#This Row],[Join Date]],TODAY()-Table1[[#This Row],[Join Date]])</f>
        <v>1044</v>
      </c>
      <c r="V179" t="str">
        <f ca="1">IF(Table1[[#This Row],[Total Tenure in Days]]&lt;=730, "yes","no")</f>
        <v>no</v>
      </c>
      <c r="W179">
        <f>Table1[[#This Row],[Hire Date]]-Table1[[#This Row],[Job Posting Date]]</f>
        <v>39</v>
      </c>
      <c r="X179" s="4">
        <f>Table1[[#This Row],[Time to Onboard]]/Table1[[#This Row],[Time to Fill]]*100</f>
        <v>38.461538461538467</v>
      </c>
      <c r="Y179" s="5">
        <f>Table1[[#This Row],[Time to Onboard]]/Table1[[#This Row],[Time to Fill]]*100</f>
        <v>38.461538461538467</v>
      </c>
      <c r="Z179">
        <f>Table1[[#This Row],[Join Date]]-Table1[[#This Row],[Job Posting Date]]</f>
        <v>54</v>
      </c>
      <c r="AA179">
        <f t="shared" ca="1" si="11"/>
        <v>181</v>
      </c>
      <c r="AB179" s="5">
        <f>Table1[[#This Row],[Absentee Days]]/Table1[[#This Row],[Total Work Days]]*100</f>
        <v>4.6153846153846159</v>
      </c>
      <c r="AC179">
        <f>YEAR(Table1[[#This Row],[Join Date]])</f>
        <v>2022</v>
      </c>
      <c r="AD179">
        <f>IF(Table1[[#This Row],[Status]]="Active",1,0)</f>
        <v>1</v>
      </c>
      <c r="AE179">
        <f>IF(Table1[[#This Row],[Status]]="Exited",Table1[[#This Row],[Recruitment Cost]]+Table1[[#This Row],[Onboarding Cost]]+Table1[[#This Row],[Training Cost]],0)</f>
        <v>0</v>
      </c>
      <c r="AF179">
        <f>IF(Table1[[#This Row],[Training Completion Status]]="Completed",1,0)</f>
        <v>0</v>
      </c>
      <c r="AG179">
        <f t="shared" ca="1" si="12"/>
        <v>3</v>
      </c>
      <c r="AH179">
        <f t="shared" ca="1" si="13"/>
        <v>5</v>
      </c>
      <c r="AI179">
        <f t="shared" ca="1" si="14"/>
        <v>2</v>
      </c>
      <c r="AJ179" t="s">
        <v>318</v>
      </c>
    </row>
    <row r="180" spans="1:36" x14ac:dyDescent="0.2">
      <c r="A180" t="s">
        <v>232</v>
      </c>
      <c r="B180" t="s">
        <v>42</v>
      </c>
      <c r="C180" t="s">
        <v>38</v>
      </c>
      <c r="D180" t="s">
        <v>39</v>
      </c>
      <c r="E180" s="1">
        <v>44102</v>
      </c>
      <c r="F180" s="1">
        <v>44182</v>
      </c>
      <c r="G180" s="1">
        <v>44194</v>
      </c>
      <c r="H180" s="1">
        <v>44555</v>
      </c>
      <c r="I180" t="s">
        <v>57</v>
      </c>
      <c r="J180" s="2">
        <v>3374</v>
      </c>
      <c r="K180" t="s">
        <v>28</v>
      </c>
      <c r="L180" t="s">
        <v>52</v>
      </c>
      <c r="M180">
        <v>260</v>
      </c>
      <c r="N180">
        <v>19</v>
      </c>
      <c r="O180" s="3">
        <v>2393</v>
      </c>
      <c r="P180">
        <f t="shared" ca="1" si="10"/>
        <v>10</v>
      </c>
      <c r="Q180">
        <f ca="1">RANDBETWEEN(0,Table1[[#This Row],[offers made]])</f>
        <v>4</v>
      </c>
      <c r="R180" t="s">
        <v>308</v>
      </c>
      <c r="S180">
        <f>Table1[[#This Row],[Hire Date]]-Table1[[#This Row],[Job Posting Date]]</f>
        <v>80</v>
      </c>
      <c r="T180" s="4">
        <f>Table1[[#This Row],[Join Date]]-Table1[[#This Row],[Hire Date]]</f>
        <v>12</v>
      </c>
      <c r="U180" s="4">
        <f ca="1">IF(Table1[[#This Row],[Status]]="Exited",Table1[[#This Row],[Exit Date]]-Table1[[#This Row],[Join Date]],TODAY()-Table1[[#This Row],[Join Date]])</f>
        <v>361</v>
      </c>
      <c r="V180" t="str">
        <f ca="1">IF(Table1[[#This Row],[Total Tenure in Days]]&lt;=730, "yes","no")</f>
        <v>yes</v>
      </c>
      <c r="W180">
        <f>Table1[[#This Row],[Hire Date]]-Table1[[#This Row],[Job Posting Date]]</f>
        <v>80</v>
      </c>
      <c r="X180" s="4">
        <f>Table1[[#This Row],[Time to Onboard]]/Table1[[#This Row],[Time to Fill]]*100</f>
        <v>15</v>
      </c>
      <c r="Y180" s="5">
        <f>Table1[[#This Row],[Time to Onboard]]/Table1[[#This Row],[Time to Fill]]*100</f>
        <v>15</v>
      </c>
      <c r="Z180">
        <f>Table1[[#This Row],[Join Date]]-Table1[[#This Row],[Job Posting Date]]</f>
        <v>92</v>
      </c>
      <c r="AA180">
        <f t="shared" ca="1" si="11"/>
        <v>102</v>
      </c>
      <c r="AB180" s="5">
        <f>Table1[[#This Row],[Absentee Days]]/Table1[[#This Row],[Total Work Days]]*100</f>
        <v>7.3076923076923084</v>
      </c>
      <c r="AC180">
        <f>YEAR(Table1[[#This Row],[Join Date]])</f>
        <v>2020</v>
      </c>
      <c r="AD180">
        <f>IF(Table1[[#This Row],[Status]]="Active",1,0)</f>
        <v>0</v>
      </c>
      <c r="AE180">
        <f ca="1">IF(Table1[[#This Row],[Status]]="Exited",Table1[[#This Row],[Recruitment Cost]]+Table1[[#This Row],[Onboarding Cost]]+Table1[[#This Row],[Training Cost]],0)</f>
        <v>5869</v>
      </c>
      <c r="AF180">
        <f>IF(Table1[[#This Row],[Training Completion Status]]="Completed",1,0)</f>
        <v>1</v>
      </c>
      <c r="AG180">
        <f t="shared" ca="1" si="12"/>
        <v>2</v>
      </c>
      <c r="AH180">
        <f t="shared" ca="1" si="13"/>
        <v>4</v>
      </c>
      <c r="AI180">
        <f t="shared" ca="1" si="14"/>
        <v>5</v>
      </c>
      <c r="AJ180" t="s">
        <v>318</v>
      </c>
    </row>
    <row r="181" spans="1:36" x14ac:dyDescent="0.2">
      <c r="A181" t="s">
        <v>233</v>
      </c>
      <c r="B181" t="s">
        <v>41</v>
      </c>
      <c r="C181" t="s">
        <v>32</v>
      </c>
      <c r="D181" t="s">
        <v>33</v>
      </c>
      <c r="E181" s="1">
        <v>44904</v>
      </c>
      <c r="F181" s="1">
        <v>44940</v>
      </c>
      <c r="G181" s="1">
        <v>44941</v>
      </c>
      <c r="H181" s="1" t="s">
        <v>50</v>
      </c>
      <c r="I181" t="s">
        <v>51</v>
      </c>
      <c r="J181" s="2">
        <v>1711</v>
      </c>
      <c r="K181" t="s">
        <v>28</v>
      </c>
      <c r="L181" t="s">
        <v>52</v>
      </c>
      <c r="M181">
        <v>260</v>
      </c>
      <c r="N181">
        <v>18</v>
      </c>
      <c r="O181" s="3">
        <v>1329</v>
      </c>
      <c r="P181">
        <f t="shared" ca="1" si="10"/>
        <v>1</v>
      </c>
      <c r="Q181">
        <f ca="1">RANDBETWEEN(0,Table1[[#This Row],[offers made]])</f>
        <v>1</v>
      </c>
      <c r="R181" t="s">
        <v>306</v>
      </c>
      <c r="S181">
        <f>Table1[[#This Row],[Hire Date]]-Table1[[#This Row],[Job Posting Date]]</f>
        <v>36</v>
      </c>
      <c r="T181" s="4">
        <f>Table1[[#This Row],[Join Date]]-Table1[[#This Row],[Hire Date]]</f>
        <v>1</v>
      </c>
      <c r="U181" s="4">
        <f ca="1">IF(Table1[[#This Row],[Status]]="Exited",Table1[[#This Row],[Exit Date]]-Table1[[#This Row],[Join Date]],TODAY()-Table1[[#This Row],[Join Date]])</f>
        <v>720</v>
      </c>
      <c r="V181" t="str">
        <f ca="1">IF(Table1[[#This Row],[Total Tenure in Days]]&lt;=730, "yes","no")</f>
        <v>yes</v>
      </c>
      <c r="W181">
        <f>Table1[[#This Row],[Hire Date]]-Table1[[#This Row],[Job Posting Date]]</f>
        <v>36</v>
      </c>
      <c r="X181" s="4">
        <f>Table1[[#This Row],[Time to Onboard]]/Table1[[#This Row],[Time to Fill]]*100</f>
        <v>2.7777777777777777</v>
      </c>
      <c r="Y181" s="5">
        <f>Table1[[#This Row],[Time to Onboard]]/Table1[[#This Row],[Time to Fill]]*100</f>
        <v>2.7777777777777777</v>
      </c>
      <c r="Z181">
        <f>Table1[[#This Row],[Join Date]]-Table1[[#This Row],[Job Posting Date]]</f>
        <v>37</v>
      </c>
      <c r="AA181">
        <f t="shared" ca="1" si="11"/>
        <v>136</v>
      </c>
      <c r="AB181" s="5">
        <f>Table1[[#This Row],[Absentee Days]]/Table1[[#This Row],[Total Work Days]]*100</f>
        <v>6.9230769230769234</v>
      </c>
      <c r="AC181">
        <f>YEAR(Table1[[#This Row],[Join Date]])</f>
        <v>2023</v>
      </c>
      <c r="AD181">
        <f>IF(Table1[[#This Row],[Status]]="Active",1,0)</f>
        <v>1</v>
      </c>
      <c r="AE181">
        <f>IF(Table1[[#This Row],[Status]]="Exited",Table1[[#This Row],[Recruitment Cost]]+Table1[[#This Row],[Onboarding Cost]]+Table1[[#This Row],[Training Cost]],0)</f>
        <v>0</v>
      </c>
      <c r="AF181">
        <f>IF(Table1[[#This Row],[Training Completion Status]]="Completed",1,0)</f>
        <v>1</v>
      </c>
      <c r="AG181">
        <f t="shared" ca="1" si="12"/>
        <v>2</v>
      </c>
      <c r="AH181">
        <f t="shared" ca="1" si="13"/>
        <v>2</v>
      </c>
      <c r="AI181">
        <f t="shared" ca="1" si="14"/>
        <v>4</v>
      </c>
      <c r="AJ181" t="s">
        <v>318</v>
      </c>
    </row>
    <row r="182" spans="1:36" x14ac:dyDescent="0.2">
      <c r="A182" t="s">
        <v>234</v>
      </c>
      <c r="B182" t="s">
        <v>41</v>
      </c>
      <c r="C182" t="s">
        <v>32</v>
      </c>
      <c r="D182" t="s">
        <v>33</v>
      </c>
      <c r="E182" s="1">
        <v>44116</v>
      </c>
      <c r="F182" s="1">
        <v>44203</v>
      </c>
      <c r="G182" s="1">
        <v>44213</v>
      </c>
      <c r="H182" s="1">
        <v>45377</v>
      </c>
      <c r="I182" t="s">
        <v>57</v>
      </c>
      <c r="J182" s="2">
        <v>1720</v>
      </c>
      <c r="K182" t="s">
        <v>37</v>
      </c>
      <c r="L182" t="s">
        <v>52</v>
      </c>
      <c r="M182">
        <v>260</v>
      </c>
      <c r="N182">
        <v>3</v>
      </c>
      <c r="O182" s="3">
        <v>2361</v>
      </c>
      <c r="P182">
        <f t="shared" ca="1" si="10"/>
        <v>2</v>
      </c>
      <c r="Q182">
        <f ca="1">RANDBETWEEN(0,Table1[[#This Row],[offers made]])</f>
        <v>1</v>
      </c>
      <c r="R182" t="s">
        <v>308</v>
      </c>
      <c r="S182">
        <f>Table1[[#This Row],[Hire Date]]-Table1[[#This Row],[Job Posting Date]]</f>
        <v>87</v>
      </c>
      <c r="T182" s="4">
        <f>Table1[[#This Row],[Join Date]]-Table1[[#This Row],[Hire Date]]</f>
        <v>10</v>
      </c>
      <c r="U182" s="4">
        <f ca="1">IF(Table1[[#This Row],[Status]]="Exited",Table1[[#This Row],[Exit Date]]-Table1[[#This Row],[Join Date]],TODAY()-Table1[[#This Row],[Join Date]])</f>
        <v>1164</v>
      </c>
      <c r="V182" t="str">
        <f ca="1">IF(Table1[[#This Row],[Total Tenure in Days]]&lt;=730, "yes","no")</f>
        <v>no</v>
      </c>
      <c r="W182">
        <f>Table1[[#This Row],[Hire Date]]-Table1[[#This Row],[Job Posting Date]]</f>
        <v>87</v>
      </c>
      <c r="X182" s="4">
        <f>Table1[[#This Row],[Time to Onboard]]/Table1[[#This Row],[Time to Fill]]*100</f>
        <v>11.494252873563218</v>
      </c>
      <c r="Y182" s="5">
        <f>Table1[[#This Row],[Time to Onboard]]/Table1[[#This Row],[Time to Fill]]*100</f>
        <v>11.494252873563218</v>
      </c>
      <c r="Z182">
        <f>Table1[[#This Row],[Join Date]]-Table1[[#This Row],[Job Posting Date]]</f>
        <v>97</v>
      </c>
      <c r="AA182">
        <f t="shared" ca="1" si="11"/>
        <v>146</v>
      </c>
      <c r="AB182" s="5">
        <f>Table1[[#This Row],[Absentee Days]]/Table1[[#This Row],[Total Work Days]]*100</f>
        <v>1.153846153846154</v>
      </c>
      <c r="AC182">
        <f>YEAR(Table1[[#This Row],[Join Date]])</f>
        <v>2021</v>
      </c>
      <c r="AD182">
        <f>IF(Table1[[#This Row],[Status]]="Active",1,0)</f>
        <v>0</v>
      </c>
      <c r="AE182">
        <f ca="1">IF(Table1[[#This Row],[Status]]="Exited",Table1[[#This Row],[Recruitment Cost]]+Table1[[#This Row],[Onboarding Cost]]+Table1[[#This Row],[Training Cost]],0)</f>
        <v>4227</v>
      </c>
      <c r="AF182">
        <f>IF(Table1[[#This Row],[Training Completion Status]]="Completed",1,0)</f>
        <v>1</v>
      </c>
      <c r="AG182">
        <f t="shared" ca="1" si="12"/>
        <v>4</v>
      </c>
      <c r="AH182">
        <f t="shared" ca="1" si="13"/>
        <v>1</v>
      </c>
      <c r="AI182">
        <f t="shared" ca="1" si="14"/>
        <v>2</v>
      </c>
      <c r="AJ182" t="s">
        <v>318</v>
      </c>
    </row>
    <row r="183" spans="1:36" x14ac:dyDescent="0.2">
      <c r="A183" t="s">
        <v>235</v>
      </c>
      <c r="B183" t="s">
        <v>41</v>
      </c>
      <c r="C183" t="s">
        <v>29</v>
      </c>
      <c r="D183" t="s">
        <v>30</v>
      </c>
      <c r="E183" s="1">
        <v>43135</v>
      </c>
      <c r="F183" s="1">
        <v>43205</v>
      </c>
      <c r="G183" s="1">
        <v>43214</v>
      </c>
      <c r="H183" s="1" t="s">
        <v>50</v>
      </c>
      <c r="I183" t="s">
        <v>51</v>
      </c>
      <c r="J183" s="2">
        <v>4553</v>
      </c>
      <c r="K183" t="s">
        <v>34</v>
      </c>
      <c r="L183" t="s">
        <v>52</v>
      </c>
      <c r="M183">
        <v>260</v>
      </c>
      <c r="N183">
        <v>8</v>
      </c>
      <c r="O183" s="3">
        <v>2130</v>
      </c>
      <c r="P183">
        <f t="shared" ca="1" si="10"/>
        <v>5</v>
      </c>
      <c r="Q183">
        <f ca="1">RANDBETWEEN(0,Table1[[#This Row],[offers made]])</f>
        <v>4</v>
      </c>
      <c r="R183" t="s">
        <v>307</v>
      </c>
      <c r="S183">
        <f>Table1[[#This Row],[Hire Date]]-Table1[[#This Row],[Job Posting Date]]</f>
        <v>70</v>
      </c>
      <c r="T183" s="4">
        <f>Table1[[#This Row],[Join Date]]-Table1[[#This Row],[Hire Date]]</f>
        <v>9</v>
      </c>
      <c r="U183" s="4">
        <f ca="1">IF(Table1[[#This Row],[Status]]="Exited",Table1[[#This Row],[Exit Date]]-Table1[[#This Row],[Join Date]],TODAY()-Table1[[#This Row],[Join Date]])</f>
        <v>2447</v>
      </c>
      <c r="V183" t="str">
        <f ca="1">IF(Table1[[#This Row],[Total Tenure in Days]]&lt;=730, "yes","no")</f>
        <v>no</v>
      </c>
      <c r="W183">
        <f>Table1[[#This Row],[Hire Date]]-Table1[[#This Row],[Job Posting Date]]</f>
        <v>70</v>
      </c>
      <c r="X183" s="4">
        <f>Table1[[#This Row],[Time to Onboard]]/Table1[[#This Row],[Time to Fill]]*100</f>
        <v>12.857142857142856</v>
      </c>
      <c r="Y183" s="5">
        <f>Table1[[#This Row],[Time to Onboard]]/Table1[[#This Row],[Time to Fill]]*100</f>
        <v>12.857142857142856</v>
      </c>
      <c r="Z183">
        <f>Table1[[#This Row],[Join Date]]-Table1[[#This Row],[Job Posting Date]]</f>
        <v>79</v>
      </c>
      <c r="AA183">
        <f t="shared" ca="1" si="11"/>
        <v>148</v>
      </c>
      <c r="AB183" s="5">
        <f>Table1[[#This Row],[Absentee Days]]/Table1[[#This Row],[Total Work Days]]*100</f>
        <v>3.0769230769230771</v>
      </c>
      <c r="AC183">
        <f>YEAR(Table1[[#This Row],[Join Date]])</f>
        <v>2018</v>
      </c>
      <c r="AD183">
        <f>IF(Table1[[#This Row],[Status]]="Active",1,0)</f>
        <v>1</v>
      </c>
      <c r="AE183">
        <f>IF(Table1[[#This Row],[Status]]="Exited",Table1[[#This Row],[Recruitment Cost]]+Table1[[#This Row],[Onboarding Cost]]+Table1[[#This Row],[Training Cost]],0)</f>
        <v>0</v>
      </c>
      <c r="AF183">
        <f>IF(Table1[[#This Row],[Training Completion Status]]="Completed",1,0)</f>
        <v>1</v>
      </c>
      <c r="AG183">
        <f t="shared" ca="1" si="12"/>
        <v>2</v>
      </c>
      <c r="AH183">
        <f t="shared" ca="1" si="13"/>
        <v>1</v>
      </c>
      <c r="AI183">
        <f t="shared" ca="1" si="14"/>
        <v>3</v>
      </c>
      <c r="AJ183" t="s">
        <v>318</v>
      </c>
    </row>
    <row r="184" spans="1:36" x14ac:dyDescent="0.2">
      <c r="A184" t="s">
        <v>236</v>
      </c>
      <c r="B184" t="s">
        <v>42</v>
      </c>
      <c r="C184" t="s">
        <v>32</v>
      </c>
      <c r="D184" t="s">
        <v>33</v>
      </c>
      <c r="E184" s="1">
        <v>43619</v>
      </c>
      <c r="F184" s="1">
        <v>43663</v>
      </c>
      <c r="G184" s="1">
        <v>43664</v>
      </c>
      <c r="H184" s="1" t="s">
        <v>50</v>
      </c>
      <c r="I184" t="s">
        <v>51</v>
      </c>
      <c r="J184" s="2">
        <v>1582</v>
      </c>
      <c r="K184" t="s">
        <v>31</v>
      </c>
      <c r="L184" t="s">
        <v>52</v>
      </c>
      <c r="M184">
        <v>260</v>
      </c>
      <c r="N184">
        <v>6</v>
      </c>
      <c r="O184" s="3">
        <v>1412</v>
      </c>
      <c r="P184">
        <f t="shared" ca="1" si="10"/>
        <v>10</v>
      </c>
      <c r="Q184">
        <f ca="1">RANDBETWEEN(0,Table1[[#This Row],[offers made]])</f>
        <v>6</v>
      </c>
      <c r="R184" t="s">
        <v>306</v>
      </c>
      <c r="S184">
        <f>Table1[[#This Row],[Hire Date]]-Table1[[#This Row],[Job Posting Date]]</f>
        <v>44</v>
      </c>
      <c r="T184" s="4">
        <f>Table1[[#This Row],[Join Date]]-Table1[[#This Row],[Hire Date]]</f>
        <v>1</v>
      </c>
      <c r="U184" s="4">
        <f ca="1">IF(Table1[[#This Row],[Status]]="Exited",Table1[[#This Row],[Exit Date]]-Table1[[#This Row],[Join Date]],TODAY()-Table1[[#This Row],[Join Date]])</f>
        <v>1997</v>
      </c>
      <c r="V184" t="str">
        <f ca="1">IF(Table1[[#This Row],[Total Tenure in Days]]&lt;=730, "yes","no")</f>
        <v>no</v>
      </c>
      <c r="W184">
        <f>Table1[[#This Row],[Hire Date]]-Table1[[#This Row],[Job Posting Date]]</f>
        <v>44</v>
      </c>
      <c r="X184" s="4">
        <f>Table1[[#This Row],[Time to Onboard]]/Table1[[#This Row],[Time to Fill]]*100</f>
        <v>2.2727272727272729</v>
      </c>
      <c r="Y184" s="5">
        <f>Table1[[#This Row],[Time to Onboard]]/Table1[[#This Row],[Time to Fill]]*100</f>
        <v>2.2727272727272729</v>
      </c>
      <c r="Z184">
        <f>Table1[[#This Row],[Join Date]]-Table1[[#This Row],[Job Posting Date]]</f>
        <v>45</v>
      </c>
      <c r="AA184">
        <f t="shared" ca="1" si="11"/>
        <v>108</v>
      </c>
      <c r="AB184" s="5">
        <f>Table1[[#This Row],[Absentee Days]]/Table1[[#This Row],[Total Work Days]]*100</f>
        <v>2.3076923076923079</v>
      </c>
      <c r="AC184">
        <f>YEAR(Table1[[#This Row],[Join Date]])</f>
        <v>2019</v>
      </c>
      <c r="AD184">
        <f>IF(Table1[[#This Row],[Status]]="Active",1,0)</f>
        <v>1</v>
      </c>
      <c r="AE184">
        <f>IF(Table1[[#This Row],[Status]]="Exited",Table1[[#This Row],[Recruitment Cost]]+Table1[[#This Row],[Onboarding Cost]]+Table1[[#This Row],[Training Cost]],0)</f>
        <v>0</v>
      </c>
      <c r="AF184">
        <f>IF(Table1[[#This Row],[Training Completion Status]]="Completed",1,0)</f>
        <v>1</v>
      </c>
      <c r="AG184">
        <f t="shared" ca="1" si="12"/>
        <v>1</v>
      </c>
      <c r="AH184">
        <f t="shared" ca="1" si="13"/>
        <v>3</v>
      </c>
      <c r="AI184">
        <f t="shared" ca="1" si="14"/>
        <v>2</v>
      </c>
      <c r="AJ184" t="s">
        <v>317</v>
      </c>
    </row>
    <row r="185" spans="1:36" x14ac:dyDescent="0.2">
      <c r="A185" t="s">
        <v>237</v>
      </c>
      <c r="B185" t="s">
        <v>41</v>
      </c>
      <c r="C185" t="s">
        <v>26</v>
      </c>
      <c r="D185" t="s">
        <v>27</v>
      </c>
      <c r="E185" s="1">
        <v>43532</v>
      </c>
      <c r="F185" s="1">
        <v>43557</v>
      </c>
      <c r="G185" s="1">
        <v>43568</v>
      </c>
      <c r="H185" s="1" t="s">
        <v>50</v>
      </c>
      <c r="I185" t="s">
        <v>51</v>
      </c>
      <c r="J185" s="2">
        <v>4229</v>
      </c>
      <c r="K185" t="s">
        <v>37</v>
      </c>
      <c r="L185" t="s">
        <v>52</v>
      </c>
      <c r="M185">
        <v>260</v>
      </c>
      <c r="N185">
        <v>11</v>
      </c>
      <c r="O185" s="3">
        <v>1684</v>
      </c>
      <c r="P185">
        <f t="shared" ca="1" si="10"/>
        <v>7</v>
      </c>
      <c r="Q185">
        <f ca="1">RANDBETWEEN(0,Table1[[#This Row],[offers made]])</f>
        <v>6</v>
      </c>
      <c r="R185" t="s">
        <v>306</v>
      </c>
      <c r="S185">
        <f>Table1[[#This Row],[Hire Date]]-Table1[[#This Row],[Job Posting Date]]</f>
        <v>25</v>
      </c>
      <c r="T185" s="4">
        <f>Table1[[#This Row],[Join Date]]-Table1[[#This Row],[Hire Date]]</f>
        <v>11</v>
      </c>
      <c r="U185" s="4">
        <f ca="1">IF(Table1[[#This Row],[Status]]="Exited",Table1[[#This Row],[Exit Date]]-Table1[[#This Row],[Join Date]],TODAY()-Table1[[#This Row],[Join Date]])</f>
        <v>2093</v>
      </c>
      <c r="V185" t="str">
        <f ca="1">IF(Table1[[#This Row],[Total Tenure in Days]]&lt;=730, "yes","no")</f>
        <v>no</v>
      </c>
      <c r="W185">
        <f>Table1[[#This Row],[Hire Date]]-Table1[[#This Row],[Job Posting Date]]</f>
        <v>25</v>
      </c>
      <c r="X185" s="4">
        <f>Table1[[#This Row],[Time to Onboard]]/Table1[[#This Row],[Time to Fill]]*100</f>
        <v>44</v>
      </c>
      <c r="Y185" s="5">
        <f>Table1[[#This Row],[Time to Onboard]]/Table1[[#This Row],[Time to Fill]]*100</f>
        <v>44</v>
      </c>
      <c r="Z185">
        <f>Table1[[#This Row],[Join Date]]-Table1[[#This Row],[Job Posting Date]]</f>
        <v>36</v>
      </c>
      <c r="AA185">
        <f t="shared" ca="1" si="11"/>
        <v>200</v>
      </c>
      <c r="AB185" s="5">
        <f>Table1[[#This Row],[Absentee Days]]/Table1[[#This Row],[Total Work Days]]*100</f>
        <v>4.2307692307692308</v>
      </c>
      <c r="AC185">
        <f>YEAR(Table1[[#This Row],[Join Date]])</f>
        <v>2019</v>
      </c>
      <c r="AD185">
        <f>IF(Table1[[#This Row],[Status]]="Active",1,0)</f>
        <v>1</v>
      </c>
      <c r="AE185">
        <f>IF(Table1[[#This Row],[Status]]="Exited",Table1[[#This Row],[Recruitment Cost]]+Table1[[#This Row],[Onboarding Cost]]+Table1[[#This Row],[Training Cost]],0)</f>
        <v>0</v>
      </c>
      <c r="AF185">
        <f>IF(Table1[[#This Row],[Training Completion Status]]="Completed",1,0)</f>
        <v>1</v>
      </c>
      <c r="AG185">
        <f t="shared" ca="1" si="12"/>
        <v>2</v>
      </c>
      <c r="AH185">
        <f t="shared" ca="1" si="13"/>
        <v>4</v>
      </c>
      <c r="AI185">
        <f t="shared" ca="1" si="14"/>
        <v>1</v>
      </c>
      <c r="AJ185" t="s">
        <v>317</v>
      </c>
    </row>
    <row r="186" spans="1:36" x14ac:dyDescent="0.2">
      <c r="A186" t="s">
        <v>238</v>
      </c>
      <c r="B186" t="s">
        <v>41</v>
      </c>
      <c r="C186" t="s">
        <v>35</v>
      </c>
      <c r="D186" t="s">
        <v>36</v>
      </c>
      <c r="E186" s="1">
        <v>43368</v>
      </c>
      <c r="F186" s="1">
        <v>43405</v>
      </c>
      <c r="G186" s="1">
        <v>43406</v>
      </c>
      <c r="H186" s="1" t="s">
        <v>50</v>
      </c>
      <c r="I186" t="s">
        <v>51</v>
      </c>
      <c r="J186" s="2">
        <v>1614</v>
      </c>
      <c r="K186" t="s">
        <v>31</v>
      </c>
      <c r="L186" t="s">
        <v>52</v>
      </c>
      <c r="M186">
        <v>260</v>
      </c>
      <c r="N186">
        <v>13</v>
      </c>
      <c r="O186" s="3">
        <v>1838</v>
      </c>
      <c r="P186">
        <f t="shared" ca="1" si="10"/>
        <v>6</v>
      </c>
      <c r="Q186">
        <f ca="1">RANDBETWEEN(0,Table1[[#This Row],[offers made]])</f>
        <v>3</v>
      </c>
      <c r="R186" t="s">
        <v>306</v>
      </c>
      <c r="S186">
        <f>Table1[[#This Row],[Hire Date]]-Table1[[#This Row],[Job Posting Date]]</f>
        <v>37</v>
      </c>
      <c r="T186" s="4">
        <f>Table1[[#This Row],[Join Date]]-Table1[[#This Row],[Hire Date]]</f>
        <v>1</v>
      </c>
      <c r="U186" s="4">
        <f ca="1">IF(Table1[[#This Row],[Status]]="Exited",Table1[[#This Row],[Exit Date]]-Table1[[#This Row],[Join Date]],TODAY()-Table1[[#This Row],[Join Date]])</f>
        <v>2255</v>
      </c>
      <c r="V186" t="str">
        <f ca="1">IF(Table1[[#This Row],[Total Tenure in Days]]&lt;=730, "yes","no")</f>
        <v>no</v>
      </c>
      <c r="W186">
        <f>Table1[[#This Row],[Hire Date]]-Table1[[#This Row],[Job Posting Date]]</f>
        <v>37</v>
      </c>
      <c r="X186" s="4">
        <f>Table1[[#This Row],[Time to Onboard]]/Table1[[#This Row],[Time to Fill]]*100</f>
        <v>2.7027027027027026</v>
      </c>
      <c r="Y186" s="5">
        <f>Table1[[#This Row],[Time to Onboard]]/Table1[[#This Row],[Time to Fill]]*100</f>
        <v>2.7027027027027026</v>
      </c>
      <c r="Z186">
        <f>Table1[[#This Row],[Join Date]]-Table1[[#This Row],[Job Posting Date]]</f>
        <v>38</v>
      </c>
      <c r="AA186">
        <f t="shared" ca="1" si="11"/>
        <v>132</v>
      </c>
      <c r="AB186" s="5">
        <f>Table1[[#This Row],[Absentee Days]]/Table1[[#This Row],[Total Work Days]]*100</f>
        <v>5</v>
      </c>
      <c r="AC186">
        <f>YEAR(Table1[[#This Row],[Join Date]])</f>
        <v>2018</v>
      </c>
      <c r="AD186">
        <f>IF(Table1[[#This Row],[Status]]="Active",1,0)</f>
        <v>1</v>
      </c>
      <c r="AE186">
        <f>IF(Table1[[#This Row],[Status]]="Exited",Table1[[#This Row],[Recruitment Cost]]+Table1[[#This Row],[Onboarding Cost]]+Table1[[#This Row],[Training Cost]],0)</f>
        <v>0</v>
      </c>
      <c r="AF186">
        <f>IF(Table1[[#This Row],[Training Completion Status]]="Completed",1,0)</f>
        <v>1</v>
      </c>
      <c r="AG186">
        <f t="shared" ca="1" si="12"/>
        <v>2</v>
      </c>
      <c r="AH186">
        <f t="shared" ca="1" si="13"/>
        <v>1</v>
      </c>
      <c r="AI186">
        <f t="shared" ca="1" si="14"/>
        <v>2</v>
      </c>
      <c r="AJ186" t="s">
        <v>318</v>
      </c>
    </row>
    <row r="187" spans="1:36" x14ac:dyDescent="0.2">
      <c r="A187" t="s">
        <v>239</v>
      </c>
      <c r="B187" t="s">
        <v>43</v>
      </c>
      <c r="C187" t="s">
        <v>32</v>
      </c>
      <c r="D187" t="s">
        <v>33</v>
      </c>
      <c r="E187" s="1">
        <v>44781</v>
      </c>
      <c r="F187" s="1">
        <v>44844</v>
      </c>
      <c r="G187" s="1">
        <v>44848</v>
      </c>
      <c r="H187" s="1" t="s">
        <v>50</v>
      </c>
      <c r="I187" t="s">
        <v>51</v>
      </c>
      <c r="J187" s="2">
        <v>1956</v>
      </c>
      <c r="K187" t="s">
        <v>34</v>
      </c>
      <c r="L187" t="s">
        <v>55</v>
      </c>
      <c r="M187">
        <v>260</v>
      </c>
      <c r="N187">
        <v>17</v>
      </c>
      <c r="O187" s="3">
        <v>2000</v>
      </c>
      <c r="P187">
        <f t="shared" ca="1" si="10"/>
        <v>4</v>
      </c>
      <c r="Q187">
        <f ca="1">RANDBETWEEN(0,Table1[[#This Row],[offers made]])</f>
        <v>4</v>
      </c>
      <c r="R187" t="s">
        <v>307</v>
      </c>
      <c r="S187">
        <f>Table1[[#This Row],[Hire Date]]-Table1[[#This Row],[Job Posting Date]]</f>
        <v>63</v>
      </c>
      <c r="T187" s="4">
        <f>Table1[[#This Row],[Join Date]]-Table1[[#This Row],[Hire Date]]</f>
        <v>4</v>
      </c>
      <c r="U187" s="4">
        <f ca="1">IF(Table1[[#This Row],[Status]]="Exited",Table1[[#This Row],[Exit Date]]-Table1[[#This Row],[Join Date]],TODAY()-Table1[[#This Row],[Join Date]])</f>
        <v>813</v>
      </c>
      <c r="V187" t="str">
        <f ca="1">IF(Table1[[#This Row],[Total Tenure in Days]]&lt;=730, "yes","no")</f>
        <v>no</v>
      </c>
      <c r="W187">
        <f>Table1[[#This Row],[Hire Date]]-Table1[[#This Row],[Job Posting Date]]</f>
        <v>63</v>
      </c>
      <c r="X187" s="4">
        <f>Table1[[#This Row],[Time to Onboard]]/Table1[[#This Row],[Time to Fill]]*100</f>
        <v>6.3492063492063489</v>
      </c>
      <c r="Y187" s="5">
        <f>Table1[[#This Row],[Time to Onboard]]/Table1[[#This Row],[Time to Fill]]*100</f>
        <v>6.3492063492063489</v>
      </c>
      <c r="Z187">
        <f>Table1[[#This Row],[Join Date]]-Table1[[#This Row],[Job Posting Date]]</f>
        <v>67</v>
      </c>
      <c r="AA187">
        <f t="shared" ca="1" si="11"/>
        <v>140</v>
      </c>
      <c r="AB187" s="5">
        <f>Table1[[#This Row],[Absentee Days]]/Table1[[#This Row],[Total Work Days]]*100</f>
        <v>6.5384615384615392</v>
      </c>
      <c r="AC187">
        <f>YEAR(Table1[[#This Row],[Join Date]])</f>
        <v>2022</v>
      </c>
      <c r="AD187">
        <f>IF(Table1[[#This Row],[Status]]="Active",1,0)</f>
        <v>1</v>
      </c>
      <c r="AE187">
        <f>IF(Table1[[#This Row],[Status]]="Exited",Table1[[#This Row],[Recruitment Cost]]+Table1[[#This Row],[Onboarding Cost]]+Table1[[#This Row],[Training Cost]],0)</f>
        <v>0</v>
      </c>
      <c r="AF187">
        <f>IF(Table1[[#This Row],[Training Completion Status]]="Completed",1,0)</f>
        <v>0</v>
      </c>
      <c r="AG187">
        <f t="shared" ca="1" si="12"/>
        <v>3</v>
      </c>
      <c r="AH187">
        <f t="shared" ca="1" si="13"/>
        <v>5</v>
      </c>
      <c r="AI187">
        <f t="shared" ca="1" si="14"/>
        <v>5</v>
      </c>
      <c r="AJ187" t="s">
        <v>317</v>
      </c>
    </row>
    <row r="188" spans="1:36" x14ac:dyDescent="0.2">
      <c r="A188" t="s">
        <v>240</v>
      </c>
      <c r="B188" t="s">
        <v>41</v>
      </c>
      <c r="C188" t="s">
        <v>26</v>
      </c>
      <c r="D188" t="s">
        <v>27</v>
      </c>
      <c r="E188" s="1">
        <v>44698</v>
      </c>
      <c r="F188" s="1">
        <v>44758</v>
      </c>
      <c r="G188" s="1">
        <v>44764</v>
      </c>
      <c r="H188" s="1">
        <v>45395</v>
      </c>
      <c r="I188" t="s">
        <v>57</v>
      </c>
      <c r="J188" s="2">
        <v>2021</v>
      </c>
      <c r="K188" t="s">
        <v>31</v>
      </c>
      <c r="L188" t="s">
        <v>52</v>
      </c>
      <c r="M188">
        <v>260</v>
      </c>
      <c r="N188">
        <v>10</v>
      </c>
      <c r="O188" s="3">
        <v>2243</v>
      </c>
      <c r="P188">
        <f t="shared" ca="1" si="10"/>
        <v>3</v>
      </c>
      <c r="Q188">
        <f ca="1">RANDBETWEEN(0,Table1[[#This Row],[offers made]])</f>
        <v>3</v>
      </c>
      <c r="R188" t="s">
        <v>308</v>
      </c>
      <c r="S188">
        <f>Table1[[#This Row],[Hire Date]]-Table1[[#This Row],[Job Posting Date]]</f>
        <v>60</v>
      </c>
      <c r="T188" s="4">
        <f>Table1[[#This Row],[Join Date]]-Table1[[#This Row],[Hire Date]]</f>
        <v>6</v>
      </c>
      <c r="U188" s="4">
        <f ca="1">IF(Table1[[#This Row],[Status]]="Exited",Table1[[#This Row],[Exit Date]]-Table1[[#This Row],[Join Date]],TODAY()-Table1[[#This Row],[Join Date]])</f>
        <v>631</v>
      </c>
      <c r="V188" t="str">
        <f ca="1">IF(Table1[[#This Row],[Total Tenure in Days]]&lt;=730, "yes","no")</f>
        <v>yes</v>
      </c>
      <c r="W188">
        <f>Table1[[#This Row],[Hire Date]]-Table1[[#This Row],[Job Posting Date]]</f>
        <v>60</v>
      </c>
      <c r="X188" s="4">
        <f>Table1[[#This Row],[Time to Onboard]]/Table1[[#This Row],[Time to Fill]]*100</f>
        <v>10</v>
      </c>
      <c r="Y188" s="5">
        <f>Table1[[#This Row],[Time to Onboard]]/Table1[[#This Row],[Time to Fill]]*100</f>
        <v>10</v>
      </c>
      <c r="Z188">
        <f>Table1[[#This Row],[Join Date]]-Table1[[#This Row],[Job Posting Date]]</f>
        <v>66</v>
      </c>
      <c r="AA188">
        <f t="shared" ca="1" si="11"/>
        <v>193</v>
      </c>
      <c r="AB188" s="5">
        <f>Table1[[#This Row],[Absentee Days]]/Table1[[#This Row],[Total Work Days]]*100</f>
        <v>3.8461538461538463</v>
      </c>
      <c r="AC188">
        <f>YEAR(Table1[[#This Row],[Join Date]])</f>
        <v>2022</v>
      </c>
      <c r="AD188">
        <f>IF(Table1[[#This Row],[Status]]="Active",1,0)</f>
        <v>0</v>
      </c>
      <c r="AE188">
        <f ca="1">IF(Table1[[#This Row],[Status]]="Exited",Table1[[#This Row],[Recruitment Cost]]+Table1[[#This Row],[Onboarding Cost]]+Table1[[#This Row],[Training Cost]],0)</f>
        <v>4457</v>
      </c>
      <c r="AF188">
        <f>IF(Table1[[#This Row],[Training Completion Status]]="Completed",1,0)</f>
        <v>1</v>
      </c>
      <c r="AG188">
        <f t="shared" ca="1" si="12"/>
        <v>4</v>
      </c>
      <c r="AH188">
        <f t="shared" ca="1" si="13"/>
        <v>2</v>
      </c>
      <c r="AI188">
        <f t="shared" ca="1" si="14"/>
        <v>2</v>
      </c>
      <c r="AJ188" t="s">
        <v>318</v>
      </c>
    </row>
    <row r="189" spans="1:36" x14ac:dyDescent="0.2">
      <c r="A189" t="s">
        <v>241</v>
      </c>
      <c r="B189" t="s">
        <v>43</v>
      </c>
      <c r="C189" t="s">
        <v>26</v>
      </c>
      <c r="D189" t="s">
        <v>27</v>
      </c>
      <c r="E189" s="1">
        <v>43741</v>
      </c>
      <c r="F189" s="1">
        <v>43763</v>
      </c>
      <c r="G189" s="1">
        <v>43773</v>
      </c>
      <c r="H189" s="1" t="s">
        <v>50</v>
      </c>
      <c r="I189" t="s">
        <v>51</v>
      </c>
      <c r="J189" s="2">
        <v>3667</v>
      </c>
      <c r="K189" t="s">
        <v>37</v>
      </c>
      <c r="L189" t="s">
        <v>52</v>
      </c>
      <c r="M189">
        <v>260</v>
      </c>
      <c r="N189">
        <v>0</v>
      </c>
      <c r="O189" s="3">
        <v>1413</v>
      </c>
      <c r="P189">
        <f t="shared" ca="1" si="10"/>
        <v>7</v>
      </c>
      <c r="Q189">
        <f ca="1">RANDBETWEEN(0,Table1[[#This Row],[offers made]])</f>
        <v>2</v>
      </c>
      <c r="R189" t="s">
        <v>307</v>
      </c>
      <c r="S189">
        <f>Table1[[#This Row],[Hire Date]]-Table1[[#This Row],[Job Posting Date]]</f>
        <v>22</v>
      </c>
      <c r="T189" s="4">
        <f>Table1[[#This Row],[Join Date]]-Table1[[#This Row],[Hire Date]]</f>
        <v>10</v>
      </c>
      <c r="U189" s="4">
        <f ca="1">IF(Table1[[#This Row],[Status]]="Exited",Table1[[#This Row],[Exit Date]]-Table1[[#This Row],[Join Date]],TODAY()-Table1[[#This Row],[Join Date]])</f>
        <v>1888</v>
      </c>
      <c r="V189" t="str">
        <f ca="1">IF(Table1[[#This Row],[Total Tenure in Days]]&lt;=730, "yes","no")</f>
        <v>no</v>
      </c>
      <c r="W189">
        <f>Table1[[#This Row],[Hire Date]]-Table1[[#This Row],[Job Posting Date]]</f>
        <v>22</v>
      </c>
      <c r="X189" s="4">
        <f>Table1[[#This Row],[Time to Onboard]]/Table1[[#This Row],[Time to Fill]]*100</f>
        <v>45.454545454545453</v>
      </c>
      <c r="Y189" s="5">
        <f>Table1[[#This Row],[Time to Onboard]]/Table1[[#This Row],[Time to Fill]]*100</f>
        <v>45.454545454545453</v>
      </c>
      <c r="Z189">
        <f>Table1[[#This Row],[Join Date]]-Table1[[#This Row],[Job Posting Date]]</f>
        <v>32</v>
      </c>
      <c r="AA189">
        <f t="shared" ca="1" si="11"/>
        <v>130</v>
      </c>
      <c r="AB189" s="5">
        <f>Table1[[#This Row],[Absentee Days]]/Table1[[#This Row],[Total Work Days]]*100</f>
        <v>0</v>
      </c>
      <c r="AC189">
        <f>YEAR(Table1[[#This Row],[Join Date]])</f>
        <v>2019</v>
      </c>
      <c r="AD189">
        <f>IF(Table1[[#This Row],[Status]]="Active",1,0)</f>
        <v>1</v>
      </c>
      <c r="AE189">
        <f>IF(Table1[[#This Row],[Status]]="Exited",Table1[[#This Row],[Recruitment Cost]]+Table1[[#This Row],[Onboarding Cost]]+Table1[[#This Row],[Training Cost]],0)</f>
        <v>0</v>
      </c>
      <c r="AF189">
        <f>IF(Table1[[#This Row],[Training Completion Status]]="Completed",1,0)</f>
        <v>1</v>
      </c>
      <c r="AG189">
        <f t="shared" ca="1" si="12"/>
        <v>3</v>
      </c>
      <c r="AH189">
        <f t="shared" ca="1" si="13"/>
        <v>4</v>
      </c>
      <c r="AI189">
        <f t="shared" ca="1" si="14"/>
        <v>1</v>
      </c>
      <c r="AJ189" t="s">
        <v>317</v>
      </c>
    </row>
    <row r="190" spans="1:36" x14ac:dyDescent="0.2">
      <c r="A190" t="s">
        <v>242</v>
      </c>
      <c r="B190" t="s">
        <v>43</v>
      </c>
      <c r="C190" t="s">
        <v>26</v>
      </c>
      <c r="D190" t="s">
        <v>27</v>
      </c>
      <c r="E190" s="1">
        <v>44923</v>
      </c>
      <c r="F190" s="1">
        <v>44961</v>
      </c>
      <c r="G190" s="1">
        <v>44974</v>
      </c>
      <c r="H190" s="1" t="s">
        <v>50</v>
      </c>
      <c r="I190" t="s">
        <v>51</v>
      </c>
      <c r="J190" s="2">
        <v>4554</v>
      </c>
      <c r="K190" t="s">
        <v>34</v>
      </c>
      <c r="L190" t="s">
        <v>52</v>
      </c>
      <c r="M190">
        <v>260</v>
      </c>
      <c r="N190">
        <v>17</v>
      </c>
      <c r="O190" s="3">
        <v>2094</v>
      </c>
      <c r="P190">
        <f t="shared" ca="1" si="10"/>
        <v>3</v>
      </c>
      <c r="Q190">
        <f ca="1">RANDBETWEEN(0,Table1[[#This Row],[offers made]])</f>
        <v>3</v>
      </c>
      <c r="R190" t="s">
        <v>308</v>
      </c>
      <c r="S190">
        <f>Table1[[#This Row],[Hire Date]]-Table1[[#This Row],[Job Posting Date]]</f>
        <v>38</v>
      </c>
      <c r="T190" s="4">
        <f>Table1[[#This Row],[Join Date]]-Table1[[#This Row],[Hire Date]]</f>
        <v>13</v>
      </c>
      <c r="U190" s="4">
        <f ca="1">IF(Table1[[#This Row],[Status]]="Exited",Table1[[#This Row],[Exit Date]]-Table1[[#This Row],[Join Date]],TODAY()-Table1[[#This Row],[Join Date]])</f>
        <v>687</v>
      </c>
      <c r="V190" t="str">
        <f ca="1">IF(Table1[[#This Row],[Total Tenure in Days]]&lt;=730, "yes","no")</f>
        <v>yes</v>
      </c>
      <c r="W190">
        <f>Table1[[#This Row],[Hire Date]]-Table1[[#This Row],[Job Posting Date]]</f>
        <v>38</v>
      </c>
      <c r="X190" s="4">
        <f>Table1[[#This Row],[Time to Onboard]]/Table1[[#This Row],[Time to Fill]]*100</f>
        <v>34.210526315789473</v>
      </c>
      <c r="Y190" s="5">
        <f>Table1[[#This Row],[Time to Onboard]]/Table1[[#This Row],[Time to Fill]]*100</f>
        <v>34.210526315789473</v>
      </c>
      <c r="Z190">
        <f>Table1[[#This Row],[Join Date]]-Table1[[#This Row],[Job Posting Date]]</f>
        <v>51</v>
      </c>
      <c r="AA190">
        <f t="shared" ca="1" si="11"/>
        <v>103</v>
      </c>
      <c r="AB190" s="5">
        <f>Table1[[#This Row],[Absentee Days]]/Table1[[#This Row],[Total Work Days]]*100</f>
        <v>6.5384615384615392</v>
      </c>
      <c r="AC190">
        <f>YEAR(Table1[[#This Row],[Join Date]])</f>
        <v>2023</v>
      </c>
      <c r="AD190">
        <f>IF(Table1[[#This Row],[Status]]="Active",1,0)</f>
        <v>1</v>
      </c>
      <c r="AE190">
        <f>IF(Table1[[#This Row],[Status]]="Exited",Table1[[#This Row],[Recruitment Cost]]+Table1[[#This Row],[Onboarding Cost]]+Table1[[#This Row],[Training Cost]],0)</f>
        <v>0</v>
      </c>
      <c r="AF190">
        <f>IF(Table1[[#This Row],[Training Completion Status]]="Completed",1,0)</f>
        <v>1</v>
      </c>
      <c r="AG190">
        <f t="shared" ca="1" si="12"/>
        <v>2</v>
      </c>
      <c r="AH190">
        <f t="shared" ca="1" si="13"/>
        <v>2</v>
      </c>
      <c r="AI190">
        <f t="shared" ca="1" si="14"/>
        <v>1</v>
      </c>
      <c r="AJ190" t="s">
        <v>318</v>
      </c>
    </row>
    <row r="191" spans="1:36" x14ac:dyDescent="0.2">
      <c r="A191" t="s">
        <v>243</v>
      </c>
      <c r="B191" t="s">
        <v>42</v>
      </c>
      <c r="C191" t="s">
        <v>26</v>
      </c>
      <c r="D191" t="s">
        <v>27</v>
      </c>
      <c r="E191" s="1">
        <v>44608</v>
      </c>
      <c r="F191" s="1">
        <v>44654</v>
      </c>
      <c r="G191" s="1">
        <v>44661</v>
      </c>
      <c r="H191" s="1">
        <v>44791</v>
      </c>
      <c r="I191" t="s">
        <v>57</v>
      </c>
      <c r="J191" s="2">
        <v>3866</v>
      </c>
      <c r="K191" t="s">
        <v>28</v>
      </c>
      <c r="L191" t="s">
        <v>55</v>
      </c>
      <c r="M191">
        <v>260</v>
      </c>
      <c r="N191">
        <v>9</v>
      </c>
      <c r="O191" s="3">
        <v>2035</v>
      </c>
      <c r="P191">
        <f t="shared" ca="1" si="10"/>
        <v>1</v>
      </c>
      <c r="Q191">
        <f ca="1">RANDBETWEEN(0,Table1[[#This Row],[offers made]])</f>
        <v>0</v>
      </c>
      <c r="R191" t="s">
        <v>307</v>
      </c>
      <c r="S191">
        <f>Table1[[#This Row],[Hire Date]]-Table1[[#This Row],[Job Posting Date]]</f>
        <v>46</v>
      </c>
      <c r="T191" s="4">
        <f>Table1[[#This Row],[Join Date]]-Table1[[#This Row],[Hire Date]]</f>
        <v>7</v>
      </c>
      <c r="U191" s="4">
        <f ca="1">IF(Table1[[#This Row],[Status]]="Exited",Table1[[#This Row],[Exit Date]]-Table1[[#This Row],[Join Date]],TODAY()-Table1[[#This Row],[Join Date]])</f>
        <v>130</v>
      </c>
      <c r="V191" t="str">
        <f ca="1">IF(Table1[[#This Row],[Total Tenure in Days]]&lt;=730, "yes","no")</f>
        <v>yes</v>
      </c>
      <c r="W191">
        <f>Table1[[#This Row],[Hire Date]]-Table1[[#This Row],[Job Posting Date]]</f>
        <v>46</v>
      </c>
      <c r="X191" s="4">
        <f>Table1[[#This Row],[Time to Onboard]]/Table1[[#This Row],[Time to Fill]]*100</f>
        <v>15.217391304347828</v>
      </c>
      <c r="Y191" s="5">
        <f>Table1[[#This Row],[Time to Onboard]]/Table1[[#This Row],[Time to Fill]]*100</f>
        <v>15.217391304347828</v>
      </c>
      <c r="Z191">
        <f>Table1[[#This Row],[Join Date]]-Table1[[#This Row],[Job Posting Date]]</f>
        <v>53</v>
      </c>
      <c r="AA191">
        <f t="shared" ca="1" si="11"/>
        <v>127</v>
      </c>
      <c r="AB191" s="5">
        <f>Table1[[#This Row],[Absentee Days]]/Table1[[#This Row],[Total Work Days]]*100</f>
        <v>3.4615384615384617</v>
      </c>
      <c r="AC191">
        <f>YEAR(Table1[[#This Row],[Join Date]])</f>
        <v>2022</v>
      </c>
      <c r="AD191">
        <f>IF(Table1[[#This Row],[Status]]="Active",1,0)</f>
        <v>0</v>
      </c>
      <c r="AE191">
        <f ca="1">IF(Table1[[#This Row],[Status]]="Exited",Table1[[#This Row],[Recruitment Cost]]+Table1[[#This Row],[Onboarding Cost]]+Table1[[#This Row],[Training Cost]],0)</f>
        <v>6028</v>
      </c>
      <c r="AF191">
        <f>IF(Table1[[#This Row],[Training Completion Status]]="Completed",1,0)</f>
        <v>0</v>
      </c>
      <c r="AG191">
        <f t="shared" ca="1" si="12"/>
        <v>2</v>
      </c>
      <c r="AH191">
        <f t="shared" ca="1" si="13"/>
        <v>4</v>
      </c>
      <c r="AI191">
        <f t="shared" ca="1" si="14"/>
        <v>4</v>
      </c>
      <c r="AJ191" t="s">
        <v>318</v>
      </c>
    </row>
    <row r="192" spans="1:36" x14ac:dyDescent="0.2">
      <c r="A192" t="s">
        <v>244</v>
      </c>
      <c r="B192" t="s">
        <v>42</v>
      </c>
      <c r="C192" t="s">
        <v>29</v>
      </c>
      <c r="D192" t="s">
        <v>30</v>
      </c>
      <c r="E192" s="1">
        <v>43482</v>
      </c>
      <c r="F192" s="1">
        <v>43503</v>
      </c>
      <c r="G192" s="1">
        <v>43507</v>
      </c>
      <c r="H192" s="1">
        <v>43984</v>
      </c>
      <c r="I192" t="s">
        <v>57</v>
      </c>
      <c r="J192" s="2">
        <v>4175</v>
      </c>
      <c r="K192" t="s">
        <v>40</v>
      </c>
      <c r="L192" t="s">
        <v>52</v>
      </c>
      <c r="M192">
        <v>260</v>
      </c>
      <c r="N192">
        <v>11</v>
      </c>
      <c r="O192" s="3">
        <v>2161</v>
      </c>
      <c r="P192">
        <f t="shared" ca="1" si="10"/>
        <v>9</v>
      </c>
      <c r="Q192">
        <f ca="1">RANDBETWEEN(0,Table1[[#This Row],[offers made]])</f>
        <v>7</v>
      </c>
      <c r="R192" t="s">
        <v>306</v>
      </c>
      <c r="S192">
        <f>Table1[[#This Row],[Hire Date]]-Table1[[#This Row],[Job Posting Date]]</f>
        <v>21</v>
      </c>
      <c r="T192" s="4">
        <f>Table1[[#This Row],[Join Date]]-Table1[[#This Row],[Hire Date]]</f>
        <v>4</v>
      </c>
      <c r="U192" s="4">
        <f ca="1">IF(Table1[[#This Row],[Status]]="Exited",Table1[[#This Row],[Exit Date]]-Table1[[#This Row],[Join Date]],TODAY()-Table1[[#This Row],[Join Date]])</f>
        <v>477</v>
      </c>
      <c r="V192" t="str">
        <f ca="1">IF(Table1[[#This Row],[Total Tenure in Days]]&lt;=730, "yes","no")</f>
        <v>yes</v>
      </c>
      <c r="W192">
        <f>Table1[[#This Row],[Hire Date]]-Table1[[#This Row],[Job Posting Date]]</f>
        <v>21</v>
      </c>
      <c r="X192" s="4">
        <f>Table1[[#This Row],[Time to Onboard]]/Table1[[#This Row],[Time to Fill]]*100</f>
        <v>19.047619047619047</v>
      </c>
      <c r="Y192" s="5">
        <f>Table1[[#This Row],[Time to Onboard]]/Table1[[#This Row],[Time to Fill]]*100</f>
        <v>19.047619047619047</v>
      </c>
      <c r="Z192">
        <f>Table1[[#This Row],[Join Date]]-Table1[[#This Row],[Job Posting Date]]</f>
        <v>25</v>
      </c>
      <c r="AA192">
        <f t="shared" ca="1" si="11"/>
        <v>117</v>
      </c>
      <c r="AB192" s="5">
        <f>Table1[[#This Row],[Absentee Days]]/Table1[[#This Row],[Total Work Days]]*100</f>
        <v>4.2307692307692308</v>
      </c>
      <c r="AC192">
        <f>YEAR(Table1[[#This Row],[Join Date]])</f>
        <v>2019</v>
      </c>
      <c r="AD192">
        <f>IF(Table1[[#This Row],[Status]]="Active",1,0)</f>
        <v>0</v>
      </c>
      <c r="AE192">
        <f ca="1">IF(Table1[[#This Row],[Status]]="Exited",Table1[[#This Row],[Recruitment Cost]]+Table1[[#This Row],[Onboarding Cost]]+Table1[[#This Row],[Training Cost]],0)</f>
        <v>6453</v>
      </c>
      <c r="AF192">
        <f>IF(Table1[[#This Row],[Training Completion Status]]="Completed",1,0)</f>
        <v>1</v>
      </c>
      <c r="AG192">
        <f t="shared" ca="1" si="12"/>
        <v>4</v>
      </c>
      <c r="AH192">
        <f t="shared" ca="1" si="13"/>
        <v>2</v>
      </c>
      <c r="AI192">
        <f t="shared" ca="1" si="14"/>
        <v>2</v>
      </c>
      <c r="AJ192" t="s">
        <v>317</v>
      </c>
    </row>
    <row r="193" spans="1:36" x14ac:dyDescent="0.2">
      <c r="A193" t="s">
        <v>245</v>
      </c>
      <c r="B193" t="s">
        <v>43</v>
      </c>
      <c r="C193" t="s">
        <v>32</v>
      </c>
      <c r="D193" t="s">
        <v>33</v>
      </c>
      <c r="E193" s="1">
        <v>44713</v>
      </c>
      <c r="F193" s="1">
        <v>44775</v>
      </c>
      <c r="G193" s="1">
        <v>44788</v>
      </c>
      <c r="H193" s="1">
        <v>44906</v>
      </c>
      <c r="I193" t="s">
        <v>57</v>
      </c>
      <c r="J193" s="2">
        <v>1586</v>
      </c>
      <c r="K193" t="s">
        <v>28</v>
      </c>
      <c r="L193" t="s">
        <v>52</v>
      </c>
      <c r="M193">
        <v>260</v>
      </c>
      <c r="N193">
        <v>18</v>
      </c>
      <c r="O193" s="3">
        <v>1951</v>
      </c>
      <c r="P193">
        <f t="shared" ca="1" si="10"/>
        <v>1</v>
      </c>
      <c r="Q193">
        <f ca="1">RANDBETWEEN(0,Table1[[#This Row],[offers made]])</f>
        <v>1</v>
      </c>
      <c r="R193" t="s">
        <v>307</v>
      </c>
      <c r="S193">
        <f>Table1[[#This Row],[Hire Date]]-Table1[[#This Row],[Job Posting Date]]</f>
        <v>62</v>
      </c>
      <c r="T193" s="4">
        <f>Table1[[#This Row],[Join Date]]-Table1[[#This Row],[Hire Date]]</f>
        <v>13</v>
      </c>
      <c r="U193" s="4">
        <f ca="1">IF(Table1[[#This Row],[Status]]="Exited",Table1[[#This Row],[Exit Date]]-Table1[[#This Row],[Join Date]],TODAY()-Table1[[#This Row],[Join Date]])</f>
        <v>118</v>
      </c>
      <c r="V193" t="str">
        <f ca="1">IF(Table1[[#This Row],[Total Tenure in Days]]&lt;=730, "yes","no")</f>
        <v>yes</v>
      </c>
      <c r="W193">
        <f>Table1[[#This Row],[Hire Date]]-Table1[[#This Row],[Job Posting Date]]</f>
        <v>62</v>
      </c>
      <c r="X193" s="4">
        <f>Table1[[#This Row],[Time to Onboard]]/Table1[[#This Row],[Time to Fill]]*100</f>
        <v>20.967741935483872</v>
      </c>
      <c r="Y193" s="5">
        <f>Table1[[#This Row],[Time to Onboard]]/Table1[[#This Row],[Time to Fill]]*100</f>
        <v>20.967741935483872</v>
      </c>
      <c r="Z193">
        <f>Table1[[#This Row],[Join Date]]-Table1[[#This Row],[Job Posting Date]]</f>
        <v>75</v>
      </c>
      <c r="AA193">
        <f t="shared" ca="1" si="11"/>
        <v>155</v>
      </c>
      <c r="AB193" s="5">
        <f>Table1[[#This Row],[Absentee Days]]/Table1[[#This Row],[Total Work Days]]*100</f>
        <v>6.9230769230769234</v>
      </c>
      <c r="AC193">
        <f>YEAR(Table1[[#This Row],[Join Date]])</f>
        <v>2022</v>
      </c>
      <c r="AD193">
        <f>IF(Table1[[#This Row],[Status]]="Active",1,0)</f>
        <v>0</v>
      </c>
      <c r="AE193">
        <f ca="1">IF(Table1[[#This Row],[Status]]="Exited",Table1[[#This Row],[Recruitment Cost]]+Table1[[#This Row],[Onboarding Cost]]+Table1[[#This Row],[Training Cost]],0)</f>
        <v>3692</v>
      </c>
      <c r="AF193">
        <f>IF(Table1[[#This Row],[Training Completion Status]]="Completed",1,0)</f>
        <v>1</v>
      </c>
      <c r="AG193">
        <f t="shared" ca="1" si="12"/>
        <v>1</v>
      </c>
      <c r="AH193">
        <f t="shared" ca="1" si="13"/>
        <v>1</v>
      </c>
      <c r="AI193">
        <f t="shared" ca="1" si="14"/>
        <v>3</v>
      </c>
      <c r="AJ193" t="s">
        <v>317</v>
      </c>
    </row>
    <row r="194" spans="1:36" x14ac:dyDescent="0.2">
      <c r="A194" t="s">
        <v>246</v>
      </c>
      <c r="B194" t="s">
        <v>43</v>
      </c>
      <c r="C194" t="s">
        <v>38</v>
      </c>
      <c r="D194" t="s">
        <v>39</v>
      </c>
      <c r="E194" s="1">
        <v>44419</v>
      </c>
      <c r="F194" s="1">
        <v>44472</v>
      </c>
      <c r="G194" s="1">
        <v>44483</v>
      </c>
      <c r="H194" s="1" t="s">
        <v>50</v>
      </c>
      <c r="I194" t="s">
        <v>51</v>
      </c>
      <c r="J194" s="2">
        <v>3554</v>
      </c>
      <c r="K194" t="s">
        <v>34</v>
      </c>
      <c r="L194" t="s">
        <v>52</v>
      </c>
      <c r="M194">
        <v>260</v>
      </c>
      <c r="N194">
        <v>6</v>
      </c>
      <c r="O194" s="3">
        <v>1473</v>
      </c>
      <c r="P194">
        <f t="shared" ref="P194:P251" ca="1" si="15">RANDBETWEEN(1,10)</f>
        <v>8</v>
      </c>
      <c r="Q194">
        <f ca="1">RANDBETWEEN(0,Table1[[#This Row],[offers made]])</f>
        <v>3</v>
      </c>
      <c r="R194" t="s">
        <v>306</v>
      </c>
      <c r="S194">
        <f>Table1[[#This Row],[Hire Date]]-Table1[[#This Row],[Job Posting Date]]</f>
        <v>53</v>
      </c>
      <c r="T194" s="4">
        <f>Table1[[#This Row],[Join Date]]-Table1[[#This Row],[Hire Date]]</f>
        <v>11</v>
      </c>
      <c r="U194" s="4">
        <f ca="1">IF(Table1[[#This Row],[Status]]="Exited",Table1[[#This Row],[Exit Date]]-Table1[[#This Row],[Join Date]],TODAY()-Table1[[#This Row],[Join Date]])</f>
        <v>1178</v>
      </c>
      <c r="V194" t="str">
        <f ca="1">IF(Table1[[#This Row],[Total Tenure in Days]]&lt;=730, "yes","no")</f>
        <v>no</v>
      </c>
      <c r="W194">
        <f>Table1[[#This Row],[Hire Date]]-Table1[[#This Row],[Job Posting Date]]</f>
        <v>53</v>
      </c>
      <c r="X194" s="4">
        <f>Table1[[#This Row],[Time to Onboard]]/Table1[[#This Row],[Time to Fill]]*100</f>
        <v>20.754716981132077</v>
      </c>
      <c r="Y194" s="5">
        <f>Table1[[#This Row],[Time to Onboard]]/Table1[[#This Row],[Time to Fill]]*100</f>
        <v>20.754716981132077</v>
      </c>
      <c r="Z194">
        <f>Table1[[#This Row],[Join Date]]-Table1[[#This Row],[Job Posting Date]]</f>
        <v>64</v>
      </c>
      <c r="AA194">
        <f t="shared" ref="AA194:AA251" ca="1" si="16">RANDBETWEEN(100,200)</f>
        <v>120</v>
      </c>
      <c r="AB194" s="5">
        <f>Table1[[#This Row],[Absentee Days]]/Table1[[#This Row],[Total Work Days]]*100</f>
        <v>2.3076923076923079</v>
      </c>
      <c r="AC194">
        <f>YEAR(Table1[[#This Row],[Join Date]])</f>
        <v>2021</v>
      </c>
      <c r="AD194">
        <f>IF(Table1[[#This Row],[Status]]="Active",1,0)</f>
        <v>1</v>
      </c>
      <c r="AE194">
        <f>IF(Table1[[#This Row],[Status]]="Exited",Table1[[#This Row],[Recruitment Cost]]+Table1[[#This Row],[Onboarding Cost]]+Table1[[#This Row],[Training Cost]],0)</f>
        <v>0</v>
      </c>
      <c r="AF194">
        <f>IF(Table1[[#This Row],[Training Completion Status]]="Completed",1,0)</f>
        <v>1</v>
      </c>
      <c r="AG194">
        <f t="shared" ref="AG194:AG251" ca="1" si="17">RANDBETWEEN(1,5)</f>
        <v>4</v>
      </c>
      <c r="AH194">
        <f t="shared" ref="AH194:AH251" ca="1" si="18">RANDBETWEEN(1,5)</f>
        <v>5</v>
      </c>
      <c r="AI194">
        <f t="shared" ref="AI194:AI251" ca="1" si="19">RANDBETWEEN(1, 5)</f>
        <v>1</v>
      </c>
      <c r="AJ194" t="s">
        <v>317</v>
      </c>
    </row>
    <row r="195" spans="1:36" x14ac:dyDescent="0.2">
      <c r="A195" t="s">
        <v>247</v>
      </c>
      <c r="B195" t="s">
        <v>41</v>
      </c>
      <c r="C195" t="s">
        <v>26</v>
      </c>
      <c r="D195" t="s">
        <v>27</v>
      </c>
      <c r="E195" s="1">
        <v>44882</v>
      </c>
      <c r="F195" s="1">
        <v>44900</v>
      </c>
      <c r="G195" s="1">
        <v>44906</v>
      </c>
      <c r="H195" s="1">
        <v>45549</v>
      </c>
      <c r="I195" t="s">
        <v>57</v>
      </c>
      <c r="J195" s="2">
        <v>4841</v>
      </c>
      <c r="K195" t="s">
        <v>34</v>
      </c>
      <c r="L195" t="s">
        <v>52</v>
      </c>
      <c r="M195">
        <v>260</v>
      </c>
      <c r="N195">
        <v>10</v>
      </c>
      <c r="O195" s="3">
        <v>1511</v>
      </c>
      <c r="P195">
        <f t="shared" ca="1" si="15"/>
        <v>6</v>
      </c>
      <c r="Q195">
        <f ca="1">RANDBETWEEN(0,Table1[[#This Row],[offers made]])</f>
        <v>0</v>
      </c>
      <c r="R195" t="s">
        <v>308</v>
      </c>
      <c r="S195">
        <f>Table1[[#This Row],[Hire Date]]-Table1[[#This Row],[Job Posting Date]]</f>
        <v>18</v>
      </c>
      <c r="T195" s="4">
        <f>Table1[[#This Row],[Join Date]]-Table1[[#This Row],[Hire Date]]</f>
        <v>6</v>
      </c>
      <c r="U195" s="4">
        <f ca="1">IF(Table1[[#This Row],[Status]]="Exited",Table1[[#This Row],[Exit Date]]-Table1[[#This Row],[Join Date]],TODAY()-Table1[[#This Row],[Join Date]])</f>
        <v>643</v>
      </c>
      <c r="V195" t="str">
        <f ca="1">IF(Table1[[#This Row],[Total Tenure in Days]]&lt;=730, "yes","no")</f>
        <v>yes</v>
      </c>
      <c r="W195">
        <f>Table1[[#This Row],[Hire Date]]-Table1[[#This Row],[Job Posting Date]]</f>
        <v>18</v>
      </c>
      <c r="X195" s="4">
        <f>Table1[[#This Row],[Time to Onboard]]/Table1[[#This Row],[Time to Fill]]*100</f>
        <v>33.333333333333329</v>
      </c>
      <c r="Y195" s="5">
        <f>Table1[[#This Row],[Time to Onboard]]/Table1[[#This Row],[Time to Fill]]*100</f>
        <v>33.333333333333329</v>
      </c>
      <c r="Z195">
        <f>Table1[[#This Row],[Join Date]]-Table1[[#This Row],[Job Posting Date]]</f>
        <v>24</v>
      </c>
      <c r="AA195">
        <f t="shared" ca="1" si="16"/>
        <v>129</v>
      </c>
      <c r="AB195" s="5">
        <f>Table1[[#This Row],[Absentee Days]]/Table1[[#This Row],[Total Work Days]]*100</f>
        <v>3.8461538461538463</v>
      </c>
      <c r="AC195">
        <f>YEAR(Table1[[#This Row],[Join Date]])</f>
        <v>2022</v>
      </c>
      <c r="AD195">
        <f>IF(Table1[[#This Row],[Status]]="Active",1,0)</f>
        <v>0</v>
      </c>
      <c r="AE195">
        <f ca="1">IF(Table1[[#This Row],[Status]]="Exited",Table1[[#This Row],[Recruitment Cost]]+Table1[[#This Row],[Onboarding Cost]]+Table1[[#This Row],[Training Cost]],0)</f>
        <v>6481</v>
      </c>
      <c r="AF195">
        <f>IF(Table1[[#This Row],[Training Completion Status]]="Completed",1,0)</f>
        <v>1</v>
      </c>
      <c r="AG195">
        <f t="shared" ca="1" si="17"/>
        <v>3</v>
      </c>
      <c r="AH195">
        <f t="shared" ca="1" si="18"/>
        <v>1</v>
      </c>
      <c r="AI195">
        <f t="shared" ca="1" si="19"/>
        <v>3</v>
      </c>
      <c r="AJ195" t="s">
        <v>317</v>
      </c>
    </row>
    <row r="196" spans="1:36" x14ac:dyDescent="0.2">
      <c r="A196" t="s">
        <v>248</v>
      </c>
      <c r="B196" t="s">
        <v>41</v>
      </c>
      <c r="C196" t="s">
        <v>26</v>
      </c>
      <c r="D196" t="s">
        <v>27</v>
      </c>
      <c r="E196" s="1">
        <v>44579</v>
      </c>
      <c r="F196" s="1">
        <v>44626</v>
      </c>
      <c r="G196" s="1">
        <v>44639</v>
      </c>
      <c r="H196" s="1" t="s">
        <v>50</v>
      </c>
      <c r="I196" t="s">
        <v>51</v>
      </c>
      <c r="J196" s="2">
        <v>4408</v>
      </c>
      <c r="K196" t="s">
        <v>40</v>
      </c>
      <c r="L196" t="s">
        <v>52</v>
      </c>
      <c r="M196">
        <v>260</v>
      </c>
      <c r="N196">
        <v>19</v>
      </c>
      <c r="O196" s="3">
        <v>2403</v>
      </c>
      <c r="P196">
        <f t="shared" ca="1" si="15"/>
        <v>9</v>
      </c>
      <c r="Q196">
        <f ca="1">RANDBETWEEN(0,Table1[[#This Row],[offers made]])</f>
        <v>5</v>
      </c>
      <c r="R196" t="s">
        <v>307</v>
      </c>
      <c r="S196">
        <f>Table1[[#This Row],[Hire Date]]-Table1[[#This Row],[Job Posting Date]]</f>
        <v>47</v>
      </c>
      <c r="T196" s="4">
        <f>Table1[[#This Row],[Join Date]]-Table1[[#This Row],[Hire Date]]</f>
        <v>13</v>
      </c>
      <c r="U196" s="4">
        <f ca="1">IF(Table1[[#This Row],[Status]]="Exited",Table1[[#This Row],[Exit Date]]-Table1[[#This Row],[Join Date]],TODAY()-Table1[[#This Row],[Join Date]])</f>
        <v>1022</v>
      </c>
      <c r="V196" t="str">
        <f ca="1">IF(Table1[[#This Row],[Total Tenure in Days]]&lt;=730, "yes","no")</f>
        <v>no</v>
      </c>
      <c r="W196">
        <f>Table1[[#This Row],[Hire Date]]-Table1[[#This Row],[Job Posting Date]]</f>
        <v>47</v>
      </c>
      <c r="X196" s="4">
        <f>Table1[[#This Row],[Time to Onboard]]/Table1[[#This Row],[Time to Fill]]*100</f>
        <v>27.659574468085108</v>
      </c>
      <c r="Y196" s="5">
        <f>Table1[[#This Row],[Time to Onboard]]/Table1[[#This Row],[Time to Fill]]*100</f>
        <v>27.659574468085108</v>
      </c>
      <c r="Z196">
        <f>Table1[[#This Row],[Join Date]]-Table1[[#This Row],[Job Posting Date]]</f>
        <v>60</v>
      </c>
      <c r="AA196">
        <f t="shared" ca="1" si="16"/>
        <v>177</v>
      </c>
      <c r="AB196" s="5">
        <f>Table1[[#This Row],[Absentee Days]]/Table1[[#This Row],[Total Work Days]]*100</f>
        <v>7.3076923076923084</v>
      </c>
      <c r="AC196">
        <f>YEAR(Table1[[#This Row],[Join Date]])</f>
        <v>2022</v>
      </c>
      <c r="AD196">
        <f>IF(Table1[[#This Row],[Status]]="Active",1,0)</f>
        <v>1</v>
      </c>
      <c r="AE196">
        <f>IF(Table1[[#This Row],[Status]]="Exited",Table1[[#This Row],[Recruitment Cost]]+Table1[[#This Row],[Onboarding Cost]]+Table1[[#This Row],[Training Cost]],0)</f>
        <v>0</v>
      </c>
      <c r="AF196">
        <f>IF(Table1[[#This Row],[Training Completion Status]]="Completed",1,0)</f>
        <v>1</v>
      </c>
      <c r="AG196">
        <f t="shared" ca="1" si="17"/>
        <v>4</v>
      </c>
      <c r="AH196">
        <f t="shared" ca="1" si="18"/>
        <v>1</v>
      </c>
      <c r="AI196">
        <f t="shared" ca="1" si="19"/>
        <v>3</v>
      </c>
      <c r="AJ196" t="s">
        <v>317</v>
      </c>
    </row>
    <row r="197" spans="1:36" x14ac:dyDescent="0.2">
      <c r="A197" t="s">
        <v>249</v>
      </c>
      <c r="B197" t="s">
        <v>41</v>
      </c>
      <c r="C197" t="s">
        <v>35</v>
      </c>
      <c r="D197" t="s">
        <v>36</v>
      </c>
      <c r="E197" s="1">
        <v>44877</v>
      </c>
      <c r="F197" s="1">
        <v>44926</v>
      </c>
      <c r="G197" s="1">
        <v>44939</v>
      </c>
      <c r="H197" s="1">
        <v>45269</v>
      </c>
      <c r="I197" t="s">
        <v>57</v>
      </c>
      <c r="J197" s="2">
        <v>4313</v>
      </c>
      <c r="K197" t="s">
        <v>37</v>
      </c>
      <c r="L197" t="s">
        <v>52</v>
      </c>
      <c r="M197">
        <v>260</v>
      </c>
      <c r="N197">
        <v>3</v>
      </c>
      <c r="O197" s="3">
        <v>2433</v>
      </c>
      <c r="P197">
        <f t="shared" ca="1" si="15"/>
        <v>3</v>
      </c>
      <c r="Q197">
        <f ca="1">RANDBETWEEN(0,Table1[[#This Row],[offers made]])</f>
        <v>3</v>
      </c>
      <c r="R197" t="s">
        <v>307</v>
      </c>
      <c r="S197">
        <f>Table1[[#This Row],[Hire Date]]-Table1[[#This Row],[Job Posting Date]]</f>
        <v>49</v>
      </c>
      <c r="T197" s="4">
        <f>Table1[[#This Row],[Join Date]]-Table1[[#This Row],[Hire Date]]</f>
        <v>13</v>
      </c>
      <c r="U197" s="4">
        <f ca="1">IF(Table1[[#This Row],[Status]]="Exited",Table1[[#This Row],[Exit Date]]-Table1[[#This Row],[Join Date]],TODAY()-Table1[[#This Row],[Join Date]])</f>
        <v>330</v>
      </c>
      <c r="V197" t="str">
        <f ca="1">IF(Table1[[#This Row],[Total Tenure in Days]]&lt;=730, "yes","no")</f>
        <v>yes</v>
      </c>
      <c r="W197">
        <f>Table1[[#This Row],[Hire Date]]-Table1[[#This Row],[Job Posting Date]]</f>
        <v>49</v>
      </c>
      <c r="X197" s="4">
        <f>Table1[[#This Row],[Time to Onboard]]/Table1[[#This Row],[Time to Fill]]*100</f>
        <v>26.530612244897959</v>
      </c>
      <c r="Y197" s="5">
        <f>Table1[[#This Row],[Time to Onboard]]/Table1[[#This Row],[Time to Fill]]*100</f>
        <v>26.530612244897959</v>
      </c>
      <c r="Z197">
        <f>Table1[[#This Row],[Join Date]]-Table1[[#This Row],[Job Posting Date]]</f>
        <v>62</v>
      </c>
      <c r="AA197">
        <f t="shared" ca="1" si="16"/>
        <v>187</v>
      </c>
      <c r="AB197" s="5">
        <f>Table1[[#This Row],[Absentee Days]]/Table1[[#This Row],[Total Work Days]]*100</f>
        <v>1.153846153846154</v>
      </c>
      <c r="AC197">
        <f>YEAR(Table1[[#This Row],[Join Date]])</f>
        <v>2023</v>
      </c>
      <c r="AD197">
        <f>IF(Table1[[#This Row],[Status]]="Active",1,0)</f>
        <v>0</v>
      </c>
      <c r="AE197">
        <f ca="1">IF(Table1[[#This Row],[Status]]="Exited",Table1[[#This Row],[Recruitment Cost]]+Table1[[#This Row],[Onboarding Cost]]+Table1[[#This Row],[Training Cost]],0)</f>
        <v>6933</v>
      </c>
      <c r="AF197">
        <f>IF(Table1[[#This Row],[Training Completion Status]]="Completed",1,0)</f>
        <v>1</v>
      </c>
      <c r="AG197">
        <f t="shared" ca="1" si="17"/>
        <v>2</v>
      </c>
      <c r="AH197">
        <f t="shared" ca="1" si="18"/>
        <v>5</v>
      </c>
      <c r="AI197">
        <f t="shared" ca="1" si="19"/>
        <v>5</v>
      </c>
      <c r="AJ197" t="s">
        <v>318</v>
      </c>
    </row>
    <row r="198" spans="1:36" x14ac:dyDescent="0.2">
      <c r="A198" t="s">
        <v>250</v>
      </c>
      <c r="B198" t="s">
        <v>43</v>
      </c>
      <c r="C198" t="s">
        <v>35</v>
      </c>
      <c r="D198" t="s">
        <v>36</v>
      </c>
      <c r="E198" s="1">
        <v>44112</v>
      </c>
      <c r="F198" s="1">
        <v>44134</v>
      </c>
      <c r="G198" s="1">
        <v>44137</v>
      </c>
      <c r="H198" s="1" t="s">
        <v>50</v>
      </c>
      <c r="I198" t="s">
        <v>51</v>
      </c>
      <c r="J198" s="2">
        <v>1980</v>
      </c>
      <c r="K198" t="s">
        <v>31</v>
      </c>
      <c r="L198" t="s">
        <v>52</v>
      </c>
      <c r="M198">
        <v>260</v>
      </c>
      <c r="N198">
        <v>19</v>
      </c>
      <c r="O198" s="3">
        <v>2158</v>
      </c>
      <c r="P198">
        <f t="shared" ca="1" si="15"/>
        <v>3</v>
      </c>
      <c r="Q198">
        <f ca="1">RANDBETWEEN(0,Table1[[#This Row],[offers made]])</f>
        <v>0</v>
      </c>
      <c r="R198" t="s">
        <v>308</v>
      </c>
      <c r="S198">
        <f>Table1[[#This Row],[Hire Date]]-Table1[[#This Row],[Job Posting Date]]</f>
        <v>22</v>
      </c>
      <c r="T198" s="4">
        <f>Table1[[#This Row],[Join Date]]-Table1[[#This Row],[Hire Date]]</f>
        <v>3</v>
      </c>
      <c r="U198" s="4">
        <f ca="1">IF(Table1[[#This Row],[Status]]="Exited",Table1[[#This Row],[Exit Date]]-Table1[[#This Row],[Join Date]],TODAY()-Table1[[#This Row],[Join Date]])</f>
        <v>1524</v>
      </c>
      <c r="V198" t="str">
        <f ca="1">IF(Table1[[#This Row],[Total Tenure in Days]]&lt;=730, "yes","no")</f>
        <v>no</v>
      </c>
      <c r="W198">
        <f>Table1[[#This Row],[Hire Date]]-Table1[[#This Row],[Job Posting Date]]</f>
        <v>22</v>
      </c>
      <c r="X198" s="4">
        <f>Table1[[#This Row],[Time to Onboard]]/Table1[[#This Row],[Time to Fill]]*100</f>
        <v>13.636363636363635</v>
      </c>
      <c r="Y198" s="5">
        <f>Table1[[#This Row],[Time to Onboard]]/Table1[[#This Row],[Time to Fill]]*100</f>
        <v>13.636363636363635</v>
      </c>
      <c r="Z198">
        <f>Table1[[#This Row],[Join Date]]-Table1[[#This Row],[Job Posting Date]]</f>
        <v>25</v>
      </c>
      <c r="AA198">
        <f t="shared" ca="1" si="16"/>
        <v>149</v>
      </c>
      <c r="AB198" s="5">
        <f>Table1[[#This Row],[Absentee Days]]/Table1[[#This Row],[Total Work Days]]*100</f>
        <v>7.3076923076923084</v>
      </c>
      <c r="AC198">
        <f>YEAR(Table1[[#This Row],[Join Date]])</f>
        <v>2020</v>
      </c>
      <c r="AD198">
        <f>IF(Table1[[#This Row],[Status]]="Active",1,0)</f>
        <v>1</v>
      </c>
      <c r="AE198">
        <f>IF(Table1[[#This Row],[Status]]="Exited",Table1[[#This Row],[Recruitment Cost]]+Table1[[#This Row],[Onboarding Cost]]+Table1[[#This Row],[Training Cost]],0)</f>
        <v>0</v>
      </c>
      <c r="AF198">
        <f>IF(Table1[[#This Row],[Training Completion Status]]="Completed",1,0)</f>
        <v>1</v>
      </c>
      <c r="AG198">
        <f t="shared" ca="1" si="17"/>
        <v>1</v>
      </c>
      <c r="AH198">
        <f t="shared" ca="1" si="18"/>
        <v>3</v>
      </c>
      <c r="AI198">
        <f t="shared" ca="1" si="19"/>
        <v>5</v>
      </c>
      <c r="AJ198" t="s">
        <v>317</v>
      </c>
    </row>
    <row r="199" spans="1:36" x14ac:dyDescent="0.2">
      <c r="A199" t="s">
        <v>251</v>
      </c>
      <c r="B199" t="s">
        <v>42</v>
      </c>
      <c r="C199" t="s">
        <v>35</v>
      </c>
      <c r="D199" t="s">
        <v>36</v>
      </c>
      <c r="E199" s="1">
        <v>44644</v>
      </c>
      <c r="F199" s="1">
        <v>44673</v>
      </c>
      <c r="G199" s="1">
        <v>44675</v>
      </c>
      <c r="H199" s="1">
        <v>45554</v>
      </c>
      <c r="I199" t="s">
        <v>57</v>
      </c>
      <c r="J199" s="2">
        <v>4252</v>
      </c>
      <c r="K199" t="s">
        <v>31</v>
      </c>
      <c r="L199" t="s">
        <v>52</v>
      </c>
      <c r="M199">
        <v>260</v>
      </c>
      <c r="N199">
        <v>16</v>
      </c>
      <c r="O199" s="3">
        <v>1571</v>
      </c>
      <c r="P199">
        <f t="shared" ca="1" si="15"/>
        <v>9</v>
      </c>
      <c r="Q199">
        <f ca="1">RANDBETWEEN(0,Table1[[#This Row],[offers made]])</f>
        <v>3</v>
      </c>
      <c r="R199" t="s">
        <v>306</v>
      </c>
      <c r="S199">
        <f>Table1[[#This Row],[Hire Date]]-Table1[[#This Row],[Job Posting Date]]</f>
        <v>29</v>
      </c>
      <c r="T199" s="4">
        <f>Table1[[#This Row],[Join Date]]-Table1[[#This Row],[Hire Date]]</f>
        <v>2</v>
      </c>
      <c r="U199" s="4">
        <f ca="1">IF(Table1[[#This Row],[Status]]="Exited",Table1[[#This Row],[Exit Date]]-Table1[[#This Row],[Join Date]],TODAY()-Table1[[#This Row],[Join Date]])</f>
        <v>879</v>
      </c>
      <c r="V199" t="str">
        <f ca="1">IF(Table1[[#This Row],[Total Tenure in Days]]&lt;=730, "yes","no")</f>
        <v>no</v>
      </c>
      <c r="W199">
        <f>Table1[[#This Row],[Hire Date]]-Table1[[#This Row],[Job Posting Date]]</f>
        <v>29</v>
      </c>
      <c r="X199" s="4">
        <f>Table1[[#This Row],[Time to Onboard]]/Table1[[#This Row],[Time to Fill]]*100</f>
        <v>6.8965517241379306</v>
      </c>
      <c r="Y199" s="5">
        <f>Table1[[#This Row],[Time to Onboard]]/Table1[[#This Row],[Time to Fill]]*100</f>
        <v>6.8965517241379306</v>
      </c>
      <c r="Z199">
        <f>Table1[[#This Row],[Join Date]]-Table1[[#This Row],[Job Posting Date]]</f>
        <v>31</v>
      </c>
      <c r="AA199">
        <f t="shared" ca="1" si="16"/>
        <v>119</v>
      </c>
      <c r="AB199" s="5">
        <f>Table1[[#This Row],[Absentee Days]]/Table1[[#This Row],[Total Work Days]]*100</f>
        <v>6.1538461538461542</v>
      </c>
      <c r="AC199">
        <f>YEAR(Table1[[#This Row],[Join Date]])</f>
        <v>2022</v>
      </c>
      <c r="AD199">
        <f>IF(Table1[[#This Row],[Status]]="Active",1,0)</f>
        <v>0</v>
      </c>
      <c r="AE199">
        <f ca="1">IF(Table1[[#This Row],[Status]]="Exited",Table1[[#This Row],[Recruitment Cost]]+Table1[[#This Row],[Onboarding Cost]]+Table1[[#This Row],[Training Cost]],0)</f>
        <v>5942</v>
      </c>
      <c r="AF199">
        <f>IF(Table1[[#This Row],[Training Completion Status]]="Completed",1,0)</f>
        <v>1</v>
      </c>
      <c r="AG199">
        <f t="shared" ca="1" si="17"/>
        <v>5</v>
      </c>
      <c r="AH199">
        <f t="shared" ca="1" si="18"/>
        <v>5</v>
      </c>
      <c r="AI199">
        <f t="shared" ca="1" si="19"/>
        <v>2</v>
      </c>
      <c r="AJ199" t="s">
        <v>318</v>
      </c>
    </row>
    <row r="200" spans="1:36" x14ac:dyDescent="0.2">
      <c r="A200" t="s">
        <v>252</v>
      </c>
      <c r="B200" t="s">
        <v>43</v>
      </c>
      <c r="C200" t="s">
        <v>29</v>
      </c>
      <c r="D200" t="s">
        <v>30</v>
      </c>
      <c r="E200" s="1">
        <v>43370</v>
      </c>
      <c r="F200" s="1">
        <v>43459</v>
      </c>
      <c r="G200" s="1">
        <v>43466</v>
      </c>
      <c r="H200" s="1">
        <v>45224</v>
      </c>
      <c r="I200" t="s">
        <v>57</v>
      </c>
      <c r="J200" s="2">
        <v>2928</v>
      </c>
      <c r="K200" t="s">
        <v>34</v>
      </c>
      <c r="L200" t="s">
        <v>55</v>
      </c>
      <c r="M200">
        <v>260</v>
      </c>
      <c r="N200">
        <v>20</v>
      </c>
      <c r="O200" s="3">
        <v>1291</v>
      </c>
      <c r="P200">
        <f t="shared" ca="1" si="15"/>
        <v>10</v>
      </c>
      <c r="Q200">
        <f ca="1">RANDBETWEEN(0,Table1[[#This Row],[offers made]])</f>
        <v>6</v>
      </c>
      <c r="R200" t="s">
        <v>308</v>
      </c>
      <c r="S200">
        <f>Table1[[#This Row],[Hire Date]]-Table1[[#This Row],[Job Posting Date]]</f>
        <v>89</v>
      </c>
      <c r="T200" s="4">
        <f>Table1[[#This Row],[Join Date]]-Table1[[#This Row],[Hire Date]]</f>
        <v>7</v>
      </c>
      <c r="U200" s="4">
        <f ca="1">IF(Table1[[#This Row],[Status]]="Exited",Table1[[#This Row],[Exit Date]]-Table1[[#This Row],[Join Date]],TODAY()-Table1[[#This Row],[Join Date]])</f>
        <v>1758</v>
      </c>
      <c r="V200" t="str">
        <f ca="1">IF(Table1[[#This Row],[Total Tenure in Days]]&lt;=730, "yes","no")</f>
        <v>no</v>
      </c>
      <c r="W200">
        <f>Table1[[#This Row],[Hire Date]]-Table1[[#This Row],[Job Posting Date]]</f>
        <v>89</v>
      </c>
      <c r="X200" s="4">
        <f>Table1[[#This Row],[Time to Onboard]]/Table1[[#This Row],[Time to Fill]]*100</f>
        <v>7.8651685393258424</v>
      </c>
      <c r="Y200" s="5">
        <f>Table1[[#This Row],[Time to Onboard]]/Table1[[#This Row],[Time to Fill]]*100</f>
        <v>7.8651685393258424</v>
      </c>
      <c r="Z200">
        <f>Table1[[#This Row],[Join Date]]-Table1[[#This Row],[Job Posting Date]]</f>
        <v>96</v>
      </c>
      <c r="AA200">
        <f t="shared" ca="1" si="16"/>
        <v>170</v>
      </c>
      <c r="AB200" s="5">
        <f>Table1[[#This Row],[Absentee Days]]/Table1[[#This Row],[Total Work Days]]*100</f>
        <v>7.6923076923076925</v>
      </c>
      <c r="AC200">
        <f>YEAR(Table1[[#This Row],[Join Date]])</f>
        <v>2019</v>
      </c>
      <c r="AD200">
        <f>IF(Table1[[#This Row],[Status]]="Active",1,0)</f>
        <v>0</v>
      </c>
      <c r="AE200">
        <f ca="1">IF(Table1[[#This Row],[Status]]="Exited",Table1[[#This Row],[Recruitment Cost]]+Table1[[#This Row],[Onboarding Cost]]+Table1[[#This Row],[Training Cost]],0)</f>
        <v>4389</v>
      </c>
      <c r="AF200">
        <f>IF(Table1[[#This Row],[Training Completion Status]]="Completed",1,0)</f>
        <v>0</v>
      </c>
      <c r="AG200">
        <f t="shared" ca="1" si="17"/>
        <v>4</v>
      </c>
      <c r="AH200">
        <f t="shared" ca="1" si="18"/>
        <v>2</v>
      </c>
      <c r="AI200">
        <f t="shared" ca="1" si="19"/>
        <v>4</v>
      </c>
      <c r="AJ200" t="s">
        <v>317</v>
      </c>
    </row>
    <row r="201" spans="1:36" x14ac:dyDescent="0.2">
      <c r="A201" t="s">
        <v>253</v>
      </c>
      <c r="B201" t="s">
        <v>41</v>
      </c>
      <c r="C201" t="s">
        <v>26</v>
      </c>
      <c r="D201" t="s">
        <v>27</v>
      </c>
      <c r="E201" s="1">
        <v>43664</v>
      </c>
      <c r="F201" s="1">
        <v>43694</v>
      </c>
      <c r="G201" s="1">
        <v>43699</v>
      </c>
      <c r="H201" s="1" t="s">
        <v>50</v>
      </c>
      <c r="I201" t="s">
        <v>51</v>
      </c>
      <c r="J201" s="2">
        <v>4040</v>
      </c>
      <c r="K201" t="s">
        <v>31</v>
      </c>
      <c r="L201" t="s">
        <v>52</v>
      </c>
      <c r="M201">
        <v>260</v>
      </c>
      <c r="N201">
        <v>1</v>
      </c>
      <c r="O201" s="3">
        <v>1895</v>
      </c>
      <c r="P201">
        <f t="shared" ca="1" si="15"/>
        <v>9</v>
      </c>
      <c r="Q201">
        <f ca="1">RANDBETWEEN(0,Table1[[#This Row],[offers made]])</f>
        <v>9</v>
      </c>
      <c r="R201" t="s">
        <v>308</v>
      </c>
      <c r="S201">
        <f>Table1[[#This Row],[Hire Date]]-Table1[[#This Row],[Job Posting Date]]</f>
        <v>30</v>
      </c>
      <c r="T201" s="4">
        <f>Table1[[#This Row],[Join Date]]-Table1[[#This Row],[Hire Date]]</f>
        <v>5</v>
      </c>
      <c r="U201" s="4">
        <f ca="1">IF(Table1[[#This Row],[Status]]="Exited",Table1[[#This Row],[Exit Date]]-Table1[[#This Row],[Join Date]],TODAY()-Table1[[#This Row],[Join Date]])</f>
        <v>1962</v>
      </c>
      <c r="V201" t="str">
        <f ca="1">IF(Table1[[#This Row],[Total Tenure in Days]]&lt;=730, "yes","no")</f>
        <v>no</v>
      </c>
      <c r="W201">
        <f>Table1[[#This Row],[Hire Date]]-Table1[[#This Row],[Job Posting Date]]</f>
        <v>30</v>
      </c>
      <c r="X201" s="4">
        <f>Table1[[#This Row],[Time to Onboard]]/Table1[[#This Row],[Time to Fill]]*100</f>
        <v>16.666666666666664</v>
      </c>
      <c r="Y201" s="5">
        <f>Table1[[#This Row],[Time to Onboard]]/Table1[[#This Row],[Time to Fill]]*100</f>
        <v>16.666666666666664</v>
      </c>
      <c r="Z201">
        <f>Table1[[#This Row],[Join Date]]-Table1[[#This Row],[Job Posting Date]]</f>
        <v>35</v>
      </c>
      <c r="AA201">
        <f t="shared" ca="1" si="16"/>
        <v>170</v>
      </c>
      <c r="AB201" s="5">
        <f>Table1[[#This Row],[Absentee Days]]/Table1[[#This Row],[Total Work Days]]*100</f>
        <v>0.38461538461538464</v>
      </c>
      <c r="AC201">
        <f>YEAR(Table1[[#This Row],[Join Date]])</f>
        <v>2019</v>
      </c>
      <c r="AD201">
        <f>IF(Table1[[#This Row],[Status]]="Active",1,0)</f>
        <v>1</v>
      </c>
      <c r="AE201">
        <f>IF(Table1[[#This Row],[Status]]="Exited",Table1[[#This Row],[Recruitment Cost]]+Table1[[#This Row],[Onboarding Cost]]+Table1[[#This Row],[Training Cost]],0)</f>
        <v>0</v>
      </c>
      <c r="AF201">
        <f>IF(Table1[[#This Row],[Training Completion Status]]="Completed",1,0)</f>
        <v>1</v>
      </c>
      <c r="AG201">
        <f t="shared" ca="1" si="17"/>
        <v>5</v>
      </c>
      <c r="AH201">
        <f t="shared" ca="1" si="18"/>
        <v>3</v>
      </c>
      <c r="AI201">
        <f t="shared" ca="1" si="19"/>
        <v>5</v>
      </c>
      <c r="AJ201" t="s">
        <v>317</v>
      </c>
    </row>
    <row r="202" spans="1:36" x14ac:dyDescent="0.2">
      <c r="A202" t="s">
        <v>254</v>
      </c>
      <c r="B202" t="s">
        <v>43</v>
      </c>
      <c r="C202" t="s">
        <v>38</v>
      </c>
      <c r="D202" t="s">
        <v>39</v>
      </c>
      <c r="E202" s="1">
        <v>44539</v>
      </c>
      <c r="F202" s="1">
        <v>44620</v>
      </c>
      <c r="G202" s="1">
        <v>44623</v>
      </c>
      <c r="H202" s="1">
        <v>45586</v>
      </c>
      <c r="I202" t="s">
        <v>57</v>
      </c>
      <c r="J202" s="2">
        <v>4706</v>
      </c>
      <c r="K202" t="s">
        <v>37</v>
      </c>
      <c r="L202" t="s">
        <v>52</v>
      </c>
      <c r="M202">
        <v>260</v>
      </c>
      <c r="N202">
        <v>11</v>
      </c>
      <c r="O202" s="3">
        <v>2181</v>
      </c>
      <c r="P202">
        <f t="shared" ca="1" si="15"/>
        <v>2</v>
      </c>
      <c r="Q202">
        <f ca="1">RANDBETWEEN(0,Table1[[#This Row],[offers made]])</f>
        <v>2</v>
      </c>
      <c r="R202" t="s">
        <v>307</v>
      </c>
      <c r="S202">
        <f>Table1[[#This Row],[Hire Date]]-Table1[[#This Row],[Job Posting Date]]</f>
        <v>81</v>
      </c>
      <c r="T202" s="4">
        <f>Table1[[#This Row],[Join Date]]-Table1[[#This Row],[Hire Date]]</f>
        <v>3</v>
      </c>
      <c r="U202" s="4">
        <f ca="1">IF(Table1[[#This Row],[Status]]="Exited",Table1[[#This Row],[Exit Date]]-Table1[[#This Row],[Join Date]],TODAY()-Table1[[#This Row],[Join Date]])</f>
        <v>963</v>
      </c>
      <c r="V202" t="str">
        <f ca="1">IF(Table1[[#This Row],[Total Tenure in Days]]&lt;=730, "yes","no")</f>
        <v>no</v>
      </c>
      <c r="W202">
        <f>Table1[[#This Row],[Hire Date]]-Table1[[#This Row],[Job Posting Date]]</f>
        <v>81</v>
      </c>
      <c r="X202" s="4">
        <f>Table1[[#This Row],[Time to Onboard]]/Table1[[#This Row],[Time to Fill]]*100</f>
        <v>3.7037037037037033</v>
      </c>
      <c r="Y202" s="5">
        <f>Table1[[#This Row],[Time to Onboard]]/Table1[[#This Row],[Time to Fill]]*100</f>
        <v>3.7037037037037033</v>
      </c>
      <c r="Z202">
        <f>Table1[[#This Row],[Join Date]]-Table1[[#This Row],[Job Posting Date]]</f>
        <v>84</v>
      </c>
      <c r="AA202">
        <f t="shared" ca="1" si="16"/>
        <v>104</v>
      </c>
      <c r="AB202" s="5">
        <f>Table1[[#This Row],[Absentee Days]]/Table1[[#This Row],[Total Work Days]]*100</f>
        <v>4.2307692307692308</v>
      </c>
      <c r="AC202">
        <f>YEAR(Table1[[#This Row],[Join Date]])</f>
        <v>2022</v>
      </c>
      <c r="AD202">
        <f>IF(Table1[[#This Row],[Status]]="Active",1,0)</f>
        <v>0</v>
      </c>
      <c r="AE202">
        <f ca="1">IF(Table1[[#This Row],[Status]]="Exited",Table1[[#This Row],[Recruitment Cost]]+Table1[[#This Row],[Onboarding Cost]]+Table1[[#This Row],[Training Cost]],0)</f>
        <v>6991</v>
      </c>
      <c r="AF202">
        <f>IF(Table1[[#This Row],[Training Completion Status]]="Completed",1,0)</f>
        <v>1</v>
      </c>
      <c r="AG202">
        <f t="shared" ca="1" si="17"/>
        <v>2</v>
      </c>
      <c r="AH202">
        <f t="shared" ca="1" si="18"/>
        <v>4</v>
      </c>
      <c r="AI202">
        <f t="shared" ca="1" si="19"/>
        <v>5</v>
      </c>
      <c r="AJ202" t="s">
        <v>318</v>
      </c>
    </row>
    <row r="203" spans="1:36" x14ac:dyDescent="0.2">
      <c r="A203" t="s">
        <v>255</v>
      </c>
      <c r="B203" t="s">
        <v>42</v>
      </c>
      <c r="C203" t="s">
        <v>38</v>
      </c>
      <c r="D203" t="s">
        <v>39</v>
      </c>
      <c r="E203" s="1">
        <v>43726</v>
      </c>
      <c r="F203" s="1">
        <v>43777</v>
      </c>
      <c r="G203" s="1">
        <v>43780</v>
      </c>
      <c r="H203" s="1">
        <v>44611</v>
      </c>
      <c r="I203" t="s">
        <v>57</v>
      </c>
      <c r="J203" s="2">
        <v>2646</v>
      </c>
      <c r="K203" t="s">
        <v>37</v>
      </c>
      <c r="L203" t="s">
        <v>52</v>
      </c>
      <c r="M203">
        <v>260</v>
      </c>
      <c r="N203">
        <v>14</v>
      </c>
      <c r="O203" s="3">
        <v>1855</v>
      </c>
      <c r="P203">
        <f t="shared" ca="1" si="15"/>
        <v>9</v>
      </c>
      <c r="Q203">
        <f ca="1">RANDBETWEEN(0,Table1[[#This Row],[offers made]])</f>
        <v>3</v>
      </c>
      <c r="R203" t="s">
        <v>308</v>
      </c>
      <c r="S203">
        <f>Table1[[#This Row],[Hire Date]]-Table1[[#This Row],[Job Posting Date]]</f>
        <v>51</v>
      </c>
      <c r="T203" s="4">
        <f>Table1[[#This Row],[Join Date]]-Table1[[#This Row],[Hire Date]]</f>
        <v>3</v>
      </c>
      <c r="U203" s="4">
        <f ca="1">IF(Table1[[#This Row],[Status]]="Exited",Table1[[#This Row],[Exit Date]]-Table1[[#This Row],[Join Date]],TODAY()-Table1[[#This Row],[Join Date]])</f>
        <v>831</v>
      </c>
      <c r="V203" t="str">
        <f ca="1">IF(Table1[[#This Row],[Total Tenure in Days]]&lt;=730, "yes","no")</f>
        <v>no</v>
      </c>
      <c r="W203">
        <f>Table1[[#This Row],[Hire Date]]-Table1[[#This Row],[Job Posting Date]]</f>
        <v>51</v>
      </c>
      <c r="X203" s="4">
        <f>Table1[[#This Row],[Time to Onboard]]/Table1[[#This Row],[Time to Fill]]*100</f>
        <v>5.8823529411764701</v>
      </c>
      <c r="Y203" s="5">
        <f>Table1[[#This Row],[Time to Onboard]]/Table1[[#This Row],[Time to Fill]]*100</f>
        <v>5.8823529411764701</v>
      </c>
      <c r="Z203">
        <f>Table1[[#This Row],[Join Date]]-Table1[[#This Row],[Job Posting Date]]</f>
        <v>54</v>
      </c>
      <c r="AA203">
        <f t="shared" ca="1" si="16"/>
        <v>136</v>
      </c>
      <c r="AB203" s="5">
        <f>Table1[[#This Row],[Absentee Days]]/Table1[[#This Row],[Total Work Days]]*100</f>
        <v>5.384615384615385</v>
      </c>
      <c r="AC203">
        <f>YEAR(Table1[[#This Row],[Join Date]])</f>
        <v>2019</v>
      </c>
      <c r="AD203">
        <f>IF(Table1[[#This Row],[Status]]="Active",1,0)</f>
        <v>0</v>
      </c>
      <c r="AE203">
        <f ca="1">IF(Table1[[#This Row],[Status]]="Exited",Table1[[#This Row],[Recruitment Cost]]+Table1[[#This Row],[Onboarding Cost]]+Table1[[#This Row],[Training Cost]],0)</f>
        <v>4637</v>
      </c>
      <c r="AF203">
        <f>IF(Table1[[#This Row],[Training Completion Status]]="Completed",1,0)</f>
        <v>1</v>
      </c>
      <c r="AG203">
        <f t="shared" ca="1" si="17"/>
        <v>5</v>
      </c>
      <c r="AH203">
        <f t="shared" ca="1" si="18"/>
        <v>4</v>
      </c>
      <c r="AI203">
        <f t="shared" ca="1" si="19"/>
        <v>3</v>
      </c>
      <c r="AJ203" t="s">
        <v>317</v>
      </c>
    </row>
    <row r="204" spans="1:36" x14ac:dyDescent="0.2">
      <c r="A204" t="s">
        <v>256</v>
      </c>
      <c r="B204" t="s">
        <v>43</v>
      </c>
      <c r="C204" t="s">
        <v>29</v>
      </c>
      <c r="D204" t="s">
        <v>30</v>
      </c>
      <c r="E204" s="1">
        <v>43111</v>
      </c>
      <c r="F204" s="1">
        <v>43187</v>
      </c>
      <c r="G204" s="1">
        <v>43197</v>
      </c>
      <c r="H204" s="1" t="s">
        <v>50</v>
      </c>
      <c r="I204" t="s">
        <v>51</v>
      </c>
      <c r="J204" s="2">
        <v>4927</v>
      </c>
      <c r="K204" t="s">
        <v>34</v>
      </c>
      <c r="L204" t="s">
        <v>52</v>
      </c>
      <c r="M204">
        <v>260</v>
      </c>
      <c r="N204">
        <v>5</v>
      </c>
      <c r="O204" s="3">
        <v>1327</v>
      </c>
      <c r="P204">
        <f t="shared" ca="1" si="15"/>
        <v>2</v>
      </c>
      <c r="Q204">
        <f ca="1">RANDBETWEEN(0,Table1[[#This Row],[offers made]])</f>
        <v>2</v>
      </c>
      <c r="R204" t="s">
        <v>308</v>
      </c>
      <c r="S204">
        <f>Table1[[#This Row],[Hire Date]]-Table1[[#This Row],[Job Posting Date]]</f>
        <v>76</v>
      </c>
      <c r="T204" s="4">
        <f>Table1[[#This Row],[Join Date]]-Table1[[#This Row],[Hire Date]]</f>
        <v>10</v>
      </c>
      <c r="U204" s="4">
        <f ca="1">IF(Table1[[#This Row],[Status]]="Exited",Table1[[#This Row],[Exit Date]]-Table1[[#This Row],[Join Date]],TODAY()-Table1[[#This Row],[Join Date]])</f>
        <v>2464</v>
      </c>
      <c r="V204" t="str">
        <f ca="1">IF(Table1[[#This Row],[Total Tenure in Days]]&lt;=730, "yes","no")</f>
        <v>no</v>
      </c>
      <c r="W204">
        <f>Table1[[#This Row],[Hire Date]]-Table1[[#This Row],[Job Posting Date]]</f>
        <v>76</v>
      </c>
      <c r="X204" s="4">
        <f>Table1[[#This Row],[Time to Onboard]]/Table1[[#This Row],[Time to Fill]]*100</f>
        <v>13.157894736842104</v>
      </c>
      <c r="Y204" s="5">
        <f>Table1[[#This Row],[Time to Onboard]]/Table1[[#This Row],[Time to Fill]]*100</f>
        <v>13.157894736842104</v>
      </c>
      <c r="Z204">
        <f>Table1[[#This Row],[Join Date]]-Table1[[#This Row],[Job Posting Date]]</f>
        <v>86</v>
      </c>
      <c r="AA204">
        <f t="shared" ca="1" si="16"/>
        <v>149</v>
      </c>
      <c r="AB204" s="5">
        <f>Table1[[#This Row],[Absentee Days]]/Table1[[#This Row],[Total Work Days]]*100</f>
        <v>1.9230769230769231</v>
      </c>
      <c r="AC204">
        <f>YEAR(Table1[[#This Row],[Join Date]])</f>
        <v>2018</v>
      </c>
      <c r="AD204">
        <f>IF(Table1[[#This Row],[Status]]="Active",1,0)</f>
        <v>1</v>
      </c>
      <c r="AE204">
        <f>IF(Table1[[#This Row],[Status]]="Exited",Table1[[#This Row],[Recruitment Cost]]+Table1[[#This Row],[Onboarding Cost]]+Table1[[#This Row],[Training Cost]],0)</f>
        <v>0</v>
      </c>
      <c r="AF204">
        <f>IF(Table1[[#This Row],[Training Completion Status]]="Completed",1,0)</f>
        <v>1</v>
      </c>
      <c r="AG204">
        <f t="shared" ca="1" si="17"/>
        <v>1</v>
      </c>
      <c r="AH204">
        <f t="shared" ca="1" si="18"/>
        <v>3</v>
      </c>
      <c r="AI204">
        <f t="shared" ca="1" si="19"/>
        <v>5</v>
      </c>
      <c r="AJ204" t="s">
        <v>317</v>
      </c>
    </row>
    <row r="205" spans="1:36" x14ac:dyDescent="0.2">
      <c r="A205" t="s">
        <v>257</v>
      </c>
      <c r="B205" t="s">
        <v>42</v>
      </c>
      <c r="C205" t="s">
        <v>29</v>
      </c>
      <c r="D205" t="s">
        <v>30</v>
      </c>
      <c r="E205" s="1">
        <v>43662</v>
      </c>
      <c r="F205" s="1">
        <v>43736</v>
      </c>
      <c r="G205" s="1">
        <v>43738</v>
      </c>
      <c r="H205" s="1" t="s">
        <v>50</v>
      </c>
      <c r="I205" t="s">
        <v>51</v>
      </c>
      <c r="J205" s="2">
        <v>3301</v>
      </c>
      <c r="K205" t="s">
        <v>31</v>
      </c>
      <c r="L205" t="s">
        <v>52</v>
      </c>
      <c r="M205">
        <v>260</v>
      </c>
      <c r="N205">
        <v>16</v>
      </c>
      <c r="O205" s="3">
        <v>2290</v>
      </c>
      <c r="P205">
        <f t="shared" ca="1" si="15"/>
        <v>5</v>
      </c>
      <c r="Q205">
        <f ca="1">RANDBETWEEN(0,Table1[[#This Row],[offers made]])</f>
        <v>5</v>
      </c>
      <c r="R205" t="s">
        <v>306</v>
      </c>
      <c r="S205">
        <f>Table1[[#This Row],[Hire Date]]-Table1[[#This Row],[Job Posting Date]]</f>
        <v>74</v>
      </c>
      <c r="T205" s="4">
        <f>Table1[[#This Row],[Join Date]]-Table1[[#This Row],[Hire Date]]</f>
        <v>2</v>
      </c>
      <c r="U205" s="4">
        <f ca="1">IF(Table1[[#This Row],[Status]]="Exited",Table1[[#This Row],[Exit Date]]-Table1[[#This Row],[Join Date]],TODAY()-Table1[[#This Row],[Join Date]])</f>
        <v>1923</v>
      </c>
      <c r="V205" t="str">
        <f ca="1">IF(Table1[[#This Row],[Total Tenure in Days]]&lt;=730, "yes","no")</f>
        <v>no</v>
      </c>
      <c r="W205">
        <f>Table1[[#This Row],[Hire Date]]-Table1[[#This Row],[Job Posting Date]]</f>
        <v>74</v>
      </c>
      <c r="X205" s="4">
        <f>Table1[[#This Row],[Time to Onboard]]/Table1[[#This Row],[Time to Fill]]*100</f>
        <v>2.7027027027027026</v>
      </c>
      <c r="Y205" s="5">
        <f>Table1[[#This Row],[Time to Onboard]]/Table1[[#This Row],[Time to Fill]]*100</f>
        <v>2.7027027027027026</v>
      </c>
      <c r="Z205">
        <f>Table1[[#This Row],[Join Date]]-Table1[[#This Row],[Job Posting Date]]</f>
        <v>76</v>
      </c>
      <c r="AA205">
        <f t="shared" ca="1" si="16"/>
        <v>124</v>
      </c>
      <c r="AB205" s="5">
        <f>Table1[[#This Row],[Absentee Days]]/Table1[[#This Row],[Total Work Days]]*100</f>
        <v>6.1538461538461542</v>
      </c>
      <c r="AC205">
        <f>YEAR(Table1[[#This Row],[Join Date]])</f>
        <v>2019</v>
      </c>
      <c r="AD205">
        <f>IF(Table1[[#This Row],[Status]]="Active",1,0)</f>
        <v>1</v>
      </c>
      <c r="AE205">
        <f>IF(Table1[[#This Row],[Status]]="Exited",Table1[[#This Row],[Recruitment Cost]]+Table1[[#This Row],[Onboarding Cost]]+Table1[[#This Row],[Training Cost]],0)</f>
        <v>0</v>
      </c>
      <c r="AF205">
        <f>IF(Table1[[#This Row],[Training Completion Status]]="Completed",1,0)</f>
        <v>1</v>
      </c>
      <c r="AG205">
        <f t="shared" ca="1" si="17"/>
        <v>5</v>
      </c>
      <c r="AH205">
        <f t="shared" ca="1" si="18"/>
        <v>3</v>
      </c>
      <c r="AI205">
        <f t="shared" ca="1" si="19"/>
        <v>5</v>
      </c>
      <c r="AJ205" t="s">
        <v>318</v>
      </c>
    </row>
    <row r="206" spans="1:36" x14ac:dyDescent="0.2">
      <c r="A206" t="s">
        <v>258</v>
      </c>
      <c r="B206" t="s">
        <v>41</v>
      </c>
      <c r="C206" t="s">
        <v>35</v>
      </c>
      <c r="D206" t="s">
        <v>36</v>
      </c>
      <c r="E206" s="1">
        <v>44666</v>
      </c>
      <c r="F206" s="1">
        <v>44732</v>
      </c>
      <c r="G206" s="1">
        <v>44743</v>
      </c>
      <c r="H206" s="1" t="s">
        <v>50</v>
      </c>
      <c r="I206" t="s">
        <v>51</v>
      </c>
      <c r="J206" s="2">
        <v>2985</v>
      </c>
      <c r="K206" t="s">
        <v>34</v>
      </c>
      <c r="L206" t="s">
        <v>52</v>
      </c>
      <c r="M206">
        <v>260</v>
      </c>
      <c r="N206">
        <v>18</v>
      </c>
      <c r="O206" s="3">
        <v>1325</v>
      </c>
      <c r="P206">
        <f t="shared" ca="1" si="15"/>
        <v>9</v>
      </c>
      <c r="Q206">
        <f ca="1">RANDBETWEEN(0,Table1[[#This Row],[offers made]])</f>
        <v>3</v>
      </c>
      <c r="R206" t="s">
        <v>307</v>
      </c>
      <c r="S206">
        <f>Table1[[#This Row],[Hire Date]]-Table1[[#This Row],[Job Posting Date]]</f>
        <v>66</v>
      </c>
      <c r="T206" s="4">
        <f>Table1[[#This Row],[Join Date]]-Table1[[#This Row],[Hire Date]]</f>
        <v>11</v>
      </c>
      <c r="U206" s="4">
        <f ca="1">IF(Table1[[#This Row],[Status]]="Exited",Table1[[#This Row],[Exit Date]]-Table1[[#This Row],[Join Date]],TODAY()-Table1[[#This Row],[Join Date]])</f>
        <v>918</v>
      </c>
      <c r="V206" t="str">
        <f ca="1">IF(Table1[[#This Row],[Total Tenure in Days]]&lt;=730, "yes","no")</f>
        <v>no</v>
      </c>
      <c r="W206">
        <f>Table1[[#This Row],[Hire Date]]-Table1[[#This Row],[Job Posting Date]]</f>
        <v>66</v>
      </c>
      <c r="X206" s="4">
        <f>Table1[[#This Row],[Time to Onboard]]/Table1[[#This Row],[Time to Fill]]*100</f>
        <v>16.666666666666664</v>
      </c>
      <c r="Y206" s="5">
        <f>Table1[[#This Row],[Time to Onboard]]/Table1[[#This Row],[Time to Fill]]*100</f>
        <v>16.666666666666664</v>
      </c>
      <c r="Z206">
        <f>Table1[[#This Row],[Join Date]]-Table1[[#This Row],[Job Posting Date]]</f>
        <v>77</v>
      </c>
      <c r="AA206">
        <f t="shared" ca="1" si="16"/>
        <v>154</v>
      </c>
      <c r="AB206" s="5">
        <f>Table1[[#This Row],[Absentee Days]]/Table1[[#This Row],[Total Work Days]]*100</f>
        <v>6.9230769230769234</v>
      </c>
      <c r="AC206">
        <f>YEAR(Table1[[#This Row],[Join Date]])</f>
        <v>2022</v>
      </c>
      <c r="AD206">
        <f>IF(Table1[[#This Row],[Status]]="Active",1,0)</f>
        <v>1</v>
      </c>
      <c r="AE206">
        <f>IF(Table1[[#This Row],[Status]]="Exited",Table1[[#This Row],[Recruitment Cost]]+Table1[[#This Row],[Onboarding Cost]]+Table1[[#This Row],[Training Cost]],0)</f>
        <v>0</v>
      </c>
      <c r="AF206">
        <f>IF(Table1[[#This Row],[Training Completion Status]]="Completed",1,0)</f>
        <v>1</v>
      </c>
      <c r="AG206">
        <f t="shared" ca="1" si="17"/>
        <v>5</v>
      </c>
      <c r="AH206">
        <f t="shared" ca="1" si="18"/>
        <v>3</v>
      </c>
      <c r="AI206">
        <f t="shared" ca="1" si="19"/>
        <v>5</v>
      </c>
      <c r="AJ206" t="s">
        <v>318</v>
      </c>
    </row>
    <row r="207" spans="1:36" x14ac:dyDescent="0.2">
      <c r="A207" t="s">
        <v>259</v>
      </c>
      <c r="B207" t="s">
        <v>42</v>
      </c>
      <c r="C207" t="s">
        <v>35</v>
      </c>
      <c r="D207" t="s">
        <v>36</v>
      </c>
      <c r="E207" s="1">
        <v>43146</v>
      </c>
      <c r="F207" s="1">
        <v>43168</v>
      </c>
      <c r="G207" s="1">
        <v>43178</v>
      </c>
      <c r="H207" s="1">
        <v>43914</v>
      </c>
      <c r="I207" t="s">
        <v>57</v>
      </c>
      <c r="J207" s="2">
        <v>1516</v>
      </c>
      <c r="K207" t="s">
        <v>31</v>
      </c>
      <c r="L207" t="s">
        <v>52</v>
      </c>
      <c r="M207">
        <v>260</v>
      </c>
      <c r="N207">
        <v>8</v>
      </c>
      <c r="O207" s="3">
        <v>2157</v>
      </c>
      <c r="P207">
        <f t="shared" ca="1" si="15"/>
        <v>8</v>
      </c>
      <c r="Q207">
        <f ca="1">RANDBETWEEN(0,Table1[[#This Row],[offers made]])</f>
        <v>8</v>
      </c>
      <c r="R207" t="s">
        <v>306</v>
      </c>
      <c r="S207">
        <f>Table1[[#This Row],[Hire Date]]-Table1[[#This Row],[Job Posting Date]]</f>
        <v>22</v>
      </c>
      <c r="T207" s="4">
        <f>Table1[[#This Row],[Join Date]]-Table1[[#This Row],[Hire Date]]</f>
        <v>10</v>
      </c>
      <c r="U207" s="4">
        <f ca="1">IF(Table1[[#This Row],[Status]]="Exited",Table1[[#This Row],[Exit Date]]-Table1[[#This Row],[Join Date]],TODAY()-Table1[[#This Row],[Join Date]])</f>
        <v>736</v>
      </c>
      <c r="V207" t="str">
        <f ca="1">IF(Table1[[#This Row],[Total Tenure in Days]]&lt;=730, "yes","no")</f>
        <v>no</v>
      </c>
      <c r="W207">
        <f>Table1[[#This Row],[Hire Date]]-Table1[[#This Row],[Job Posting Date]]</f>
        <v>22</v>
      </c>
      <c r="X207" s="4">
        <f>Table1[[#This Row],[Time to Onboard]]/Table1[[#This Row],[Time to Fill]]*100</f>
        <v>45.454545454545453</v>
      </c>
      <c r="Y207" s="5">
        <f>Table1[[#This Row],[Time to Onboard]]/Table1[[#This Row],[Time to Fill]]*100</f>
        <v>45.454545454545453</v>
      </c>
      <c r="Z207">
        <f>Table1[[#This Row],[Join Date]]-Table1[[#This Row],[Job Posting Date]]</f>
        <v>32</v>
      </c>
      <c r="AA207">
        <f t="shared" ca="1" si="16"/>
        <v>170</v>
      </c>
      <c r="AB207" s="5">
        <f>Table1[[#This Row],[Absentee Days]]/Table1[[#This Row],[Total Work Days]]*100</f>
        <v>3.0769230769230771</v>
      </c>
      <c r="AC207">
        <f>YEAR(Table1[[#This Row],[Join Date]])</f>
        <v>2018</v>
      </c>
      <c r="AD207">
        <f>IF(Table1[[#This Row],[Status]]="Active",1,0)</f>
        <v>0</v>
      </c>
      <c r="AE207">
        <f ca="1">IF(Table1[[#This Row],[Status]]="Exited",Table1[[#This Row],[Recruitment Cost]]+Table1[[#This Row],[Onboarding Cost]]+Table1[[#This Row],[Training Cost]],0)</f>
        <v>3843</v>
      </c>
      <c r="AF207">
        <f>IF(Table1[[#This Row],[Training Completion Status]]="Completed",1,0)</f>
        <v>1</v>
      </c>
      <c r="AG207">
        <f t="shared" ca="1" si="17"/>
        <v>1</v>
      </c>
      <c r="AH207">
        <f t="shared" ca="1" si="18"/>
        <v>2</v>
      </c>
      <c r="AI207">
        <f t="shared" ca="1" si="19"/>
        <v>3</v>
      </c>
      <c r="AJ207" t="s">
        <v>317</v>
      </c>
    </row>
    <row r="208" spans="1:36" x14ac:dyDescent="0.2">
      <c r="A208" t="s">
        <v>260</v>
      </c>
      <c r="B208" t="s">
        <v>43</v>
      </c>
      <c r="C208" t="s">
        <v>29</v>
      </c>
      <c r="D208" t="s">
        <v>30</v>
      </c>
      <c r="E208" s="1">
        <v>44841</v>
      </c>
      <c r="F208" s="1">
        <v>44886</v>
      </c>
      <c r="G208" s="1">
        <v>44891</v>
      </c>
      <c r="H208" s="1">
        <v>45115</v>
      </c>
      <c r="I208" t="s">
        <v>57</v>
      </c>
      <c r="J208" s="2">
        <v>4798</v>
      </c>
      <c r="K208" t="s">
        <v>28</v>
      </c>
      <c r="L208" t="s">
        <v>52</v>
      </c>
      <c r="M208">
        <v>260</v>
      </c>
      <c r="N208">
        <v>16</v>
      </c>
      <c r="O208" s="3">
        <v>2485</v>
      </c>
      <c r="P208">
        <f t="shared" ca="1" si="15"/>
        <v>5</v>
      </c>
      <c r="Q208">
        <f ca="1">RANDBETWEEN(0,Table1[[#This Row],[offers made]])</f>
        <v>4</v>
      </c>
      <c r="R208" t="s">
        <v>306</v>
      </c>
      <c r="S208">
        <f>Table1[[#This Row],[Hire Date]]-Table1[[#This Row],[Job Posting Date]]</f>
        <v>45</v>
      </c>
      <c r="T208" s="4">
        <f>Table1[[#This Row],[Join Date]]-Table1[[#This Row],[Hire Date]]</f>
        <v>5</v>
      </c>
      <c r="U208" s="4">
        <f ca="1">IF(Table1[[#This Row],[Status]]="Exited",Table1[[#This Row],[Exit Date]]-Table1[[#This Row],[Join Date]],TODAY()-Table1[[#This Row],[Join Date]])</f>
        <v>224</v>
      </c>
      <c r="V208" t="str">
        <f ca="1">IF(Table1[[#This Row],[Total Tenure in Days]]&lt;=730, "yes","no")</f>
        <v>yes</v>
      </c>
      <c r="W208">
        <f>Table1[[#This Row],[Hire Date]]-Table1[[#This Row],[Job Posting Date]]</f>
        <v>45</v>
      </c>
      <c r="X208" s="4">
        <f>Table1[[#This Row],[Time to Onboard]]/Table1[[#This Row],[Time to Fill]]*100</f>
        <v>11.111111111111111</v>
      </c>
      <c r="Y208" s="5">
        <f>Table1[[#This Row],[Time to Onboard]]/Table1[[#This Row],[Time to Fill]]*100</f>
        <v>11.111111111111111</v>
      </c>
      <c r="Z208">
        <f>Table1[[#This Row],[Join Date]]-Table1[[#This Row],[Job Posting Date]]</f>
        <v>50</v>
      </c>
      <c r="AA208">
        <f t="shared" ca="1" si="16"/>
        <v>123</v>
      </c>
      <c r="AB208" s="5">
        <f>Table1[[#This Row],[Absentee Days]]/Table1[[#This Row],[Total Work Days]]*100</f>
        <v>6.1538461538461542</v>
      </c>
      <c r="AC208">
        <f>YEAR(Table1[[#This Row],[Join Date]])</f>
        <v>2022</v>
      </c>
      <c r="AD208">
        <f>IF(Table1[[#This Row],[Status]]="Active",1,0)</f>
        <v>0</v>
      </c>
      <c r="AE208">
        <f ca="1">IF(Table1[[#This Row],[Status]]="Exited",Table1[[#This Row],[Recruitment Cost]]+Table1[[#This Row],[Onboarding Cost]]+Table1[[#This Row],[Training Cost]],0)</f>
        <v>7406</v>
      </c>
      <c r="AF208">
        <f>IF(Table1[[#This Row],[Training Completion Status]]="Completed",1,0)</f>
        <v>1</v>
      </c>
      <c r="AG208">
        <f t="shared" ca="1" si="17"/>
        <v>4</v>
      </c>
      <c r="AH208">
        <f t="shared" ca="1" si="18"/>
        <v>4</v>
      </c>
      <c r="AI208">
        <f t="shared" ca="1" si="19"/>
        <v>3</v>
      </c>
      <c r="AJ208" t="s">
        <v>317</v>
      </c>
    </row>
    <row r="209" spans="1:36" x14ac:dyDescent="0.2">
      <c r="A209" t="s">
        <v>261</v>
      </c>
      <c r="B209" t="s">
        <v>41</v>
      </c>
      <c r="C209" t="s">
        <v>38</v>
      </c>
      <c r="D209" t="s">
        <v>39</v>
      </c>
      <c r="E209" s="1">
        <v>44002</v>
      </c>
      <c r="F209" s="1">
        <v>44092</v>
      </c>
      <c r="G209" s="1">
        <v>44102</v>
      </c>
      <c r="H209" s="1" t="s">
        <v>50</v>
      </c>
      <c r="I209" t="s">
        <v>51</v>
      </c>
      <c r="J209" s="2">
        <v>3694</v>
      </c>
      <c r="K209" t="s">
        <v>34</v>
      </c>
      <c r="L209" t="s">
        <v>55</v>
      </c>
      <c r="M209">
        <v>260</v>
      </c>
      <c r="N209">
        <v>18</v>
      </c>
      <c r="O209" s="3">
        <v>2264</v>
      </c>
      <c r="P209">
        <f t="shared" ca="1" si="15"/>
        <v>1</v>
      </c>
      <c r="Q209">
        <f ca="1">RANDBETWEEN(0,Table1[[#This Row],[offers made]])</f>
        <v>0</v>
      </c>
      <c r="R209" t="s">
        <v>306</v>
      </c>
      <c r="S209">
        <f>Table1[[#This Row],[Hire Date]]-Table1[[#This Row],[Job Posting Date]]</f>
        <v>90</v>
      </c>
      <c r="T209" s="4">
        <f>Table1[[#This Row],[Join Date]]-Table1[[#This Row],[Hire Date]]</f>
        <v>10</v>
      </c>
      <c r="U209" s="4">
        <f ca="1">IF(Table1[[#This Row],[Status]]="Exited",Table1[[#This Row],[Exit Date]]-Table1[[#This Row],[Join Date]],TODAY()-Table1[[#This Row],[Join Date]])</f>
        <v>1559</v>
      </c>
      <c r="V209" t="str">
        <f ca="1">IF(Table1[[#This Row],[Total Tenure in Days]]&lt;=730, "yes","no")</f>
        <v>no</v>
      </c>
      <c r="W209">
        <f>Table1[[#This Row],[Hire Date]]-Table1[[#This Row],[Job Posting Date]]</f>
        <v>90</v>
      </c>
      <c r="X209" s="4">
        <f>Table1[[#This Row],[Time to Onboard]]/Table1[[#This Row],[Time to Fill]]*100</f>
        <v>11.111111111111111</v>
      </c>
      <c r="Y209" s="5">
        <f>Table1[[#This Row],[Time to Onboard]]/Table1[[#This Row],[Time to Fill]]*100</f>
        <v>11.111111111111111</v>
      </c>
      <c r="Z209">
        <f>Table1[[#This Row],[Join Date]]-Table1[[#This Row],[Job Posting Date]]</f>
        <v>100</v>
      </c>
      <c r="AA209">
        <f t="shared" ca="1" si="16"/>
        <v>111</v>
      </c>
      <c r="AB209" s="5">
        <f>Table1[[#This Row],[Absentee Days]]/Table1[[#This Row],[Total Work Days]]*100</f>
        <v>6.9230769230769234</v>
      </c>
      <c r="AC209">
        <f>YEAR(Table1[[#This Row],[Join Date]])</f>
        <v>2020</v>
      </c>
      <c r="AD209">
        <f>IF(Table1[[#This Row],[Status]]="Active",1,0)</f>
        <v>1</v>
      </c>
      <c r="AE209">
        <f>IF(Table1[[#This Row],[Status]]="Exited",Table1[[#This Row],[Recruitment Cost]]+Table1[[#This Row],[Onboarding Cost]]+Table1[[#This Row],[Training Cost]],0)</f>
        <v>0</v>
      </c>
      <c r="AF209">
        <f>IF(Table1[[#This Row],[Training Completion Status]]="Completed",1,0)</f>
        <v>0</v>
      </c>
      <c r="AG209">
        <f t="shared" ca="1" si="17"/>
        <v>2</v>
      </c>
      <c r="AH209">
        <f t="shared" ca="1" si="18"/>
        <v>2</v>
      </c>
      <c r="AI209">
        <f t="shared" ca="1" si="19"/>
        <v>5</v>
      </c>
      <c r="AJ209" t="s">
        <v>317</v>
      </c>
    </row>
    <row r="210" spans="1:36" x14ac:dyDescent="0.2">
      <c r="A210" t="s">
        <v>262</v>
      </c>
      <c r="B210" t="s">
        <v>41</v>
      </c>
      <c r="C210" t="s">
        <v>35</v>
      </c>
      <c r="D210" t="s">
        <v>36</v>
      </c>
      <c r="E210" s="1">
        <v>44610</v>
      </c>
      <c r="F210" s="1">
        <v>44649</v>
      </c>
      <c r="G210" s="1">
        <v>44664</v>
      </c>
      <c r="H210" s="1">
        <v>44705</v>
      </c>
      <c r="I210" t="s">
        <v>57</v>
      </c>
      <c r="J210" s="2">
        <v>2766</v>
      </c>
      <c r="K210" t="s">
        <v>31</v>
      </c>
      <c r="L210" t="s">
        <v>52</v>
      </c>
      <c r="M210">
        <v>260</v>
      </c>
      <c r="N210">
        <v>5</v>
      </c>
      <c r="O210" s="3">
        <v>1850</v>
      </c>
      <c r="P210">
        <f t="shared" ca="1" si="15"/>
        <v>5</v>
      </c>
      <c r="Q210">
        <f ca="1">RANDBETWEEN(0,Table1[[#This Row],[offers made]])</f>
        <v>5</v>
      </c>
      <c r="R210" t="s">
        <v>306</v>
      </c>
      <c r="S210">
        <f>Table1[[#This Row],[Hire Date]]-Table1[[#This Row],[Job Posting Date]]</f>
        <v>39</v>
      </c>
      <c r="T210" s="4">
        <f>Table1[[#This Row],[Join Date]]-Table1[[#This Row],[Hire Date]]</f>
        <v>15</v>
      </c>
      <c r="U210" s="4">
        <f ca="1">IF(Table1[[#This Row],[Status]]="Exited",Table1[[#This Row],[Exit Date]]-Table1[[#This Row],[Join Date]],TODAY()-Table1[[#This Row],[Join Date]])</f>
        <v>41</v>
      </c>
      <c r="V210" t="str">
        <f ca="1">IF(Table1[[#This Row],[Total Tenure in Days]]&lt;=730, "yes","no")</f>
        <v>yes</v>
      </c>
      <c r="W210">
        <f>Table1[[#This Row],[Hire Date]]-Table1[[#This Row],[Job Posting Date]]</f>
        <v>39</v>
      </c>
      <c r="X210" s="4">
        <f>Table1[[#This Row],[Time to Onboard]]/Table1[[#This Row],[Time to Fill]]*100</f>
        <v>38.461538461538467</v>
      </c>
      <c r="Y210" s="5">
        <f>Table1[[#This Row],[Time to Onboard]]/Table1[[#This Row],[Time to Fill]]*100</f>
        <v>38.461538461538467</v>
      </c>
      <c r="Z210">
        <f>Table1[[#This Row],[Join Date]]-Table1[[#This Row],[Job Posting Date]]</f>
        <v>54</v>
      </c>
      <c r="AA210">
        <f t="shared" ca="1" si="16"/>
        <v>130</v>
      </c>
      <c r="AB210" s="5">
        <f>Table1[[#This Row],[Absentee Days]]/Table1[[#This Row],[Total Work Days]]*100</f>
        <v>1.9230769230769231</v>
      </c>
      <c r="AC210">
        <f>YEAR(Table1[[#This Row],[Join Date]])</f>
        <v>2022</v>
      </c>
      <c r="AD210">
        <f>IF(Table1[[#This Row],[Status]]="Active",1,0)</f>
        <v>0</v>
      </c>
      <c r="AE210">
        <f ca="1">IF(Table1[[#This Row],[Status]]="Exited",Table1[[#This Row],[Recruitment Cost]]+Table1[[#This Row],[Onboarding Cost]]+Table1[[#This Row],[Training Cost]],0)</f>
        <v>4746</v>
      </c>
      <c r="AF210">
        <f>IF(Table1[[#This Row],[Training Completion Status]]="Completed",1,0)</f>
        <v>1</v>
      </c>
      <c r="AG210">
        <f t="shared" ca="1" si="17"/>
        <v>5</v>
      </c>
      <c r="AH210">
        <f t="shared" ca="1" si="18"/>
        <v>2</v>
      </c>
      <c r="AI210">
        <f t="shared" ca="1" si="19"/>
        <v>4</v>
      </c>
      <c r="AJ210" t="s">
        <v>317</v>
      </c>
    </row>
    <row r="211" spans="1:36" x14ac:dyDescent="0.2">
      <c r="A211" t="s">
        <v>263</v>
      </c>
      <c r="B211" t="s">
        <v>41</v>
      </c>
      <c r="C211" t="s">
        <v>26</v>
      </c>
      <c r="D211" t="s">
        <v>27</v>
      </c>
      <c r="E211" s="1">
        <v>44483</v>
      </c>
      <c r="F211" s="1">
        <v>44521</v>
      </c>
      <c r="G211" s="1">
        <v>44532</v>
      </c>
      <c r="H211" s="1" t="s">
        <v>50</v>
      </c>
      <c r="I211" t="s">
        <v>51</v>
      </c>
      <c r="J211" s="2">
        <v>4823</v>
      </c>
      <c r="K211" t="s">
        <v>34</v>
      </c>
      <c r="L211" t="s">
        <v>55</v>
      </c>
      <c r="M211">
        <v>260</v>
      </c>
      <c r="N211">
        <v>13</v>
      </c>
      <c r="O211" s="3">
        <v>1819</v>
      </c>
      <c r="P211">
        <f t="shared" ca="1" si="15"/>
        <v>10</v>
      </c>
      <c r="Q211">
        <f ca="1">RANDBETWEEN(0,Table1[[#This Row],[offers made]])</f>
        <v>7</v>
      </c>
      <c r="R211" t="s">
        <v>306</v>
      </c>
      <c r="S211">
        <f>Table1[[#This Row],[Hire Date]]-Table1[[#This Row],[Job Posting Date]]</f>
        <v>38</v>
      </c>
      <c r="T211" s="4">
        <f>Table1[[#This Row],[Join Date]]-Table1[[#This Row],[Hire Date]]</f>
        <v>11</v>
      </c>
      <c r="U211" s="4">
        <f ca="1">IF(Table1[[#This Row],[Status]]="Exited",Table1[[#This Row],[Exit Date]]-Table1[[#This Row],[Join Date]],TODAY()-Table1[[#This Row],[Join Date]])</f>
        <v>1129</v>
      </c>
      <c r="V211" t="str">
        <f ca="1">IF(Table1[[#This Row],[Total Tenure in Days]]&lt;=730, "yes","no")</f>
        <v>no</v>
      </c>
      <c r="W211">
        <f>Table1[[#This Row],[Hire Date]]-Table1[[#This Row],[Job Posting Date]]</f>
        <v>38</v>
      </c>
      <c r="X211" s="4">
        <f>Table1[[#This Row],[Time to Onboard]]/Table1[[#This Row],[Time to Fill]]*100</f>
        <v>28.947368421052634</v>
      </c>
      <c r="Y211" s="5">
        <f>Table1[[#This Row],[Time to Onboard]]/Table1[[#This Row],[Time to Fill]]*100</f>
        <v>28.947368421052634</v>
      </c>
      <c r="Z211">
        <f>Table1[[#This Row],[Join Date]]-Table1[[#This Row],[Job Posting Date]]</f>
        <v>49</v>
      </c>
      <c r="AA211">
        <f t="shared" ca="1" si="16"/>
        <v>194</v>
      </c>
      <c r="AB211" s="5">
        <f>Table1[[#This Row],[Absentee Days]]/Table1[[#This Row],[Total Work Days]]*100</f>
        <v>5</v>
      </c>
      <c r="AC211">
        <f>YEAR(Table1[[#This Row],[Join Date]])</f>
        <v>2021</v>
      </c>
      <c r="AD211">
        <f>IF(Table1[[#This Row],[Status]]="Active",1,0)</f>
        <v>1</v>
      </c>
      <c r="AE211">
        <f>IF(Table1[[#This Row],[Status]]="Exited",Table1[[#This Row],[Recruitment Cost]]+Table1[[#This Row],[Onboarding Cost]]+Table1[[#This Row],[Training Cost]],0)</f>
        <v>0</v>
      </c>
      <c r="AF211">
        <f>IF(Table1[[#This Row],[Training Completion Status]]="Completed",1,0)</f>
        <v>0</v>
      </c>
      <c r="AG211">
        <f t="shared" ca="1" si="17"/>
        <v>4</v>
      </c>
      <c r="AH211">
        <f t="shared" ca="1" si="18"/>
        <v>2</v>
      </c>
      <c r="AI211">
        <f t="shared" ca="1" si="19"/>
        <v>1</v>
      </c>
      <c r="AJ211" t="s">
        <v>318</v>
      </c>
    </row>
    <row r="212" spans="1:36" x14ac:dyDescent="0.2">
      <c r="A212" t="s">
        <v>264</v>
      </c>
      <c r="B212" t="s">
        <v>41</v>
      </c>
      <c r="C212" t="s">
        <v>26</v>
      </c>
      <c r="D212" t="s">
        <v>27</v>
      </c>
      <c r="E212" s="1">
        <v>43395</v>
      </c>
      <c r="F212" s="1">
        <v>43432</v>
      </c>
      <c r="G212" s="1">
        <v>43439</v>
      </c>
      <c r="H212" s="1">
        <v>44710</v>
      </c>
      <c r="I212" t="s">
        <v>57</v>
      </c>
      <c r="J212" s="2">
        <v>1989</v>
      </c>
      <c r="K212" t="s">
        <v>34</v>
      </c>
      <c r="L212" t="s">
        <v>52</v>
      </c>
      <c r="M212">
        <v>260</v>
      </c>
      <c r="N212">
        <v>5</v>
      </c>
      <c r="O212" s="3">
        <v>1496</v>
      </c>
      <c r="P212">
        <f t="shared" ca="1" si="15"/>
        <v>5</v>
      </c>
      <c r="Q212">
        <f ca="1">RANDBETWEEN(0,Table1[[#This Row],[offers made]])</f>
        <v>2</v>
      </c>
      <c r="R212" t="s">
        <v>308</v>
      </c>
      <c r="S212">
        <f>Table1[[#This Row],[Hire Date]]-Table1[[#This Row],[Job Posting Date]]</f>
        <v>37</v>
      </c>
      <c r="T212" s="4">
        <f>Table1[[#This Row],[Join Date]]-Table1[[#This Row],[Hire Date]]</f>
        <v>7</v>
      </c>
      <c r="U212" s="4">
        <f ca="1">IF(Table1[[#This Row],[Status]]="Exited",Table1[[#This Row],[Exit Date]]-Table1[[#This Row],[Join Date]],TODAY()-Table1[[#This Row],[Join Date]])</f>
        <v>1271</v>
      </c>
      <c r="V212" t="str">
        <f ca="1">IF(Table1[[#This Row],[Total Tenure in Days]]&lt;=730, "yes","no")</f>
        <v>no</v>
      </c>
      <c r="W212">
        <f>Table1[[#This Row],[Hire Date]]-Table1[[#This Row],[Job Posting Date]]</f>
        <v>37</v>
      </c>
      <c r="X212" s="4">
        <f>Table1[[#This Row],[Time to Onboard]]/Table1[[#This Row],[Time to Fill]]*100</f>
        <v>18.918918918918919</v>
      </c>
      <c r="Y212" s="5">
        <f>Table1[[#This Row],[Time to Onboard]]/Table1[[#This Row],[Time to Fill]]*100</f>
        <v>18.918918918918919</v>
      </c>
      <c r="Z212">
        <f>Table1[[#This Row],[Join Date]]-Table1[[#This Row],[Job Posting Date]]</f>
        <v>44</v>
      </c>
      <c r="AA212">
        <f t="shared" ca="1" si="16"/>
        <v>173</v>
      </c>
      <c r="AB212" s="5">
        <f>Table1[[#This Row],[Absentee Days]]/Table1[[#This Row],[Total Work Days]]*100</f>
        <v>1.9230769230769231</v>
      </c>
      <c r="AC212">
        <f>YEAR(Table1[[#This Row],[Join Date]])</f>
        <v>2018</v>
      </c>
      <c r="AD212">
        <f>IF(Table1[[#This Row],[Status]]="Active",1,0)</f>
        <v>0</v>
      </c>
      <c r="AE212">
        <f ca="1">IF(Table1[[#This Row],[Status]]="Exited",Table1[[#This Row],[Recruitment Cost]]+Table1[[#This Row],[Onboarding Cost]]+Table1[[#This Row],[Training Cost]],0)</f>
        <v>3658</v>
      </c>
      <c r="AF212">
        <f>IF(Table1[[#This Row],[Training Completion Status]]="Completed",1,0)</f>
        <v>1</v>
      </c>
      <c r="AG212">
        <f t="shared" ca="1" si="17"/>
        <v>5</v>
      </c>
      <c r="AH212">
        <f t="shared" ca="1" si="18"/>
        <v>5</v>
      </c>
      <c r="AI212">
        <f t="shared" ca="1" si="19"/>
        <v>3</v>
      </c>
      <c r="AJ212" t="s">
        <v>318</v>
      </c>
    </row>
    <row r="213" spans="1:36" x14ac:dyDescent="0.2">
      <c r="A213" t="s">
        <v>265</v>
      </c>
      <c r="B213" t="s">
        <v>41</v>
      </c>
      <c r="C213" t="s">
        <v>26</v>
      </c>
      <c r="D213" t="s">
        <v>27</v>
      </c>
      <c r="E213" s="1">
        <v>44638</v>
      </c>
      <c r="F213" s="1">
        <v>44667</v>
      </c>
      <c r="G213" s="1">
        <v>44680</v>
      </c>
      <c r="H213" s="1" t="s">
        <v>50</v>
      </c>
      <c r="I213" t="s">
        <v>51</v>
      </c>
      <c r="J213" s="2">
        <v>2447</v>
      </c>
      <c r="K213" t="s">
        <v>28</v>
      </c>
      <c r="L213" t="s">
        <v>52</v>
      </c>
      <c r="M213">
        <v>260</v>
      </c>
      <c r="N213">
        <v>6</v>
      </c>
      <c r="O213" s="3">
        <v>2113</v>
      </c>
      <c r="P213">
        <f t="shared" ca="1" si="15"/>
        <v>3</v>
      </c>
      <c r="Q213">
        <f ca="1">RANDBETWEEN(0,Table1[[#This Row],[offers made]])</f>
        <v>3</v>
      </c>
      <c r="R213" t="s">
        <v>306</v>
      </c>
      <c r="S213">
        <f>Table1[[#This Row],[Hire Date]]-Table1[[#This Row],[Job Posting Date]]</f>
        <v>29</v>
      </c>
      <c r="T213" s="4">
        <f>Table1[[#This Row],[Join Date]]-Table1[[#This Row],[Hire Date]]</f>
        <v>13</v>
      </c>
      <c r="U213" s="4">
        <f ca="1">IF(Table1[[#This Row],[Status]]="Exited",Table1[[#This Row],[Exit Date]]-Table1[[#This Row],[Join Date]],TODAY()-Table1[[#This Row],[Join Date]])</f>
        <v>981</v>
      </c>
      <c r="V213" t="str">
        <f ca="1">IF(Table1[[#This Row],[Total Tenure in Days]]&lt;=730, "yes","no")</f>
        <v>no</v>
      </c>
      <c r="W213">
        <f>Table1[[#This Row],[Hire Date]]-Table1[[#This Row],[Job Posting Date]]</f>
        <v>29</v>
      </c>
      <c r="X213" s="4">
        <f>Table1[[#This Row],[Time to Onboard]]/Table1[[#This Row],[Time to Fill]]*100</f>
        <v>44.827586206896555</v>
      </c>
      <c r="Y213" s="5">
        <f>Table1[[#This Row],[Time to Onboard]]/Table1[[#This Row],[Time to Fill]]*100</f>
        <v>44.827586206896555</v>
      </c>
      <c r="Z213">
        <f>Table1[[#This Row],[Join Date]]-Table1[[#This Row],[Job Posting Date]]</f>
        <v>42</v>
      </c>
      <c r="AA213">
        <f t="shared" ca="1" si="16"/>
        <v>149</v>
      </c>
      <c r="AB213" s="5">
        <f>Table1[[#This Row],[Absentee Days]]/Table1[[#This Row],[Total Work Days]]*100</f>
        <v>2.3076923076923079</v>
      </c>
      <c r="AC213">
        <f>YEAR(Table1[[#This Row],[Join Date]])</f>
        <v>2022</v>
      </c>
      <c r="AD213">
        <f>IF(Table1[[#This Row],[Status]]="Active",1,0)</f>
        <v>1</v>
      </c>
      <c r="AE213">
        <f>IF(Table1[[#This Row],[Status]]="Exited",Table1[[#This Row],[Recruitment Cost]]+Table1[[#This Row],[Onboarding Cost]]+Table1[[#This Row],[Training Cost]],0)</f>
        <v>0</v>
      </c>
      <c r="AF213">
        <f>IF(Table1[[#This Row],[Training Completion Status]]="Completed",1,0)</f>
        <v>1</v>
      </c>
      <c r="AG213">
        <f t="shared" ca="1" si="17"/>
        <v>5</v>
      </c>
      <c r="AH213">
        <f t="shared" ca="1" si="18"/>
        <v>3</v>
      </c>
      <c r="AI213">
        <f t="shared" ca="1" si="19"/>
        <v>2</v>
      </c>
      <c r="AJ213" t="s">
        <v>317</v>
      </c>
    </row>
    <row r="214" spans="1:36" x14ac:dyDescent="0.2">
      <c r="A214" t="s">
        <v>266</v>
      </c>
      <c r="B214" t="s">
        <v>42</v>
      </c>
      <c r="C214" t="s">
        <v>32</v>
      </c>
      <c r="D214" t="s">
        <v>33</v>
      </c>
      <c r="E214" s="1">
        <v>43603</v>
      </c>
      <c r="F214" s="1">
        <v>43621</v>
      </c>
      <c r="G214" s="1">
        <v>43626</v>
      </c>
      <c r="H214" s="1">
        <v>44036</v>
      </c>
      <c r="I214" t="s">
        <v>57</v>
      </c>
      <c r="J214" s="2">
        <v>3786</v>
      </c>
      <c r="K214" t="s">
        <v>31</v>
      </c>
      <c r="L214" t="s">
        <v>52</v>
      </c>
      <c r="M214">
        <v>260</v>
      </c>
      <c r="N214">
        <v>5</v>
      </c>
      <c r="O214" s="3">
        <v>1974</v>
      </c>
      <c r="P214">
        <f t="shared" ca="1" si="15"/>
        <v>6</v>
      </c>
      <c r="Q214">
        <f ca="1">RANDBETWEEN(0,Table1[[#This Row],[offers made]])</f>
        <v>2</v>
      </c>
      <c r="R214" t="s">
        <v>307</v>
      </c>
      <c r="S214">
        <f>Table1[[#This Row],[Hire Date]]-Table1[[#This Row],[Job Posting Date]]</f>
        <v>18</v>
      </c>
      <c r="T214" s="4">
        <f>Table1[[#This Row],[Join Date]]-Table1[[#This Row],[Hire Date]]</f>
        <v>5</v>
      </c>
      <c r="U214" s="4">
        <f ca="1">IF(Table1[[#This Row],[Status]]="Exited",Table1[[#This Row],[Exit Date]]-Table1[[#This Row],[Join Date]],TODAY()-Table1[[#This Row],[Join Date]])</f>
        <v>410</v>
      </c>
      <c r="V214" t="str">
        <f ca="1">IF(Table1[[#This Row],[Total Tenure in Days]]&lt;=730, "yes","no")</f>
        <v>yes</v>
      </c>
      <c r="W214">
        <f>Table1[[#This Row],[Hire Date]]-Table1[[#This Row],[Job Posting Date]]</f>
        <v>18</v>
      </c>
      <c r="X214" s="4">
        <f>Table1[[#This Row],[Time to Onboard]]/Table1[[#This Row],[Time to Fill]]*100</f>
        <v>27.777777777777779</v>
      </c>
      <c r="Y214" s="5">
        <f>Table1[[#This Row],[Time to Onboard]]/Table1[[#This Row],[Time to Fill]]*100</f>
        <v>27.777777777777779</v>
      </c>
      <c r="Z214">
        <f>Table1[[#This Row],[Join Date]]-Table1[[#This Row],[Job Posting Date]]</f>
        <v>23</v>
      </c>
      <c r="AA214">
        <f t="shared" ca="1" si="16"/>
        <v>163</v>
      </c>
      <c r="AB214" s="5">
        <f>Table1[[#This Row],[Absentee Days]]/Table1[[#This Row],[Total Work Days]]*100</f>
        <v>1.9230769230769231</v>
      </c>
      <c r="AC214">
        <f>YEAR(Table1[[#This Row],[Join Date]])</f>
        <v>2019</v>
      </c>
      <c r="AD214">
        <f>IF(Table1[[#This Row],[Status]]="Active",1,0)</f>
        <v>0</v>
      </c>
      <c r="AE214">
        <f ca="1">IF(Table1[[#This Row],[Status]]="Exited",Table1[[#This Row],[Recruitment Cost]]+Table1[[#This Row],[Onboarding Cost]]+Table1[[#This Row],[Training Cost]],0)</f>
        <v>5923</v>
      </c>
      <c r="AF214">
        <f>IF(Table1[[#This Row],[Training Completion Status]]="Completed",1,0)</f>
        <v>1</v>
      </c>
      <c r="AG214">
        <f t="shared" ca="1" si="17"/>
        <v>4</v>
      </c>
      <c r="AH214">
        <f t="shared" ca="1" si="18"/>
        <v>1</v>
      </c>
      <c r="AI214">
        <f t="shared" ca="1" si="19"/>
        <v>1</v>
      </c>
      <c r="AJ214" t="s">
        <v>317</v>
      </c>
    </row>
    <row r="215" spans="1:36" x14ac:dyDescent="0.2">
      <c r="A215" t="s">
        <v>267</v>
      </c>
      <c r="B215" t="s">
        <v>41</v>
      </c>
      <c r="C215" t="s">
        <v>32</v>
      </c>
      <c r="D215" t="s">
        <v>33</v>
      </c>
      <c r="E215" s="1">
        <v>44759</v>
      </c>
      <c r="F215" s="1">
        <v>44849</v>
      </c>
      <c r="G215" s="1">
        <v>44856</v>
      </c>
      <c r="H215" s="1" t="s">
        <v>50</v>
      </c>
      <c r="I215" t="s">
        <v>51</v>
      </c>
      <c r="J215" s="2">
        <v>3000</v>
      </c>
      <c r="K215" t="s">
        <v>34</v>
      </c>
      <c r="L215" t="s">
        <v>52</v>
      </c>
      <c r="M215">
        <v>260</v>
      </c>
      <c r="N215">
        <v>13</v>
      </c>
      <c r="O215" s="3">
        <v>1467</v>
      </c>
      <c r="P215">
        <f t="shared" ca="1" si="15"/>
        <v>6</v>
      </c>
      <c r="Q215">
        <f ca="1">RANDBETWEEN(0,Table1[[#This Row],[offers made]])</f>
        <v>5</v>
      </c>
      <c r="R215" t="s">
        <v>307</v>
      </c>
      <c r="S215">
        <f>Table1[[#This Row],[Hire Date]]-Table1[[#This Row],[Job Posting Date]]</f>
        <v>90</v>
      </c>
      <c r="T215" s="4">
        <f>Table1[[#This Row],[Join Date]]-Table1[[#This Row],[Hire Date]]</f>
        <v>7</v>
      </c>
      <c r="U215" s="4">
        <f ca="1">IF(Table1[[#This Row],[Status]]="Exited",Table1[[#This Row],[Exit Date]]-Table1[[#This Row],[Join Date]],TODAY()-Table1[[#This Row],[Join Date]])</f>
        <v>805</v>
      </c>
      <c r="V215" t="str">
        <f ca="1">IF(Table1[[#This Row],[Total Tenure in Days]]&lt;=730, "yes","no")</f>
        <v>no</v>
      </c>
      <c r="W215">
        <f>Table1[[#This Row],[Hire Date]]-Table1[[#This Row],[Job Posting Date]]</f>
        <v>90</v>
      </c>
      <c r="X215" s="4">
        <f>Table1[[#This Row],[Time to Onboard]]/Table1[[#This Row],[Time to Fill]]*100</f>
        <v>7.7777777777777777</v>
      </c>
      <c r="Y215" s="5">
        <f>Table1[[#This Row],[Time to Onboard]]/Table1[[#This Row],[Time to Fill]]*100</f>
        <v>7.7777777777777777</v>
      </c>
      <c r="Z215">
        <f>Table1[[#This Row],[Join Date]]-Table1[[#This Row],[Job Posting Date]]</f>
        <v>97</v>
      </c>
      <c r="AA215">
        <f t="shared" ca="1" si="16"/>
        <v>129</v>
      </c>
      <c r="AB215" s="5">
        <f>Table1[[#This Row],[Absentee Days]]/Table1[[#This Row],[Total Work Days]]*100</f>
        <v>5</v>
      </c>
      <c r="AC215">
        <f>YEAR(Table1[[#This Row],[Join Date]])</f>
        <v>2022</v>
      </c>
      <c r="AD215">
        <f>IF(Table1[[#This Row],[Status]]="Active",1,0)</f>
        <v>1</v>
      </c>
      <c r="AE215">
        <f>IF(Table1[[#This Row],[Status]]="Exited",Table1[[#This Row],[Recruitment Cost]]+Table1[[#This Row],[Onboarding Cost]]+Table1[[#This Row],[Training Cost]],0)</f>
        <v>0</v>
      </c>
      <c r="AF215">
        <f>IF(Table1[[#This Row],[Training Completion Status]]="Completed",1,0)</f>
        <v>1</v>
      </c>
      <c r="AG215">
        <f t="shared" ca="1" si="17"/>
        <v>5</v>
      </c>
      <c r="AH215">
        <f t="shared" ca="1" si="18"/>
        <v>1</v>
      </c>
      <c r="AI215">
        <f t="shared" ca="1" si="19"/>
        <v>3</v>
      </c>
      <c r="AJ215" t="s">
        <v>317</v>
      </c>
    </row>
    <row r="216" spans="1:36" x14ac:dyDescent="0.2">
      <c r="A216" t="s">
        <v>268</v>
      </c>
      <c r="B216" t="s">
        <v>41</v>
      </c>
      <c r="C216" t="s">
        <v>29</v>
      </c>
      <c r="D216" t="s">
        <v>30</v>
      </c>
      <c r="E216" s="1">
        <v>43843</v>
      </c>
      <c r="F216" s="1">
        <v>43865</v>
      </c>
      <c r="G216" s="1">
        <v>43879</v>
      </c>
      <c r="H216" s="1" t="s">
        <v>50</v>
      </c>
      <c r="I216" t="s">
        <v>51</v>
      </c>
      <c r="J216" s="2">
        <v>2385</v>
      </c>
      <c r="K216" t="s">
        <v>37</v>
      </c>
      <c r="L216" t="s">
        <v>52</v>
      </c>
      <c r="M216">
        <v>260</v>
      </c>
      <c r="N216">
        <v>5</v>
      </c>
      <c r="O216" s="3">
        <v>1801</v>
      </c>
      <c r="P216">
        <f t="shared" ca="1" si="15"/>
        <v>8</v>
      </c>
      <c r="Q216">
        <f ca="1">RANDBETWEEN(0,Table1[[#This Row],[offers made]])</f>
        <v>0</v>
      </c>
      <c r="R216" t="s">
        <v>307</v>
      </c>
      <c r="S216">
        <f>Table1[[#This Row],[Hire Date]]-Table1[[#This Row],[Job Posting Date]]</f>
        <v>22</v>
      </c>
      <c r="T216" s="4">
        <f>Table1[[#This Row],[Join Date]]-Table1[[#This Row],[Hire Date]]</f>
        <v>14</v>
      </c>
      <c r="U216" s="4">
        <f ca="1">IF(Table1[[#This Row],[Status]]="Exited",Table1[[#This Row],[Exit Date]]-Table1[[#This Row],[Join Date]],TODAY()-Table1[[#This Row],[Join Date]])</f>
        <v>1782</v>
      </c>
      <c r="V216" t="str">
        <f ca="1">IF(Table1[[#This Row],[Total Tenure in Days]]&lt;=730, "yes","no")</f>
        <v>no</v>
      </c>
      <c r="W216">
        <f>Table1[[#This Row],[Hire Date]]-Table1[[#This Row],[Job Posting Date]]</f>
        <v>22</v>
      </c>
      <c r="X216" s="4">
        <f>Table1[[#This Row],[Time to Onboard]]/Table1[[#This Row],[Time to Fill]]*100</f>
        <v>63.636363636363633</v>
      </c>
      <c r="Y216" s="5">
        <f>Table1[[#This Row],[Time to Onboard]]/Table1[[#This Row],[Time to Fill]]*100</f>
        <v>63.636363636363633</v>
      </c>
      <c r="Z216">
        <f>Table1[[#This Row],[Join Date]]-Table1[[#This Row],[Job Posting Date]]</f>
        <v>36</v>
      </c>
      <c r="AA216">
        <f t="shared" ca="1" si="16"/>
        <v>117</v>
      </c>
      <c r="AB216" s="5">
        <f>Table1[[#This Row],[Absentee Days]]/Table1[[#This Row],[Total Work Days]]*100</f>
        <v>1.9230769230769231</v>
      </c>
      <c r="AC216">
        <f>YEAR(Table1[[#This Row],[Join Date]])</f>
        <v>2020</v>
      </c>
      <c r="AD216">
        <f>IF(Table1[[#This Row],[Status]]="Active",1,0)</f>
        <v>1</v>
      </c>
      <c r="AE216">
        <f>IF(Table1[[#This Row],[Status]]="Exited",Table1[[#This Row],[Recruitment Cost]]+Table1[[#This Row],[Onboarding Cost]]+Table1[[#This Row],[Training Cost]],0)</f>
        <v>0</v>
      </c>
      <c r="AF216">
        <f>IF(Table1[[#This Row],[Training Completion Status]]="Completed",1,0)</f>
        <v>1</v>
      </c>
      <c r="AG216">
        <f t="shared" ca="1" si="17"/>
        <v>1</v>
      </c>
      <c r="AH216">
        <f t="shared" ca="1" si="18"/>
        <v>4</v>
      </c>
      <c r="AI216">
        <f t="shared" ca="1" si="19"/>
        <v>4</v>
      </c>
      <c r="AJ216" t="s">
        <v>317</v>
      </c>
    </row>
    <row r="217" spans="1:36" x14ac:dyDescent="0.2">
      <c r="A217" t="s">
        <v>269</v>
      </c>
      <c r="B217" t="s">
        <v>42</v>
      </c>
      <c r="C217" t="s">
        <v>29</v>
      </c>
      <c r="D217" t="s">
        <v>30</v>
      </c>
      <c r="E217" s="1">
        <v>43917</v>
      </c>
      <c r="F217" s="1">
        <v>43976</v>
      </c>
      <c r="G217" s="1">
        <v>43984</v>
      </c>
      <c r="H217" s="1">
        <v>44207</v>
      </c>
      <c r="I217" t="s">
        <v>57</v>
      </c>
      <c r="J217" s="2">
        <v>3818</v>
      </c>
      <c r="K217" t="s">
        <v>31</v>
      </c>
      <c r="L217" t="s">
        <v>52</v>
      </c>
      <c r="M217">
        <v>260</v>
      </c>
      <c r="N217">
        <v>4</v>
      </c>
      <c r="O217" s="3">
        <v>1501</v>
      </c>
      <c r="P217">
        <f t="shared" ca="1" si="15"/>
        <v>4</v>
      </c>
      <c r="Q217">
        <f ca="1">RANDBETWEEN(0,Table1[[#This Row],[offers made]])</f>
        <v>4</v>
      </c>
      <c r="R217" t="s">
        <v>308</v>
      </c>
      <c r="S217">
        <f>Table1[[#This Row],[Hire Date]]-Table1[[#This Row],[Job Posting Date]]</f>
        <v>59</v>
      </c>
      <c r="T217" s="4">
        <f>Table1[[#This Row],[Join Date]]-Table1[[#This Row],[Hire Date]]</f>
        <v>8</v>
      </c>
      <c r="U217" s="4">
        <f ca="1">IF(Table1[[#This Row],[Status]]="Exited",Table1[[#This Row],[Exit Date]]-Table1[[#This Row],[Join Date]],TODAY()-Table1[[#This Row],[Join Date]])</f>
        <v>223</v>
      </c>
      <c r="V217" t="str">
        <f ca="1">IF(Table1[[#This Row],[Total Tenure in Days]]&lt;=730, "yes","no")</f>
        <v>yes</v>
      </c>
      <c r="W217">
        <f>Table1[[#This Row],[Hire Date]]-Table1[[#This Row],[Job Posting Date]]</f>
        <v>59</v>
      </c>
      <c r="X217" s="4">
        <f>Table1[[#This Row],[Time to Onboard]]/Table1[[#This Row],[Time to Fill]]*100</f>
        <v>13.559322033898304</v>
      </c>
      <c r="Y217" s="5">
        <f>Table1[[#This Row],[Time to Onboard]]/Table1[[#This Row],[Time to Fill]]*100</f>
        <v>13.559322033898304</v>
      </c>
      <c r="Z217">
        <f>Table1[[#This Row],[Join Date]]-Table1[[#This Row],[Job Posting Date]]</f>
        <v>67</v>
      </c>
      <c r="AA217">
        <f t="shared" ca="1" si="16"/>
        <v>156</v>
      </c>
      <c r="AB217" s="5">
        <f>Table1[[#This Row],[Absentee Days]]/Table1[[#This Row],[Total Work Days]]*100</f>
        <v>1.5384615384615385</v>
      </c>
      <c r="AC217">
        <f>YEAR(Table1[[#This Row],[Join Date]])</f>
        <v>2020</v>
      </c>
      <c r="AD217">
        <f>IF(Table1[[#This Row],[Status]]="Active",1,0)</f>
        <v>0</v>
      </c>
      <c r="AE217">
        <f ca="1">IF(Table1[[#This Row],[Status]]="Exited",Table1[[#This Row],[Recruitment Cost]]+Table1[[#This Row],[Onboarding Cost]]+Table1[[#This Row],[Training Cost]],0)</f>
        <v>5475</v>
      </c>
      <c r="AF217">
        <f>IF(Table1[[#This Row],[Training Completion Status]]="Completed",1,0)</f>
        <v>1</v>
      </c>
      <c r="AG217">
        <f t="shared" ca="1" si="17"/>
        <v>3</v>
      </c>
      <c r="AH217">
        <f t="shared" ca="1" si="18"/>
        <v>3</v>
      </c>
      <c r="AI217">
        <f t="shared" ca="1" si="19"/>
        <v>2</v>
      </c>
      <c r="AJ217" t="s">
        <v>318</v>
      </c>
    </row>
    <row r="218" spans="1:36" x14ac:dyDescent="0.2">
      <c r="A218" t="s">
        <v>270</v>
      </c>
      <c r="B218" t="s">
        <v>41</v>
      </c>
      <c r="C218" t="s">
        <v>32</v>
      </c>
      <c r="D218" t="s">
        <v>33</v>
      </c>
      <c r="E218" s="1">
        <v>44612</v>
      </c>
      <c r="F218" s="1">
        <v>44658</v>
      </c>
      <c r="G218" s="1">
        <v>44671</v>
      </c>
      <c r="H218" s="1" t="s">
        <v>50</v>
      </c>
      <c r="I218" t="s">
        <v>51</v>
      </c>
      <c r="J218" s="2">
        <v>3053</v>
      </c>
      <c r="K218" t="s">
        <v>37</v>
      </c>
      <c r="L218" t="s">
        <v>52</v>
      </c>
      <c r="M218">
        <v>260</v>
      </c>
      <c r="N218">
        <v>14</v>
      </c>
      <c r="O218" s="3">
        <v>1916</v>
      </c>
      <c r="P218">
        <f t="shared" ca="1" si="15"/>
        <v>2</v>
      </c>
      <c r="Q218">
        <f ca="1">RANDBETWEEN(0,Table1[[#This Row],[offers made]])</f>
        <v>1</v>
      </c>
      <c r="R218" t="s">
        <v>306</v>
      </c>
      <c r="S218">
        <f>Table1[[#This Row],[Hire Date]]-Table1[[#This Row],[Job Posting Date]]</f>
        <v>46</v>
      </c>
      <c r="T218" s="4">
        <f>Table1[[#This Row],[Join Date]]-Table1[[#This Row],[Hire Date]]</f>
        <v>13</v>
      </c>
      <c r="U218" s="4">
        <f ca="1">IF(Table1[[#This Row],[Status]]="Exited",Table1[[#This Row],[Exit Date]]-Table1[[#This Row],[Join Date]],TODAY()-Table1[[#This Row],[Join Date]])</f>
        <v>990</v>
      </c>
      <c r="V218" t="str">
        <f ca="1">IF(Table1[[#This Row],[Total Tenure in Days]]&lt;=730, "yes","no")</f>
        <v>no</v>
      </c>
      <c r="W218">
        <f>Table1[[#This Row],[Hire Date]]-Table1[[#This Row],[Job Posting Date]]</f>
        <v>46</v>
      </c>
      <c r="X218" s="4">
        <f>Table1[[#This Row],[Time to Onboard]]/Table1[[#This Row],[Time to Fill]]*100</f>
        <v>28.260869565217391</v>
      </c>
      <c r="Y218" s="5">
        <f>Table1[[#This Row],[Time to Onboard]]/Table1[[#This Row],[Time to Fill]]*100</f>
        <v>28.260869565217391</v>
      </c>
      <c r="Z218">
        <f>Table1[[#This Row],[Join Date]]-Table1[[#This Row],[Job Posting Date]]</f>
        <v>59</v>
      </c>
      <c r="AA218">
        <f t="shared" ca="1" si="16"/>
        <v>127</v>
      </c>
      <c r="AB218" s="5">
        <f>Table1[[#This Row],[Absentee Days]]/Table1[[#This Row],[Total Work Days]]*100</f>
        <v>5.384615384615385</v>
      </c>
      <c r="AC218">
        <f>YEAR(Table1[[#This Row],[Join Date]])</f>
        <v>2022</v>
      </c>
      <c r="AD218">
        <f>IF(Table1[[#This Row],[Status]]="Active",1,0)</f>
        <v>1</v>
      </c>
      <c r="AE218">
        <f>IF(Table1[[#This Row],[Status]]="Exited",Table1[[#This Row],[Recruitment Cost]]+Table1[[#This Row],[Onboarding Cost]]+Table1[[#This Row],[Training Cost]],0)</f>
        <v>0</v>
      </c>
      <c r="AF218">
        <f>IF(Table1[[#This Row],[Training Completion Status]]="Completed",1,0)</f>
        <v>1</v>
      </c>
      <c r="AG218">
        <f t="shared" ca="1" si="17"/>
        <v>5</v>
      </c>
      <c r="AH218">
        <f t="shared" ca="1" si="18"/>
        <v>1</v>
      </c>
      <c r="AI218">
        <f t="shared" ca="1" si="19"/>
        <v>5</v>
      </c>
      <c r="AJ218" t="s">
        <v>317</v>
      </c>
    </row>
    <row r="219" spans="1:36" x14ac:dyDescent="0.2">
      <c r="A219" t="s">
        <v>271</v>
      </c>
      <c r="B219" t="s">
        <v>41</v>
      </c>
      <c r="C219" t="s">
        <v>35</v>
      </c>
      <c r="D219" t="s">
        <v>36</v>
      </c>
      <c r="E219" s="1">
        <v>43608</v>
      </c>
      <c r="F219" s="1">
        <v>43641</v>
      </c>
      <c r="G219" s="1">
        <v>43647</v>
      </c>
      <c r="H219" s="1" t="s">
        <v>50</v>
      </c>
      <c r="I219" t="s">
        <v>51</v>
      </c>
      <c r="J219" s="2">
        <v>4305</v>
      </c>
      <c r="K219" t="s">
        <v>31</v>
      </c>
      <c r="L219" t="s">
        <v>52</v>
      </c>
      <c r="M219">
        <v>260</v>
      </c>
      <c r="N219">
        <v>6</v>
      </c>
      <c r="O219" s="3">
        <v>1938</v>
      </c>
      <c r="P219">
        <f t="shared" ca="1" si="15"/>
        <v>1</v>
      </c>
      <c r="Q219">
        <f ca="1">RANDBETWEEN(0,Table1[[#This Row],[offers made]])</f>
        <v>1</v>
      </c>
      <c r="R219" t="s">
        <v>307</v>
      </c>
      <c r="S219">
        <f>Table1[[#This Row],[Hire Date]]-Table1[[#This Row],[Job Posting Date]]</f>
        <v>33</v>
      </c>
      <c r="T219" s="4">
        <f>Table1[[#This Row],[Join Date]]-Table1[[#This Row],[Hire Date]]</f>
        <v>6</v>
      </c>
      <c r="U219" s="4">
        <f ca="1">IF(Table1[[#This Row],[Status]]="Exited",Table1[[#This Row],[Exit Date]]-Table1[[#This Row],[Join Date]],TODAY()-Table1[[#This Row],[Join Date]])</f>
        <v>2014</v>
      </c>
      <c r="V219" t="str">
        <f ca="1">IF(Table1[[#This Row],[Total Tenure in Days]]&lt;=730, "yes","no")</f>
        <v>no</v>
      </c>
      <c r="W219">
        <f>Table1[[#This Row],[Hire Date]]-Table1[[#This Row],[Job Posting Date]]</f>
        <v>33</v>
      </c>
      <c r="X219" s="4">
        <f>Table1[[#This Row],[Time to Onboard]]/Table1[[#This Row],[Time to Fill]]*100</f>
        <v>18.181818181818183</v>
      </c>
      <c r="Y219" s="5">
        <f>Table1[[#This Row],[Time to Onboard]]/Table1[[#This Row],[Time to Fill]]*100</f>
        <v>18.181818181818183</v>
      </c>
      <c r="Z219">
        <f>Table1[[#This Row],[Join Date]]-Table1[[#This Row],[Job Posting Date]]</f>
        <v>39</v>
      </c>
      <c r="AA219">
        <f t="shared" ca="1" si="16"/>
        <v>150</v>
      </c>
      <c r="AB219" s="5">
        <f>Table1[[#This Row],[Absentee Days]]/Table1[[#This Row],[Total Work Days]]*100</f>
        <v>2.3076923076923079</v>
      </c>
      <c r="AC219">
        <f>YEAR(Table1[[#This Row],[Join Date]])</f>
        <v>2019</v>
      </c>
      <c r="AD219">
        <f>IF(Table1[[#This Row],[Status]]="Active",1,0)</f>
        <v>1</v>
      </c>
      <c r="AE219">
        <f>IF(Table1[[#This Row],[Status]]="Exited",Table1[[#This Row],[Recruitment Cost]]+Table1[[#This Row],[Onboarding Cost]]+Table1[[#This Row],[Training Cost]],0)</f>
        <v>0</v>
      </c>
      <c r="AF219">
        <f>IF(Table1[[#This Row],[Training Completion Status]]="Completed",1,0)</f>
        <v>1</v>
      </c>
      <c r="AG219">
        <f t="shared" ca="1" si="17"/>
        <v>5</v>
      </c>
      <c r="AH219">
        <f t="shared" ca="1" si="18"/>
        <v>5</v>
      </c>
      <c r="AI219">
        <f t="shared" ca="1" si="19"/>
        <v>4</v>
      </c>
      <c r="AJ219" t="s">
        <v>318</v>
      </c>
    </row>
    <row r="220" spans="1:36" x14ac:dyDescent="0.2">
      <c r="A220" t="s">
        <v>272</v>
      </c>
      <c r="B220" t="s">
        <v>43</v>
      </c>
      <c r="C220" t="s">
        <v>29</v>
      </c>
      <c r="D220" t="s">
        <v>30</v>
      </c>
      <c r="E220" s="1">
        <v>44362</v>
      </c>
      <c r="F220" s="1">
        <v>44388</v>
      </c>
      <c r="G220" s="1">
        <v>44392</v>
      </c>
      <c r="H220" s="1">
        <v>44971</v>
      </c>
      <c r="I220" t="s">
        <v>57</v>
      </c>
      <c r="J220" s="2">
        <v>2871</v>
      </c>
      <c r="K220" t="s">
        <v>37</v>
      </c>
      <c r="L220" t="s">
        <v>52</v>
      </c>
      <c r="M220">
        <v>260</v>
      </c>
      <c r="N220">
        <v>18</v>
      </c>
      <c r="O220" s="3">
        <v>1957</v>
      </c>
      <c r="P220">
        <f t="shared" ca="1" si="15"/>
        <v>7</v>
      </c>
      <c r="Q220">
        <f ca="1">RANDBETWEEN(0,Table1[[#This Row],[offers made]])</f>
        <v>5</v>
      </c>
      <c r="R220" t="s">
        <v>308</v>
      </c>
      <c r="S220">
        <f>Table1[[#This Row],[Hire Date]]-Table1[[#This Row],[Job Posting Date]]</f>
        <v>26</v>
      </c>
      <c r="T220" s="4">
        <f>Table1[[#This Row],[Join Date]]-Table1[[#This Row],[Hire Date]]</f>
        <v>4</v>
      </c>
      <c r="U220" s="4">
        <f ca="1">IF(Table1[[#This Row],[Status]]="Exited",Table1[[#This Row],[Exit Date]]-Table1[[#This Row],[Join Date]],TODAY()-Table1[[#This Row],[Join Date]])</f>
        <v>579</v>
      </c>
      <c r="V220" t="str">
        <f ca="1">IF(Table1[[#This Row],[Total Tenure in Days]]&lt;=730, "yes","no")</f>
        <v>yes</v>
      </c>
      <c r="W220">
        <f>Table1[[#This Row],[Hire Date]]-Table1[[#This Row],[Job Posting Date]]</f>
        <v>26</v>
      </c>
      <c r="X220" s="4">
        <f>Table1[[#This Row],[Time to Onboard]]/Table1[[#This Row],[Time to Fill]]*100</f>
        <v>15.384615384615385</v>
      </c>
      <c r="Y220" s="5">
        <f>Table1[[#This Row],[Time to Onboard]]/Table1[[#This Row],[Time to Fill]]*100</f>
        <v>15.384615384615385</v>
      </c>
      <c r="Z220">
        <f>Table1[[#This Row],[Join Date]]-Table1[[#This Row],[Job Posting Date]]</f>
        <v>30</v>
      </c>
      <c r="AA220">
        <f t="shared" ca="1" si="16"/>
        <v>153</v>
      </c>
      <c r="AB220" s="5">
        <f>Table1[[#This Row],[Absentee Days]]/Table1[[#This Row],[Total Work Days]]*100</f>
        <v>6.9230769230769234</v>
      </c>
      <c r="AC220">
        <f>YEAR(Table1[[#This Row],[Join Date]])</f>
        <v>2021</v>
      </c>
      <c r="AD220">
        <f>IF(Table1[[#This Row],[Status]]="Active",1,0)</f>
        <v>0</v>
      </c>
      <c r="AE220">
        <f ca="1">IF(Table1[[#This Row],[Status]]="Exited",Table1[[#This Row],[Recruitment Cost]]+Table1[[#This Row],[Onboarding Cost]]+Table1[[#This Row],[Training Cost]],0)</f>
        <v>4981</v>
      </c>
      <c r="AF220">
        <f>IF(Table1[[#This Row],[Training Completion Status]]="Completed",1,0)</f>
        <v>1</v>
      </c>
      <c r="AG220">
        <f t="shared" ca="1" si="17"/>
        <v>5</v>
      </c>
      <c r="AH220">
        <f t="shared" ca="1" si="18"/>
        <v>5</v>
      </c>
      <c r="AI220">
        <f t="shared" ca="1" si="19"/>
        <v>5</v>
      </c>
      <c r="AJ220" t="s">
        <v>317</v>
      </c>
    </row>
    <row r="221" spans="1:36" x14ac:dyDescent="0.2">
      <c r="A221" t="s">
        <v>273</v>
      </c>
      <c r="B221" t="s">
        <v>42</v>
      </c>
      <c r="C221" t="s">
        <v>35</v>
      </c>
      <c r="D221" t="s">
        <v>36</v>
      </c>
      <c r="E221" s="1">
        <v>44911</v>
      </c>
      <c r="F221" s="1">
        <v>44970</v>
      </c>
      <c r="G221" s="1">
        <v>44975</v>
      </c>
      <c r="H221" s="1">
        <v>45432</v>
      </c>
      <c r="I221" t="s">
        <v>57</v>
      </c>
      <c r="J221" s="2">
        <v>2506</v>
      </c>
      <c r="K221" t="s">
        <v>34</v>
      </c>
      <c r="L221" t="s">
        <v>52</v>
      </c>
      <c r="M221">
        <v>260</v>
      </c>
      <c r="N221">
        <v>15</v>
      </c>
      <c r="O221" s="3">
        <v>2367</v>
      </c>
      <c r="P221">
        <f t="shared" ca="1" si="15"/>
        <v>10</v>
      </c>
      <c r="Q221">
        <f ca="1">RANDBETWEEN(0,Table1[[#This Row],[offers made]])</f>
        <v>5</v>
      </c>
      <c r="R221" t="s">
        <v>307</v>
      </c>
      <c r="S221">
        <f>Table1[[#This Row],[Hire Date]]-Table1[[#This Row],[Job Posting Date]]</f>
        <v>59</v>
      </c>
      <c r="T221" s="4">
        <f>Table1[[#This Row],[Join Date]]-Table1[[#This Row],[Hire Date]]</f>
        <v>5</v>
      </c>
      <c r="U221" s="4">
        <f ca="1">IF(Table1[[#This Row],[Status]]="Exited",Table1[[#This Row],[Exit Date]]-Table1[[#This Row],[Join Date]],TODAY()-Table1[[#This Row],[Join Date]])</f>
        <v>457</v>
      </c>
      <c r="V221" t="str">
        <f ca="1">IF(Table1[[#This Row],[Total Tenure in Days]]&lt;=730, "yes","no")</f>
        <v>yes</v>
      </c>
      <c r="W221">
        <f>Table1[[#This Row],[Hire Date]]-Table1[[#This Row],[Job Posting Date]]</f>
        <v>59</v>
      </c>
      <c r="X221" s="4">
        <f>Table1[[#This Row],[Time to Onboard]]/Table1[[#This Row],[Time to Fill]]*100</f>
        <v>8.4745762711864394</v>
      </c>
      <c r="Y221" s="5">
        <f>Table1[[#This Row],[Time to Onboard]]/Table1[[#This Row],[Time to Fill]]*100</f>
        <v>8.4745762711864394</v>
      </c>
      <c r="Z221">
        <f>Table1[[#This Row],[Join Date]]-Table1[[#This Row],[Job Posting Date]]</f>
        <v>64</v>
      </c>
      <c r="AA221">
        <f t="shared" ca="1" si="16"/>
        <v>112</v>
      </c>
      <c r="AB221" s="5">
        <f>Table1[[#This Row],[Absentee Days]]/Table1[[#This Row],[Total Work Days]]*100</f>
        <v>5.7692307692307692</v>
      </c>
      <c r="AC221">
        <f>YEAR(Table1[[#This Row],[Join Date]])</f>
        <v>2023</v>
      </c>
      <c r="AD221">
        <f>IF(Table1[[#This Row],[Status]]="Active",1,0)</f>
        <v>0</v>
      </c>
      <c r="AE221">
        <f ca="1">IF(Table1[[#This Row],[Status]]="Exited",Table1[[#This Row],[Recruitment Cost]]+Table1[[#This Row],[Onboarding Cost]]+Table1[[#This Row],[Training Cost]],0)</f>
        <v>4985</v>
      </c>
      <c r="AF221">
        <f>IF(Table1[[#This Row],[Training Completion Status]]="Completed",1,0)</f>
        <v>1</v>
      </c>
      <c r="AG221">
        <f t="shared" ca="1" si="17"/>
        <v>2</v>
      </c>
      <c r="AH221">
        <f t="shared" ca="1" si="18"/>
        <v>1</v>
      </c>
      <c r="AI221">
        <f t="shared" ca="1" si="19"/>
        <v>5</v>
      </c>
      <c r="AJ221" t="s">
        <v>318</v>
      </c>
    </row>
    <row r="222" spans="1:36" x14ac:dyDescent="0.2">
      <c r="A222" t="s">
        <v>274</v>
      </c>
      <c r="B222" t="s">
        <v>41</v>
      </c>
      <c r="C222" t="s">
        <v>29</v>
      </c>
      <c r="D222" t="s">
        <v>30</v>
      </c>
      <c r="E222" s="1">
        <v>43975</v>
      </c>
      <c r="F222" s="1">
        <v>44013</v>
      </c>
      <c r="G222" s="1">
        <v>44018</v>
      </c>
      <c r="H222" s="1" t="s">
        <v>50</v>
      </c>
      <c r="I222" t="s">
        <v>51</v>
      </c>
      <c r="J222" s="2">
        <v>2049</v>
      </c>
      <c r="K222" t="s">
        <v>28</v>
      </c>
      <c r="L222" t="s">
        <v>52</v>
      </c>
      <c r="M222">
        <v>260</v>
      </c>
      <c r="N222">
        <v>11</v>
      </c>
      <c r="O222" s="3">
        <v>2221</v>
      </c>
      <c r="P222">
        <f t="shared" ca="1" si="15"/>
        <v>7</v>
      </c>
      <c r="Q222">
        <f ca="1">RANDBETWEEN(0,Table1[[#This Row],[offers made]])</f>
        <v>1</v>
      </c>
      <c r="R222" t="s">
        <v>307</v>
      </c>
      <c r="S222">
        <f>Table1[[#This Row],[Hire Date]]-Table1[[#This Row],[Job Posting Date]]</f>
        <v>38</v>
      </c>
      <c r="T222" s="4">
        <f>Table1[[#This Row],[Join Date]]-Table1[[#This Row],[Hire Date]]</f>
        <v>5</v>
      </c>
      <c r="U222" s="4">
        <f ca="1">IF(Table1[[#This Row],[Status]]="Exited",Table1[[#This Row],[Exit Date]]-Table1[[#This Row],[Join Date]],TODAY()-Table1[[#This Row],[Join Date]])</f>
        <v>1643</v>
      </c>
      <c r="V222" t="str">
        <f ca="1">IF(Table1[[#This Row],[Total Tenure in Days]]&lt;=730, "yes","no")</f>
        <v>no</v>
      </c>
      <c r="W222">
        <f>Table1[[#This Row],[Hire Date]]-Table1[[#This Row],[Job Posting Date]]</f>
        <v>38</v>
      </c>
      <c r="X222" s="4">
        <f>Table1[[#This Row],[Time to Onboard]]/Table1[[#This Row],[Time to Fill]]*100</f>
        <v>13.157894736842104</v>
      </c>
      <c r="Y222" s="5">
        <f>Table1[[#This Row],[Time to Onboard]]/Table1[[#This Row],[Time to Fill]]*100</f>
        <v>13.157894736842104</v>
      </c>
      <c r="Z222">
        <f>Table1[[#This Row],[Join Date]]-Table1[[#This Row],[Job Posting Date]]</f>
        <v>43</v>
      </c>
      <c r="AA222">
        <f t="shared" ca="1" si="16"/>
        <v>176</v>
      </c>
      <c r="AB222" s="5">
        <f>Table1[[#This Row],[Absentee Days]]/Table1[[#This Row],[Total Work Days]]*100</f>
        <v>4.2307692307692308</v>
      </c>
      <c r="AC222">
        <f>YEAR(Table1[[#This Row],[Join Date]])</f>
        <v>2020</v>
      </c>
      <c r="AD222">
        <f>IF(Table1[[#This Row],[Status]]="Active",1,0)</f>
        <v>1</v>
      </c>
      <c r="AE222">
        <f>IF(Table1[[#This Row],[Status]]="Exited",Table1[[#This Row],[Recruitment Cost]]+Table1[[#This Row],[Onboarding Cost]]+Table1[[#This Row],[Training Cost]],0)</f>
        <v>0</v>
      </c>
      <c r="AF222">
        <f>IF(Table1[[#This Row],[Training Completion Status]]="Completed",1,0)</f>
        <v>1</v>
      </c>
      <c r="AG222">
        <f t="shared" ca="1" si="17"/>
        <v>3</v>
      </c>
      <c r="AH222">
        <f t="shared" ca="1" si="18"/>
        <v>2</v>
      </c>
      <c r="AI222">
        <f t="shared" ca="1" si="19"/>
        <v>3</v>
      </c>
      <c r="AJ222" t="s">
        <v>318</v>
      </c>
    </row>
    <row r="223" spans="1:36" x14ac:dyDescent="0.2">
      <c r="A223" t="s">
        <v>275</v>
      </c>
      <c r="B223" t="s">
        <v>41</v>
      </c>
      <c r="C223" t="s">
        <v>35</v>
      </c>
      <c r="D223" t="s">
        <v>36</v>
      </c>
      <c r="E223" s="1">
        <v>44040</v>
      </c>
      <c r="F223" s="1">
        <v>44062</v>
      </c>
      <c r="G223" s="1">
        <v>44074</v>
      </c>
      <c r="H223" s="1">
        <v>45577</v>
      </c>
      <c r="I223" t="s">
        <v>57</v>
      </c>
      <c r="J223" s="2">
        <v>2662</v>
      </c>
      <c r="K223" t="s">
        <v>40</v>
      </c>
      <c r="L223" t="s">
        <v>55</v>
      </c>
      <c r="M223">
        <v>260</v>
      </c>
      <c r="N223">
        <v>10</v>
      </c>
      <c r="O223" s="3">
        <v>1478</v>
      </c>
      <c r="P223">
        <f t="shared" ca="1" si="15"/>
        <v>9</v>
      </c>
      <c r="Q223">
        <f ca="1">RANDBETWEEN(0,Table1[[#This Row],[offers made]])</f>
        <v>3</v>
      </c>
      <c r="R223" t="s">
        <v>308</v>
      </c>
      <c r="S223">
        <f>Table1[[#This Row],[Hire Date]]-Table1[[#This Row],[Job Posting Date]]</f>
        <v>22</v>
      </c>
      <c r="T223" s="4">
        <f>Table1[[#This Row],[Join Date]]-Table1[[#This Row],[Hire Date]]</f>
        <v>12</v>
      </c>
      <c r="U223" s="4">
        <f ca="1">IF(Table1[[#This Row],[Status]]="Exited",Table1[[#This Row],[Exit Date]]-Table1[[#This Row],[Join Date]],TODAY()-Table1[[#This Row],[Join Date]])</f>
        <v>1503</v>
      </c>
      <c r="V223" t="str">
        <f ca="1">IF(Table1[[#This Row],[Total Tenure in Days]]&lt;=730, "yes","no")</f>
        <v>no</v>
      </c>
      <c r="W223">
        <f>Table1[[#This Row],[Hire Date]]-Table1[[#This Row],[Job Posting Date]]</f>
        <v>22</v>
      </c>
      <c r="X223" s="4">
        <f>Table1[[#This Row],[Time to Onboard]]/Table1[[#This Row],[Time to Fill]]*100</f>
        <v>54.54545454545454</v>
      </c>
      <c r="Y223" s="5">
        <f>Table1[[#This Row],[Time to Onboard]]/Table1[[#This Row],[Time to Fill]]*100</f>
        <v>54.54545454545454</v>
      </c>
      <c r="Z223">
        <f>Table1[[#This Row],[Join Date]]-Table1[[#This Row],[Job Posting Date]]</f>
        <v>34</v>
      </c>
      <c r="AA223">
        <f t="shared" ca="1" si="16"/>
        <v>131</v>
      </c>
      <c r="AB223" s="5">
        <f>Table1[[#This Row],[Absentee Days]]/Table1[[#This Row],[Total Work Days]]*100</f>
        <v>3.8461538461538463</v>
      </c>
      <c r="AC223">
        <f>YEAR(Table1[[#This Row],[Join Date]])</f>
        <v>2020</v>
      </c>
      <c r="AD223">
        <f>IF(Table1[[#This Row],[Status]]="Active",1,0)</f>
        <v>0</v>
      </c>
      <c r="AE223">
        <f ca="1">IF(Table1[[#This Row],[Status]]="Exited",Table1[[#This Row],[Recruitment Cost]]+Table1[[#This Row],[Onboarding Cost]]+Table1[[#This Row],[Training Cost]],0)</f>
        <v>4271</v>
      </c>
      <c r="AF223">
        <f>IF(Table1[[#This Row],[Training Completion Status]]="Completed",1,0)</f>
        <v>0</v>
      </c>
      <c r="AG223">
        <f t="shared" ca="1" si="17"/>
        <v>1</v>
      </c>
      <c r="AH223">
        <f t="shared" ca="1" si="18"/>
        <v>4</v>
      </c>
      <c r="AI223">
        <f t="shared" ca="1" si="19"/>
        <v>1</v>
      </c>
      <c r="AJ223" t="s">
        <v>318</v>
      </c>
    </row>
    <row r="224" spans="1:36" x14ac:dyDescent="0.2">
      <c r="A224" t="s">
        <v>276</v>
      </c>
      <c r="B224" t="s">
        <v>42</v>
      </c>
      <c r="C224" t="s">
        <v>32</v>
      </c>
      <c r="D224" t="s">
        <v>33</v>
      </c>
      <c r="E224" s="1">
        <v>44188</v>
      </c>
      <c r="F224" s="1">
        <v>44255</v>
      </c>
      <c r="G224" s="1">
        <v>44256</v>
      </c>
      <c r="H224" s="1" t="s">
        <v>50</v>
      </c>
      <c r="I224" t="s">
        <v>51</v>
      </c>
      <c r="J224" s="2">
        <v>4081</v>
      </c>
      <c r="K224" t="s">
        <v>31</v>
      </c>
      <c r="L224" t="s">
        <v>55</v>
      </c>
      <c r="M224">
        <v>260</v>
      </c>
      <c r="N224">
        <v>4</v>
      </c>
      <c r="O224" s="3">
        <v>1215</v>
      </c>
      <c r="P224">
        <f t="shared" ca="1" si="15"/>
        <v>6</v>
      </c>
      <c r="Q224">
        <f ca="1">RANDBETWEEN(0,Table1[[#This Row],[offers made]])</f>
        <v>5</v>
      </c>
      <c r="R224" t="s">
        <v>308</v>
      </c>
      <c r="S224">
        <f>Table1[[#This Row],[Hire Date]]-Table1[[#This Row],[Job Posting Date]]</f>
        <v>67</v>
      </c>
      <c r="T224" s="4">
        <f>Table1[[#This Row],[Join Date]]-Table1[[#This Row],[Hire Date]]</f>
        <v>1</v>
      </c>
      <c r="U224" s="4">
        <f ca="1">IF(Table1[[#This Row],[Status]]="Exited",Table1[[#This Row],[Exit Date]]-Table1[[#This Row],[Join Date]],TODAY()-Table1[[#This Row],[Join Date]])</f>
        <v>1405</v>
      </c>
      <c r="V224" t="str">
        <f ca="1">IF(Table1[[#This Row],[Total Tenure in Days]]&lt;=730, "yes","no")</f>
        <v>no</v>
      </c>
      <c r="W224">
        <f>Table1[[#This Row],[Hire Date]]-Table1[[#This Row],[Job Posting Date]]</f>
        <v>67</v>
      </c>
      <c r="X224" s="4">
        <f>Table1[[#This Row],[Time to Onboard]]/Table1[[#This Row],[Time to Fill]]*100</f>
        <v>1.4925373134328357</v>
      </c>
      <c r="Y224" s="5">
        <f>Table1[[#This Row],[Time to Onboard]]/Table1[[#This Row],[Time to Fill]]*100</f>
        <v>1.4925373134328357</v>
      </c>
      <c r="Z224">
        <f>Table1[[#This Row],[Join Date]]-Table1[[#This Row],[Job Posting Date]]</f>
        <v>68</v>
      </c>
      <c r="AA224">
        <f t="shared" ca="1" si="16"/>
        <v>130</v>
      </c>
      <c r="AB224" s="5">
        <f>Table1[[#This Row],[Absentee Days]]/Table1[[#This Row],[Total Work Days]]*100</f>
        <v>1.5384615384615385</v>
      </c>
      <c r="AC224">
        <f>YEAR(Table1[[#This Row],[Join Date]])</f>
        <v>2021</v>
      </c>
      <c r="AD224">
        <f>IF(Table1[[#This Row],[Status]]="Active",1,0)</f>
        <v>1</v>
      </c>
      <c r="AE224">
        <f>IF(Table1[[#This Row],[Status]]="Exited",Table1[[#This Row],[Recruitment Cost]]+Table1[[#This Row],[Onboarding Cost]]+Table1[[#This Row],[Training Cost]],0)</f>
        <v>0</v>
      </c>
      <c r="AF224">
        <f>IF(Table1[[#This Row],[Training Completion Status]]="Completed",1,0)</f>
        <v>0</v>
      </c>
      <c r="AG224">
        <f t="shared" ca="1" si="17"/>
        <v>3</v>
      </c>
      <c r="AH224">
        <f t="shared" ca="1" si="18"/>
        <v>5</v>
      </c>
      <c r="AI224">
        <f t="shared" ca="1" si="19"/>
        <v>1</v>
      </c>
      <c r="AJ224" t="s">
        <v>317</v>
      </c>
    </row>
    <row r="225" spans="1:36" x14ac:dyDescent="0.2">
      <c r="A225" t="s">
        <v>277</v>
      </c>
      <c r="B225" t="s">
        <v>42</v>
      </c>
      <c r="C225" t="s">
        <v>26</v>
      </c>
      <c r="D225" t="s">
        <v>27</v>
      </c>
      <c r="E225" s="1">
        <v>44395</v>
      </c>
      <c r="F225" s="1">
        <v>44411</v>
      </c>
      <c r="G225" s="1">
        <v>44421</v>
      </c>
      <c r="H225" s="1" t="s">
        <v>50</v>
      </c>
      <c r="I225" t="s">
        <v>51</v>
      </c>
      <c r="J225" s="2">
        <v>4723</v>
      </c>
      <c r="K225" t="s">
        <v>40</v>
      </c>
      <c r="L225" t="s">
        <v>55</v>
      </c>
      <c r="M225">
        <v>260</v>
      </c>
      <c r="N225">
        <v>20</v>
      </c>
      <c r="O225" s="3">
        <v>1516</v>
      </c>
      <c r="P225">
        <f t="shared" ca="1" si="15"/>
        <v>8</v>
      </c>
      <c r="Q225">
        <f ca="1">RANDBETWEEN(0,Table1[[#This Row],[offers made]])</f>
        <v>0</v>
      </c>
      <c r="R225" t="s">
        <v>306</v>
      </c>
      <c r="S225">
        <f>Table1[[#This Row],[Hire Date]]-Table1[[#This Row],[Job Posting Date]]</f>
        <v>16</v>
      </c>
      <c r="T225" s="4">
        <f>Table1[[#This Row],[Join Date]]-Table1[[#This Row],[Hire Date]]</f>
        <v>10</v>
      </c>
      <c r="U225" s="4">
        <f ca="1">IF(Table1[[#This Row],[Status]]="Exited",Table1[[#This Row],[Exit Date]]-Table1[[#This Row],[Join Date]],TODAY()-Table1[[#This Row],[Join Date]])</f>
        <v>1240</v>
      </c>
      <c r="V225" t="str">
        <f ca="1">IF(Table1[[#This Row],[Total Tenure in Days]]&lt;=730, "yes","no")</f>
        <v>no</v>
      </c>
      <c r="W225">
        <f>Table1[[#This Row],[Hire Date]]-Table1[[#This Row],[Job Posting Date]]</f>
        <v>16</v>
      </c>
      <c r="X225" s="4">
        <f>Table1[[#This Row],[Time to Onboard]]/Table1[[#This Row],[Time to Fill]]*100</f>
        <v>62.5</v>
      </c>
      <c r="Y225" s="5">
        <f>Table1[[#This Row],[Time to Onboard]]/Table1[[#This Row],[Time to Fill]]*100</f>
        <v>62.5</v>
      </c>
      <c r="Z225">
        <f>Table1[[#This Row],[Join Date]]-Table1[[#This Row],[Job Posting Date]]</f>
        <v>26</v>
      </c>
      <c r="AA225">
        <f t="shared" ca="1" si="16"/>
        <v>124</v>
      </c>
      <c r="AB225" s="5">
        <f>Table1[[#This Row],[Absentee Days]]/Table1[[#This Row],[Total Work Days]]*100</f>
        <v>7.6923076923076925</v>
      </c>
      <c r="AC225">
        <f>YEAR(Table1[[#This Row],[Join Date]])</f>
        <v>2021</v>
      </c>
      <c r="AD225">
        <f>IF(Table1[[#This Row],[Status]]="Active",1,0)</f>
        <v>1</v>
      </c>
      <c r="AE225">
        <f>IF(Table1[[#This Row],[Status]]="Exited",Table1[[#This Row],[Recruitment Cost]]+Table1[[#This Row],[Onboarding Cost]]+Table1[[#This Row],[Training Cost]],0)</f>
        <v>0</v>
      </c>
      <c r="AF225">
        <f>IF(Table1[[#This Row],[Training Completion Status]]="Completed",1,0)</f>
        <v>0</v>
      </c>
      <c r="AG225">
        <f t="shared" ca="1" si="17"/>
        <v>5</v>
      </c>
      <c r="AH225">
        <f t="shared" ca="1" si="18"/>
        <v>5</v>
      </c>
      <c r="AI225">
        <f t="shared" ca="1" si="19"/>
        <v>3</v>
      </c>
      <c r="AJ225" t="s">
        <v>318</v>
      </c>
    </row>
    <row r="226" spans="1:36" x14ac:dyDescent="0.2">
      <c r="A226" t="s">
        <v>278</v>
      </c>
      <c r="B226" t="s">
        <v>42</v>
      </c>
      <c r="C226" t="s">
        <v>29</v>
      </c>
      <c r="D226" t="s">
        <v>30</v>
      </c>
      <c r="E226" s="1">
        <v>43872</v>
      </c>
      <c r="F226" s="1">
        <v>43921</v>
      </c>
      <c r="G226" s="1">
        <v>43932</v>
      </c>
      <c r="H226" s="1">
        <v>44102</v>
      </c>
      <c r="I226" t="s">
        <v>57</v>
      </c>
      <c r="J226" s="2">
        <v>4448</v>
      </c>
      <c r="K226" t="s">
        <v>28</v>
      </c>
      <c r="L226" t="s">
        <v>52</v>
      </c>
      <c r="M226">
        <v>260</v>
      </c>
      <c r="N226">
        <v>11</v>
      </c>
      <c r="O226" s="3">
        <v>2019</v>
      </c>
      <c r="P226">
        <f t="shared" ca="1" si="15"/>
        <v>8</v>
      </c>
      <c r="Q226">
        <f ca="1">RANDBETWEEN(0,Table1[[#This Row],[offers made]])</f>
        <v>2</v>
      </c>
      <c r="R226" t="s">
        <v>308</v>
      </c>
      <c r="S226">
        <f>Table1[[#This Row],[Hire Date]]-Table1[[#This Row],[Job Posting Date]]</f>
        <v>49</v>
      </c>
      <c r="T226" s="4">
        <f>Table1[[#This Row],[Join Date]]-Table1[[#This Row],[Hire Date]]</f>
        <v>11</v>
      </c>
      <c r="U226" s="4">
        <f ca="1">IF(Table1[[#This Row],[Status]]="Exited",Table1[[#This Row],[Exit Date]]-Table1[[#This Row],[Join Date]],TODAY()-Table1[[#This Row],[Join Date]])</f>
        <v>170</v>
      </c>
      <c r="V226" t="str">
        <f ca="1">IF(Table1[[#This Row],[Total Tenure in Days]]&lt;=730, "yes","no")</f>
        <v>yes</v>
      </c>
      <c r="W226">
        <f>Table1[[#This Row],[Hire Date]]-Table1[[#This Row],[Job Posting Date]]</f>
        <v>49</v>
      </c>
      <c r="X226" s="4">
        <f>Table1[[#This Row],[Time to Onboard]]/Table1[[#This Row],[Time to Fill]]*100</f>
        <v>22.448979591836736</v>
      </c>
      <c r="Y226" s="5">
        <f>Table1[[#This Row],[Time to Onboard]]/Table1[[#This Row],[Time to Fill]]*100</f>
        <v>22.448979591836736</v>
      </c>
      <c r="Z226">
        <f>Table1[[#This Row],[Join Date]]-Table1[[#This Row],[Job Posting Date]]</f>
        <v>60</v>
      </c>
      <c r="AA226">
        <f t="shared" ca="1" si="16"/>
        <v>151</v>
      </c>
      <c r="AB226" s="5">
        <f>Table1[[#This Row],[Absentee Days]]/Table1[[#This Row],[Total Work Days]]*100</f>
        <v>4.2307692307692308</v>
      </c>
      <c r="AC226">
        <f>YEAR(Table1[[#This Row],[Join Date]])</f>
        <v>2020</v>
      </c>
      <c r="AD226">
        <f>IF(Table1[[#This Row],[Status]]="Active",1,0)</f>
        <v>0</v>
      </c>
      <c r="AE226">
        <f ca="1">IF(Table1[[#This Row],[Status]]="Exited",Table1[[#This Row],[Recruitment Cost]]+Table1[[#This Row],[Onboarding Cost]]+Table1[[#This Row],[Training Cost]],0)</f>
        <v>6618</v>
      </c>
      <c r="AF226">
        <f>IF(Table1[[#This Row],[Training Completion Status]]="Completed",1,0)</f>
        <v>1</v>
      </c>
      <c r="AG226">
        <f t="shared" ca="1" si="17"/>
        <v>2</v>
      </c>
      <c r="AH226">
        <f t="shared" ca="1" si="18"/>
        <v>4</v>
      </c>
      <c r="AI226">
        <f t="shared" ca="1" si="19"/>
        <v>3</v>
      </c>
      <c r="AJ226" t="s">
        <v>317</v>
      </c>
    </row>
    <row r="227" spans="1:36" x14ac:dyDescent="0.2">
      <c r="A227" t="s">
        <v>279</v>
      </c>
      <c r="B227" t="s">
        <v>43</v>
      </c>
      <c r="C227" t="s">
        <v>29</v>
      </c>
      <c r="D227" t="s">
        <v>30</v>
      </c>
      <c r="E227" s="1">
        <v>43899</v>
      </c>
      <c r="F227" s="1">
        <v>43988</v>
      </c>
      <c r="G227" s="1">
        <v>43999</v>
      </c>
      <c r="H227" s="1" t="s">
        <v>50</v>
      </c>
      <c r="I227" t="s">
        <v>51</v>
      </c>
      <c r="J227" s="2">
        <v>4236</v>
      </c>
      <c r="K227" t="s">
        <v>40</v>
      </c>
      <c r="L227" t="s">
        <v>55</v>
      </c>
      <c r="M227">
        <v>260</v>
      </c>
      <c r="N227">
        <v>18</v>
      </c>
      <c r="O227" s="3">
        <v>1910</v>
      </c>
      <c r="P227">
        <f t="shared" ca="1" si="15"/>
        <v>7</v>
      </c>
      <c r="Q227">
        <f ca="1">RANDBETWEEN(0,Table1[[#This Row],[offers made]])</f>
        <v>3</v>
      </c>
      <c r="R227" t="s">
        <v>308</v>
      </c>
      <c r="S227">
        <f>Table1[[#This Row],[Hire Date]]-Table1[[#This Row],[Job Posting Date]]</f>
        <v>89</v>
      </c>
      <c r="T227" s="4">
        <f>Table1[[#This Row],[Join Date]]-Table1[[#This Row],[Hire Date]]</f>
        <v>11</v>
      </c>
      <c r="U227" s="4">
        <f ca="1">IF(Table1[[#This Row],[Status]]="Exited",Table1[[#This Row],[Exit Date]]-Table1[[#This Row],[Join Date]],TODAY()-Table1[[#This Row],[Join Date]])</f>
        <v>1662</v>
      </c>
      <c r="V227" t="str">
        <f ca="1">IF(Table1[[#This Row],[Total Tenure in Days]]&lt;=730, "yes","no")</f>
        <v>no</v>
      </c>
      <c r="W227">
        <f>Table1[[#This Row],[Hire Date]]-Table1[[#This Row],[Job Posting Date]]</f>
        <v>89</v>
      </c>
      <c r="X227" s="4">
        <f>Table1[[#This Row],[Time to Onboard]]/Table1[[#This Row],[Time to Fill]]*100</f>
        <v>12.359550561797752</v>
      </c>
      <c r="Y227" s="5">
        <f>Table1[[#This Row],[Time to Onboard]]/Table1[[#This Row],[Time to Fill]]*100</f>
        <v>12.359550561797752</v>
      </c>
      <c r="Z227">
        <f>Table1[[#This Row],[Join Date]]-Table1[[#This Row],[Job Posting Date]]</f>
        <v>100</v>
      </c>
      <c r="AA227">
        <f t="shared" ca="1" si="16"/>
        <v>177</v>
      </c>
      <c r="AB227" s="5">
        <f>Table1[[#This Row],[Absentee Days]]/Table1[[#This Row],[Total Work Days]]*100</f>
        <v>6.9230769230769234</v>
      </c>
      <c r="AC227">
        <f>YEAR(Table1[[#This Row],[Join Date]])</f>
        <v>2020</v>
      </c>
      <c r="AD227">
        <f>IF(Table1[[#This Row],[Status]]="Active",1,0)</f>
        <v>1</v>
      </c>
      <c r="AE227">
        <f>IF(Table1[[#This Row],[Status]]="Exited",Table1[[#This Row],[Recruitment Cost]]+Table1[[#This Row],[Onboarding Cost]]+Table1[[#This Row],[Training Cost]],0)</f>
        <v>0</v>
      </c>
      <c r="AF227">
        <f>IF(Table1[[#This Row],[Training Completion Status]]="Completed",1,0)</f>
        <v>0</v>
      </c>
      <c r="AG227">
        <f t="shared" ca="1" si="17"/>
        <v>4</v>
      </c>
      <c r="AH227">
        <f t="shared" ca="1" si="18"/>
        <v>2</v>
      </c>
      <c r="AI227">
        <f t="shared" ca="1" si="19"/>
        <v>1</v>
      </c>
      <c r="AJ227" t="s">
        <v>317</v>
      </c>
    </row>
    <row r="228" spans="1:36" x14ac:dyDescent="0.2">
      <c r="A228" t="s">
        <v>280</v>
      </c>
      <c r="B228" t="s">
        <v>42</v>
      </c>
      <c r="C228" t="s">
        <v>38</v>
      </c>
      <c r="D228" t="s">
        <v>39</v>
      </c>
      <c r="E228" s="1">
        <v>44318</v>
      </c>
      <c r="F228" s="1">
        <v>44358</v>
      </c>
      <c r="G228" s="1">
        <v>44363</v>
      </c>
      <c r="H228" s="1" t="s">
        <v>50</v>
      </c>
      <c r="I228" t="s">
        <v>51</v>
      </c>
      <c r="J228" s="2">
        <v>4263</v>
      </c>
      <c r="K228" t="s">
        <v>31</v>
      </c>
      <c r="L228" t="s">
        <v>52</v>
      </c>
      <c r="M228">
        <v>260</v>
      </c>
      <c r="N228">
        <v>15</v>
      </c>
      <c r="O228" s="3">
        <v>1938</v>
      </c>
      <c r="P228">
        <f t="shared" ca="1" si="15"/>
        <v>10</v>
      </c>
      <c r="Q228">
        <f ca="1">RANDBETWEEN(0,Table1[[#This Row],[offers made]])</f>
        <v>9</v>
      </c>
      <c r="R228" t="s">
        <v>308</v>
      </c>
      <c r="S228">
        <f>Table1[[#This Row],[Hire Date]]-Table1[[#This Row],[Job Posting Date]]</f>
        <v>40</v>
      </c>
      <c r="T228" s="4">
        <f>Table1[[#This Row],[Join Date]]-Table1[[#This Row],[Hire Date]]</f>
        <v>5</v>
      </c>
      <c r="U228" s="4">
        <f ca="1">IF(Table1[[#This Row],[Status]]="Exited",Table1[[#This Row],[Exit Date]]-Table1[[#This Row],[Join Date]],TODAY()-Table1[[#This Row],[Join Date]])</f>
        <v>1298</v>
      </c>
      <c r="V228" t="str">
        <f ca="1">IF(Table1[[#This Row],[Total Tenure in Days]]&lt;=730, "yes","no")</f>
        <v>no</v>
      </c>
      <c r="W228">
        <f>Table1[[#This Row],[Hire Date]]-Table1[[#This Row],[Job Posting Date]]</f>
        <v>40</v>
      </c>
      <c r="X228" s="4">
        <f>Table1[[#This Row],[Time to Onboard]]/Table1[[#This Row],[Time to Fill]]*100</f>
        <v>12.5</v>
      </c>
      <c r="Y228" s="5">
        <f>Table1[[#This Row],[Time to Onboard]]/Table1[[#This Row],[Time to Fill]]*100</f>
        <v>12.5</v>
      </c>
      <c r="Z228">
        <f>Table1[[#This Row],[Join Date]]-Table1[[#This Row],[Job Posting Date]]</f>
        <v>45</v>
      </c>
      <c r="AA228">
        <f t="shared" ca="1" si="16"/>
        <v>155</v>
      </c>
      <c r="AB228" s="5">
        <f>Table1[[#This Row],[Absentee Days]]/Table1[[#This Row],[Total Work Days]]*100</f>
        <v>5.7692307692307692</v>
      </c>
      <c r="AC228">
        <f>YEAR(Table1[[#This Row],[Join Date]])</f>
        <v>2021</v>
      </c>
      <c r="AD228">
        <f>IF(Table1[[#This Row],[Status]]="Active",1,0)</f>
        <v>1</v>
      </c>
      <c r="AE228">
        <f>IF(Table1[[#This Row],[Status]]="Exited",Table1[[#This Row],[Recruitment Cost]]+Table1[[#This Row],[Onboarding Cost]]+Table1[[#This Row],[Training Cost]],0)</f>
        <v>0</v>
      </c>
      <c r="AF228">
        <f>IF(Table1[[#This Row],[Training Completion Status]]="Completed",1,0)</f>
        <v>1</v>
      </c>
      <c r="AG228">
        <f t="shared" ca="1" si="17"/>
        <v>2</v>
      </c>
      <c r="AH228">
        <f t="shared" ca="1" si="18"/>
        <v>1</v>
      </c>
      <c r="AI228">
        <f t="shared" ca="1" si="19"/>
        <v>2</v>
      </c>
      <c r="AJ228" t="s">
        <v>318</v>
      </c>
    </row>
    <row r="229" spans="1:36" x14ac:dyDescent="0.2">
      <c r="A229" t="s">
        <v>281</v>
      </c>
      <c r="B229" t="s">
        <v>41</v>
      </c>
      <c r="C229" t="s">
        <v>29</v>
      </c>
      <c r="D229" t="s">
        <v>30</v>
      </c>
      <c r="E229" s="1">
        <v>43314</v>
      </c>
      <c r="F229" s="1">
        <v>43361</v>
      </c>
      <c r="G229" s="1">
        <v>43371</v>
      </c>
      <c r="H229" s="1" t="s">
        <v>50</v>
      </c>
      <c r="I229" t="s">
        <v>51</v>
      </c>
      <c r="J229" s="2">
        <v>2229</v>
      </c>
      <c r="K229" t="s">
        <v>40</v>
      </c>
      <c r="L229" t="s">
        <v>52</v>
      </c>
      <c r="M229">
        <v>260</v>
      </c>
      <c r="N229">
        <v>17</v>
      </c>
      <c r="O229" s="3">
        <v>1281</v>
      </c>
      <c r="P229">
        <f t="shared" ca="1" si="15"/>
        <v>10</v>
      </c>
      <c r="Q229">
        <f ca="1">RANDBETWEEN(0,Table1[[#This Row],[offers made]])</f>
        <v>2</v>
      </c>
      <c r="R229" t="s">
        <v>307</v>
      </c>
      <c r="S229">
        <f>Table1[[#This Row],[Hire Date]]-Table1[[#This Row],[Job Posting Date]]</f>
        <v>47</v>
      </c>
      <c r="T229" s="4">
        <f>Table1[[#This Row],[Join Date]]-Table1[[#This Row],[Hire Date]]</f>
        <v>10</v>
      </c>
      <c r="U229" s="4">
        <f ca="1">IF(Table1[[#This Row],[Status]]="Exited",Table1[[#This Row],[Exit Date]]-Table1[[#This Row],[Join Date]],TODAY()-Table1[[#This Row],[Join Date]])</f>
        <v>2290</v>
      </c>
      <c r="V229" t="str">
        <f ca="1">IF(Table1[[#This Row],[Total Tenure in Days]]&lt;=730, "yes","no")</f>
        <v>no</v>
      </c>
      <c r="W229">
        <f>Table1[[#This Row],[Hire Date]]-Table1[[#This Row],[Job Posting Date]]</f>
        <v>47</v>
      </c>
      <c r="X229" s="4">
        <f>Table1[[#This Row],[Time to Onboard]]/Table1[[#This Row],[Time to Fill]]*100</f>
        <v>21.276595744680851</v>
      </c>
      <c r="Y229" s="5">
        <f>Table1[[#This Row],[Time to Onboard]]/Table1[[#This Row],[Time to Fill]]*100</f>
        <v>21.276595744680851</v>
      </c>
      <c r="Z229">
        <f>Table1[[#This Row],[Join Date]]-Table1[[#This Row],[Job Posting Date]]</f>
        <v>57</v>
      </c>
      <c r="AA229">
        <f t="shared" ca="1" si="16"/>
        <v>152</v>
      </c>
      <c r="AB229" s="5">
        <f>Table1[[#This Row],[Absentee Days]]/Table1[[#This Row],[Total Work Days]]*100</f>
        <v>6.5384615384615392</v>
      </c>
      <c r="AC229">
        <f>YEAR(Table1[[#This Row],[Join Date]])</f>
        <v>2018</v>
      </c>
      <c r="AD229">
        <f>IF(Table1[[#This Row],[Status]]="Active",1,0)</f>
        <v>1</v>
      </c>
      <c r="AE229">
        <f>IF(Table1[[#This Row],[Status]]="Exited",Table1[[#This Row],[Recruitment Cost]]+Table1[[#This Row],[Onboarding Cost]]+Table1[[#This Row],[Training Cost]],0)</f>
        <v>0</v>
      </c>
      <c r="AF229">
        <f>IF(Table1[[#This Row],[Training Completion Status]]="Completed",1,0)</f>
        <v>1</v>
      </c>
      <c r="AG229">
        <f t="shared" ca="1" si="17"/>
        <v>2</v>
      </c>
      <c r="AH229">
        <f t="shared" ca="1" si="18"/>
        <v>3</v>
      </c>
      <c r="AI229">
        <f t="shared" ca="1" si="19"/>
        <v>5</v>
      </c>
      <c r="AJ229" t="s">
        <v>318</v>
      </c>
    </row>
    <row r="230" spans="1:36" x14ac:dyDescent="0.2">
      <c r="A230" t="s">
        <v>282</v>
      </c>
      <c r="B230" t="s">
        <v>41</v>
      </c>
      <c r="C230" t="s">
        <v>38</v>
      </c>
      <c r="D230" t="s">
        <v>39</v>
      </c>
      <c r="E230" s="1">
        <v>44482</v>
      </c>
      <c r="F230" s="1">
        <v>44551</v>
      </c>
      <c r="G230" s="1">
        <v>44564</v>
      </c>
      <c r="H230" s="1">
        <v>45116</v>
      </c>
      <c r="I230" t="s">
        <v>57</v>
      </c>
      <c r="J230" s="2">
        <v>3361</v>
      </c>
      <c r="K230" t="s">
        <v>31</v>
      </c>
      <c r="L230" t="s">
        <v>52</v>
      </c>
      <c r="M230">
        <v>260</v>
      </c>
      <c r="N230">
        <v>2</v>
      </c>
      <c r="O230" s="3">
        <v>1378</v>
      </c>
      <c r="P230">
        <f t="shared" ca="1" si="15"/>
        <v>8</v>
      </c>
      <c r="Q230">
        <f ca="1">RANDBETWEEN(0,Table1[[#This Row],[offers made]])</f>
        <v>7</v>
      </c>
      <c r="R230" t="s">
        <v>306</v>
      </c>
      <c r="S230">
        <f>Table1[[#This Row],[Hire Date]]-Table1[[#This Row],[Job Posting Date]]</f>
        <v>69</v>
      </c>
      <c r="T230" s="4">
        <f>Table1[[#This Row],[Join Date]]-Table1[[#This Row],[Hire Date]]</f>
        <v>13</v>
      </c>
      <c r="U230" s="4">
        <f ca="1">IF(Table1[[#This Row],[Status]]="Exited",Table1[[#This Row],[Exit Date]]-Table1[[#This Row],[Join Date]],TODAY()-Table1[[#This Row],[Join Date]])</f>
        <v>552</v>
      </c>
      <c r="V230" t="str">
        <f ca="1">IF(Table1[[#This Row],[Total Tenure in Days]]&lt;=730, "yes","no")</f>
        <v>yes</v>
      </c>
      <c r="W230">
        <f>Table1[[#This Row],[Hire Date]]-Table1[[#This Row],[Job Posting Date]]</f>
        <v>69</v>
      </c>
      <c r="X230" s="4">
        <f>Table1[[#This Row],[Time to Onboard]]/Table1[[#This Row],[Time to Fill]]*100</f>
        <v>18.840579710144929</v>
      </c>
      <c r="Y230" s="5">
        <f>Table1[[#This Row],[Time to Onboard]]/Table1[[#This Row],[Time to Fill]]*100</f>
        <v>18.840579710144929</v>
      </c>
      <c r="Z230">
        <f>Table1[[#This Row],[Join Date]]-Table1[[#This Row],[Job Posting Date]]</f>
        <v>82</v>
      </c>
      <c r="AA230">
        <f t="shared" ca="1" si="16"/>
        <v>198</v>
      </c>
      <c r="AB230" s="5">
        <f>Table1[[#This Row],[Absentee Days]]/Table1[[#This Row],[Total Work Days]]*100</f>
        <v>0.76923076923076927</v>
      </c>
      <c r="AC230">
        <f>YEAR(Table1[[#This Row],[Join Date]])</f>
        <v>2022</v>
      </c>
      <c r="AD230">
        <f>IF(Table1[[#This Row],[Status]]="Active",1,0)</f>
        <v>0</v>
      </c>
      <c r="AE230">
        <f ca="1">IF(Table1[[#This Row],[Status]]="Exited",Table1[[#This Row],[Recruitment Cost]]+Table1[[#This Row],[Onboarding Cost]]+Table1[[#This Row],[Training Cost]],0)</f>
        <v>4937</v>
      </c>
      <c r="AF230">
        <f>IF(Table1[[#This Row],[Training Completion Status]]="Completed",1,0)</f>
        <v>1</v>
      </c>
      <c r="AG230">
        <f t="shared" ca="1" si="17"/>
        <v>3</v>
      </c>
      <c r="AH230">
        <f t="shared" ca="1" si="18"/>
        <v>1</v>
      </c>
      <c r="AI230">
        <f t="shared" ca="1" si="19"/>
        <v>5</v>
      </c>
      <c r="AJ230" t="s">
        <v>318</v>
      </c>
    </row>
    <row r="231" spans="1:36" x14ac:dyDescent="0.2">
      <c r="A231" t="s">
        <v>283</v>
      </c>
      <c r="B231" t="s">
        <v>41</v>
      </c>
      <c r="C231" t="s">
        <v>29</v>
      </c>
      <c r="D231" t="s">
        <v>30</v>
      </c>
      <c r="E231" s="1">
        <v>43586</v>
      </c>
      <c r="F231" s="1">
        <v>43642</v>
      </c>
      <c r="G231" s="1">
        <v>43654</v>
      </c>
      <c r="H231" s="1" t="s">
        <v>50</v>
      </c>
      <c r="I231" t="s">
        <v>51</v>
      </c>
      <c r="J231" s="2">
        <v>3612</v>
      </c>
      <c r="K231" t="s">
        <v>28</v>
      </c>
      <c r="L231" t="s">
        <v>52</v>
      </c>
      <c r="M231">
        <v>260</v>
      </c>
      <c r="N231">
        <v>17</v>
      </c>
      <c r="O231" s="3">
        <v>1431</v>
      </c>
      <c r="P231">
        <f t="shared" ca="1" si="15"/>
        <v>7</v>
      </c>
      <c r="Q231">
        <f ca="1">RANDBETWEEN(0,Table1[[#This Row],[offers made]])</f>
        <v>6</v>
      </c>
      <c r="R231" t="s">
        <v>308</v>
      </c>
      <c r="S231">
        <f>Table1[[#This Row],[Hire Date]]-Table1[[#This Row],[Job Posting Date]]</f>
        <v>56</v>
      </c>
      <c r="T231" s="4">
        <f>Table1[[#This Row],[Join Date]]-Table1[[#This Row],[Hire Date]]</f>
        <v>12</v>
      </c>
      <c r="U231" s="4">
        <f ca="1">IF(Table1[[#This Row],[Status]]="Exited",Table1[[#This Row],[Exit Date]]-Table1[[#This Row],[Join Date]],TODAY()-Table1[[#This Row],[Join Date]])</f>
        <v>2007</v>
      </c>
      <c r="V231" t="str">
        <f ca="1">IF(Table1[[#This Row],[Total Tenure in Days]]&lt;=730, "yes","no")</f>
        <v>no</v>
      </c>
      <c r="W231">
        <f>Table1[[#This Row],[Hire Date]]-Table1[[#This Row],[Job Posting Date]]</f>
        <v>56</v>
      </c>
      <c r="X231" s="4">
        <f>Table1[[#This Row],[Time to Onboard]]/Table1[[#This Row],[Time to Fill]]*100</f>
        <v>21.428571428571427</v>
      </c>
      <c r="Y231" s="5">
        <f>Table1[[#This Row],[Time to Onboard]]/Table1[[#This Row],[Time to Fill]]*100</f>
        <v>21.428571428571427</v>
      </c>
      <c r="Z231">
        <f>Table1[[#This Row],[Join Date]]-Table1[[#This Row],[Job Posting Date]]</f>
        <v>68</v>
      </c>
      <c r="AA231">
        <f t="shared" ca="1" si="16"/>
        <v>145</v>
      </c>
      <c r="AB231" s="5">
        <f>Table1[[#This Row],[Absentee Days]]/Table1[[#This Row],[Total Work Days]]*100</f>
        <v>6.5384615384615392</v>
      </c>
      <c r="AC231">
        <f>YEAR(Table1[[#This Row],[Join Date]])</f>
        <v>2019</v>
      </c>
      <c r="AD231">
        <f>IF(Table1[[#This Row],[Status]]="Active",1,0)</f>
        <v>1</v>
      </c>
      <c r="AE231">
        <f>IF(Table1[[#This Row],[Status]]="Exited",Table1[[#This Row],[Recruitment Cost]]+Table1[[#This Row],[Onboarding Cost]]+Table1[[#This Row],[Training Cost]],0)</f>
        <v>0</v>
      </c>
      <c r="AF231">
        <f>IF(Table1[[#This Row],[Training Completion Status]]="Completed",1,0)</f>
        <v>1</v>
      </c>
      <c r="AG231">
        <f t="shared" ca="1" si="17"/>
        <v>4</v>
      </c>
      <c r="AH231">
        <f t="shared" ca="1" si="18"/>
        <v>1</v>
      </c>
      <c r="AI231">
        <f t="shared" ca="1" si="19"/>
        <v>3</v>
      </c>
      <c r="AJ231" t="s">
        <v>318</v>
      </c>
    </row>
    <row r="232" spans="1:36" x14ac:dyDescent="0.2">
      <c r="A232" t="s">
        <v>284</v>
      </c>
      <c r="B232" t="s">
        <v>42</v>
      </c>
      <c r="C232" t="s">
        <v>26</v>
      </c>
      <c r="D232" t="s">
        <v>27</v>
      </c>
      <c r="E232" s="1">
        <v>43856</v>
      </c>
      <c r="F232" s="1">
        <v>43915</v>
      </c>
      <c r="G232" s="1">
        <v>43930</v>
      </c>
      <c r="H232" s="1">
        <v>44624</v>
      </c>
      <c r="I232" t="s">
        <v>57</v>
      </c>
      <c r="J232" s="2">
        <v>1705</v>
      </c>
      <c r="K232" t="s">
        <v>31</v>
      </c>
      <c r="L232" t="s">
        <v>55</v>
      </c>
      <c r="M232">
        <v>260</v>
      </c>
      <c r="N232">
        <v>4</v>
      </c>
      <c r="O232" s="3">
        <v>2406</v>
      </c>
      <c r="P232">
        <f t="shared" ca="1" si="15"/>
        <v>2</v>
      </c>
      <c r="Q232">
        <f ca="1">RANDBETWEEN(0,Table1[[#This Row],[offers made]])</f>
        <v>1</v>
      </c>
      <c r="R232" t="s">
        <v>307</v>
      </c>
      <c r="S232">
        <f>Table1[[#This Row],[Hire Date]]-Table1[[#This Row],[Job Posting Date]]</f>
        <v>59</v>
      </c>
      <c r="T232" s="4">
        <f>Table1[[#This Row],[Join Date]]-Table1[[#This Row],[Hire Date]]</f>
        <v>15</v>
      </c>
      <c r="U232" s="4">
        <f ca="1">IF(Table1[[#This Row],[Status]]="Exited",Table1[[#This Row],[Exit Date]]-Table1[[#This Row],[Join Date]],TODAY()-Table1[[#This Row],[Join Date]])</f>
        <v>694</v>
      </c>
      <c r="V232" t="str">
        <f ca="1">IF(Table1[[#This Row],[Total Tenure in Days]]&lt;=730, "yes","no")</f>
        <v>yes</v>
      </c>
      <c r="W232">
        <f>Table1[[#This Row],[Hire Date]]-Table1[[#This Row],[Job Posting Date]]</f>
        <v>59</v>
      </c>
      <c r="X232" s="4">
        <f>Table1[[#This Row],[Time to Onboard]]/Table1[[#This Row],[Time to Fill]]*100</f>
        <v>25.423728813559322</v>
      </c>
      <c r="Y232" s="5">
        <f>Table1[[#This Row],[Time to Onboard]]/Table1[[#This Row],[Time to Fill]]*100</f>
        <v>25.423728813559322</v>
      </c>
      <c r="Z232">
        <f>Table1[[#This Row],[Join Date]]-Table1[[#This Row],[Job Posting Date]]</f>
        <v>74</v>
      </c>
      <c r="AA232">
        <f t="shared" ca="1" si="16"/>
        <v>139</v>
      </c>
      <c r="AB232" s="5">
        <f>Table1[[#This Row],[Absentee Days]]/Table1[[#This Row],[Total Work Days]]*100</f>
        <v>1.5384615384615385</v>
      </c>
      <c r="AC232">
        <f>YEAR(Table1[[#This Row],[Join Date]])</f>
        <v>2020</v>
      </c>
      <c r="AD232">
        <f>IF(Table1[[#This Row],[Status]]="Active",1,0)</f>
        <v>0</v>
      </c>
      <c r="AE232">
        <f ca="1">IF(Table1[[#This Row],[Status]]="Exited",Table1[[#This Row],[Recruitment Cost]]+Table1[[#This Row],[Onboarding Cost]]+Table1[[#This Row],[Training Cost]],0)</f>
        <v>4250</v>
      </c>
      <c r="AF232">
        <f>IF(Table1[[#This Row],[Training Completion Status]]="Completed",1,0)</f>
        <v>0</v>
      </c>
      <c r="AG232">
        <f t="shared" ca="1" si="17"/>
        <v>5</v>
      </c>
      <c r="AH232">
        <f t="shared" ca="1" si="18"/>
        <v>1</v>
      </c>
      <c r="AI232">
        <f t="shared" ca="1" si="19"/>
        <v>1</v>
      </c>
      <c r="AJ232" t="s">
        <v>317</v>
      </c>
    </row>
    <row r="233" spans="1:36" x14ac:dyDescent="0.2">
      <c r="A233" t="s">
        <v>285</v>
      </c>
      <c r="B233" t="s">
        <v>43</v>
      </c>
      <c r="C233" t="s">
        <v>29</v>
      </c>
      <c r="D233" t="s">
        <v>30</v>
      </c>
      <c r="E233" s="1">
        <v>44229</v>
      </c>
      <c r="F233" s="1">
        <v>44269</v>
      </c>
      <c r="G233" s="1">
        <v>44274</v>
      </c>
      <c r="H233" s="1">
        <v>44675</v>
      </c>
      <c r="I233" t="s">
        <v>57</v>
      </c>
      <c r="J233" s="2">
        <v>4647</v>
      </c>
      <c r="K233" t="s">
        <v>28</v>
      </c>
      <c r="L233" t="s">
        <v>52</v>
      </c>
      <c r="M233">
        <v>260</v>
      </c>
      <c r="N233">
        <v>18</v>
      </c>
      <c r="O233" s="3">
        <v>2305</v>
      </c>
      <c r="P233">
        <f t="shared" ca="1" si="15"/>
        <v>2</v>
      </c>
      <c r="Q233">
        <f ca="1">RANDBETWEEN(0,Table1[[#This Row],[offers made]])</f>
        <v>1</v>
      </c>
      <c r="R233" t="s">
        <v>308</v>
      </c>
      <c r="S233">
        <f>Table1[[#This Row],[Hire Date]]-Table1[[#This Row],[Job Posting Date]]</f>
        <v>40</v>
      </c>
      <c r="T233" s="4">
        <f>Table1[[#This Row],[Join Date]]-Table1[[#This Row],[Hire Date]]</f>
        <v>5</v>
      </c>
      <c r="U233" s="4">
        <f ca="1">IF(Table1[[#This Row],[Status]]="Exited",Table1[[#This Row],[Exit Date]]-Table1[[#This Row],[Join Date]],TODAY()-Table1[[#This Row],[Join Date]])</f>
        <v>401</v>
      </c>
      <c r="V233" t="str">
        <f ca="1">IF(Table1[[#This Row],[Total Tenure in Days]]&lt;=730, "yes","no")</f>
        <v>yes</v>
      </c>
      <c r="W233">
        <f>Table1[[#This Row],[Hire Date]]-Table1[[#This Row],[Job Posting Date]]</f>
        <v>40</v>
      </c>
      <c r="X233" s="4">
        <f>Table1[[#This Row],[Time to Onboard]]/Table1[[#This Row],[Time to Fill]]*100</f>
        <v>12.5</v>
      </c>
      <c r="Y233" s="5">
        <f>Table1[[#This Row],[Time to Onboard]]/Table1[[#This Row],[Time to Fill]]*100</f>
        <v>12.5</v>
      </c>
      <c r="Z233">
        <f>Table1[[#This Row],[Join Date]]-Table1[[#This Row],[Job Posting Date]]</f>
        <v>45</v>
      </c>
      <c r="AA233">
        <f t="shared" ca="1" si="16"/>
        <v>178</v>
      </c>
      <c r="AB233" s="5">
        <f>Table1[[#This Row],[Absentee Days]]/Table1[[#This Row],[Total Work Days]]*100</f>
        <v>6.9230769230769234</v>
      </c>
      <c r="AC233">
        <f>YEAR(Table1[[#This Row],[Join Date]])</f>
        <v>2021</v>
      </c>
      <c r="AD233">
        <f>IF(Table1[[#This Row],[Status]]="Active",1,0)</f>
        <v>0</v>
      </c>
      <c r="AE233">
        <f ca="1">IF(Table1[[#This Row],[Status]]="Exited",Table1[[#This Row],[Recruitment Cost]]+Table1[[#This Row],[Onboarding Cost]]+Table1[[#This Row],[Training Cost]],0)</f>
        <v>7130</v>
      </c>
      <c r="AF233">
        <f>IF(Table1[[#This Row],[Training Completion Status]]="Completed",1,0)</f>
        <v>1</v>
      </c>
      <c r="AG233">
        <f t="shared" ca="1" si="17"/>
        <v>2</v>
      </c>
      <c r="AH233">
        <f t="shared" ca="1" si="18"/>
        <v>5</v>
      </c>
      <c r="AI233">
        <f t="shared" ca="1" si="19"/>
        <v>3</v>
      </c>
      <c r="AJ233" t="s">
        <v>318</v>
      </c>
    </row>
    <row r="234" spans="1:36" x14ac:dyDescent="0.2">
      <c r="A234" t="s">
        <v>286</v>
      </c>
      <c r="B234" t="s">
        <v>41</v>
      </c>
      <c r="C234" t="s">
        <v>32</v>
      </c>
      <c r="D234" t="s">
        <v>33</v>
      </c>
      <c r="E234" s="1">
        <v>44203</v>
      </c>
      <c r="F234" s="1">
        <v>44229</v>
      </c>
      <c r="G234" s="1">
        <v>44238</v>
      </c>
      <c r="H234" s="1" t="s">
        <v>50</v>
      </c>
      <c r="I234" t="s">
        <v>51</v>
      </c>
      <c r="J234" s="2">
        <v>4268</v>
      </c>
      <c r="K234" t="s">
        <v>40</v>
      </c>
      <c r="L234" t="s">
        <v>55</v>
      </c>
      <c r="M234">
        <v>260</v>
      </c>
      <c r="N234">
        <v>14</v>
      </c>
      <c r="O234" s="3">
        <v>2347</v>
      </c>
      <c r="P234">
        <f t="shared" ca="1" si="15"/>
        <v>10</v>
      </c>
      <c r="Q234">
        <f ca="1">RANDBETWEEN(0,Table1[[#This Row],[offers made]])</f>
        <v>0</v>
      </c>
      <c r="R234" t="s">
        <v>307</v>
      </c>
      <c r="S234">
        <f>Table1[[#This Row],[Hire Date]]-Table1[[#This Row],[Job Posting Date]]</f>
        <v>26</v>
      </c>
      <c r="T234" s="4">
        <f>Table1[[#This Row],[Join Date]]-Table1[[#This Row],[Hire Date]]</f>
        <v>9</v>
      </c>
      <c r="U234" s="4">
        <f ca="1">IF(Table1[[#This Row],[Status]]="Exited",Table1[[#This Row],[Exit Date]]-Table1[[#This Row],[Join Date]],TODAY()-Table1[[#This Row],[Join Date]])</f>
        <v>1423</v>
      </c>
      <c r="V234" t="str">
        <f ca="1">IF(Table1[[#This Row],[Total Tenure in Days]]&lt;=730, "yes","no")</f>
        <v>no</v>
      </c>
      <c r="W234">
        <f>Table1[[#This Row],[Hire Date]]-Table1[[#This Row],[Job Posting Date]]</f>
        <v>26</v>
      </c>
      <c r="X234" s="4">
        <f>Table1[[#This Row],[Time to Onboard]]/Table1[[#This Row],[Time to Fill]]*100</f>
        <v>34.615384615384613</v>
      </c>
      <c r="Y234" s="5">
        <f>Table1[[#This Row],[Time to Onboard]]/Table1[[#This Row],[Time to Fill]]*100</f>
        <v>34.615384615384613</v>
      </c>
      <c r="Z234">
        <f>Table1[[#This Row],[Join Date]]-Table1[[#This Row],[Job Posting Date]]</f>
        <v>35</v>
      </c>
      <c r="AA234">
        <f t="shared" ca="1" si="16"/>
        <v>191</v>
      </c>
      <c r="AB234" s="5">
        <f>Table1[[#This Row],[Absentee Days]]/Table1[[#This Row],[Total Work Days]]*100</f>
        <v>5.384615384615385</v>
      </c>
      <c r="AC234">
        <f>YEAR(Table1[[#This Row],[Join Date]])</f>
        <v>2021</v>
      </c>
      <c r="AD234">
        <f>IF(Table1[[#This Row],[Status]]="Active",1,0)</f>
        <v>1</v>
      </c>
      <c r="AE234">
        <f>IF(Table1[[#This Row],[Status]]="Exited",Table1[[#This Row],[Recruitment Cost]]+Table1[[#This Row],[Onboarding Cost]]+Table1[[#This Row],[Training Cost]],0)</f>
        <v>0</v>
      </c>
      <c r="AF234">
        <f>IF(Table1[[#This Row],[Training Completion Status]]="Completed",1,0)</f>
        <v>0</v>
      </c>
      <c r="AG234">
        <f t="shared" ca="1" si="17"/>
        <v>1</v>
      </c>
      <c r="AH234">
        <f t="shared" ca="1" si="18"/>
        <v>5</v>
      </c>
      <c r="AI234">
        <f t="shared" ca="1" si="19"/>
        <v>4</v>
      </c>
      <c r="AJ234" t="s">
        <v>318</v>
      </c>
    </row>
    <row r="235" spans="1:36" x14ac:dyDescent="0.2">
      <c r="A235" t="s">
        <v>287</v>
      </c>
      <c r="B235" t="s">
        <v>42</v>
      </c>
      <c r="C235" t="s">
        <v>32</v>
      </c>
      <c r="D235" t="s">
        <v>33</v>
      </c>
      <c r="E235" s="1">
        <v>44259</v>
      </c>
      <c r="F235" s="1">
        <v>44340</v>
      </c>
      <c r="G235" s="1">
        <v>44353</v>
      </c>
      <c r="H235" s="1">
        <v>44562</v>
      </c>
      <c r="I235" t="s">
        <v>57</v>
      </c>
      <c r="J235" s="2">
        <v>3682</v>
      </c>
      <c r="K235" t="s">
        <v>34</v>
      </c>
      <c r="L235" t="s">
        <v>52</v>
      </c>
      <c r="M235">
        <v>260</v>
      </c>
      <c r="N235">
        <v>13</v>
      </c>
      <c r="O235" s="3">
        <v>1722</v>
      </c>
      <c r="P235">
        <f t="shared" ca="1" si="15"/>
        <v>4</v>
      </c>
      <c r="Q235">
        <f ca="1">RANDBETWEEN(0,Table1[[#This Row],[offers made]])</f>
        <v>2</v>
      </c>
      <c r="R235" t="s">
        <v>306</v>
      </c>
      <c r="S235">
        <f>Table1[[#This Row],[Hire Date]]-Table1[[#This Row],[Job Posting Date]]</f>
        <v>81</v>
      </c>
      <c r="T235" s="4">
        <f>Table1[[#This Row],[Join Date]]-Table1[[#This Row],[Hire Date]]</f>
        <v>13</v>
      </c>
      <c r="U235" s="4">
        <f ca="1">IF(Table1[[#This Row],[Status]]="Exited",Table1[[#This Row],[Exit Date]]-Table1[[#This Row],[Join Date]],TODAY()-Table1[[#This Row],[Join Date]])</f>
        <v>209</v>
      </c>
      <c r="V235" t="str">
        <f ca="1">IF(Table1[[#This Row],[Total Tenure in Days]]&lt;=730, "yes","no")</f>
        <v>yes</v>
      </c>
      <c r="W235">
        <f>Table1[[#This Row],[Hire Date]]-Table1[[#This Row],[Job Posting Date]]</f>
        <v>81</v>
      </c>
      <c r="X235" s="4">
        <f>Table1[[#This Row],[Time to Onboard]]/Table1[[#This Row],[Time to Fill]]*100</f>
        <v>16.049382716049383</v>
      </c>
      <c r="Y235" s="5">
        <f>Table1[[#This Row],[Time to Onboard]]/Table1[[#This Row],[Time to Fill]]*100</f>
        <v>16.049382716049383</v>
      </c>
      <c r="Z235">
        <f>Table1[[#This Row],[Join Date]]-Table1[[#This Row],[Job Posting Date]]</f>
        <v>94</v>
      </c>
      <c r="AA235">
        <f t="shared" ca="1" si="16"/>
        <v>113</v>
      </c>
      <c r="AB235" s="5">
        <f>Table1[[#This Row],[Absentee Days]]/Table1[[#This Row],[Total Work Days]]*100</f>
        <v>5</v>
      </c>
      <c r="AC235">
        <f>YEAR(Table1[[#This Row],[Join Date]])</f>
        <v>2021</v>
      </c>
      <c r="AD235">
        <f>IF(Table1[[#This Row],[Status]]="Active",1,0)</f>
        <v>0</v>
      </c>
      <c r="AE235">
        <f ca="1">IF(Table1[[#This Row],[Status]]="Exited",Table1[[#This Row],[Recruitment Cost]]+Table1[[#This Row],[Onboarding Cost]]+Table1[[#This Row],[Training Cost]],0)</f>
        <v>5517</v>
      </c>
      <c r="AF235">
        <f>IF(Table1[[#This Row],[Training Completion Status]]="Completed",1,0)</f>
        <v>1</v>
      </c>
      <c r="AG235">
        <f t="shared" ca="1" si="17"/>
        <v>1</v>
      </c>
      <c r="AH235">
        <f t="shared" ca="1" si="18"/>
        <v>3</v>
      </c>
      <c r="AI235">
        <f t="shared" ca="1" si="19"/>
        <v>5</v>
      </c>
      <c r="AJ235" t="s">
        <v>318</v>
      </c>
    </row>
    <row r="236" spans="1:36" x14ac:dyDescent="0.2">
      <c r="A236" t="s">
        <v>288</v>
      </c>
      <c r="B236" t="s">
        <v>41</v>
      </c>
      <c r="C236" t="s">
        <v>35</v>
      </c>
      <c r="D236" t="s">
        <v>36</v>
      </c>
      <c r="E236" s="1">
        <v>43936</v>
      </c>
      <c r="F236" s="1">
        <v>44018</v>
      </c>
      <c r="G236" s="1">
        <v>44025</v>
      </c>
      <c r="H236" s="1" t="s">
        <v>50</v>
      </c>
      <c r="I236" t="s">
        <v>51</v>
      </c>
      <c r="J236" s="2">
        <v>3248</v>
      </c>
      <c r="K236" t="s">
        <v>37</v>
      </c>
      <c r="L236" t="s">
        <v>52</v>
      </c>
      <c r="M236">
        <v>260</v>
      </c>
      <c r="N236">
        <v>2</v>
      </c>
      <c r="O236" s="3">
        <v>2104</v>
      </c>
      <c r="P236">
        <f t="shared" ca="1" si="15"/>
        <v>2</v>
      </c>
      <c r="Q236">
        <f ca="1">RANDBETWEEN(0,Table1[[#This Row],[offers made]])</f>
        <v>2</v>
      </c>
      <c r="R236" t="s">
        <v>306</v>
      </c>
      <c r="S236">
        <f>Table1[[#This Row],[Hire Date]]-Table1[[#This Row],[Job Posting Date]]</f>
        <v>82</v>
      </c>
      <c r="T236" s="4">
        <f>Table1[[#This Row],[Join Date]]-Table1[[#This Row],[Hire Date]]</f>
        <v>7</v>
      </c>
      <c r="U236" s="4">
        <f ca="1">IF(Table1[[#This Row],[Status]]="Exited",Table1[[#This Row],[Exit Date]]-Table1[[#This Row],[Join Date]],TODAY()-Table1[[#This Row],[Join Date]])</f>
        <v>1636</v>
      </c>
      <c r="V236" t="str">
        <f ca="1">IF(Table1[[#This Row],[Total Tenure in Days]]&lt;=730, "yes","no")</f>
        <v>no</v>
      </c>
      <c r="W236">
        <f>Table1[[#This Row],[Hire Date]]-Table1[[#This Row],[Job Posting Date]]</f>
        <v>82</v>
      </c>
      <c r="X236" s="4">
        <f>Table1[[#This Row],[Time to Onboard]]/Table1[[#This Row],[Time to Fill]]*100</f>
        <v>8.536585365853659</v>
      </c>
      <c r="Y236" s="5">
        <f>Table1[[#This Row],[Time to Onboard]]/Table1[[#This Row],[Time to Fill]]*100</f>
        <v>8.536585365853659</v>
      </c>
      <c r="Z236">
        <f>Table1[[#This Row],[Join Date]]-Table1[[#This Row],[Job Posting Date]]</f>
        <v>89</v>
      </c>
      <c r="AA236">
        <f t="shared" ca="1" si="16"/>
        <v>104</v>
      </c>
      <c r="AB236" s="5">
        <f>Table1[[#This Row],[Absentee Days]]/Table1[[#This Row],[Total Work Days]]*100</f>
        <v>0.76923076923076927</v>
      </c>
      <c r="AC236">
        <f>YEAR(Table1[[#This Row],[Join Date]])</f>
        <v>2020</v>
      </c>
      <c r="AD236">
        <f>IF(Table1[[#This Row],[Status]]="Active",1,0)</f>
        <v>1</v>
      </c>
      <c r="AE236">
        <f>IF(Table1[[#This Row],[Status]]="Exited",Table1[[#This Row],[Recruitment Cost]]+Table1[[#This Row],[Onboarding Cost]]+Table1[[#This Row],[Training Cost]],0)</f>
        <v>0</v>
      </c>
      <c r="AF236">
        <f>IF(Table1[[#This Row],[Training Completion Status]]="Completed",1,0)</f>
        <v>1</v>
      </c>
      <c r="AG236">
        <f t="shared" ca="1" si="17"/>
        <v>5</v>
      </c>
      <c r="AH236">
        <f t="shared" ca="1" si="18"/>
        <v>4</v>
      </c>
      <c r="AI236">
        <f t="shared" ca="1" si="19"/>
        <v>3</v>
      </c>
      <c r="AJ236" t="s">
        <v>317</v>
      </c>
    </row>
    <row r="237" spans="1:36" x14ac:dyDescent="0.2">
      <c r="A237" t="s">
        <v>289</v>
      </c>
      <c r="B237" t="s">
        <v>42</v>
      </c>
      <c r="C237" t="s">
        <v>35</v>
      </c>
      <c r="D237" t="s">
        <v>36</v>
      </c>
      <c r="E237" s="1">
        <v>44814</v>
      </c>
      <c r="F237" s="1">
        <v>44876</v>
      </c>
      <c r="G237" s="1">
        <v>44883</v>
      </c>
      <c r="H237" s="1" t="s">
        <v>50</v>
      </c>
      <c r="I237" t="s">
        <v>51</v>
      </c>
      <c r="J237" s="2">
        <v>1922</v>
      </c>
      <c r="K237" t="s">
        <v>28</v>
      </c>
      <c r="L237" t="s">
        <v>52</v>
      </c>
      <c r="M237">
        <v>260</v>
      </c>
      <c r="N237">
        <v>19</v>
      </c>
      <c r="O237" s="3">
        <v>1644</v>
      </c>
      <c r="P237">
        <f t="shared" ca="1" si="15"/>
        <v>9</v>
      </c>
      <c r="Q237">
        <f ca="1">RANDBETWEEN(0,Table1[[#This Row],[offers made]])</f>
        <v>2</v>
      </c>
      <c r="R237" t="s">
        <v>306</v>
      </c>
      <c r="S237">
        <f>Table1[[#This Row],[Hire Date]]-Table1[[#This Row],[Job Posting Date]]</f>
        <v>62</v>
      </c>
      <c r="T237" s="4">
        <f>Table1[[#This Row],[Join Date]]-Table1[[#This Row],[Hire Date]]</f>
        <v>7</v>
      </c>
      <c r="U237" s="4">
        <f ca="1">IF(Table1[[#This Row],[Status]]="Exited",Table1[[#This Row],[Exit Date]]-Table1[[#This Row],[Join Date]],TODAY()-Table1[[#This Row],[Join Date]])</f>
        <v>778</v>
      </c>
      <c r="V237" t="str">
        <f ca="1">IF(Table1[[#This Row],[Total Tenure in Days]]&lt;=730, "yes","no")</f>
        <v>no</v>
      </c>
      <c r="W237">
        <f>Table1[[#This Row],[Hire Date]]-Table1[[#This Row],[Job Posting Date]]</f>
        <v>62</v>
      </c>
      <c r="X237" s="4">
        <f>Table1[[#This Row],[Time to Onboard]]/Table1[[#This Row],[Time to Fill]]*100</f>
        <v>11.29032258064516</v>
      </c>
      <c r="Y237" s="5">
        <f>Table1[[#This Row],[Time to Onboard]]/Table1[[#This Row],[Time to Fill]]*100</f>
        <v>11.29032258064516</v>
      </c>
      <c r="Z237">
        <f>Table1[[#This Row],[Join Date]]-Table1[[#This Row],[Job Posting Date]]</f>
        <v>69</v>
      </c>
      <c r="AA237">
        <f t="shared" ca="1" si="16"/>
        <v>173</v>
      </c>
      <c r="AB237" s="5">
        <f>Table1[[#This Row],[Absentee Days]]/Table1[[#This Row],[Total Work Days]]*100</f>
        <v>7.3076923076923084</v>
      </c>
      <c r="AC237">
        <f>YEAR(Table1[[#This Row],[Join Date]])</f>
        <v>2022</v>
      </c>
      <c r="AD237">
        <f>IF(Table1[[#This Row],[Status]]="Active",1,0)</f>
        <v>1</v>
      </c>
      <c r="AE237">
        <f>IF(Table1[[#This Row],[Status]]="Exited",Table1[[#This Row],[Recruitment Cost]]+Table1[[#This Row],[Onboarding Cost]]+Table1[[#This Row],[Training Cost]],0)</f>
        <v>0</v>
      </c>
      <c r="AF237">
        <f>IF(Table1[[#This Row],[Training Completion Status]]="Completed",1,0)</f>
        <v>1</v>
      </c>
      <c r="AG237">
        <f t="shared" ca="1" si="17"/>
        <v>1</v>
      </c>
      <c r="AH237">
        <f t="shared" ca="1" si="18"/>
        <v>1</v>
      </c>
      <c r="AI237">
        <f t="shared" ca="1" si="19"/>
        <v>5</v>
      </c>
      <c r="AJ237" t="s">
        <v>318</v>
      </c>
    </row>
    <row r="238" spans="1:36" x14ac:dyDescent="0.2">
      <c r="A238" t="s">
        <v>290</v>
      </c>
      <c r="B238" t="s">
        <v>42</v>
      </c>
      <c r="C238" t="s">
        <v>35</v>
      </c>
      <c r="D238" t="s">
        <v>36</v>
      </c>
      <c r="E238" s="1">
        <v>43116</v>
      </c>
      <c r="F238" s="1">
        <v>43151</v>
      </c>
      <c r="G238" s="1">
        <v>43160</v>
      </c>
      <c r="H238" s="1">
        <v>43430</v>
      </c>
      <c r="I238" t="s">
        <v>57</v>
      </c>
      <c r="J238" s="2">
        <v>2033</v>
      </c>
      <c r="K238" t="s">
        <v>37</v>
      </c>
      <c r="L238" t="s">
        <v>52</v>
      </c>
      <c r="M238">
        <v>260</v>
      </c>
      <c r="N238">
        <v>3</v>
      </c>
      <c r="O238" s="3">
        <v>2137</v>
      </c>
      <c r="P238">
        <f t="shared" ca="1" si="15"/>
        <v>3</v>
      </c>
      <c r="Q238">
        <f ca="1">RANDBETWEEN(0,Table1[[#This Row],[offers made]])</f>
        <v>1</v>
      </c>
      <c r="R238" t="s">
        <v>306</v>
      </c>
      <c r="S238">
        <f>Table1[[#This Row],[Hire Date]]-Table1[[#This Row],[Job Posting Date]]</f>
        <v>35</v>
      </c>
      <c r="T238" s="4">
        <f>Table1[[#This Row],[Join Date]]-Table1[[#This Row],[Hire Date]]</f>
        <v>9</v>
      </c>
      <c r="U238" s="4">
        <f ca="1">IF(Table1[[#This Row],[Status]]="Exited",Table1[[#This Row],[Exit Date]]-Table1[[#This Row],[Join Date]],TODAY()-Table1[[#This Row],[Join Date]])</f>
        <v>270</v>
      </c>
      <c r="V238" t="str">
        <f ca="1">IF(Table1[[#This Row],[Total Tenure in Days]]&lt;=730, "yes","no")</f>
        <v>yes</v>
      </c>
      <c r="W238">
        <f>Table1[[#This Row],[Hire Date]]-Table1[[#This Row],[Job Posting Date]]</f>
        <v>35</v>
      </c>
      <c r="X238" s="4">
        <f>Table1[[#This Row],[Time to Onboard]]/Table1[[#This Row],[Time to Fill]]*100</f>
        <v>25.714285714285712</v>
      </c>
      <c r="Y238" s="5">
        <f>Table1[[#This Row],[Time to Onboard]]/Table1[[#This Row],[Time to Fill]]*100</f>
        <v>25.714285714285712</v>
      </c>
      <c r="Z238">
        <f>Table1[[#This Row],[Join Date]]-Table1[[#This Row],[Job Posting Date]]</f>
        <v>44</v>
      </c>
      <c r="AA238">
        <f t="shared" ca="1" si="16"/>
        <v>123</v>
      </c>
      <c r="AB238" s="5">
        <f>Table1[[#This Row],[Absentee Days]]/Table1[[#This Row],[Total Work Days]]*100</f>
        <v>1.153846153846154</v>
      </c>
      <c r="AC238">
        <f>YEAR(Table1[[#This Row],[Join Date]])</f>
        <v>2018</v>
      </c>
      <c r="AD238">
        <f>IF(Table1[[#This Row],[Status]]="Active",1,0)</f>
        <v>0</v>
      </c>
      <c r="AE238">
        <f ca="1">IF(Table1[[#This Row],[Status]]="Exited",Table1[[#This Row],[Recruitment Cost]]+Table1[[#This Row],[Onboarding Cost]]+Table1[[#This Row],[Training Cost]],0)</f>
        <v>4293</v>
      </c>
      <c r="AF238">
        <f>IF(Table1[[#This Row],[Training Completion Status]]="Completed",1,0)</f>
        <v>1</v>
      </c>
      <c r="AG238">
        <f t="shared" ca="1" si="17"/>
        <v>5</v>
      </c>
      <c r="AH238">
        <f t="shared" ca="1" si="18"/>
        <v>5</v>
      </c>
      <c r="AI238">
        <f t="shared" ca="1" si="19"/>
        <v>5</v>
      </c>
      <c r="AJ238" t="s">
        <v>317</v>
      </c>
    </row>
    <row r="239" spans="1:36" x14ac:dyDescent="0.2">
      <c r="A239" t="s">
        <v>291</v>
      </c>
      <c r="B239" t="s">
        <v>42</v>
      </c>
      <c r="C239" t="s">
        <v>29</v>
      </c>
      <c r="D239" t="s">
        <v>30</v>
      </c>
      <c r="E239" s="1">
        <v>43253</v>
      </c>
      <c r="F239" s="1">
        <v>43319</v>
      </c>
      <c r="G239" s="1">
        <v>43329</v>
      </c>
      <c r="H239" s="1" t="s">
        <v>50</v>
      </c>
      <c r="I239" t="s">
        <v>51</v>
      </c>
      <c r="J239" s="2">
        <v>4529</v>
      </c>
      <c r="K239" t="s">
        <v>37</v>
      </c>
      <c r="L239" t="s">
        <v>52</v>
      </c>
      <c r="M239">
        <v>260</v>
      </c>
      <c r="N239">
        <v>18</v>
      </c>
      <c r="O239" s="3">
        <v>1481</v>
      </c>
      <c r="P239">
        <f t="shared" ca="1" si="15"/>
        <v>2</v>
      </c>
      <c r="Q239">
        <f ca="1">RANDBETWEEN(0,Table1[[#This Row],[offers made]])</f>
        <v>1</v>
      </c>
      <c r="R239" t="s">
        <v>308</v>
      </c>
      <c r="S239">
        <f>Table1[[#This Row],[Hire Date]]-Table1[[#This Row],[Job Posting Date]]</f>
        <v>66</v>
      </c>
      <c r="T239" s="4">
        <f>Table1[[#This Row],[Join Date]]-Table1[[#This Row],[Hire Date]]</f>
        <v>10</v>
      </c>
      <c r="U239" s="4">
        <f ca="1">IF(Table1[[#This Row],[Status]]="Exited",Table1[[#This Row],[Exit Date]]-Table1[[#This Row],[Join Date]],TODAY()-Table1[[#This Row],[Join Date]])</f>
        <v>2332</v>
      </c>
      <c r="V239" t="str">
        <f ca="1">IF(Table1[[#This Row],[Total Tenure in Days]]&lt;=730, "yes","no")</f>
        <v>no</v>
      </c>
      <c r="W239">
        <f>Table1[[#This Row],[Hire Date]]-Table1[[#This Row],[Job Posting Date]]</f>
        <v>66</v>
      </c>
      <c r="X239" s="4">
        <f>Table1[[#This Row],[Time to Onboard]]/Table1[[#This Row],[Time to Fill]]*100</f>
        <v>15.151515151515152</v>
      </c>
      <c r="Y239" s="5">
        <f>Table1[[#This Row],[Time to Onboard]]/Table1[[#This Row],[Time to Fill]]*100</f>
        <v>15.151515151515152</v>
      </c>
      <c r="Z239">
        <f>Table1[[#This Row],[Join Date]]-Table1[[#This Row],[Job Posting Date]]</f>
        <v>76</v>
      </c>
      <c r="AA239">
        <f t="shared" ca="1" si="16"/>
        <v>135</v>
      </c>
      <c r="AB239" s="5">
        <f>Table1[[#This Row],[Absentee Days]]/Table1[[#This Row],[Total Work Days]]*100</f>
        <v>6.9230769230769234</v>
      </c>
      <c r="AC239">
        <f>YEAR(Table1[[#This Row],[Join Date]])</f>
        <v>2018</v>
      </c>
      <c r="AD239">
        <f>IF(Table1[[#This Row],[Status]]="Active",1,0)</f>
        <v>1</v>
      </c>
      <c r="AE239">
        <f>IF(Table1[[#This Row],[Status]]="Exited",Table1[[#This Row],[Recruitment Cost]]+Table1[[#This Row],[Onboarding Cost]]+Table1[[#This Row],[Training Cost]],0)</f>
        <v>0</v>
      </c>
      <c r="AF239">
        <f>IF(Table1[[#This Row],[Training Completion Status]]="Completed",1,0)</f>
        <v>1</v>
      </c>
      <c r="AG239">
        <f t="shared" ca="1" si="17"/>
        <v>2</v>
      </c>
      <c r="AH239">
        <f t="shared" ca="1" si="18"/>
        <v>3</v>
      </c>
      <c r="AI239">
        <f t="shared" ca="1" si="19"/>
        <v>2</v>
      </c>
      <c r="AJ239" t="s">
        <v>317</v>
      </c>
    </row>
    <row r="240" spans="1:36" x14ac:dyDescent="0.2">
      <c r="A240" t="s">
        <v>292</v>
      </c>
      <c r="B240" t="s">
        <v>42</v>
      </c>
      <c r="C240" t="s">
        <v>29</v>
      </c>
      <c r="D240" t="s">
        <v>30</v>
      </c>
      <c r="E240" s="1">
        <v>43260</v>
      </c>
      <c r="F240" s="1">
        <v>43286</v>
      </c>
      <c r="G240" s="1">
        <v>43293</v>
      </c>
      <c r="H240" s="1" t="s">
        <v>50</v>
      </c>
      <c r="I240" t="s">
        <v>51</v>
      </c>
      <c r="J240" s="2">
        <v>3396</v>
      </c>
      <c r="K240" t="s">
        <v>40</v>
      </c>
      <c r="L240" t="s">
        <v>52</v>
      </c>
      <c r="M240">
        <v>260</v>
      </c>
      <c r="N240">
        <v>13</v>
      </c>
      <c r="O240" s="3">
        <v>2375</v>
      </c>
      <c r="P240">
        <f t="shared" ca="1" si="15"/>
        <v>10</v>
      </c>
      <c r="Q240">
        <f ca="1">RANDBETWEEN(0,Table1[[#This Row],[offers made]])</f>
        <v>0</v>
      </c>
      <c r="R240" t="s">
        <v>308</v>
      </c>
      <c r="S240">
        <f>Table1[[#This Row],[Hire Date]]-Table1[[#This Row],[Job Posting Date]]</f>
        <v>26</v>
      </c>
      <c r="T240" s="4">
        <f>Table1[[#This Row],[Join Date]]-Table1[[#This Row],[Hire Date]]</f>
        <v>7</v>
      </c>
      <c r="U240" s="4">
        <f ca="1">IF(Table1[[#This Row],[Status]]="Exited",Table1[[#This Row],[Exit Date]]-Table1[[#This Row],[Join Date]],TODAY()-Table1[[#This Row],[Join Date]])</f>
        <v>2368</v>
      </c>
      <c r="V240" t="str">
        <f ca="1">IF(Table1[[#This Row],[Total Tenure in Days]]&lt;=730, "yes","no")</f>
        <v>no</v>
      </c>
      <c r="W240">
        <f>Table1[[#This Row],[Hire Date]]-Table1[[#This Row],[Job Posting Date]]</f>
        <v>26</v>
      </c>
      <c r="X240" s="4">
        <f>Table1[[#This Row],[Time to Onboard]]/Table1[[#This Row],[Time to Fill]]*100</f>
        <v>26.923076923076923</v>
      </c>
      <c r="Y240" s="5">
        <f>Table1[[#This Row],[Time to Onboard]]/Table1[[#This Row],[Time to Fill]]*100</f>
        <v>26.923076923076923</v>
      </c>
      <c r="Z240">
        <f>Table1[[#This Row],[Join Date]]-Table1[[#This Row],[Job Posting Date]]</f>
        <v>33</v>
      </c>
      <c r="AA240">
        <f t="shared" ca="1" si="16"/>
        <v>146</v>
      </c>
      <c r="AB240" s="5">
        <f>Table1[[#This Row],[Absentee Days]]/Table1[[#This Row],[Total Work Days]]*100</f>
        <v>5</v>
      </c>
      <c r="AC240">
        <f>YEAR(Table1[[#This Row],[Join Date]])</f>
        <v>2018</v>
      </c>
      <c r="AD240">
        <f>IF(Table1[[#This Row],[Status]]="Active",1,0)</f>
        <v>1</v>
      </c>
      <c r="AE240">
        <f>IF(Table1[[#This Row],[Status]]="Exited",Table1[[#This Row],[Recruitment Cost]]+Table1[[#This Row],[Onboarding Cost]]+Table1[[#This Row],[Training Cost]],0)</f>
        <v>0</v>
      </c>
      <c r="AF240">
        <f>IF(Table1[[#This Row],[Training Completion Status]]="Completed",1,0)</f>
        <v>1</v>
      </c>
      <c r="AG240">
        <f t="shared" ca="1" si="17"/>
        <v>1</v>
      </c>
      <c r="AH240">
        <f t="shared" ca="1" si="18"/>
        <v>3</v>
      </c>
      <c r="AI240">
        <f t="shared" ca="1" si="19"/>
        <v>1</v>
      </c>
      <c r="AJ240" t="s">
        <v>318</v>
      </c>
    </row>
    <row r="241" spans="1:36" x14ac:dyDescent="0.2">
      <c r="A241" t="s">
        <v>293</v>
      </c>
      <c r="B241" t="s">
        <v>41</v>
      </c>
      <c r="C241" t="s">
        <v>26</v>
      </c>
      <c r="D241" t="s">
        <v>27</v>
      </c>
      <c r="E241" s="1">
        <v>44816</v>
      </c>
      <c r="F241" s="1">
        <v>44834</v>
      </c>
      <c r="G241" s="1">
        <v>44849</v>
      </c>
      <c r="H241" s="1" t="s">
        <v>50</v>
      </c>
      <c r="I241" t="s">
        <v>51</v>
      </c>
      <c r="J241" s="2">
        <v>4673</v>
      </c>
      <c r="K241" t="s">
        <v>40</v>
      </c>
      <c r="L241" t="s">
        <v>55</v>
      </c>
      <c r="M241">
        <v>260</v>
      </c>
      <c r="N241">
        <v>14</v>
      </c>
      <c r="O241" s="3">
        <v>1681</v>
      </c>
      <c r="P241">
        <f t="shared" ca="1" si="15"/>
        <v>10</v>
      </c>
      <c r="Q241">
        <f ca="1">RANDBETWEEN(0,Table1[[#This Row],[offers made]])</f>
        <v>9</v>
      </c>
      <c r="R241" t="s">
        <v>307</v>
      </c>
      <c r="S241">
        <f>Table1[[#This Row],[Hire Date]]-Table1[[#This Row],[Job Posting Date]]</f>
        <v>18</v>
      </c>
      <c r="T241" s="4">
        <f>Table1[[#This Row],[Join Date]]-Table1[[#This Row],[Hire Date]]</f>
        <v>15</v>
      </c>
      <c r="U241" s="4">
        <f ca="1">IF(Table1[[#This Row],[Status]]="Exited",Table1[[#This Row],[Exit Date]]-Table1[[#This Row],[Join Date]],TODAY()-Table1[[#This Row],[Join Date]])</f>
        <v>812</v>
      </c>
      <c r="V241" t="str">
        <f ca="1">IF(Table1[[#This Row],[Total Tenure in Days]]&lt;=730, "yes","no")</f>
        <v>no</v>
      </c>
      <c r="W241">
        <f>Table1[[#This Row],[Hire Date]]-Table1[[#This Row],[Job Posting Date]]</f>
        <v>18</v>
      </c>
      <c r="X241" s="4">
        <f>Table1[[#This Row],[Time to Onboard]]/Table1[[#This Row],[Time to Fill]]*100</f>
        <v>83.333333333333343</v>
      </c>
      <c r="Y241" s="5">
        <f>Table1[[#This Row],[Time to Onboard]]/Table1[[#This Row],[Time to Fill]]*100</f>
        <v>83.333333333333343</v>
      </c>
      <c r="Z241">
        <f>Table1[[#This Row],[Join Date]]-Table1[[#This Row],[Job Posting Date]]</f>
        <v>33</v>
      </c>
      <c r="AA241">
        <f t="shared" ca="1" si="16"/>
        <v>181</v>
      </c>
      <c r="AB241" s="5">
        <f>Table1[[#This Row],[Absentee Days]]/Table1[[#This Row],[Total Work Days]]*100</f>
        <v>5.384615384615385</v>
      </c>
      <c r="AC241">
        <f>YEAR(Table1[[#This Row],[Join Date]])</f>
        <v>2022</v>
      </c>
      <c r="AD241">
        <f>IF(Table1[[#This Row],[Status]]="Active",1,0)</f>
        <v>1</v>
      </c>
      <c r="AE241">
        <f>IF(Table1[[#This Row],[Status]]="Exited",Table1[[#This Row],[Recruitment Cost]]+Table1[[#This Row],[Onboarding Cost]]+Table1[[#This Row],[Training Cost]],0)</f>
        <v>0</v>
      </c>
      <c r="AF241">
        <f>IF(Table1[[#This Row],[Training Completion Status]]="Completed",1,0)</f>
        <v>0</v>
      </c>
      <c r="AG241">
        <f t="shared" ca="1" si="17"/>
        <v>2</v>
      </c>
      <c r="AH241">
        <f t="shared" ca="1" si="18"/>
        <v>5</v>
      </c>
      <c r="AI241">
        <f t="shared" ca="1" si="19"/>
        <v>2</v>
      </c>
      <c r="AJ241" t="s">
        <v>318</v>
      </c>
    </row>
    <row r="242" spans="1:36" x14ac:dyDescent="0.2">
      <c r="A242" t="s">
        <v>294</v>
      </c>
      <c r="B242" t="s">
        <v>43</v>
      </c>
      <c r="C242" t="s">
        <v>26</v>
      </c>
      <c r="D242" t="s">
        <v>27</v>
      </c>
      <c r="E242" s="1">
        <v>43283</v>
      </c>
      <c r="F242" s="1">
        <v>43339</v>
      </c>
      <c r="G242" s="1">
        <v>43345</v>
      </c>
      <c r="H242" s="1" t="s">
        <v>50</v>
      </c>
      <c r="I242" t="s">
        <v>51</v>
      </c>
      <c r="J242" s="2">
        <v>1775</v>
      </c>
      <c r="K242" t="s">
        <v>34</v>
      </c>
      <c r="L242" t="s">
        <v>52</v>
      </c>
      <c r="M242">
        <v>260</v>
      </c>
      <c r="N242">
        <v>4</v>
      </c>
      <c r="O242" s="3">
        <v>1593</v>
      </c>
      <c r="P242">
        <f t="shared" ca="1" si="15"/>
        <v>3</v>
      </c>
      <c r="Q242">
        <f ca="1">RANDBETWEEN(0,Table1[[#This Row],[offers made]])</f>
        <v>2</v>
      </c>
      <c r="R242" t="s">
        <v>307</v>
      </c>
      <c r="S242">
        <f>Table1[[#This Row],[Hire Date]]-Table1[[#This Row],[Job Posting Date]]</f>
        <v>56</v>
      </c>
      <c r="T242" s="4">
        <f>Table1[[#This Row],[Join Date]]-Table1[[#This Row],[Hire Date]]</f>
        <v>6</v>
      </c>
      <c r="U242" s="4">
        <f ca="1">IF(Table1[[#This Row],[Status]]="Exited",Table1[[#This Row],[Exit Date]]-Table1[[#This Row],[Join Date]],TODAY()-Table1[[#This Row],[Join Date]])</f>
        <v>2316</v>
      </c>
      <c r="V242" t="str">
        <f ca="1">IF(Table1[[#This Row],[Total Tenure in Days]]&lt;=730, "yes","no")</f>
        <v>no</v>
      </c>
      <c r="W242">
        <f>Table1[[#This Row],[Hire Date]]-Table1[[#This Row],[Job Posting Date]]</f>
        <v>56</v>
      </c>
      <c r="X242" s="4">
        <f>Table1[[#This Row],[Time to Onboard]]/Table1[[#This Row],[Time to Fill]]*100</f>
        <v>10.714285714285714</v>
      </c>
      <c r="Y242" s="5">
        <f>Table1[[#This Row],[Time to Onboard]]/Table1[[#This Row],[Time to Fill]]*100</f>
        <v>10.714285714285714</v>
      </c>
      <c r="Z242">
        <f>Table1[[#This Row],[Join Date]]-Table1[[#This Row],[Job Posting Date]]</f>
        <v>62</v>
      </c>
      <c r="AA242">
        <f t="shared" ca="1" si="16"/>
        <v>123</v>
      </c>
      <c r="AB242" s="5">
        <f>Table1[[#This Row],[Absentee Days]]/Table1[[#This Row],[Total Work Days]]*100</f>
        <v>1.5384615384615385</v>
      </c>
      <c r="AC242">
        <f>YEAR(Table1[[#This Row],[Join Date]])</f>
        <v>2018</v>
      </c>
      <c r="AD242">
        <f>IF(Table1[[#This Row],[Status]]="Active",1,0)</f>
        <v>1</v>
      </c>
      <c r="AE242">
        <f>IF(Table1[[#This Row],[Status]]="Exited",Table1[[#This Row],[Recruitment Cost]]+Table1[[#This Row],[Onboarding Cost]]+Table1[[#This Row],[Training Cost]],0)</f>
        <v>0</v>
      </c>
      <c r="AF242">
        <f>IF(Table1[[#This Row],[Training Completion Status]]="Completed",1,0)</f>
        <v>1</v>
      </c>
      <c r="AG242">
        <f t="shared" ca="1" si="17"/>
        <v>3</v>
      </c>
      <c r="AH242">
        <f t="shared" ca="1" si="18"/>
        <v>3</v>
      </c>
      <c r="AI242">
        <f t="shared" ca="1" si="19"/>
        <v>3</v>
      </c>
      <c r="AJ242" t="s">
        <v>317</v>
      </c>
    </row>
    <row r="243" spans="1:36" x14ac:dyDescent="0.2">
      <c r="A243" t="s">
        <v>295</v>
      </c>
      <c r="B243" t="s">
        <v>42</v>
      </c>
      <c r="C243" t="s">
        <v>26</v>
      </c>
      <c r="D243" t="s">
        <v>27</v>
      </c>
      <c r="E243" s="1">
        <v>43428</v>
      </c>
      <c r="F243" s="1">
        <v>43472</v>
      </c>
      <c r="G243" s="1">
        <v>43475</v>
      </c>
      <c r="H243" s="1" t="s">
        <v>50</v>
      </c>
      <c r="I243" t="s">
        <v>51</v>
      </c>
      <c r="J243" s="2">
        <v>4109</v>
      </c>
      <c r="K243" t="s">
        <v>28</v>
      </c>
      <c r="L243" t="s">
        <v>55</v>
      </c>
      <c r="M243">
        <v>260</v>
      </c>
      <c r="N243">
        <v>14</v>
      </c>
      <c r="O243" s="3">
        <v>1303</v>
      </c>
      <c r="P243">
        <f t="shared" ca="1" si="15"/>
        <v>3</v>
      </c>
      <c r="Q243">
        <f ca="1">RANDBETWEEN(0,Table1[[#This Row],[offers made]])</f>
        <v>0</v>
      </c>
      <c r="R243" t="s">
        <v>307</v>
      </c>
      <c r="S243">
        <f>Table1[[#This Row],[Hire Date]]-Table1[[#This Row],[Job Posting Date]]</f>
        <v>44</v>
      </c>
      <c r="T243" s="4">
        <f>Table1[[#This Row],[Join Date]]-Table1[[#This Row],[Hire Date]]</f>
        <v>3</v>
      </c>
      <c r="U243" s="4">
        <f ca="1">IF(Table1[[#This Row],[Status]]="Exited",Table1[[#This Row],[Exit Date]]-Table1[[#This Row],[Join Date]],TODAY()-Table1[[#This Row],[Join Date]])</f>
        <v>2186</v>
      </c>
      <c r="V243" t="str">
        <f ca="1">IF(Table1[[#This Row],[Total Tenure in Days]]&lt;=730, "yes","no")</f>
        <v>no</v>
      </c>
      <c r="W243">
        <f>Table1[[#This Row],[Hire Date]]-Table1[[#This Row],[Job Posting Date]]</f>
        <v>44</v>
      </c>
      <c r="X243" s="4">
        <f>Table1[[#This Row],[Time to Onboard]]/Table1[[#This Row],[Time to Fill]]*100</f>
        <v>6.8181818181818175</v>
      </c>
      <c r="Y243" s="5">
        <f>Table1[[#This Row],[Time to Onboard]]/Table1[[#This Row],[Time to Fill]]*100</f>
        <v>6.8181818181818175</v>
      </c>
      <c r="Z243">
        <f>Table1[[#This Row],[Join Date]]-Table1[[#This Row],[Job Posting Date]]</f>
        <v>47</v>
      </c>
      <c r="AA243">
        <f t="shared" ca="1" si="16"/>
        <v>103</v>
      </c>
      <c r="AB243" s="5">
        <f>Table1[[#This Row],[Absentee Days]]/Table1[[#This Row],[Total Work Days]]*100</f>
        <v>5.384615384615385</v>
      </c>
      <c r="AC243">
        <f>YEAR(Table1[[#This Row],[Join Date]])</f>
        <v>2019</v>
      </c>
      <c r="AD243">
        <f>IF(Table1[[#This Row],[Status]]="Active",1,0)</f>
        <v>1</v>
      </c>
      <c r="AE243">
        <f>IF(Table1[[#This Row],[Status]]="Exited",Table1[[#This Row],[Recruitment Cost]]+Table1[[#This Row],[Onboarding Cost]]+Table1[[#This Row],[Training Cost]],0)</f>
        <v>0</v>
      </c>
      <c r="AF243">
        <f>IF(Table1[[#This Row],[Training Completion Status]]="Completed",1,0)</f>
        <v>0</v>
      </c>
      <c r="AG243">
        <f t="shared" ca="1" si="17"/>
        <v>4</v>
      </c>
      <c r="AH243">
        <f t="shared" ca="1" si="18"/>
        <v>4</v>
      </c>
      <c r="AI243">
        <f t="shared" ca="1" si="19"/>
        <v>3</v>
      </c>
      <c r="AJ243" t="s">
        <v>318</v>
      </c>
    </row>
    <row r="244" spans="1:36" x14ac:dyDescent="0.2">
      <c r="A244" t="s">
        <v>296</v>
      </c>
      <c r="B244" t="s">
        <v>42</v>
      </c>
      <c r="C244" t="s">
        <v>35</v>
      </c>
      <c r="D244" t="s">
        <v>36</v>
      </c>
      <c r="E244" s="1">
        <v>44181</v>
      </c>
      <c r="F244" s="1">
        <v>44208</v>
      </c>
      <c r="G244" s="1">
        <v>44218</v>
      </c>
      <c r="H244" s="1" t="s">
        <v>50</v>
      </c>
      <c r="I244" t="s">
        <v>51</v>
      </c>
      <c r="J244" s="2">
        <v>1892</v>
      </c>
      <c r="K244" t="s">
        <v>40</v>
      </c>
      <c r="L244" t="s">
        <v>52</v>
      </c>
      <c r="M244">
        <v>260</v>
      </c>
      <c r="N244">
        <v>5</v>
      </c>
      <c r="O244" s="3">
        <v>2246</v>
      </c>
      <c r="P244">
        <f t="shared" ca="1" si="15"/>
        <v>10</v>
      </c>
      <c r="Q244">
        <f ca="1">RANDBETWEEN(0,Table1[[#This Row],[offers made]])</f>
        <v>9</v>
      </c>
      <c r="R244" t="s">
        <v>307</v>
      </c>
      <c r="S244">
        <f>Table1[[#This Row],[Hire Date]]-Table1[[#This Row],[Job Posting Date]]</f>
        <v>27</v>
      </c>
      <c r="T244" s="4">
        <f>Table1[[#This Row],[Join Date]]-Table1[[#This Row],[Hire Date]]</f>
        <v>10</v>
      </c>
      <c r="U244" s="4">
        <f ca="1">IF(Table1[[#This Row],[Status]]="Exited",Table1[[#This Row],[Exit Date]]-Table1[[#This Row],[Join Date]],TODAY()-Table1[[#This Row],[Join Date]])</f>
        <v>1443</v>
      </c>
      <c r="V244" t="str">
        <f ca="1">IF(Table1[[#This Row],[Total Tenure in Days]]&lt;=730, "yes","no")</f>
        <v>no</v>
      </c>
      <c r="W244">
        <f>Table1[[#This Row],[Hire Date]]-Table1[[#This Row],[Job Posting Date]]</f>
        <v>27</v>
      </c>
      <c r="X244" s="4">
        <f>Table1[[#This Row],[Time to Onboard]]/Table1[[#This Row],[Time to Fill]]*100</f>
        <v>37.037037037037038</v>
      </c>
      <c r="Y244" s="5">
        <f>Table1[[#This Row],[Time to Onboard]]/Table1[[#This Row],[Time to Fill]]*100</f>
        <v>37.037037037037038</v>
      </c>
      <c r="Z244">
        <f>Table1[[#This Row],[Join Date]]-Table1[[#This Row],[Job Posting Date]]</f>
        <v>37</v>
      </c>
      <c r="AA244">
        <f t="shared" ca="1" si="16"/>
        <v>200</v>
      </c>
      <c r="AB244" s="5">
        <f>Table1[[#This Row],[Absentee Days]]/Table1[[#This Row],[Total Work Days]]*100</f>
        <v>1.9230769230769231</v>
      </c>
      <c r="AC244">
        <f>YEAR(Table1[[#This Row],[Join Date]])</f>
        <v>2021</v>
      </c>
      <c r="AD244">
        <f>IF(Table1[[#This Row],[Status]]="Active",1,0)</f>
        <v>1</v>
      </c>
      <c r="AE244">
        <f>IF(Table1[[#This Row],[Status]]="Exited",Table1[[#This Row],[Recruitment Cost]]+Table1[[#This Row],[Onboarding Cost]]+Table1[[#This Row],[Training Cost]],0)</f>
        <v>0</v>
      </c>
      <c r="AF244">
        <f>IF(Table1[[#This Row],[Training Completion Status]]="Completed",1,0)</f>
        <v>1</v>
      </c>
      <c r="AG244">
        <f t="shared" ca="1" si="17"/>
        <v>4</v>
      </c>
      <c r="AH244">
        <f t="shared" ca="1" si="18"/>
        <v>2</v>
      </c>
      <c r="AI244">
        <f t="shared" ca="1" si="19"/>
        <v>1</v>
      </c>
      <c r="AJ244" t="s">
        <v>317</v>
      </c>
    </row>
    <row r="245" spans="1:36" x14ac:dyDescent="0.2">
      <c r="A245" t="s">
        <v>297</v>
      </c>
      <c r="B245" t="s">
        <v>41</v>
      </c>
      <c r="C245" t="s">
        <v>29</v>
      </c>
      <c r="D245" t="s">
        <v>30</v>
      </c>
      <c r="E245" s="1">
        <v>43652</v>
      </c>
      <c r="F245" s="1">
        <v>43677</v>
      </c>
      <c r="G245" s="1">
        <v>43682</v>
      </c>
      <c r="H245" s="1">
        <v>44215</v>
      </c>
      <c r="I245" t="s">
        <v>57</v>
      </c>
      <c r="J245" s="2">
        <v>3096</v>
      </c>
      <c r="K245" t="s">
        <v>37</v>
      </c>
      <c r="L245" t="s">
        <v>55</v>
      </c>
      <c r="M245">
        <v>260</v>
      </c>
      <c r="N245">
        <v>19</v>
      </c>
      <c r="O245" s="3">
        <v>2227</v>
      </c>
      <c r="P245">
        <f t="shared" ca="1" si="15"/>
        <v>1</v>
      </c>
      <c r="Q245">
        <f ca="1">RANDBETWEEN(0,Table1[[#This Row],[offers made]])</f>
        <v>1</v>
      </c>
      <c r="R245" t="s">
        <v>307</v>
      </c>
      <c r="S245">
        <f>Table1[[#This Row],[Hire Date]]-Table1[[#This Row],[Job Posting Date]]</f>
        <v>25</v>
      </c>
      <c r="T245" s="4">
        <f>Table1[[#This Row],[Join Date]]-Table1[[#This Row],[Hire Date]]</f>
        <v>5</v>
      </c>
      <c r="U245" s="4">
        <f ca="1">IF(Table1[[#This Row],[Status]]="Exited",Table1[[#This Row],[Exit Date]]-Table1[[#This Row],[Join Date]],TODAY()-Table1[[#This Row],[Join Date]])</f>
        <v>533</v>
      </c>
      <c r="V245" t="str">
        <f ca="1">IF(Table1[[#This Row],[Total Tenure in Days]]&lt;=730, "yes","no")</f>
        <v>yes</v>
      </c>
      <c r="W245">
        <f>Table1[[#This Row],[Hire Date]]-Table1[[#This Row],[Job Posting Date]]</f>
        <v>25</v>
      </c>
      <c r="X245" s="4">
        <f>Table1[[#This Row],[Time to Onboard]]/Table1[[#This Row],[Time to Fill]]*100</f>
        <v>20</v>
      </c>
      <c r="Y245" s="5">
        <f>Table1[[#This Row],[Time to Onboard]]/Table1[[#This Row],[Time to Fill]]*100</f>
        <v>20</v>
      </c>
      <c r="Z245">
        <f>Table1[[#This Row],[Join Date]]-Table1[[#This Row],[Job Posting Date]]</f>
        <v>30</v>
      </c>
      <c r="AA245">
        <f t="shared" ca="1" si="16"/>
        <v>147</v>
      </c>
      <c r="AB245" s="5">
        <f>Table1[[#This Row],[Absentee Days]]/Table1[[#This Row],[Total Work Days]]*100</f>
        <v>7.3076923076923084</v>
      </c>
      <c r="AC245">
        <f>YEAR(Table1[[#This Row],[Join Date]])</f>
        <v>2019</v>
      </c>
      <c r="AD245">
        <f>IF(Table1[[#This Row],[Status]]="Active",1,0)</f>
        <v>0</v>
      </c>
      <c r="AE245">
        <f ca="1">IF(Table1[[#This Row],[Status]]="Exited",Table1[[#This Row],[Recruitment Cost]]+Table1[[#This Row],[Onboarding Cost]]+Table1[[#This Row],[Training Cost]],0)</f>
        <v>5470</v>
      </c>
      <c r="AF245">
        <f>IF(Table1[[#This Row],[Training Completion Status]]="Completed",1,0)</f>
        <v>0</v>
      </c>
      <c r="AG245">
        <f t="shared" ca="1" si="17"/>
        <v>1</v>
      </c>
      <c r="AH245">
        <f t="shared" ca="1" si="18"/>
        <v>4</v>
      </c>
      <c r="AI245">
        <f t="shared" ca="1" si="19"/>
        <v>1</v>
      </c>
      <c r="AJ245" t="s">
        <v>317</v>
      </c>
    </row>
    <row r="246" spans="1:36" x14ac:dyDescent="0.2">
      <c r="A246" t="s">
        <v>298</v>
      </c>
      <c r="B246" t="s">
        <v>42</v>
      </c>
      <c r="C246" t="s">
        <v>35</v>
      </c>
      <c r="D246" t="s">
        <v>36</v>
      </c>
      <c r="E246" s="1">
        <v>43231</v>
      </c>
      <c r="F246" s="1">
        <v>43309</v>
      </c>
      <c r="G246" s="1">
        <v>43316</v>
      </c>
      <c r="H246" s="1">
        <v>43650</v>
      </c>
      <c r="I246" t="s">
        <v>57</v>
      </c>
      <c r="J246" s="2">
        <v>3497</v>
      </c>
      <c r="K246" t="s">
        <v>28</v>
      </c>
      <c r="L246" t="s">
        <v>52</v>
      </c>
      <c r="M246">
        <v>260</v>
      </c>
      <c r="N246">
        <v>8</v>
      </c>
      <c r="O246" s="3">
        <v>1308</v>
      </c>
      <c r="P246">
        <f t="shared" ca="1" si="15"/>
        <v>7</v>
      </c>
      <c r="Q246">
        <f ca="1">RANDBETWEEN(0,Table1[[#This Row],[offers made]])</f>
        <v>4</v>
      </c>
      <c r="R246" t="s">
        <v>307</v>
      </c>
      <c r="S246">
        <f>Table1[[#This Row],[Hire Date]]-Table1[[#This Row],[Job Posting Date]]</f>
        <v>78</v>
      </c>
      <c r="T246" s="4">
        <f>Table1[[#This Row],[Join Date]]-Table1[[#This Row],[Hire Date]]</f>
        <v>7</v>
      </c>
      <c r="U246" s="4">
        <f ca="1">IF(Table1[[#This Row],[Status]]="Exited",Table1[[#This Row],[Exit Date]]-Table1[[#This Row],[Join Date]],TODAY()-Table1[[#This Row],[Join Date]])</f>
        <v>334</v>
      </c>
      <c r="V246" t="str">
        <f ca="1">IF(Table1[[#This Row],[Total Tenure in Days]]&lt;=730, "yes","no")</f>
        <v>yes</v>
      </c>
      <c r="W246">
        <f>Table1[[#This Row],[Hire Date]]-Table1[[#This Row],[Job Posting Date]]</f>
        <v>78</v>
      </c>
      <c r="X246" s="4">
        <f>Table1[[#This Row],[Time to Onboard]]/Table1[[#This Row],[Time to Fill]]*100</f>
        <v>8.9743589743589745</v>
      </c>
      <c r="Y246" s="5">
        <f>Table1[[#This Row],[Time to Onboard]]/Table1[[#This Row],[Time to Fill]]*100</f>
        <v>8.9743589743589745</v>
      </c>
      <c r="Z246">
        <f>Table1[[#This Row],[Join Date]]-Table1[[#This Row],[Job Posting Date]]</f>
        <v>85</v>
      </c>
      <c r="AA246">
        <f t="shared" ca="1" si="16"/>
        <v>142</v>
      </c>
      <c r="AB246" s="5">
        <f>Table1[[#This Row],[Absentee Days]]/Table1[[#This Row],[Total Work Days]]*100</f>
        <v>3.0769230769230771</v>
      </c>
      <c r="AC246">
        <f>YEAR(Table1[[#This Row],[Join Date]])</f>
        <v>2018</v>
      </c>
      <c r="AD246">
        <f>IF(Table1[[#This Row],[Status]]="Active",1,0)</f>
        <v>0</v>
      </c>
      <c r="AE246">
        <f ca="1">IF(Table1[[#This Row],[Status]]="Exited",Table1[[#This Row],[Recruitment Cost]]+Table1[[#This Row],[Onboarding Cost]]+Table1[[#This Row],[Training Cost]],0)</f>
        <v>4947</v>
      </c>
      <c r="AF246">
        <f>IF(Table1[[#This Row],[Training Completion Status]]="Completed",1,0)</f>
        <v>1</v>
      </c>
      <c r="AG246">
        <f t="shared" ca="1" si="17"/>
        <v>4</v>
      </c>
      <c r="AH246">
        <f t="shared" ca="1" si="18"/>
        <v>1</v>
      </c>
      <c r="AI246">
        <f t="shared" ca="1" si="19"/>
        <v>1</v>
      </c>
      <c r="AJ246" t="s">
        <v>317</v>
      </c>
    </row>
    <row r="247" spans="1:36" x14ac:dyDescent="0.2">
      <c r="A247" t="s">
        <v>299</v>
      </c>
      <c r="B247" t="s">
        <v>41</v>
      </c>
      <c r="C247" t="s">
        <v>35</v>
      </c>
      <c r="D247" t="s">
        <v>36</v>
      </c>
      <c r="E247" s="1">
        <v>44418</v>
      </c>
      <c r="F247" s="1">
        <v>44463</v>
      </c>
      <c r="G247" s="1">
        <v>44473</v>
      </c>
      <c r="H247" s="1" t="s">
        <v>50</v>
      </c>
      <c r="I247" t="s">
        <v>51</v>
      </c>
      <c r="J247" s="2">
        <v>4721</v>
      </c>
      <c r="K247" t="s">
        <v>34</v>
      </c>
      <c r="L247" t="s">
        <v>52</v>
      </c>
      <c r="M247">
        <v>260</v>
      </c>
      <c r="N247">
        <v>18</v>
      </c>
      <c r="O247" s="3">
        <v>1203</v>
      </c>
      <c r="P247">
        <f t="shared" ca="1" si="15"/>
        <v>10</v>
      </c>
      <c r="Q247">
        <f ca="1">RANDBETWEEN(0,Table1[[#This Row],[offers made]])</f>
        <v>1</v>
      </c>
      <c r="R247" t="s">
        <v>307</v>
      </c>
      <c r="S247">
        <f>Table1[[#This Row],[Hire Date]]-Table1[[#This Row],[Job Posting Date]]</f>
        <v>45</v>
      </c>
      <c r="T247" s="4">
        <f>Table1[[#This Row],[Join Date]]-Table1[[#This Row],[Hire Date]]</f>
        <v>10</v>
      </c>
      <c r="U247" s="4">
        <f ca="1">IF(Table1[[#This Row],[Status]]="Exited",Table1[[#This Row],[Exit Date]]-Table1[[#This Row],[Join Date]],TODAY()-Table1[[#This Row],[Join Date]])</f>
        <v>1188</v>
      </c>
      <c r="V247" t="str">
        <f ca="1">IF(Table1[[#This Row],[Total Tenure in Days]]&lt;=730, "yes","no")</f>
        <v>no</v>
      </c>
      <c r="W247">
        <f>Table1[[#This Row],[Hire Date]]-Table1[[#This Row],[Job Posting Date]]</f>
        <v>45</v>
      </c>
      <c r="X247" s="4">
        <f>Table1[[#This Row],[Time to Onboard]]/Table1[[#This Row],[Time to Fill]]*100</f>
        <v>22.222222222222221</v>
      </c>
      <c r="Y247" s="5">
        <f>Table1[[#This Row],[Time to Onboard]]/Table1[[#This Row],[Time to Fill]]*100</f>
        <v>22.222222222222221</v>
      </c>
      <c r="Z247">
        <f>Table1[[#This Row],[Join Date]]-Table1[[#This Row],[Job Posting Date]]</f>
        <v>55</v>
      </c>
      <c r="AA247">
        <f t="shared" ca="1" si="16"/>
        <v>103</v>
      </c>
      <c r="AB247" s="5">
        <f>Table1[[#This Row],[Absentee Days]]/Table1[[#This Row],[Total Work Days]]*100</f>
        <v>6.9230769230769234</v>
      </c>
      <c r="AC247">
        <f>YEAR(Table1[[#This Row],[Join Date]])</f>
        <v>2021</v>
      </c>
      <c r="AD247">
        <f>IF(Table1[[#This Row],[Status]]="Active",1,0)</f>
        <v>1</v>
      </c>
      <c r="AE247">
        <f>IF(Table1[[#This Row],[Status]]="Exited",Table1[[#This Row],[Recruitment Cost]]+Table1[[#This Row],[Onboarding Cost]]+Table1[[#This Row],[Training Cost]],0)</f>
        <v>0</v>
      </c>
      <c r="AF247">
        <f>IF(Table1[[#This Row],[Training Completion Status]]="Completed",1,0)</f>
        <v>1</v>
      </c>
      <c r="AG247">
        <f t="shared" ca="1" si="17"/>
        <v>3</v>
      </c>
      <c r="AH247">
        <f t="shared" ca="1" si="18"/>
        <v>2</v>
      </c>
      <c r="AI247">
        <f t="shared" ca="1" si="19"/>
        <v>5</v>
      </c>
      <c r="AJ247" t="s">
        <v>318</v>
      </c>
    </row>
    <row r="248" spans="1:36" x14ac:dyDescent="0.2">
      <c r="A248" t="s">
        <v>300</v>
      </c>
      <c r="B248" t="s">
        <v>43</v>
      </c>
      <c r="C248" t="s">
        <v>38</v>
      </c>
      <c r="D248" t="s">
        <v>39</v>
      </c>
      <c r="E248" s="1">
        <v>43473</v>
      </c>
      <c r="F248" s="1">
        <v>43561</v>
      </c>
      <c r="G248" s="1">
        <v>43573</v>
      </c>
      <c r="H248" s="1" t="s">
        <v>50</v>
      </c>
      <c r="I248" t="s">
        <v>51</v>
      </c>
      <c r="J248" s="2">
        <v>4803</v>
      </c>
      <c r="K248" t="s">
        <v>31</v>
      </c>
      <c r="L248" t="s">
        <v>52</v>
      </c>
      <c r="M248">
        <v>260</v>
      </c>
      <c r="N248">
        <v>2</v>
      </c>
      <c r="O248" s="3">
        <v>1422</v>
      </c>
      <c r="P248">
        <f t="shared" ca="1" si="15"/>
        <v>10</v>
      </c>
      <c r="Q248">
        <f ca="1">RANDBETWEEN(0,Table1[[#This Row],[offers made]])</f>
        <v>3</v>
      </c>
      <c r="R248" t="s">
        <v>308</v>
      </c>
      <c r="S248">
        <f>Table1[[#This Row],[Hire Date]]-Table1[[#This Row],[Job Posting Date]]</f>
        <v>88</v>
      </c>
      <c r="T248" s="4">
        <f>Table1[[#This Row],[Join Date]]-Table1[[#This Row],[Hire Date]]</f>
        <v>12</v>
      </c>
      <c r="U248" s="4">
        <f ca="1">IF(Table1[[#This Row],[Status]]="Exited",Table1[[#This Row],[Exit Date]]-Table1[[#This Row],[Join Date]],TODAY()-Table1[[#This Row],[Join Date]])</f>
        <v>2088</v>
      </c>
      <c r="V248" t="str">
        <f ca="1">IF(Table1[[#This Row],[Total Tenure in Days]]&lt;=730, "yes","no")</f>
        <v>no</v>
      </c>
      <c r="W248">
        <f>Table1[[#This Row],[Hire Date]]-Table1[[#This Row],[Job Posting Date]]</f>
        <v>88</v>
      </c>
      <c r="X248" s="4">
        <f>Table1[[#This Row],[Time to Onboard]]/Table1[[#This Row],[Time to Fill]]*100</f>
        <v>13.636363636363635</v>
      </c>
      <c r="Y248" s="5">
        <f>Table1[[#This Row],[Time to Onboard]]/Table1[[#This Row],[Time to Fill]]*100</f>
        <v>13.636363636363635</v>
      </c>
      <c r="Z248">
        <f>Table1[[#This Row],[Join Date]]-Table1[[#This Row],[Job Posting Date]]</f>
        <v>100</v>
      </c>
      <c r="AA248">
        <f t="shared" ca="1" si="16"/>
        <v>162</v>
      </c>
      <c r="AB248" s="5">
        <f>Table1[[#This Row],[Absentee Days]]/Table1[[#This Row],[Total Work Days]]*100</f>
        <v>0.76923076923076927</v>
      </c>
      <c r="AC248">
        <f>YEAR(Table1[[#This Row],[Join Date]])</f>
        <v>2019</v>
      </c>
      <c r="AD248">
        <f>IF(Table1[[#This Row],[Status]]="Active",1,0)</f>
        <v>1</v>
      </c>
      <c r="AE248">
        <f>IF(Table1[[#This Row],[Status]]="Exited",Table1[[#This Row],[Recruitment Cost]]+Table1[[#This Row],[Onboarding Cost]]+Table1[[#This Row],[Training Cost]],0)</f>
        <v>0</v>
      </c>
      <c r="AF248">
        <f>IF(Table1[[#This Row],[Training Completion Status]]="Completed",1,0)</f>
        <v>1</v>
      </c>
      <c r="AG248">
        <f t="shared" ca="1" si="17"/>
        <v>5</v>
      </c>
      <c r="AH248">
        <f t="shared" ca="1" si="18"/>
        <v>5</v>
      </c>
      <c r="AI248">
        <f t="shared" ca="1" si="19"/>
        <v>2</v>
      </c>
      <c r="AJ248" t="s">
        <v>318</v>
      </c>
    </row>
    <row r="249" spans="1:36" x14ac:dyDescent="0.2">
      <c r="A249" t="s">
        <v>301</v>
      </c>
      <c r="B249" t="s">
        <v>43</v>
      </c>
      <c r="C249" t="s">
        <v>32</v>
      </c>
      <c r="D249" t="s">
        <v>33</v>
      </c>
      <c r="E249" s="1">
        <v>44615</v>
      </c>
      <c r="F249" s="1">
        <v>44677</v>
      </c>
      <c r="G249" s="1">
        <v>44685</v>
      </c>
      <c r="H249" s="1">
        <v>45601</v>
      </c>
      <c r="I249" t="s">
        <v>57</v>
      </c>
      <c r="J249" s="2">
        <v>3628</v>
      </c>
      <c r="K249" t="s">
        <v>37</v>
      </c>
      <c r="L249" t="s">
        <v>52</v>
      </c>
      <c r="M249">
        <v>260</v>
      </c>
      <c r="N249">
        <v>17</v>
      </c>
      <c r="O249" s="3">
        <v>1764</v>
      </c>
      <c r="P249">
        <f t="shared" ca="1" si="15"/>
        <v>5</v>
      </c>
      <c r="Q249">
        <f ca="1">RANDBETWEEN(0,Table1[[#This Row],[offers made]])</f>
        <v>4</v>
      </c>
      <c r="R249" t="s">
        <v>307</v>
      </c>
      <c r="S249">
        <f>Table1[[#This Row],[Hire Date]]-Table1[[#This Row],[Job Posting Date]]</f>
        <v>62</v>
      </c>
      <c r="T249" s="4">
        <f>Table1[[#This Row],[Join Date]]-Table1[[#This Row],[Hire Date]]</f>
        <v>8</v>
      </c>
      <c r="U249" s="4">
        <f ca="1">IF(Table1[[#This Row],[Status]]="Exited",Table1[[#This Row],[Exit Date]]-Table1[[#This Row],[Join Date]],TODAY()-Table1[[#This Row],[Join Date]])</f>
        <v>916</v>
      </c>
      <c r="V249" t="str">
        <f ca="1">IF(Table1[[#This Row],[Total Tenure in Days]]&lt;=730, "yes","no")</f>
        <v>no</v>
      </c>
      <c r="W249">
        <f>Table1[[#This Row],[Hire Date]]-Table1[[#This Row],[Job Posting Date]]</f>
        <v>62</v>
      </c>
      <c r="X249" s="4">
        <f>Table1[[#This Row],[Time to Onboard]]/Table1[[#This Row],[Time to Fill]]*100</f>
        <v>12.903225806451612</v>
      </c>
      <c r="Y249" s="5">
        <f>Table1[[#This Row],[Time to Onboard]]/Table1[[#This Row],[Time to Fill]]*100</f>
        <v>12.903225806451612</v>
      </c>
      <c r="Z249">
        <f>Table1[[#This Row],[Join Date]]-Table1[[#This Row],[Job Posting Date]]</f>
        <v>70</v>
      </c>
      <c r="AA249">
        <f t="shared" ca="1" si="16"/>
        <v>133</v>
      </c>
      <c r="AB249" s="5">
        <f>Table1[[#This Row],[Absentee Days]]/Table1[[#This Row],[Total Work Days]]*100</f>
        <v>6.5384615384615392</v>
      </c>
      <c r="AC249">
        <f>YEAR(Table1[[#This Row],[Join Date]])</f>
        <v>2022</v>
      </c>
      <c r="AD249">
        <f>IF(Table1[[#This Row],[Status]]="Active",1,0)</f>
        <v>0</v>
      </c>
      <c r="AE249">
        <f ca="1">IF(Table1[[#This Row],[Status]]="Exited",Table1[[#This Row],[Recruitment Cost]]+Table1[[#This Row],[Onboarding Cost]]+Table1[[#This Row],[Training Cost]],0)</f>
        <v>5525</v>
      </c>
      <c r="AF249">
        <f>IF(Table1[[#This Row],[Training Completion Status]]="Completed",1,0)</f>
        <v>1</v>
      </c>
      <c r="AG249">
        <f t="shared" ca="1" si="17"/>
        <v>5</v>
      </c>
      <c r="AH249">
        <f t="shared" ca="1" si="18"/>
        <v>5</v>
      </c>
      <c r="AI249">
        <f t="shared" ca="1" si="19"/>
        <v>5</v>
      </c>
      <c r="AJ249" t="s">
        <v>317</v>
      </c>
    </row>
    <row r="250" spans="1:36" x14ac:dyDescent="0.2">
      <c r="A250" t="s">
        <v>302</v>
      </c>
      <c r="B250" t="s">
        <v>42</v>
      </c>
      <c r="C250" t="s">
        <v>29</v>
      </c>
      <c r="D250" t="s">
        <v>30</v>
      </c>
      <c r="E250" s="1">
        <v>44831</v>
      </c>
      <c r="F250" s="1">
        <v>44864</v>
      </c>
      <c r="G250" s="1">
        <v>44868</v>
      </c>
      <c r="H250" s="1" t="s">
        <v>50</v>
      </c>
      <c r="I250" t="s">
        <v>51</v>
      </c>
      <c r="J250" s="2">
        <v>3870</v>
      </c>
      <c r="K250" t="s">
        <v>34</v>
      </c>
      <c r="L250" t="s">
        <v>52</v>
      </c>
      <c r="M250">
        <v>260</v>
      </c>
      <c r="N250">
        <v>16</v>
      </c>
      <c r="O250" s="3">
        <v>2409</v>
      </c>
      <c r="P250">
        <f t="shared" ca="1" si="15"/>
        <v>6</v>
      </c>
      <c r="Q250">
        <f ca="1">RANDBETWEEN(0,Table1[[#This Row],[offers made]])</f>
        <v>2</v>
      </c>
      <c r="R250" t="s">
        <v>307</v>
      </c>
      <c r="S250">
        <f>Table1[[#This Row],[Hire Date]]-Table1[[#This Row],[Job Posting Date]]</f>
        <v>33</v>
      </c>
      <c r="T250" s="4">
        <f>Table1[[#This Row],[Join Date]]-Table1[[#This Row],[Hire Date]]</f>
        <v>4</v>
      </c>
      <c r="U250" s="4">
        <f ca="1">IF(Table1[[#This Row],[Status]]="Exited",Table1[[#This Row],[Exit Date]]-Table1[[#This Row],[Join Date]],TODAY()-Table1[[#This Row],[Join Date]])</f>
        <v>793</v>
      </c>
      <c r="V250" t="str">
        <f ca="1">IF(Table1[[#This Row],[Total Tenure in Days]]&lt;=730, "yes","no")</f>
        <v>no</v>
      </c>
      <c r="W250">
        <f>Table1[[#This Row],[Hire Date]]-Table1[[#This Row],[Job Posting Date]]</f>
        <v>33</v>
      </c>
      <c r="X250" s="4">
        <f>Table1[[#This Row],[Time to Onboard]]/Table1[[#This Row],[Time to Fill]]*100</f>
        <v>12.121212121212121</v>
      </c>
      <c r="Y250" s="5">
        <f>Table1[[#This Row],[Time to Onboard]]/Table1[[#This Row],[Time to Fill]]*100</f>
        <v>12.121212121212121</v>
      </c>
      <c r="Z250">
        <f>Table1[[#This Row],[Join Date]]-Table1[[#This Row],[Job Posting Date]]</f>
        <v>37</v>
      </c>
      <c r="AA250">
        <f t="shared" ca="1" si="16"/>
        <v>139</v>
      </c>
      <c r="AB250" s="5">
        <f>Table1[[#This Row],[Absentee Days]]/Table1[[#This Row],[Total Work Days]]*100</f>
        <v>6.1538461538461542</v>
      </c>
      <c r="AC250">
        <f>YEAR(Table1[[#This Row],[Join Date]])</f>
        <v>2022</v>
      </c>
      <c r="AD250">
        <f>IF(Table1[[#This Row],[Status]]="Active",1,0)</f>
        <v>1</v>
      </c>
      <c r="AE250">
        <f>IF(Table1[[#This Row],[Status]]="Exited",Table1[[#This Row],[Recruitment Cost]]+Table1[[#This Row],[Onboarding Cost]]+Table1[[#This Row],[Training Cost]],0)</f>
        <v>0</v>
      </c>
      <c r="AF250">
        <f>IF(Table1[[#This Row],[Training Completion Status]]="Completed",1,0)</f>
        <v>1</v>
      </c>
      <c r="AG250">
        <f t="shared" ca="1" si="17"/>
        <v>1</v>
      </c>
      <c r="AH250">
        <f t="shared" ca="1" si="18"/>
        <v>4</v>
      </c>
      <c r="AI250">
        <f t="shared" ca="1" si="19"/>
        <v>4</v>
      </c>
      <c r="AJ250" t="s">
        <v>317</v>
      </c>
    </row>
    <row r="251" spans="1:36" x14ac:dyDescent="0.2">
      <c r="A251" t="s">
        <v>303</v>
      </c>
      <c r="B251" t="s">
        <v>43</v>
      </c>
      <c r="C251" t="s">
        <v>32</v>
      </c>
      <c r="D251" t="s">
        <v>33</v>
      </c>
      <c r="E251" s="1">
        <v>44659</v>
      </c>
      <c r="F251" s="1">
        <v>44744</v>
      </c>
      <c r="G251" s="1">
        <v>44753</v>
      </c>
      <c r="H251" s="1" t="s">
        <v>50</v>
      </c>
      <c r="I251" t="s">
        <v>51</v>
      </c>
      <c r="J251" s="2">
        <v>1854</v>
      </c>
      <c r="K251" t="s">
        <v>37</v>
      </c>
      <c r="L251" t="s">
        <v>55</v>
      </c>
      <c r="M251">
        <v>260</v>
      </c>
      <c r="N251">
        <v>12</v>
      </c>
      <c r="O251" s="3">
        <v>2476</v>
      </c>
      <c r="P251">
        <f t="shared" ca="1" si="15"/>
        <v>9</v>
      </c>
      <c r="Q251">
        <f ca="1">RANDBETWEEN(0,Table1[[#This Row],[offers made]])</f>
        <v>5</v>
      </c>
      <c r="R251" t="s">
        <v>306</v>
      </c>
      <c r="S251">
        <f>Table1[[#This Row],[Hire Date]]-Table1[[#This Row],[Job Posting Date]]</f>
        <v>85</v>
      </c>
      <c r="T251" s="4">
        <f>Table1[[#This Row],[Join Date]]-Table1[[#This Row],[Hire Date]]</f>
        <v>9</v>
      </c>
      <c r="U251" s="4">
        <f ca="1">IF(Table1[[#This Row],[Status]]="Exited",Table1[[#This Row],[Exit Date]]-Table1[[#This Row],[Join Date]],TODAY()-Table1[[#This Row],[Join Date]])</f>
        <v>908</v>
      </c>
      <c r="V251" t="str">
        <f ca="1">IF(Table1[[#This Row],[Total Tenure in Days]]&lt;=730, "yes","no")</f>
        <v>no</v>
      </c>
      <c r="W251">
        <f>Table1[[#This Row],[Hire Date]]-Table1[[#This Row],[Job Posting Date]]</f>
        <v>85</v>
      </c>
      <c r="X251" s="4">
        <f>Table1[[#This Row],[Time to Onboard]]/Table1[[#This Row],[Time to Fill]]*100</f>
        <v>10.588235294117647</v>
      </c>
      <c r="Y251" s="5">
        <f>Table1[[#This Row],[Time to Onboard]]/Table1[[#This Row],[Time to Fill]]*100</f>
        <v>10.588235294117647</v>
      </c>
      <c r="Z251">
        <f>Table1[[#This Row],[Join Date]]-Table1[[#This Row],[Job Posting Date]]</f>
        <v>94</v>
      </c>
      <c r="AA251">
        <f t="shared" ca="1" si="16"/>
        <v>143</v>
      </c>
      <c r="AB251" s="5">
        <f>Table1[[#This Row],[Absentee Days]]/Table1[[#This Row],[Total Work Days]]*100</f>
        <v>4.6153846153846159</v>
      </c>
      <c r="AC251">
        <f>YEAR(Table1[[#This Row],[Join Date]])</f>
        <v>2022</v>
      </c>
      <c r="AD251">
        <f>IF(Table1[[#This Row],[Status]]="Active",1,0)</f>
        <v>1</v>
      </c>
      <c r="AE251">
        <f>IF(Table1[[#This Row],[Status]]="Exited",Table1[[#This Row],[Recruitment Cost]]+Table1[[#This Row],[Onboarding Cost]]+Table1[[#This Row],[Training Cost]],0)</f>
        <v>0</v>
      </c>
      <c r="AF251">
        <f>IF(Table1[[#This Row],[Training Completion Status]]="Completed",1,0)</f>
        <v>0</v>
      </c>
      <c r="AG251">
        <f t="shared" ca="1" si="17"/>
        <v>5</v>
      </c>
      <c r="AH251">
        <f t="shared" ca="1" si="18"/>
        <v>2</v>
      </c>
      <c r="AI251">
        <f t="shared" ca="1" si="19"/>
        <v>1</v>
      </c>
      <c r="AJ251" t="s">
        <v>318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36F4-E916-5746-9765-D87C58807086}">
  <dimension ref="E12:E22"/>
  <sheetViews>
    <sheetView workbookViewId="0">
      <selection activeCell="E22" sqref="E22"/>
    </sheetView>
  </sheetViews>
  <sheetFormatPr baseColWidth="10" defaultRowHeight="16" x14ac:dyDescent="0.2"/>
  <cols>
    <col min="5" max="5" width="13.33203125" customWidth="1"/>
  </cols>
  <sheetData>
    <row r="12" spans="5:5" x14ac:dyDescent="0.2">
      <c r="E12" t="s">
        <v>310</v>
      </c>
    </row>
    <row r="13" spans="5:5" x14ac:dyDescent="0.2">
      <c r="E13" s="5">
        <f ca="1" xml:space="preserve"> (COUNTIFS(Table1[New hire], "Yes", Table1[Status], "Active") / COUNTIF(Table1[New hire], "Yes")) * 100</f>
        <v>7.59493670886076</v>
      </c>
    </row>
    <row r="17" spans="5:5" x14ac:dyDescent="0.2">
      <c r="E17" t="s">
        <v>314</v>
      </c>
    </row>
    <row r="18" spans="5:5" x14ac:dyDescent="0.2">
      <c r="E18">
        <f>Recruitmentdata!AL3/Recruitmentdata!AM3*100</f>
        <v>41.666666666666671</v>
      </c>
    </row>
    <row r="21" spans="5:5" x14ac:dyDescent="0.2">
      <c r="E21" t="s">
        <v>315</v>
      </c>
    </row>
    <row r="22" spans="5:5" x14ac:dyDescent="0.2">
      <c r="E22">
        <f ca="1">(SUM(Table1[Candidate Experience Points])/(COUNTA(Table1[Employee ID])*5))*100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Recruitmentdata</vt:lpstr>
      <vt:lpstr>Sheet1</vt:lpstr>
      <vt:lpstr>AbsenteeDays</vt:lpstr>
      <vt:lpstr>CostofEmployeeTurnover</vt:lpstr>
      <vt:lpstr>EmployeeID</vt:lpstr>
      <vt:lpstr>ExitDate</vt:lpstr>
      <vt:lpstr>Gender</vt:lpstr>
      <vt:lpstr>HireDate</vt:lpstr>
      <vt:lpstr>ID</vt:lpstr>
      <vt:lpstr>JobPostingDate</vt:lpstr>
      <vt:lpstr>JobTitle</vt:lpstr>
      <vt:lpstr>JoinDate</vt:lpstr>
      <vt:lpstr>Onboardingcost</vt:lpstr>
      <vt:lpstr>RecruitmentCost</vt:lpstr>
      <vt:lpstr>RecruitmentCycleTime</vt:lpstr>
      <vt:lpstr>Status</vt:lpstr>
      <vt:lpstr>Timetofill</vt:lpstr>
      <vt:lpstr>Timetoonboard</vt:lpstr>
      <vt:lpstr>TotalTenureinM</vt:lpstr>
      <vt:lpstr>TotalWorkDays</vt:lpstr>
      <vt:lpstr>TrainingCompletionStatus</vt:lpstr>
      <vt:lpstr>TrainingCost</vt:lpstr>
      <vt:lpstr>TrainingProgram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2025-01-04T02:26:11Z</dcterms:modified>
  <cp:category/>
  <cp:contentStatus/>
</cp:coreProperties>
</file>