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69" documentId="8_{FB51CEA5-365B-8A42-9D21-54967A4F8704}" xr6:coauthVersionLast="47" xr6:coauthVersionMax="47" xr10:uidLastSave="{DDCE1CC7-C37E-1143-936D-72B9CF83C27A}"/>
  <bookViews>
    <workbookView xWindow="0" yWindow="500" windowWidth="38400" windowHeight="19880" xr2:uid="{58FDD918-C894-C646-AAEB-B821FDBAFA6C}"/>
  </bookViews>
  <sheets>
    <sheet name="Recruitmentdata" sheetId="1" r:id="rId1"/>
  </sheets>
  <definedNames>
    <definedName name="_xlnm._FilterDatabase" localSheetId="0" hidden="1">Recruitmentdata!$N$1:$O$1</definedName>
    <definedName name="AbsenteeDays">Recruitmentdata!$B:$B</definedName>
    <definedName name="CostofEmployeeTurnover">Recruitmentdata!#REF!</definedName>
    <definedName name="EmployeeID">Recruitmentdata!$A:$A</definedName>
    <definedName name="ExitDate">Recruitmentdata!$H:$H</definedName>
    <definedName name="Gender">Recruitmentdata!$K:$K</definedName>
    <definedName name="HireDate">Recruitmentdata!$F:$F</definedName>
    <definedName name="ID">Recruitmentdata!$A:$A</definedName>
    <definedName name="JobPostingDate">Recruitmentdata!$E:$E</definedName>
    <definedName name="JobTitle">Recruitmentdata!$D:$D</definedName>
    <definedName name="JoinDate">Recruitmentdata!$G:$G</definedName>
    <definedName name="Onboardingcost">Recruitmentdata!#REF!</definedName>
    <definedName name="Pasted">#REF!</definedName>
    <definedName name="RecruitmentCost">Recruitmentdata!#REF!</definedName>
    <definedName name="RecruitmentCycleTime">Recruitmentdata!#REF!</definedName>
    <definedName name="Status">Recruitmentdata!$I:$I</definedName>
    <definedName name="Table">Recruitmentdata!$A$1:$O$251</definedName>
    <definedName name="Table2">#REF!</definedName>
    <definedName name="Timetofill">Recruitmentdata!#REF!</definedName>
    <definedName name="Timetoonboard">Recruitmentdata!#REF!</definedName>
    <definedName name="TotalTenure">Recruitmentdata!#REF!</definedName>
    <definedName name="TotalTenureinM">Recruitmentdata!#REF!</definedName>
    <definedName name="TotalWorkDays">Recruitmentdata!#REF!</definedName>
    <definedName name="TrainingCompletionStatus">Recruitmentdata!#REF!</definedName>
    <definedName name="TrainingCost">Recruitmentdata!$L:$L</definedName>
    <definedName name="TrainingProgram">Recruitmentdata!#REF!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W2" i="1" s="1"/>
  <c r="T2" i="1"/>
  <c r="X9" i="1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Q2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T5" i="1" l="1"/>
  <c r="Y5" i="1" s="1"/>
  <c r="X80" i="1" l="1"/>
  <c r="X118" i="1"/>
  <c r="X161" i="1"/>
  <c r="X51" i="1"/>
  <c r="X150" i="1"/>
  <c r="X193" i="1"/>
  <c r="X111" i="1"/>
  <c r="X178" i="1"/>
  <c r="X84" i="1"/>
  <c r="X53" i="1"/>
  <c r="X125" i="1"/>
  <c r="X177" i="1"/>
  <c r="X45" i="1"/>
  <c r="X91" i="1"/>
  <c r="X188" i="1"/>
  <c r="X105" i="1"/>
  <c r="X18" i="1"/>
  <c r="X229" i="1"/>
  <c r="X64" i="1"/>
  <c r="X132" i="1"/>
  <c r="X113" i="1"/>
  <c r="X88" i="1"/>
  <c r="X246" i="1"/>
  <c r="X5" i="1"/>
  <c r="X135" i="1"/>
  <c r="X39" i="1"/>
  <c r="X30" i="1"/>
  <c r="X61" i="1"/>
  <c r="X191" i="1"/>
  <c r="X108" i="1"/>
  <c r="X146" i="1"/>
  <c r="X245" i="1"/>
  <c r="X172" i="1"/>
  <c r="X128" i="1"/>
  <c r="Z2" i="1"/>
  <c r="X2" i="1"/>
  <c r="X48" i="1"/>
  <c r="X119" i="1"/>
  <c r="X220" i="1"/>
  <c r="X83" i="1"/>
  <c r="X227" i="1"/>
  <c r="X19" i="1"/>
  <c r="X99" i="1"/>
  <c r="X141" i="1"/>
  <c r="X78" i="1"/>
  <c r="X74" i="1"/>
  <c r="X139" i="1"/>
  <c r="X73" i="1"/>
  <c r="X200" i="1"/>
  <c r="X50" i="1"/>
  <c r="X89" i="1"/>
  <c r="X7" i="1"/>
  <c r="X247" i="1"/>
  <c r="X131" i="1"/>
  <c r="X187" i="1"/>
  <c r="X37" i="1"/>
  <c r="X54" i="1"/>
  <c r="X243" i="1"/>
  <c r="X25" i="1"/>
  <c r="X127" i="1"/>
  <c r="X11" i="1"/>
  <c r="X231" i="1"/>
  <c r="X134" i="1"/>
  <c r="X8" i="1"/>
  <c r="X235" i="1"/>
  <c r="X59" i="1"/>
  <c r="X201" i="1"/>
  <c r="X117" i="1"/>
  <c r="X68" i="1"/>
  <c r="X98" i="1"/>
  <c r="X140" i="1"/>
  <c r="X116" i="1"/>
  <c r="X138" i="1"/>
  <c r="X249" i="1"/>
  <c r="X175" i="1"/>
  <c r="X223" i="1"/>
  <c r="X17" i="1"/>
  <c r="X137" i="1"/>
  <c r="X133" i="1"/>
  <c r="X194" i="1"/>
  <c r="X87" i="1"/>
  <c r="X192" i="1"/>
  <c r="X148" i="1"/>
  <c r="X184" i="1"/>
  <c r="X106" i="1"/>
  <c r="X34" i="1"/>
  <c r="X207" i="1"/>
  <c r="X218" i="1"/>
  <c r="X242" i="1"/>
  <c r="X230" i="1"/>
  <c r="X36" i="1"/>
  <c r="X81" i="1"/>
  <c r="X124" i="1"/>
  <c r="X123" i="1"/>
  <c r="X196" i="1"/>
  <c r="X241" i="1"/>
  <c r="X114" i="1"/>
  <c r="X15" i="1"/>
  <c r="X110" i="1"/>
  <c r="X236" i="1"/>
  <c r="X16" i="1"/>
  <c r="X136" i="1"/>
  <c r="X94" i="1"/>
  <c r="X57" i="1"/>
  <c r="X153" i="1"/>
  <c r="X185" i="1"/>
  <c r="X162" i="1"/>
  <c r="X183" i="1"/>
  <c r="X28" i="1"/>
  <c r="X159" i="1"/>
  <c r="X163" i="1"/>
  <c r="X143" i="1"/>
  <c r="X156" i="1"/>
  <c r="X24" i="1"/>
  <c r="X96" i="1"/>
  <c r="X112" i="1"/>
  <c r="X216" i="1"/>
  <c r="X130" i="1"/>
  <c r="X155" i="1"/>
  <c r="X244" i="1"/>
  <c r="X167" i="1"/>
  <c r="X41" i="1"/>
  <c r="X109" i="1"/>
  <c r="X129" i="1"/>
  <c r="X40" i="1"/>
  <c r="X186" i="1"/>
  <c r="X154" i="1"/>
  <c r="X211" i="1"/>
  <c r="X173" i="1"/>
  <c r="X102" i="1"/>
  <c r="X35" i="1"/>
  <c r="X12" i="1"/>
  <c r="X209" i="1"/>
  <c r="X219" i="1"/>
  <c r="X107" i="1"/>
  <c r="X75" i="1"/>
  <c r="X20" i="1"/>
  <c r="X46" i="1"/>
  <c r="Z10" i="1"/>
  <c r="X10" i="1"/>
  <c r="X79" i="1"/>
  <c r="X180" i="1"/>
  <c r="X160" i="1"/>
  <c r="X217" i="1"/>
  <c r="X250" i="1"/>
  <c r="X67" i="1"/>
  <c r="X205" i="1"/>
  <c r="X90" i="1"/>
  <c r="X144" i="1"/>
  <c r="X157" i="1"/>
  <c r="X204" i="1"/>
  <c r="X71" i="1"/>
  <c r="X43" i="1"/>
  <c r="X70" i="1"/>
  <c r="X63" i="1"/>
  <c r="X14" i="1"/>
  <c r="X239" i="1"/>
  <c r="X62" i="1"/>
  <c r="X121" i="1"/>
  <c r="X199" i="1"/>
  <c r="X234" i="1"/>
  <c r="X85" i="1"/>
  <c r="X101" i="1"/>
  <c r="X142" i="1"/>
  <c r="X152" i="1"/>
  <c r="X151" i="1"/>
  <c r="X120" i="1"/>
  <c r="X76" i="1"/>
  <c r="X208" i="1"/>
  <c r="X21" i="1"/>
  <c r="X182" i="1"/>
  <c r="X181" i="1"/>
  <c r="X145" i="1"/>
  <c r="X225" i="1"/>
  <c r="X202" i="1"/>
  <c r="X169" i="1"/>
  <c r="X213" i="1"/>
  <c r="X189" i="1"/>
  <c r="X44" i="1"/>
  <c r="X224" i="1"/>
  <c r="X206" i="1"/>
  <c r="X197" i="1"/>
  <c r="X158" i="1"/>
  <c r="X104" i="1"/>
  <c r="X66" i="1"/>
  <c r="X168" i="1"/>
  <c r="X164" i="1"/>
  <c r="X248" i="1"/>
  <c r="X72" i="1"/>
  <c r="X31" i="1"/>
  <c r="X49" i="1"/>
  <c r="X115" i="1"/>
  <c r="X122" i="1"/>
  <c r="X149" i="1"/>
  <c r="X23" i="1"/>
  <c r="X240" i="1"/>
  <c r="X237" i="1"/>
  <c r="X147" i="1"/>
  <c r="X27" i="1"/>
  <c r="X93" i="1"/>
  <c r="X214" i="1"/>
  <c r="X47" i="1"/>
  <c r="X86" i="1"/>
  <c r="X166" i="1"/>
  <c r="X69" i="1"/>
  <c r="X33" i="1"/>
  <c r="X176" i="1"/>
  <c r="X58" i="1"/>
  <c r="X32" i="1"/>
  <c r="X26" i="1"/>
  <c r="X203" i="1"/>
  <c r="X77" i="1"/>
  <c r="X215" i="1"/>
  <c r="X210" i="1"/>
  <c r="X4" i="1"/>
  <c r="X238" i="1"/>
  <c r="X221" i="1"/>
  <c r="X13" i="1"/>
  <c r="X56" i="1"/>
  <c r="X179" i="1"/>
  <c r="X228" i="1"/>
  <c r="X3" i="1"/>
  <c r="X95" i="1"/>
  <c r="X22" i="1"/>
  <c r="X38" i="1"/>
  <c r="X55" i="1"/>
  <c r="X171" i="1"/>
  <c r="X190" i="1"/>
  <c r="X29" i="1"/>
  <c r="X92" i="1"/>
  <c r="X82" i="1"/>
  <c r="X226" i="1"/>
  <c r="X170" i="1"/>
  <c r="X126" i="1"/>
  <c r="X251" i="1"/>
  <c r="X100" i="1"/>
  <c r="X60" i="1"/>
  <c r="X198" i="1"/>
  <c r="X165" i="1"/>
  <c r="X52" i="1"/>
  <c r="X212" i="1"/>
  <c r="X103" i="1"/>
  <c r="X233" i="1"/>
  <c r="X222" i="1"/>
  <c r="X97" i="1"/>
  <c r="X195" i="1"/>
  <c r="X65" i="1"/>
  <c r="X232" i="1"/>
  <c r="X42" i="1"/>
  <c r="X6" i="1"/>
  <c r="X174" i="1"/>
  <c r="T86" i="1"/>
  <c r="Y86" i="1" s="1"/>
  <c r="T37" i="1"/>
  <c r="Y37" i="1" s="1"/>
  <c r="T54" i="1"/>
  <c r="Y54" i="1" s="1"/>
  <c r="T243" i="1"/>
  <c r="Y243" i="1" s="1"/>
  <c r="T25" i="1"/>
  <c r="Y25" i="1" s="1"/>
  <c r="T127" i="1"/>
  <c r="Y127" i="1" s="1"/>
  <c r="T11" i="1"/>
  <c r="Y11" i="1" s="1"/>
  <c r="T231" i="1"/>
  <c r="Y231" i="1" s="1"/>
  <c r="T134" i="1"/>
  <c r="Y134" i="1" s="1"/>
  <c r="T8" i="1"/>
  <c r="Y8" i="1" s="1"/>
  <c r="T235" i="1"/>
  <c r="Y235" i="1" s="1"/>
  <c r="T59" i="1"/>
  <c r="Y59" i="1" s="1"/>
  <c r="T201" i="1"/>
  <c r="Y201" i="1" s="1"/>
  <c r="T117" i="1"/>
  <c r="Y117" i="1" s="1"/>
  <c r="T68" i="1"/>
  <c r="Y68" i="1" s="1"/>
  <c r="T98" i="1"/>
  <c r="Y98" i="1" s="1"/>
  <c r="T140" i="1"/>
  <c r="Y140" i="1" s="1"/>
  <c r="T116" i="1"/>
  <c r="Y116" i="1" s="1"/>
  <c r="T138" i="1"/>
  <c r="Y138" i="1" s="1"/>
  <c r="T249" i="1"/>
  <c r="Y249" i="1" s="1"/>
  <c r="T175" i="1"/>
  <c r="Y175" i="1" s="1"/>
  <c r="T223" i="1"/>
  <c r="Y223" i="1" s="1"/>
  <c r="T17" i="1"/>
  <c r="Y17" i="1" s="1"/>
  <c r="T137" i="1"/>
  <c r="Y137" i="1" s="1"/>
  <c r="T133" i="1"/>
  <c r="Y133" i="1" s="1"/>
  <c r="T194" i="1"/>
  <c r="Y194" i="1" s="1"/>
  <c r="T87" i="1"/>
  <c r="Y87" i="1" s="1"/>
  <c r="T192" i="1"/>
  <c r="Y192" i="1" s="1"/>
  <c r="T148" i="1"/>
  <c r="Y148" i="1" s="1"/>
  <c r="T136" i="1"/>
  <c r="Y136" i="1" s="1"/>
  <c r="T135" i="1"/>
  <c r="Y135" i="1" s="1"/>
  <c r="T199" i="1"/>
  <c r="Y199" i="1" s="1"/>
  <c r="T214" i="1"/>
  <c r="Y214" i="1" s="1"/>
  <c r="T47" i="1"/>
  <c r="Y47" i="1" s="1"/>
  <c r="T106" i="1"/>
  <c r="Y106" i="1" s="1"/>
  <c r="T34" i="1"/>
  <c r="Y34" i="1" s="1"/>
  <c r="T207" i="1"/>
  <c r="Y207" i="1" s="1"/>
  <c r="T218" i="1"/>
  <c r="Y218" i="1" s="1"/>
  <c r="T242" i="1"/>
  <c r="Y242" i="1" s="1"/>
  <c r="T153" i="1"/>
  <c r="Y153" i="1" s="1"/>
  <c r="T230" i="1"/>
  <c r="Y230" i="1" s="1"/>
  <c r="T234" i="1"/>
  <c r="Y234" i="1" s="1"/>
  <c r="T36" i="1"/>
  <c r="Y36" i="1" s="1"/>
  <c r="T81" i="1"/>
  <c r="Y81" i="1" s="1"/>
  <c r="T124" i="1"/>
  <c r="Y124" i="1" s="1"/>
  <c r="T123" i="1"/>
  <c r="Y123" i="1" s="1"/>
  <c r="T196" i="1"/>
  <c r="Y196" i="1" s="1"/>
  <c r="T241" i="1"/>
  <c r="Y241" i="1" s="1"/>
  <c r="T114" i="1"/>
  <c r="Y114" i="1" s="1"/>
  <c r="T15" i="1"/>
  <c r="Y15" i="1" s="1"/>
  <c r="T110" i="1"/>
  <c r="Y110" i="1" s="1"/>
  <c r="T129" i="1"/>
  <c r="Y129" i="1" s="1"/>
  <c r="T211" i="1"/>
  <c r="Y211" i="1" s="1"/>
  <c r="T244" i="1"/>
  <c r="Y244" i="1" s="1"/>
  <c r="T191" i="1"/>
  <c r="Y191" i="1" s="1"/>
  <c r="T93" i="1"/>
  <c r="Y93" i="1" s="1"/>
  <c r="T172" i="1"/>
  <c r="Y172" i="1" s="1"/>
  <c r="T85" i="1"/>
  <c r="Y85" i="1" s="1"/>
  <c r="T162" i="1"/>
  <c r="Y162" i="1" s="1"/>
  <c r="T166" i="1"/>
  <c r="Y166" i="1" s="1"/>
  <c r="T69" i="1"/>
  <c r="Y69" i="1" s="1"/>
  <c r="T101" i="1"/>
  <c r="Y101" i="1" s="1"/>
  <c r="T183" i="1"/>
  <c r="Y183" i="1" s="1"/>
  <c r="T236" i="1"/>
  <c r="Y236" i="1" s="1"/>
  <c r="T142" i="1"/>
  <c r="Y142" i="1" s="1"/>
  <c r="T33" i="1"/>
  <c r="Y33" i="1" s="1"/>
  <c r="T28" i="1"/>
  <c r="Y28" i="1" s="1"/>
  <c r="T176" i="1"/>
  <c r="Y176" i="1" s="1"/>
  <c r="T152" i="1"/>
  <c r="Y152" i="1" s="1"/>
  <c r="T58" i="1"/>
  <c r="Y58" i="1" s="1"/>
  <c r="T159" i="1"/>
  <c r="Y159" i="1" s="1"/>
  <c r="T32" i="1"/>
  <c r="Y32" i="1" s="1"/>
  <c r="T151" i="1"/>
  <c r="Y151" i="1" s="1"/>
  <c r="T16" i="1"/>
  <c r="Y16" i="1" s="1"/>
  <c r="T163" i="1"/>
  <c r="Y163" i="1" s="1"/>
  <c r="T143" i="1"/>
  <c r="Y143" i="1" s="1"/>
  <c r="T156" i="1"/>
  <c r="Y156" i="1" s="1"/>
  <c r="T24" i="1"/>
  <c r="Y24" i="1" s="1"/>
  <c r="T96" i="1"/>
  <c r="Y96" i="1" s="1"/>
  <c r="T112" i="1"/>
  <c r="Y112" i="1" s="1"/>
  <c r="T216" i="1"/>
  <c r="Y216" i="1" s="1"/>
  <c r="T130" i="1"/>
  <c r="Y130" i="1" s="1"/>
  <c r="T155" i="1"/>
  <c r="Y155" i="1" s="1"/>
  <c r="T121" i="1"/>
  <c r="Y121" i="1" s="1"/>
  <c r="T239" i="1"/>
  <c r="Y239" i="1" s="1"/>
  <c r="T185" i="1"/>
  <c r="Y185" i="1" s="1"/>
  <c r="T167" i="1"/>
  <c r="Y167" i="1" s="1"/>
  <c r="T147" i="1"/>
  <c r="Y147" i="1" s="1"/>
  <c r="T39" i="1"/>
  <c r="Y39" i="1" s="1"/>
  <c r="T146" i="1"/>
  <c r="Y146" i="1" s="1"/>
  <c r="T215" i="1"/>
  <c r="Y215" i="1" s="1"/>
  <c r="T237" i="1"/>
  <c r="Y237" i="1" s="1"/>
  <c r="T12" i="1"/>
  <c r="Y12" i="1" s="1"/>
  <c r="T209" i="1"/>
  <c r="Y209" i="1" s="1"/>
  <c r="T219" i="1"/>
  <c r="Y219" i="1" s="1"/>
  <c r="T107" i="1"/>
  <c r="Y107" i="1" s="1"/>
  <c r="T75" i="1"/>
  <c r="Y75" i="1" s="1"/>
  <c r="T20" i="1"/>
  <c r="Y20" i="1" s="1"/>
  <c r="T46" i="1"/>
  <c r="Y46" i="1" s="1"/>
  <c r="T10" i="1"/>
  <c r="Y10" i="1" s="1"/>
  <c r="T79" i="1"/>
  <c r="Y79" i="1" s="1"/>
  <c r="T180" i="1"/>
  <c r="Y180" i="1" s="1"/>
  <c r="T160" i="1"/>
  <c r="Y160" i="1" s="1"/>
  <c r="T217" i="1"/>
  <c r="Y217" i="1" s="1"/>
  <c r="T250" i="1"/>
  <c r="Y250" i="1" s="1"/>
  <c r="T67" i="1"/>
  <c r="Y67" i="1" s="1"/>
  <c r="T205" i="1"/>
  <c r="Y205" i="1" s="1"/>
  <c r="T90" i="1"/>
  <c r="Y90" i="1" s="1"/>
  <c r="T144" i="1"/>
  <c r="Y144" i="1" s="1"/>
  <c r="T157" i="1"/>
  <c r="Y157" i="1" s="1"/>
  <c r="T204" i="1"/>
  <c r="Y204" i="1" s="1"/>
  <c r="T71" i="1"/>
  <c r="Y71" i="1" s="1"/>
  <c r="T43" i="1"/>
  <c r="Y43" i="1" s="1"/>
  <c r="T70" i="1"/>
  <c r="Y70" i="1" s="1"/>
  <c r="T63" i="1"/>
  <c r="Y63" i="1" s="1"/>
  <c r="T14" i="1"/>
  <c r="Y14" i="1" s="1"/>
  <c r="T62" i="1"/>
  <c r="Y62" i="1" s="1"/>
  <c r="T77" i="1"/>
  <c r="Y77" i="1" s="1"/>
  <c r="T3" i="1"/>
  <c r="Y3" i="1" s="1"/>
  <c r="T30" i="1"/>
  <c r="Y30" i="1" s="1"/>
  <c r="T108" i="1"/>
  <c r="Y108" i="1" s="1"/>
  <c r="T76" i="1"/>
  <c r="Y76" i="1" s="1"/>
  <c r="T208" i="1"/>
  <c r="Y208" i="1" s="1"/>
  <c r="T21" i="1"/>
  <c r="Y21" i="1" s="1"/>
  <c r="T182" i="1"/>
  <c r="Y182" i="1" s="1"/>
  <c r="T181" i="1"/>
  <c r="Y181" i="1" s="1"/>
  <c r="T145" i="1"/>
  <c r="Y145" i="1" s="1"/>
  <c r="T225" i="1"/>
  <c r="Y225" i="1" s="1"/>
  <c r="T202" i="1"/>
  <c r="Y202" i="1" s="1"/>
  <c r="T169" i="1"/>
  <c r="Y169" i="1" s="1"/>
  <c r="T213" i="1"/>
  <c r="Y213" i="1" s="1"/>
  <c r="T189" i="1"/>
  <c r="Y189" i="1" s="1"/>
  <c r="T44" i="1"/>
  <c r="Y44" i="1" s="1"/>
  <c r="T224" i="1"/>
  <c r="Y224" i="1" s="1"/>
  <c r="T206" i="1"/>
  <c r="Y206" i="1" s="1"/>
  <c r="T197" i="1"/>
  <c r="Y197" i="1" s="1"/>
  <c r="T158" i="1"/>
  <c r="Y158" i="1" s="1"/>
  <c r="T104" i="1"/>
  <c r="Y104" i="1" s="1"/>
  <c r="T66" i="1"/>
  <c r="Y66" i="1" s="1"/>
  <c r="T168" i="1"/>
  <c r="Y168" i="1" s="1"/>
  <c r="T164" i="1"/>
  <c r="Y164" i="1" s="1"/>
  <c r="T248" i="1"/>
  <c r="Y248" i="1" s="1"/>
  <c r="T72" i="1"/>
  <c r="Y72" i="1" s="1"/>
  <c r="T31" i="1"/>
  <c r="Y31" i="1" s="1"/>
  <c r="T49" i="1"/>
  <c r="Y49" i="1" s="1"/>
  <c r="T115" i="1"/>
  <c r="Y115" i="1" s="1"/>
  <c r="T122" i="1"/>
  <c r="Y122" i="1" s="1"/>
  <c r="T149" i="1"/>
  <c r="Y149" i="1" s="1"/>
  <c r="T23" i="1"/>
  <c r="Y23" i="1" s="1"/>
  <c r="T240" i="1"/>
  <c r="Y240" i="1" s="1"/>
  <c r="T13" i="1"/>
  <c r="Y13" i="1" s="1"/>
  <c r="T35" i="1"/>
  <c r="Y35" i="1" s="1"/>
  <c r="T61" i="1"/>
  <c r="Y61" i="1" s="1"/>
  <c r="T184" i="1"/>
  <c r="Y184" i="1" s="1"/>
  <c r="T210" i="1"/>
  <c r="Y210" i="1" s="1"/>
  <c r="T56" i="1"/>
  <c r="Y56" i="1" s="1"/>
  <c r="Y2" i="1"/>
  <c r="T22" i="1"/>
  <c r="Y22" i="1" s="1"/>
  <c r="T38" i="1"/>
  <c r="Y38" i="1" s="1"/>
  <c r="T55" i="1"/>
  <c r="Y55" i="1" s="1"/>
  <c r="T171" i="1"/>
  <c r="Y171" i="1" s="1"/>
  <c r="T190" i="1"/>
  <c r="Y190" i="1" s="1"/>
  <c r="T29" i="1"/>
  <c r="Y29" i="1" s="1"/>
  <c r="T92" i="1"/>
  <c r="Y92" i="1" s="1"/>
  <c r="T82" i="1"/>
  <c r="Y82" i="1" s="1"/>
  <c r="T226" i="1"/>
  <c r="Y226" i="1" s="1"/>
  <c r="T170" i="1"/>
  <c r="Y170" i="1" s="1"/>
  <c r="T126" i="1"/>
  <c r="Y126" i="1" s="1"/>
  <c r="T251" i="1"/>
  <c r="Y251" i="1" s="1"/>
  <c r="T100" i="1"/>
  <c r="Y100" i="1" s="1"/>
  <c r="T60" i="1"/>
  <c r="Y60" i="1" s="1"/>
  <c r="T9" i="1"/>
  <c r="Y9" i="1" s="1"/>
  <c r="T198" i="1"/>
  <c r="Y198" i="1" s="1"/>
  <c r="T165" i="1"/>
  <c r="Y165" i="1" s="1"/>
  <c r="T52" i="1"/>
  <c r="Y52" i="1" s="1"/>
  <c r="T212" i="1"/>
  <c r="Y212" i="1" s="1"/>
  <c r="T103" i="1"/>
  <c r="Y103" i="1" s="1"/>
  <c r="T233" i="1"/>
  <c r="Y233" i="1" s="1"/>
  <c r="T222" i="1"/>
  <c r="Y222" i="1" s="1"/>
  <c r="T97" i="1"/>
  <c r="Y97" i="1" s="1"/>
  <c r="T195" i="1"/>
  <c r="Y195" i="1" s="1"/>
  <c r="T65" i="1"/>
  <c r="Y65" i="1" s="1"/>
  <c r="T232" i="1"/>
  <c r="Y232" i="1" s="1"/>
  <c r="T42" i="1"/>
  <c r="Y42" i="1" s="1"/>
  <c r="T6" i="1"/>
  <c r="Y6" i="1" s="1"/>
  <c r="T174" i="1"/>
  <c r="Y174" i="1" s="1"/>
  <c r="T203" i="1"/>
  <c r="Y203" i="1" s="1"/>
  <c r="T57" i="1"/>
  <c r="Y57" i="1" s="1"/>
  <c r="T95" i="1"/>
  <c r="Y95" i="1" s="1"/>
  <c r="T27" i="1"/>
  <c r="Y27" i="1" s="1"/>
  <c r="T120" i="1"/>
  <c r="Y120" i="1" s="1"/>
  <c r="T179" i="1"/>
  <c r="Y179" i="1" s="1"/>
  <c r="T228" i="1"/>
  <c r="Y228" i="1" s="1"/>
  <c r="T109" i="1"/>
  <c r="Y109" i="1" s="1"/>
  <c r="T178" i="1"/>
  <c r="Y178" i="1" s="1"/>
  <c r="T84" i="1"/>
  <c r="Y84" i="1" s="1"/>
  <c r="T80" i="1"/>
  <c r="Y80" i="1" s="1"/>
  <c r="T53" i="1"/>
  <c r="Y53" i="1" s="1"/>
  <c r="T118" i="1"/>
  <c r="Y118" i="1" s="1"/>
  <c r="T125" i="1"/>
  <c r="Y125" i="1" s="1"/>
  <c r="T161" i="1"/>
  <c r="Y161" i="1" s="1"/>
  <c r="T177" i="1"/>
  <c r="Y177" i="1" s="1"/>
  <c r="T45" i="1"/>
  <c r="Y45" i="1" s="1"/>
  <c r="T91" i="1"/>
  <c r="Y91" i="1" s="1"/>
  <c r="T51" i="1"/>
  <c r="Y51" i="1" s="1"/>
  <c r="T188" i="1"/>
  <c r="Y188" i="1" s="1"/>
  <c r="T105" i="1"/>
  <c r="Y105" i="1" s="1"/>
  <c r="T18" i="1"/>
  <c r="Y18" i="1" s="1"/>
  <c r="T150" i="1"/>
  <c r="Y150" i="1" s="1"/>
  <c r="T229" i="1"/>
  <c r="Y229" i="1" s="1"/>
  <c r="T64" i="1"/>
  <c r="Y64" i="1" s="1"/>
  <c r="T193" i="1"/>
  <c r="Y193" i="1" s="1"/>
  <c r="T132" i="1"/>
  <c r="Y132" i="1" s="1"/>
  <c r="T113" i="1"/>
  <c r="Y113" i="1" s="1"/>
  <c r="T111" i="1"/>
  <c r="Y111" i="1" s="1"/>
  <c r="T88" i="1"/>
  <c r="Y88" i="1" s="1"/>
  <c r="T246" i="1"/>
  <c r="Y246" i="1" s="1"/>
  <c r="T41" i="1"/>
  <c r="Y41" i="1" s="1"/>
  <c r="T186" i="1"/>
  <c r="Y186" i="1" s="1"/>
  <c r="T40" i="1"/>
  <c r="Y40" i="1" s="1"/>
  <c r="T4" i="1"/>
  <c r="Y4" i="1" s="1"/>
  <c r="T173" i="1"/>
  <c r="Y173" i="1" s="1"/>
  <c r="T154" i="1"/>
  <c r="Y154" i="1" s="1"/>
  <c r="T102" i="1"/>
  <c r="Y102" i="1" s="1"/>
  <c r="T48" i="1"/>
  <c r="Y48" i="1" s="1"/>
  <c r="T119" i="1"/>
  <c r="Y119" i="1" s="1"/>
  <c r="T220" i="1"/>
  <c r="Y220" i="1" s="1"/>
  <c r="T83" i="1"/>
  <c r="Y83" i="1" s="1"/>
  <c r="T227" i="1"/>
  <c r="Y227" i="1" s="1"/>
  <c r="T19" i="1"/>
  <c r="Y19" i="1" s="1"/>
  <c r="T99" i="1"/>
  <c r="Y99" i="1" s="1"/>
  <c r="T141" i="1"/>
  <c r="Y141" i="1" s="1"/>
  <c r="T78" i="1"/>
  <c r="Y78" i="1" s="1"/>
  <c r="T74" i="1"/>
  <c r="Y74" i="1" s="1"/>
  <c r="T139" i="1"/>
  <c r="Y139" i="1" s="1"/>
  <c r="T73" i="1"/>
  <c r="Y73" i="1" s="1"/>
  <c r="T200" i="1"/>
  <c r="Y200" i="1" s="1"/>
  <c r="T50" i="1"/>
  <c r="Y50" i="1" s="1"/>
  <c r="T89" i="1"/>
  <c r="Y89" i="1" s="1"/>
  <c r="T7" i="1"/>
  <c r="Y7" i="1" s="1"/>
  <c r="T247" i="1"/>
  <c r="Y247" i="1" s="1"/>
  <c r="T131" i="1"/>
  <c r="Y131" i="1" s="1"/>
  <c r="T187" i="1"/>
  <c r="Y187" i="1" s="1"/>
  <c r="T245" i="1"/>
  <c r="Y245" i="1" s="1"/>
  <c r="T94" i="1"/>
  <c r="Y94" i="1" s="1"/>
  <c r="T128" i="1"/>
  <c r="Y128" i="1" s="1"/>
  <c r="T26" i="1"/>
  <c r="Y26" i="1" s="1"/>
  <c r="T221" i="1"/>
  <c r="Y221" i="1" s="1"/>
  <c r="T238" i="1"/>
  <c r="Y238" i="1" s="1"/>
  <c r="Z6" i="1" l="1"/>
  <c r="Z232" i="1"/>
  <c r="Z65" i="1"/>
  <c r="Z233" i="1"/>
  <c r="Z52" i="1"/>
  <c r="Z9" i="1"/>
  <c r="Z126" i="1"/>
  <c r="Z29" i="1"/>
  <c r="Z55" i="1"/>
  <c r="Z3" i="1"/>
  <c r="Z4" i="1"/>
  <c r="Z77" i="1"/>
  <c r="Z176" i="1"/>
  <c r="Z69" i="1"/>
  <c r="Z93" i="1"/>
  <c r="Z149" i="1"/>
  <c r="Z49" i="1"/>
  <c r="Z164" i="1"/>
  <c r="Z66" i="1"/>
  <c r="Z206" i="1"/>
  <c r="Z189" i="1"/>
  <c r="Z181" i="1"/>
  <c r="Z208" i="1"/>
  <c r="Z151" i="1"/>
  <c r="Z142" i="1"/>
  <c r="Z199" i="1"/>
  <c r="Z62" i="1"/>
  <c r="Z71" i="1"/>
  <c r="Z217" i="1"/>
  <c r="Z79" i="1"/>
  <c r="Z75" i="1"/>
  <c r="Z107" i="1"/>
  <c r="Z35" i="1"/>
  <c r="Z154" i="1"/>
  <c r="Z129" i="1"/>
  <c r="Z216" i="1"/>
  <c r="Z24" i="1"/>
  <c r="Z163" i="1"/>
  <c r="Z183" i="1"/>
  <c r="Z136" i="1"/>
  <c r="Z196" i="1"/>
  <c r="Z124" i="1"/>
  <c r="Z207" i="1"/>
  <c r="Z184" i="1"/>
  <c r="Z133" i="1"/>
  <c r="Z223" i="1"/>
  <c r="Z116" i="1"/>
  <c r="Z98" i="1"/>
  <c r="Z59" i="1"/>
  <c r="Z231" i="1"/>
  <c r="Z54" i="1"/>
  <c r="Z37" i="1"/>
  <c r="Z247" i="1"/>
  <c r="Z7" i="1"/>
  <c r="Z73" i="1"/>
  <c r="Z78" i="1"/>
  <c r="Z99" i="1"/>
  <c r="Z83" i="1"/>
  <c r="Z220" i="1"/>
  <c r="Z48" i="1"/>
  <c r="Z172" i="1"/>
  <c r="Z146" i="1"/>
  <c r="Z135" i="1"/>
  <c r="Z246" i="1"/>
  <c r="Z113" i="1"/>
  <c r="Z229" i="1"/>
  <c r="Z188" i="1"/>
  <c r="Z45" i="1"/>
  <c r="Z125" i="1"/>
  <c r="Z193" i="1"/>
  <c r="Z161" i="1"/>
  <c r="Z195" i="1"/>
  <c r="Z212" i="1"/>
  <c r="Z165" i="1"/>
  <c r="Z60" i="1"/>
  <c r="Z82" i="1"/>
  <c r="Z190" i="1"/>
  <c r="Z38" i="1"/>
  <c r="Z179" i="1"/>
  <c r="Z13" i="1"/>
  <c r="Z32" i="1"/>
  <c r="Z33" i="1"/>
  <c r="Z166" i="1"/>
  <c r="Z47" i="1"/>
  <c r="Z147" i="1"/>
  <c r="Z122" i="1"/>
  <c r="Z31" i="1"/>
  <c r="Z104" i="1"/>
  <c r="Z44" i="1"/>
  <c r="Z213" i="1"/>
  <c r="Z225" i="1"/>
  <c r="Z182" i="1"/>
  <c r="Z76" i="1"/>
  <c r="Z120" i="1"/>
  <c r="Z85" i="1"/>
  <c r="Z121" i="1"/>
  <c r="Z43" i="1"/>
  <c r="Z204" i="1"/>
  <c r="Z144" i="1"/>
  <c r="Z67" i="1"/>
  <c r="Z160" i="1"/>
  <c r="Z46" i="1"/>
  <c r="Z102" i="1"/>
  <c r="Z109" i="1"/>
  <c r="Z167" i="1"/>
  <c r="Z155" i="1"/>
  <c r="Z156" i="1"/>
  <c r="Z28" i="1"/>
  <c r="Z110" i="1"/>
  <c r="Z123" i="1"/>
  <c r="Z218" i="1"/>
  <c r="Z34" i="1"/>
  <c r="Z148" i="1"/>
  <c r="Z17" i="1"/>
  <c r="Z175" i="1"/>
  <c r="Z140" i="1"/>
  <c r="Z68" i="1"/>
  <c r="Z235" i="1"/>
  <c r="Z50" i="1"/>
  <c r="Z108" i="1"/>
  <c r="Z132" i="1"/>
  <c r="Z18" i="1"/>
  <c r="Z150" i="1"/>
  <c r="Z51" i="1"/>
  <c r="Z97" i="1"/>
  <c r="Z103" i="1"/>
  <c r="Z100" i="1"/>
  <c r="Z170" i="1"/>
  <c r="Z92" i="1"/>
  <c r="Z22" i="1"/>
  <c r="Z228" i="1"/>
  <c r="Z56" i="1"/>
  <c r="Z221" i="1"/>
  <c r="Z210" i="1"/>
  <c r="Z203" i="1"/>
  <c r="Z214" i="1"/>
  <c r="Z237" i="1"/>
  <c r="Z23" i="1"/>
  <c r="Z72" i="1"/>
  <c r="Z158" i="1"/>
  <c r="Z224" i="1"/>
  <c r="Z169" i="1"/>
  <c r="Z21" i="1"/>
  <c r="Z152" i="1"/>
  <c r="Z101" i="1"/>
  <c r="Z234" i="1"/>
  <c r="Z239" i="1"/>
  <c r="Z63" i="1"/>
  <c r="Z157" i="1"/>
  <c r="Z90" i="1"/>
  <c r="Z250" i="1"/>
  <c r="Z180" i="1"/>
  <c r="Z20" i="1"/>
  <c r="Z219" i="1"/>
  <c r="Z173" i="1"/>
  <c r="Z186" i="1"/>
  <c r="Z40" i="1"/>
  <c r="Z112" i="1"/>
  <c r="Z159" i="1"/>
  <c r="Z185" i="1"/>
  <c r="Z16" i="1"/>
  <c r="Z241" i="1"/>
  <c r="Z36" i="1"/>
  <c r="Z242" i="1"/>
  <c r="Z106" i="1"/>
  <c r="Z192" i="1"/>
  <c r="Z137" i="1"/>
  <c r="Z249" i="1"/>
  <c r="Z117" i="1"/>
  <c r="Z8" i="1"/>
  <c r="Z11" i="1"/>
  <c r="Z25" i="1"/>
  <c r="Z89" i="1"/>
  <c r="Z200" i="1"/>
  <c r="Z139" i="1"/>
  <c r="Z19" i="1"/>
  <c r="Z227" i="1"/>
  <c r="Z119" i="1"/>
  <c r="Z30" i="1"/>
  <c r="Z88" i="1"/>
  <c r="Z64" i="1"/>
  <c r="Z177" i="1"/>
  <c r="Z53" i="1"/>
  <c r="Z84" i="1"/>
  <c r="Z80" i="1"/>
  <c r="Z174" i="1"/>
  <c r="Z42" i="1"/>
  <c r="Z222" i="1"/>
  <c r="Z198" i="1"/>
  <c r="Z251" i="1"/>
  <c r="Z226" i="1"/>
  <c r="Z171" i="1"/>
  <c r="Z95" i="1"/>
  <c r="Z238" i="1"/>
  <c r="Z215" i="1"/>
  <c r="Z26" i="1"/>
  <c r="Z58" i="1"/>
  <c r="Z86" i="1"/>
  <c r="Z27" i="1"/>
  <c r="Z240" i="1"/>
  <c r="Z115" i="1"/>
  <c r="Z248" i="1"/>
  <c r="Z168" i="1"/>
  <c r="Z197" i="1"/>
  <c r="Z202" i="1"/>
  <c r="Z145" i="1"/>
  <c r="Z14" i="1"/>
  <c r="Z70" i="1"/>
  <c r="Z205" i="1"/>
  <c r="Z209" i="1"/>
  <c r="Z12" i="1"/>
  <c r="Z211" i="1"/>
  <c r="Z41" i="1"/>
  <c r="Z244" i="1"/>
  <c r="Z130" i="1"/>
  <c r="Z96" i="1"/>
  <c r="Z143" i="1"/>
  <c r="Z162" i="1"/>
  <c r="Z153" i="1"/>
  <c r="Z57" i="1"/>
  <c r="Z94" i="1"/>
  <c r="Z236" i="1"/>
  <c r="Z15" i="1"/>
  <c r="Z114" i="1"/>
  <c r="Z81" i="1"/>
  <c r="Z230" i="1"/>
  <c r="Z87" i="1"/>
  <c r="Z194" i="1"/>
  <c r="Z138" i="1"/>
  <c r="Z201" i="1"/>
  <c r="Z134" i="1"/>
  <c r="Z127" i="1"/>
  <c r="Z243" i="1"/>
  <c r="Z187" i="1"/>
  <c r="Z131" i="1"/>
  <c r="Z74" i="1"/>
  <c r="Z141" i="1"/>
  <c r="Z128" i="1"/>
  <c r="Z245" i="1"/>
  <c r="Z191" i="1"/>
  <c r="Z61" i="1"/>
  <c r="Z39" i="1"/>
  <c r="Z5" i="1"/>
  <c r="Z105" i="1"/>
  <c r="Z91" i="1"/>
  <c r="Z178" i="1"/>
  <c r="Z118" i="1"/>
  <c r="Z111" i="1"/>
</calcChain>
</file>

<file path=xl/sharedStrings.xml><?xml version="1.0" encoding="utf-8"?>
<sst xmlns="http://schemas.openxmlformats.org/spreadsheetml/2006/main" count="1901" uniqueCount="296">
  <si>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</si>
  <si>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</si>
  <si>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</si>
  <si>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</si>
  <si>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</si>
  <si>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</si>
  <si>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</si>
  <si>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</si>
  <si>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</si>
  <si>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Gender</t>
  </si>
  <si>
    <t>Time to Fill</t>
  </si>
  <si>
    <t>Time to Onboard</t>
  </si>
  <si>
    <t>Recruitment Cycle Time</t>
  </si>
  <si>
    <t>Individual Onboard Efficiency Rate</t>
  </si>
  <si>
    <t>Recruitment Lag</t>
  </si>
  <si>
    <t>Onboarding Cost</t>
  </si>
  <si>
    <t>IT</t>
  </si>
  <si>
    <t>Software Engineer</t>
  </si>
  <si>
    <t>HR</t>
  </si>
  <si>
    <t>HR Manager</t>
  </si>
  <si>
    <t>Sales</t>
  </si>
  <si>
    <t>Marketing Manager</t>
  </si>
  <si>
    <t>Finance</t>
  </si>
  <si>
    <t>Finance Manager</t>
  </si>
  <si>
    <t>Analytics</t>
  </si>
  <si>
    <t>Data Analyst</t>
  </si>
  <si>
    <t>Female</t>
  </si>
  <si>
    <t>Male</t>
  </si>
  <si>
    <t>Other</t>
  </si>
  <si>
    <t>offers accepted</t>
  </si>
  <si>
    <t>offers made</t>
  </si>
  <si>
    <t>E001</t>
  </si>
  <si>
    <t>-</t>
  </si>
  <si>
    <t>Active</t>
  </si>
  <si>
    <t>E002</t>
  </si>
  <si>
    <t>E003</t>
  </si>
  <si>
    <t>E004</t>
  </si>
  <si>
    <t>Exited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</si>
  <si>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</si>
  <si>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</si>
  <si>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</si>
  <si>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</si>
  <si>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</si>
  <si>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</si>
  <si>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</si>
  <si>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</si>
  <si>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</si>
  <si>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</si>
  <si>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</si>
  <si>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</si>
  <si>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</si>
  <si>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</si>
  <si>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</si>
  <si>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</si>
  <si>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</si>
  <si>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</si>
  <si>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</si>
  <si>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</si>
  <si>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</si>
  <si>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</si>
  <si>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</si>
  <si>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</si>
  <si>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</si>
  <si>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</si>
  <si>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</si>
  <si>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</si>
  <si>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</si>
  <si>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</si>
  <si>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</si>
  <si>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</si>
  <si>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</si>
  <si>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</si>
  <si>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</si>
  <si>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</si>
  <si>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</si>
  <si>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</si>
  <si>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</si>
  <si>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</si>
  <si>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</si>
  <si>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</si>
  <si>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</si>
  <si>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</si>
  <si>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</si>
  <si>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</si>
  <si>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</si>
  <si>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</si>
  <si>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</si>
  <si>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</si>
  <si>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</si>
  <si>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</si>
  <si>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</si>
  <si>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</si>
  <si>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</si>
  <si>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</si>
  <si>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</si>
  <si>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</si>
  <si>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</si>
  <si>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</si>
  <si>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</si>
  <si>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</si>
  <si>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</si>
  <si>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</si>
  <si>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</si>
  <si>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</si>
  <si>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</si>
  <si>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</si>
  <si>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</si>
  <si>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</si>
  <si>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</si>
  <si>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</si>
  <si>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</si>
  <si>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</si>
  <si>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</si>
  <si>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</si>
  <si>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</si>
  <si>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</si>
  <si>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</si>
  <si>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</si>
  <si>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</si>
  <si>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</si>
  <si>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</si>
  <si>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</si>
  <si>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</si>
  <si>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</si>
  <si>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</si>
  <si>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</si>
  <si>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</si>
  <si>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</si>
  <si>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</si>
  <si>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</si>
  <si>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</si>
  <si>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</si>
  <si>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</si>
  <si>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</si>
  <si>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</si>
  <si>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</si>
  <si>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</si>
  <si>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</si>
  <si>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</si>
  <si>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</si>
  <si>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</si>
  <si>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</si>
  <si>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</si>
  <si>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</si>
  <si>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</si>
  <si>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</si>
  <si>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</si>
  <si>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</si>
  <si>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</si>
  <si>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</si>
  <si>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</si>
  <si>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</si>
  <si>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</si>
  <si>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</si>
  <si>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</si>
  <si>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</si>
  <si>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</si>
  <si>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</si>
  <si>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</si>
  <si>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</si>
  <si>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</si>
  <si>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</si>
  <si>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</si>
  <si>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</si>
  <si>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</si>
  <si>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</si>
  <si>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</si>
  <si>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</si>
  <si>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</si>
  <si>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</si>
  <si>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</si>
  <si>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</si>
  <si>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</si>
  <si>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</si>
  <si>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</si>
  <si>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</si>
  <si>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</si>
  <si>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</si>
  <si>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</si>
  <si>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</si>
  <si>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</si>
  <si>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</si>
  <si>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</si>
  <si>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</si>
  <si>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</si>
  <si>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</si>
  <si>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</si>
  <si>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</si>
  <si>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</si>
  <si>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</si>
  <si>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</si>
  <si>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</si>
  <si>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</si>
  <si>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</si>
  <si>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</si>
  <si>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</si>
  <si>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</si>
  <si>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</si>
  <si>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</si>
  <si>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</si>
  <si>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</si>
  <si>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</si>
  <si>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</si>
  <si>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</si>
  <si>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</si>
  <si>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</si>
  <si>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</si>
  <si>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</si>
  <si>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</si>
  <si>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</si>
  <si>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</si>
  <si>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</si>
  <si>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</si>
  <si>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</si>
  <si>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</si>
  <si>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</si>
  <si>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</si>
  <si>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</si>
  <si>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</si>
  <si>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</si>
  <si>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</si>
  <si>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</si>
  <si>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</si>
  <si>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</si>
  <si>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</si>
  <si>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</si>
  <si>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</si>
  <si>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</si>
  <si>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</si>
  <si>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</si>
  <si>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</si>
  <si>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</si>
  <si>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</si>
  <si>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</si>
  <si>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</si>
  <si>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</si>
  <si>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</si>
  <si>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</si>
  <si>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</si>
  <si>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</si>
  <si>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</si>
  <si>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</si>
  <si>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</si>
  <si>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</si>
  <si>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</si>
  <si>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</si>
  <si>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</si>
  <si>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</si>
  <si>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</si>
  <si>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</si>
  <si>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</si>
  <si>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</si>
  <si>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</si>
  <si>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</si>
  <si>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</si>
  <si>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</si>
  <si>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</si>
  <si>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</si>
  <si>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</si>
  <si>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</si>
  <si>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</si>
  <si>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</si>
  <si>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</si>
  <si>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</si>
  <si>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</si>
  <si>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</si>
  <si>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</si>
  <si>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</si>
  <si>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</si>
  <si>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</si>
  <si>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</si>
  <si>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</si>
  <si>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</si>
  <si>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</si>
  <si>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</si>
  <si>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</si>
  <si>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</si>
  <si>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</si>
  <si>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</si>
  <si>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</si>
  <si>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</si>
  <si>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</si>
  <si>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</si>
  <si>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</si>
  <si>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Candidate Experience Points</t>
  </si>
  <si>
    <t>Recruitment source</t>
  </si>
  <si>
    <t>Job Portals</t>
  </si>
  <si>
    <t>Campus Placements</t>
  </si>
  <si>
    <t>Employee Referrals</t>
  </si>
  <si>
    <t>New hire</t>
  </si>
  <si>
    <t>No. of candidates Interviewed</t>
  </si>
  <si>
    <t>Internal Hire</t>
  </si>
  <si>
    <t>Yes</t>
  </si>
  <si>
    <t>No</t>
  </si>
  <si>
    <r>
      <t xml:space="preserve">Total Tenure in </t>
    </r>
    <r>
      <rPr>
        <b/>
        <sz val="12"/>
        <rFont val="Aptos Narrow"/>
        <family val="2"/>
        <scheme val="minor"/>
      </rPr>
      <t>Days</t>
    </r>
  </si>
  <si>
    <t>Total no. of offers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</si>
</sst>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_);_(@_)"/>
    <numFmt numFmtId="165" formatCode="_(&quot;₹&quot;* #,##0_);_(&quot;₹&quot;* \(#,##0\);_(&quot;₹&quot;* &quot;-&quot;??_);_(@_)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4" borderId="1" xfId="0" applyFill="1" applyBorder="1"/>
    <xf numFmtId="0" fontId="0" fillId="0" borderId="1" xfId="0" applyBorder="1"/>
    <xf numFmtId="0" fontId="2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3" fillId="2" borderId="1" xfId="0" applyFont="1" applyFill="1" applyBorder="1"/>
    <xf numFmtId="1" fontId="0" fillId="4" borderId="1" xfId="0" applyNumberFormat="1" applyFill="1" applyBorder="1"/>
    <xf numFmtId="2" fontId="0" fillId="4" borderId="1" xfId="0" applyNumberFormat="1" applyFill="1" applyBorder="1"/>
    <xf numFmtId="1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&quot;₹&quot;* #,##0_);_(&quot;₹&quot;* \(#,##0\);_(&quot;₹&quot;* &quot;-&quot;??_);_(@_)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&quot;₹&quot;* #,##0_);_(&quot;₹&quot;* \(#,##0\);_(&quot;₹&quot;* &quot;-&quot;??_);_(@_)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[$$-409]* #,##0_);_([$$-409]* \(#,##0\);_([$$-409]* &quot;-&quot;_);_(@_)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M251" totalsRowShown="0" headerRowDxfId="14" dataDxfId="13">
  <autoFilter ref="A1:M251" xr:uid="{3C997AAA-AEB2-EB41-99FC-7F2A7048EB4B}"/>
  <tableColumns count="13">
    <tableColumn id="1" xr3:uid="{28944547-ACB1-0A46-986E-4CE3614331C6}" name="Employee ID" dataDxfId="12"/>
    <tableColumn id="15" xr3:uid="{75D90FAE-8CED-FC41-8716-1DEC7E02D574}" name="Gender" dataDxfId="11"/>
    <tableColumn id="2" xr3:uid="{6B0937D0-DF93-BC41-8FD3-CE7AFE248391}" name="Department" dataDxfId="10"/>
    <tableColumn id="3" xr3:uid="{4A66CF3B-234C-854B-9C05-04E292CBA290}" name="Job Title" dataDxfId="9"/>
    <tableColumn id="4" xr3:uid="{59950CD3-8362-F649-BAD8-B3B384B45BF7}" name="Job Posting Date" dataDxfId="8"/>
    <tableColumn id="5" xr3:uid="{4768BF98-4D3C-D848-A178-DB24831ACCB9}" name="Hire Date" dataDxfId="7"/>
    <tableColumn id="6" xr3:uid="{631FFA08-58C1-E04C-BAC3-FE9B0E3B6A7F}" name="Join Date" dataDxfId="6"/>
    <tableColumn id="7" xr3:uid="{9E45AC36-3D2B-EC44-92E1-DAC9348E9EAA}" name="Exit Date" dataDxfId="5"/>
    <tableColumn id="8" xr3:uid="{776E110A-3823-3249-B91D-06D5B8EF656C}" name="Status" dataDxfId="4"/>
    <tableColumn id="9" xr3:uid="{0BDCBE97-78F7-6D40-A85D-B58473C5C464}" name="Recruitment Cost" dataDxfId="3"/>
    <tableColumn id="29" xr3:uid="{B1775927-AEB1-DB48-BAE5-204F042C5EA2}" name="offers made" dataDxfId="2"/>
    <tableColumn id="30" xr3:uid="{51F4CEA7-A028-E340-9245-9229FB83971E}" name="offers accepted" dataDxfId="1"/>
    <tableColumn id="34" xr3:uid="{C021FAFF-83F4-A242-96EC-AC932B3F94C6}" name="Recruitment 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A251"/>
  <sheetViews>
    <sheetView tabSelected="1" topLeftCell="R1" zoomScale="160" zoomScaleNormal="160" workbookViewId="0">
      <selection activeCell="X7" sqref="X7"/>
    </sheetView>
  </sheetViews>
  <sheetFormatPr baseColWidth="10" defaultColWidth="10.83203125" defaultRowHeight="16" x14ac:dyDescent="0.2"/>
  <cols>
    <col min="1" max="1" width="13.83203125" customWidth="1"/>
    <col min="2" max="2" width="9.6640625" bestFit="1" customWidth="1"/>
    <col min="3" max="3" width="13.6640625" customWidth="1"/>
    <col min="4" max="4" width="16.6640625" bestFit="1" customWidth="1"/>
    <col min="5" max="5" width="17.33203125" style="1" customWidth="1"/>
    <col min="6" max="6" width="11.5" style="1" customWidth="1"/>
    <col min="7" max="7" width="11.1640625" style="1" customWidth="1"/>
    <col min="8" max="8" width="11" style="1" customWidth="1"/>
    <col min="9" max="9" width="9" customWidth="1"/>
    <col min="10" max="10" width="19.83203125" bestFit="1" customWidth="1"/>
    <col min="11" max="11" width="13.6640625" bestFit="1" customWidth="1"/>
    <col min="12" max="12" width="16.6640625" style="2" bestFit="1" customWidth="1"/>
    <col min="13" max="13" width="20.1640625" bestFit="1" customWidth="1"/>
    <col min="14" max="14" width="25" bestFit="1" customWidth="1"/>
    <col min="15" max="15" width="11.33203125" bestFit="1" customWidth="1"/>
    <col min="17" max="17" width="19.83203125" bestFit="1" customWidth="1"/>
    <col min="18" max="18" width="25.33203125" bestFit="1" customWidth="1"/>
    <col min="20" max="20" width="10" bestFit="1" customWidth="1"/>
    <col min="21" max="21" width="14.5" bestFit="1" customWidth="1"/>
    <col min="22" max="22" width="17.5" bestFit="1" customWidth="1"/>
    <col min="23" max="23" width="8.33203125" bestFit="1" customWidth="1"/>
    <col min="24" max="24" width="21" bestFit="1" customWidth="1"/>
    <col min="25" max="25" width="29.5" bestFit="1" customWidth="1"/>
    <col min="26" max="26" width="14.83203125" bestFit="1" customWidth="1"/>
    <col min="27" max="27" width="15" bestFit="1" customWidth="1"/>
    <col min="28" max="28" width="23.6640625" bestFit="1" customWidth="1"/>
    <col min="29" max="29" width="25.33203125" bestFit="1" customWidth="1"/>
  </cols>
  <sheetData>
    <row r="1" spans="1:27" x14ac:dyDescent="0.2">
      <c r="A1" t="s">
        <v>0</v>
      </c>
      <c r="B1" t="s">
        <v>9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2" t="s">
        <v>8</v>
      </c>
      <c r="K1" t="s">
        <v>30</v>
      </c>
      <c r="L1" t="s">
        <v>29</v>
      </c>
      <c r="M1" t="s">
        <v>285</v>
      </c>
      <c r="N1" s="5" t="s">
        <v>284</v>
      </c>
      <c r="O1" s="5" t="s">
        <v>291</v>
      </c>
      <c r="Q1" t="s">
        <v>295</v>
      </c>
      <c r="R1" t="s">
        <v>290</v>
      </c>
      <c r="T1" s="8" t="s">
        <v>10</v>
      </c>
      <c r="U1" s="8" t="s">
        <v>11</v>
      </c>
      <c r="V1" s="8" t="s">
        <v>294</v>
      </c>
      <c r="W1" s="8" t="s">
        <v>289</v>
      </c>
      <c r="X1" s="8" t="s">
        <v>12</v>
      </c>
      <c r="Y1" s="8" t="s">
        <v>13</v>
      </c>
      <c r="Z1" s="8" t="s">
        <v>14</v>
      </c>
      <c r="AA1" s="8" t="s">
        <v>15</v>
      </c>
    </row>
    <row r="2" spans="1:27" x14ac:dyDescent="0.2">
      <c r="A2" t="s">
        <v>31</v>
      </c>
      <c r="B2" t="s">
        <v>26</v>
      </c>
      <c r="C2" t="s">
        <v>24</v>
      </c>
      <c r="D2" t="s">
        <v>25</v>
      </c>
      <c r="E2" s="1">
        <v>44466</v>
      </c>
      <c r="F2" s="1">
        <v>44499</v>
      </c>
      <c r="G2" s="1">
        <v>44512</v>
      </c>
      <c r="H2" s="1" t="s">
        <v>32</v>
      </c>
      <c r="I2" t="s">
        <v>33</v>
      </c>
      <c r="J2" s="12">
        <v>4436</v>
      </c>
      <c r="K2">
        <v>7</v>
      </c>
      <c r="L2">
        <v>6</v>
      </c>
      <c r="M2" t="s">
        <v>286</v>
      </c>
      <c r="N2" s="3">
        <v>4</v>
      </c>
      <c r="O2" s="6" t="s">
        <v>292</v>
      </c>
      <c r="Q2">
        <f>COUNTA(Table1[Employee ID])</f>
        <v>250</v>
      </c>
      <c r="R2">
        <v>600</v>
      </c>
      <c r="T2" s="3">
        <f>Table1[[#This Row],[Hire Date]]-Table1[[#This Row],[Job Posting Date]]</f>
        <v>33</v>
      </c>
      <c r="U2" s="9">
        <f>Table1[[#This Row],[Join Date]]-Table1[[#This Row],[Hire Date]]</f>
        <v>13</v>
      </c>
      <c r="V2" s="9">
        <f ca="1">IF(Table1[[#This Row],[Status]]="Exited",Table1[[#This Row],[Exit Date]]-Table1[[#This Row],[Join Date]],TODAY()-Table1[[#This Row],[Join Date]])</f>
        <v>1162</v>
      </c>
      <c r="W2" s="3" t="str">
        <f ca="1">IF(V2&lt;=730, "yes","no")</f>
        <v>no</v>
      </c>
      <c r="X2" s="3">
        <f>Table1[[#This Row],[Hire Date]]-Table1[[#This Row],[Job Posting Date]]</f>
        <v>33</v>
      </c>
      <c r="Y2" s="10">
        <f>U2/T2*100</f>
        <v>39.393939393939391</v>
      </c>
      <c r="Z2" s="3">
        <f>Table1[[#This Row],[Join Date]]-Table1[[#This Row],[Job Posting Date]]</f>
        <v>46</v>
      </c>
      <c r="AA2" s="3">
        <v>172</v>
      </c>
    </row>
    <row r="3" spans="1:27" x14ac:dyDescent="0.2">
      <c r="A3" t="s">
        <v>34</v>
      </c>
      <c r="B3" t="s">
        <v>28</v>
      </c>
      <c r="C3" t="s">
        <v>22</v>
      </c>
      <c r="D3" t="s">
        <v>23</v>
      </c>
      <c r="E3" s="1">
        <v>43186</v>
      </c>
      <c r="F3" s="1">
        <v>43253</v>
      </c>
      <c r="G3" s="1">
        <v>43259</v>
      </c>
      <c r="H3" s="1" t="s">
        <v>32</v>
      </c>
      <c r="I3" t="s">
        <v>33</v>
      </c>
      <c r="J3" s="12">
        <v>1807</v>
      </c>
      <c r="K3">
        <v>9</v>
      </c>
      <c r="L3">
        <v>9</v>
      </c>
      <c r="M3" t="s">
        <v>287</v>
      </c>
      <c r="N3" s="4">
        <v>2</v>
      </c>
      <c r="O3" s="7" t="s">
        <v>293</v>
      </c>
      <c r="T3" s="4">
        <f>Table1[[#This Row],[Hire Date]]-Table1[[#This Row],[Job Posting Date]]</f>
        <v>67</v>
      </c>
      <c r="U3" s="11">
        <f>Table1[[#This Row],[Join Date]]-Table1[[#This Row],[Hire Date]]</f>
        <v>6</v>
      </c>
      <c r="V3" s="11">
        <f ca="1">IF(Table1[[#This Row],[Status]]="Exited",Table1[[#This Row],[Exit Date]]-Table1[[#This Row],[Join Date]],TODAY()-Table1[[#This Row],[Join Date]])</f>
        <v>2415</v>
      </c>
      <c r="W3" s="3" t="str">
        <f t="shared" ref="W3:W66" ca="1" si="0">IF(V3&lt;=730, "yes","no")</f>
        <v>no</v>
      </c>
      <c r="X3" s="4">
        <f>Table1[[#This Row],[Hire Date]]-Table1[[#This Row],[Job Posting Date]]</f>
        <v>67</v>
      </c>
      <c r="Y3" s="10">
        <f t="shared" ref="Y3:Y66" si="1">U3/T3*100</f>
        <v>8.9552238805970141</v>
      </c>
      <c r="Z3" s="4">
        <f>Table1[[#This Row],[Join Date]]-Table1[[#This Row],[Job Posting Date]]</f>
        <v>73</v>
      </c>
      <c r="AA3" s="4">
        <v>130</v>
      </c>
    </row>
    <row r="4" spans="1:27" x14ac:dyDescent="0.2">
      <c r="A4" t="s">
        <v>35</v>
      </c>
      <c r="B4" t="s">
        <v>28</v>
      </c>
      <c r="C4" t="s">
        <v>18</v>
      </c>
      <c r="D4" t="s">
        <v>19</v>
      </c>
      <c r="E4" s="1">
        <v>43780</v>
      </c>
      <c r="F4" s="1">
        <v>43817</v>
      </c>
      <c r="G4" s="1">
        <v>43823</v>
      </c>
      <c r="H4" s="1" t="s">
        <v>32</v>
      </c>
      <c r="I4" t="s">
        <v>33</v>
      </c>
      <c r="J4" s="12">
        <v>2345</v>
      </c>
      <c r="K4">
        <v>4</v>
      </c>
      <c r="L4">
        <v>0</v>
      </c>
      <c r="M4" t="s">
        <v>288</v>
      </c>
      <c r="N4" s="3">
        <v>2</v>
      </c>
      <c r="O4" s="6" t="s">
        <v>292</v>
      </c>
      <c r="T4" s="3">
        <f>Table1[[#This Row],[Hire Date]]-Table1[[#This Row],[Job Posting Date]]</f>
        <v>37</v>
      </c>
      <c r="U4" s="9">
        <f>Table1[[#This Row],[Join Date]]-Table1[[#This Row],[Hire Date]]</f>
        <v>6</v>
      </c>
      <c r="V4" s="9">
        <f ca="1">IF(Table1[[#This Row],[Status]]="Exited",Table1[[#This Row],[Exit Date]]-Table1[[#This Row],[Join Date]],TODAY()-Table1[[#This Row],[Join Date]])</f>
        <v>1851</v>
      </c>
      <c r="W4" s="3" t="str">
        <f t="shared" ca="1" si="0"/>
        <v>no</v>
      </c>
      <c r="X4" s="3">
        <f>Table1[[#This Row],[Hire Date]]-Table1[[#This Row],[Job Posting Date]]</f>
        <v>37</v>
      </c>
      <c r="Y4" s="10">
        <f t="shared" si="1"/>
        <v>16.216216216216218</v>
      </c>
      <c r="Z4" s="3">
        <f>Table1[[#This Row],[Join Date]]-Table1[[#This Row],[Job Posting Date]]</f>
        <v>43</v>
      </c>
      <c r="AA4" s="3">
        <v>155</v>
      </c>
    </row>
    <row r="5" spans="1:27" x14ac:dyDescent="0.2">
      <c r="A5" t="s">
        <v>36</v>
      </c>
      <c r="B5" t="s">
        <v>26</v>
      </c>
      <c r="C5" t="s">
        <v>24</v>
      </c>
      <c r="D5" t="s">
        <v>25</v>
      </c>
      <c r="E5" s="1">
        <v>43304</v>
      </c>
      <c r="F5" s="1">
        <v>43382</v>
      </c>
      <c r="G5" s="1">
        <v>43392</v>
      </c>
      <c r="H5" s="1">
        <v>44040</v>
      </c>
      <c r="I5" t="s">
        <v>37</v>
      </c>
      <c r="J5" s="12">
        <v>2914</v>
      </c>
      <c r="K5">
        <v>4</v>
      </c>
      <c r="L5">
        <v>3</v>
      </c>
      <c r="M5" t="s">
        <v>288</v>
      </c>
      <c r="N5" s="4">
        <v>2</v>
      </c>
      <c r="O5" s="7" t="s">
        <v>293</v>
      </c>
      <c r="T5" s="4">
        <f>Table1[[#This Row],[Hire Date]]-Table1[[#This Row],[Job Posting Date]]</f>
        <v>78</v>
      </c>
      <c r="U5" s="11">
        <f>Table1[[#This Row],[Join Date]]-Table1[[#This Row],[Hire Date]]</f>
        <v>10</v>
      </c>
      <c r="V5" s="11">
        <f ca="1">IF(Table1[[#This Row],[Status]]="Exited",Table1[[#This Row],[Exit Date]]-Table1[[#This Row],[Join Date]],TODAY()-Table1[[#This Row],[Join Date]])</f>
        <v>648</v>
      </c>
      <c r="W5" s="3" t="str">
        <f t="shared" ca="1" si="0"/>
        <v>yes</v>
      </c>
      <c r="X5" s="4">
        <f>Table1[[#This Row],[Hire Date]]-Table1[[#This Row],[Job Posting Date]]</f>
        <v>78</v>
      </c>
      <c r="Y5" s="10">
        <f t="shared" si="1"/>
        <v>12.820512820512819</v>
      </c>
      <c r="Z5" s="4">
        <f>Table1[[#This Row],[Join Date]]-Table1[[#This Row],[Job Posting Date]]</f>
        <v>88</v>
      </c>
      <c r="AA5" s="4">
        <v>104</v>
      </c>
    </row>
    <row r="6" spans="1:27" x14ac:dyDescent="0.2">
      <c r="A6" t="s">
        <v>38</v>
      </c>
      <c r="B6" t="s">
        <v>26</v>
      </c>
      <c r="C6" t="s">
        <v>22</v>
      </c>
      <c r="D6" t="s">
        <v>23</v>
      </c>
      <c r="E6" s="1">
        <v>44052</v>
      </c>
      <c r="F6" s="1">
        <v>44139</v>
      </c>
      <c r="G6" s="1">
        <v>44143</v>
      </c>
      <c r="H6" s="1" t="s">
        <v>32</v>
      </c>
      <c r="I6" t="s">
        <v>33</v>
      </c>
      <c r="J6" s="12">
        <v>4229</v>
      </c>
      <c r="K6">
        <v>1</v>
      </c>
      <c r="L6">
        <v>0</v>
      </c>
      <c r="M6" t="s">
        <v>287</v>
      </c>
      <c r="N6" s="3">
        <v>1</v>
      </c>
      <c r="O6" s="6" t="s">
        <v>292</v>
      </c>
      <c r="T6" s="3">
        <f>Table1[[#This Row],[Hire Date]]-Table1[[#This Row],[Job Posting Date]]</f>
        <v>87</v>
      </c>
      <c r="U6" s="9">
        <f>Table1[[#This Row],[Join Date]]-Table1[[#This Row],[Hire Date]]</f>
        <v>4</v>
      </c>
      <c r="V6" s="9">
        <f ca="1">IF(Table1[[#This Row],[Status]]="Exited",Table1[[#This Row],[Exit Date]]-Table1[[#This Row],[Join Date]],TODAY()-Table1[[#This Row],[Join Date]])</f>
        <v>1531</v>
      </c>
      <c r="W6" s="3" t="str">
        <f t="shared" ca="1" si="0"/>
        <v>no</v>
      </c>
      <c r="X6" s="3">
        <f>Table1[[#This Row],[Hire Date]]-Table1[[#This Row],[Job Posting Date]]</f>
        <v>87</v>
      </c>
      <c r="Y6" s="10">
        <f t="shared" si="1"/>
        <v>4.5977011494252871</v>
      </c>
      <c r="Z6" s="3">
        <f>Table1[[#This Row],[Join Date]]-Table1[[#This Row],[Job Posting Date]]</f>
        <v>91</v>
      </c>
      <c r="AA6" s="3">
        <v>139</v>
      </c>
    </row>
    <row r="7" spans="1:27" x14ac:dyDescent="0.2">
      <c r="A7" t="s">
        <v>39</v>
      </c>
      <c r="B7" t="s">
        <v>26</v>
      </c>
      <c r="C7" t="s">
        <v>20</v>
      </c>
      <c r="D7" t="s">
        <v>21</v>
      </c>
      <c r="E7" s="1">
        <v>43654</v>
      </c>
      <c r="F7" s="1">
        <v>43710</v>
      </c>
      <c r="G7" s="1">
        <v>43711</v>
      </c>
      <c r="H7" s="1">
        <v>44771</v>
      </c>
      <c r="I7" t="s">
        <v>37</v>
      </c>
      <c r="J7" s="12">
        <v>3552</v>
      </c>
      <c r="K7">
        <v>8</v>
      </c>
      <c r="L7">
        <v>5</v>
      </c>
      <c r="M7" t="s">
        <v>287</v>
      </c>
      <c r="N7" s="4">
        <v>1</v>
      </c>
      <c r="O7" s="7" t="s">
        <v>293</v>
      </c>
      <c r="T7" s="4">
        <f>Table1[[#This Row],[Hire Date]]-Table1[[#This Row],[Job Posting Date]]</f>
        <v>56</v>
      </c>
      <c r="U7" s="11">
        <f>Table1[[#This Row],[Join Date]]-Table1[[#This Row],[Hire Date]]</f>
        <v>1</v>
      </c>
      <c r="V7" s="11">
        <f ca="1">IF(Table1[[#This Row],[Status]]="Exited",Table1[[#This Row],[Exit Date]]-Table1[[#This Row],[Join Date]],TODAY()-Table1[[#This Row],[Join Date]])</f>
        <v>1060</v>
      </c>
      <c r="W7" s="3" t="str">
        <f t="shared" ca="1" si="0"/>
        <v>no</v>
      </c>
      <c r="X7" s="4">
        <f>Table1[[#This Row],[Hire Date]]-Table1[[#This Row],[Job Posting Date]]</f>
        <v>56</v>
      </c>
      <c r="Y7" s="10">
        <f t="shared" si="1"/>
        <v>1.7857142857142856</v>
      </c>
      <c r="Z7" s="4">
        <f>Table1[[#This Row],[Join Date]]-Table1[[#This Row],[Job Posting Date]]</f>
        <v>57</v>
      </c>
      <c r="AA7" s="4">
        <v>188</v>
      </c>
    </row>
    <row r="8" spans="1:27" x14ac:dyDescent="0.2">
      <c r="A8" t="s">
        <v>40</v>
      </c>
      <c r="B8" t="s">
        <v>27</v>
      </c>
      <c r="C8" t="s">
        <v>16</v>
      </c>
      <c r="D8" t="s">
        <v>17</v>
      </c>
      <c r="E8" s="1">
        <v>44215</v>
      </c>
      <c r="F8" s="1">
        <v>44280</v>
      </c>
      <c r="G8" s="1">
        <v>44283</v>
      </c>
      <c r="H8" s="1" t="s">
        <v>32</v>
      </c>
      <c r="I8" t="s">
        <v>33</v>
      </c>
      <c r="J8" s="12">
        <v>4027</v>
      </c>
      <c r="K8">
        <v>7</v>
      </c>
      <c r="L8">
        <v>6</v>
      </c>
      <c r="M8" t="s">
        <v>286</v>
      </c>
      <c r="N8" s="3">
        <v>1</v>
      </c>
      <c r="O8" s="6" t="s">
        <v>292</v>
      </c>
      <c r="T8" s="3">
        <f>Table1[[#This Row],[Hire Date]]-Table1[[#This Row],[Job Posting Date]]</f>
        <v>65</v>
      </c>
      <c r="U8" s="9">
        <f>Table1[[#This Row],[Join Date]]-Table1[[#This Row],[Hire Date]]</f>
        <v>3</v>
      </c>
      <c r="V8" s="9">
        <f ca="1">IF(Table1[[#This Row],[Status]]="Exited",Table1[[#This Row],[Exit Date]]-Table1[[#This Row],[Join Date]],TODAY()-Table1[[#This Row],[Join Date]])</f>
        <v>1391</v>
      </c>
      <c r="W8" s="3" t="str">
        <f t="shared" ca="1" si="0"/>
        <v>no</v>
      </c>
      <c r="X8" s="3">
        <f>Table1[[#This Row],[Hire Date]]-Table1[[#This Row],[Job Posting Date]]</f>
        <v>65</v>
      </c>
      <c r="Y8" s="10">
        <f t="shared" si="1"/>
        <v>4.6153846153846159</v>
      </c>
      <c r="Z8" s="3">
        <f>Table1[[#This Row],[Join Date]]-Table1[[#This Row],[Job Posting Date]]</f>
        <v>68</v>
      </c>
      <c r="AA8" s="3">
        <v>159</v>
      </c>
    </row>
    <row r="9" spans="1:27" x14ac:dyDescent="0.2">
      <c r="A9" t="s">
        <v>41</v>
      </c>
      <c r="B9" t="s">
        <v>28</v>
      </c>
      <c r="C9" t="s">
        <v>24</v>
      </c>
      <c r="D9" t="s">
        <v>25</v>
      </c>
      <c r="E9" s="1">
        <v>44119</v>
      </c>
      <c r="F9" s="1">
        <v>44137</v>
      </c>
      <c r="G9" s="1">
        <v>44151</v>
      </c>
      <c r="H9" s="1">
        <v>44707</v>
      </c>
      <c r="I9" t="s">
        <v>37</v>
      </c>
      <c r="J9" s="12">
        <v>1791</v>
      </c>
      <c r="K9">
        <v>7</v>
      </c>
      <c r="L9">
        <v>5</v>
      </c>
      <c r="M9" t="s">
        <v>287</v>
      </c>
      <c r="N9" s="4">
        <v>1</v>
      </c>
      <c r="O9" s="7" t="s">
        <v>293</v>
      </c>
      <c r="T9" s="4">
        <f>Table1[[#This Row],[Hire Date]]-Table1[[#This Row],[Job Posting Date]]</f>
        <v>18</v>
      </c>
      <c r="U9" s="11">
        <f>Table1[[#This Row],[Join Date]]-Table1[[#This Row],[Hire Date]]</f>
        <v>14</v>
      </c>
      <c r="V9" s="11">
        <f ca="1">IF(Table1[[#This Row],[Status]]="Exited",Table1[[#This Row],[Exit Date]]-Table1[[#This Row],[Join Date]],TODAY()-Table1[[#This Row],[Join Date]])</f>
        <v>556</v>
      </c>
      <c r="W9" s="3" t="str">
        <f t="shared" ca="1" si="0"/>
        <v>yes</v>
      </c>
      <c r="X9" s="4">
        <f>Table1[[#This Row],[Hire Date]]-Table1[[#This Row],[Job Posting Date]]</f>
        <v>18</v>
      </c>
      <c r="Y9" s="10">
        <f t="shared" si="1"/>
        <v>77.777777777777786</v>
      </c>
      <c r="Z9" s="4">
        <f>Table1[[#This Row],[Join Date]]-Table1[[#This Row],[Job Posting Date]]</f>
        <v>32</v>
      </c>
      <c r="AA9" s="4">
        <v>126</v>
      </c>
    </row>
    <row r="10" spans="1:27" x14ac:dyDescent="0.2">
      <c r="A10" t="s">
        <v>42</v>
      </c>
      <c r="B10" t="s">
        <v>26</v>
      </c>
      <c r="C10" t="s">
        <v>24</v>
      </c>
      <c r="D10" t="s">
        <v>25</v>
      </c>
      <c r="E10" s="1">
        <v>43989</v>
      </c>
      <c r="F10" s="1">
        <v>44027</v>
      </c>
      <c r="G10" s="1">
        <v>44032</v>
      </c>
      <c r="H10" s="1">
        <v>45483</v>
      </c>
      <c r="I10" t="s">
        <v>37</v>
      </c>
      <c r="J10" s="12">
        <v>2878</v>
      </c>
      <c r="K10">
        <v>8</v>
      </c>
      <c r="L10">
        <v>5</v>
      </c>
      <c r="M10" t="s">
        <v>288</v>
      </c>
      <c r="N10" s="3">
        <v>2</v>
      </c>
      <c r="O10" s="6" t="s">
        <v>293</v>
      </c>
      <c r="T10" s="3">
        <f>Table1[[#This Row],[Hire Date]]-Table1[[#This Row],[Job Posting Date]]</f>
        <v>38</v>
      </c>
      <c r="U10" s="9">
        <f>Table1[[#This Row],[Join Date]]-Table1[[#This Row],[Hire Date]]</f>
        <v>5</v>
      </c>
      <c r="V10" s="9">
        <f ca="1">IF(Table1[[#This Row],[Status]]="Exited",Table1[[#This Row],[Exit Date]]-Table1[[#This Row],[Join Date]],TODAY()-Table1[[#This Row],[Join Date]])</f>
        <v>1451</v>
      </c>
      <c r="W10" s="3" t="str">
        <f t="shared" ca="1" si="0"/>
        <v>no</v>
      </c>
      <c r="X10" s="3">
        <f>Table1[[#This Row],[Hire Date]]-Table1[[#This Row],[Job Posting Date]]</f>
        <v>38</v>
      </c>
      <c r="Y10" s="10">
        <f t="shared" si="1"/>
        <v>13.157894736842104</v>
      </c>
      <c r="Z10" s="3">
        <f>Table1[[#This Row],[Join Date]]-Table1[[#This Row],[Job Posting Date]]</f>
        <v>43</v>
      </c>
      <c r="AA10" s="3">
        <v>165</v>
      </c>
    </row>
    <row r="11" spans="1:27" x14ac:dyDescent="0.2">
      <c r="A11" t="s">
        <v>43</v>
      </c>
      <c r="B11" t="s">
        <v>28</v>
      </c>
      <c r="C11" t="s">
        <v>22</v>
      </c>
      <c r="D11" t="s">
        <v>23</v>
      </c>
      <c r="E11" s="1">
        <v>43397</v>
      </c>
      <c r="F11" s="1">
        <v>43445</v>
      </c>
      <c r="G11" s="1">
        <v>43450</v>
      </c>
      <c r="H11" s="1">
        <v>44873</v>
      </c>
      <c r="I11" t="s">
        <v>37</v>
      </c>
      <c r="J11" s="12">
        <v>2743</v>
      </c>
      <c r="K11">
        <v>7</v>
      </c>
      <c r="L11">
        <v>3</v>
      </c>
      <c r="M11" t="s">
        <v>286</v>
      </c>
      <c r="N11" s="4">
        <v>5</v>
      </c>
      <c r="O11" s="7" t="s">
        <v>292</v>
      </c>
      <c r="T11" s="4">
        <f>Table1[[#This Row],[Hire Date]]-Table1[[#This Row],[Job Posting Date]]</f>
        <v>48</v>
      </c>
      <c r="U11" s="11">
        <f>Table1[[#This Row],[Join Date]]-Table1[[#This Row],[Hire Date]]</f>
        <v>5</v>
      </c>
      <c r="V11" s="11">
        <f ca="1">IF(Table1[[#This Row],[Status]]="Exited",Table1[[#This Row],[Exit Date]]-Table1[[#This Row],[Join Date]],TODAY()-Table1[[#This Row],[Join Date]])</f>
        <v>1423</v>
      </c>
      <c r="W11" s="3" t="str">
        <f t="shared" ca="1" si="0"/>
        <v>no</v>
      </c>
      <c r="X11" s="4">
        <f>Table1[[#This Row],[Hire Date]]-Table1[[#This Row],[Job Posting Date]]</f>
        <v>48</v>
      </c>
      <c r="Y11" s="10">
        <f t="shared" si="1"/>
        <v>10.416666666666668</v>
      </c>
      <c r="Z11" s="4">
        <f>Table1[[#This Row],[Join Date]]-Table1[[#This Row],[Job Posting Date]]</f>
        <v>53</v>
      </c>
      <c r="AA11" s="4">
        <v>134</v>
      </c>
    </row>
    <row r="12" spans="1:27" x14ac:dyDescent="0.2">
      <c r="A12" t="s">
        <v>44</v>
      </c>
      <c r="B12" t="s">
        <v>26</v>
      </c>
      <c r="C12" t="s">
        <v>18</v>
      </c>
      <c r="D12" t="s">
        <v>19</v>
      </c>
      <c r="E12" s="1">
        <v>43248</v>
      </c>
      <c r="F12" s="1">
        <v>43268</v>
      </c>
      <c r="G12" s="1">
        <v>43277</v>
      </c>
      <c r="H12" s="1" t="s">
        <v>32</v>
      </c>
      <c r="I12" t="s">
        <v>33</v>
      </c>
      <c r="J12" s="12">
        <v>4525</v>
      </c>
      <c r="K12">
        <v>9</v>
      </c>
      <c r="L12">
        <v>1</v>
      </c>
      <c r="M12" t="s">
        <v>288</v>
      </c>
      <c r="N12" s="3">
        <v>1</v>
      </c>
      <c r="O12" s="6" t="s">
        <v>292</v>
      </c>
      <c r="T12" s="3">
        <f>Table1[[#This Row],[Hire Date]]-Table1[[#This Row],[Job Posting Date]]</f>
        <v>20</v>
      </c>
      <c r="U12" s="9">
        <f>Table1[[#This Row],[Join Date]]-Table1[[#This Row],[Hire Date]]</f>
        <v>9</v>
      </c>
      <c r="V12" s="9">
        <f ca="1">IF(Table1[[#This Row],[Status]]="Exited",Table1[[#This Row],[Exit Date]]-Table1[[#This Row],[Join Date]],TODAY()-Table1[[#This Row],[Join Date]])</f>
        <v>2397</v>
      </c>
      <c r="W12" s="3" t="str">
        <f t="shared" ca="1" si="0"/>
        <v>no</v>
      </c>
      <c r="X12" s="3">
        <f>Table1[[#This Row],[Hire Date]]-Table1[[#This Row],[Job Posting Date]]</f>
        <v>20</v>
      </c>
      <c r="Y12" s="10">
        <f t="shared" si="1"/>
        <v>45</v>
      </c>
      <c r="Z12" s="3">
        <f>Table1[[#This Row],[Join Date]]-Table1[[#This Row],[Job Posting Date]]</f>
        <v>29</v>
      </c>
      <c r="AA12" s="3">
        <v>179</v>
      </c>
    </row>
    <row r="13" spans="1:27" x14ac:dyDescent="0.2">
      <c r="A13" t="s">
        <v>45</v>
      </c>
      <c r="B13" t="s">
        <v>26</v>
      </c>
      <c r="C13" t="s">
        <v>24</v>
      </c>
      <c r="D13" t="s">
        <v>25</v>
      </c>
      <c r="E13" s="1">
        <v>44231</v>
      </c>
      <c r="F13" s="1">
        <v>44259</v>
      </c>
      <c r="G13" s="1">
        <v>44268</v>
      </c>
      <c r="H13" s="1" t="s">
        <v>32</v>
      </c>
      <c r="I13" t="s">
        <v>33</v>
      </c>
      <c r="J13" s="12">
        <v>4195</v>
      </c>
      <c r="K13">
        <v>10</v>
      </c>
      <c r="L13">
        <v>2</v>
      </c>
      <c r="M13" t="s">
        <v>286</v>
      </c>
      <c r="N13" s="4">
        <v>3</v>
      </c>
      <c r="O13" s="7" t="s">
        <v>292</v>
      </c>
      <c r="T13" s="4">
        <f>Table1[[#This Row],[Hire Date]]-Table1[[#This Row],[Job Posting Date]]</f>
        <v>28</v>
      </c>
      <c r="U13" s="11">
        <f>Table1[[#This Row],[Join Date]]-Table1[[#This Row],[Hire Date]]</f>
        <v>9</v>
      </c>
      <c r="V13" s="11">
        <f ca="1">IF(Table1[[#This Row],[Status]]="Exited",Table1[[#This Row],[Exit Date]]-Table1[[#This Row],[Join Date]],TODAY()-Table1[[#This Row],[Join Date]])</f>
        <v>1406</v>
      </c>
      <c r="W13" s="3" t="str">
        <f t="shared" ca="1" si="0"/>
        <v>no</v>
      </c>
      <c r="X13" s="4">
        <f>Table1[[#This Row],[Hire Date]]-Table1[[#This Row],[Job Posting Date]]</f>
        <v>28</v>
      </c>
      <c r="Y13" s="10">
        <f t="shared" si="1"/>
        <v>32.142857142857146</v>
      </c>
      <c r="Z13" s="4">
        <f>Table1[[#This Row],[Join Date]]-Table1[[#This Row],[Job Posting Date]]</f>
        <v>37</v>
      </c>
      <c r="AA13" s="4">
        <v>125</v>
      </c>
    </row>
    <row r="14" spans="1:27" x14ac:dyDescent="0.2">
      <c r="A14" t="s">
        <v>46</v>
      </c>
      <c r="B14" t="s">
        <v>26</v>
      </c>
      <c r="C14" t="s">
        <v>20</v>
      </c>
      <c r="D14" t="s">
        <v>21</v>
      </c>
      <c r="E14" s="1">
        <v>43147</v>
      </c>
      <c r="F14" s="1">
        <v>43214</v>
      </c>
      <c r="G14" s="1">
        <v>43225</v>
      </c>
      <c r="H14" s="1">
        <v>43963</v>
      </c>
      <c r="I14" t="s">
        <v>37</v>
      </c>
      <c r="J14" s="12">
        <v>4160</v>
      </c>
      <c r="K14">
        <v>7</v>
      </c>
      <c r="L14">
        <v>0</v>
      </c>
      <c r="M14" t="s">
        <v>288</v>
      </c>
      <c r="N14" s="3">
        <v>3</v>
      </c>
      <c r="O14" s="6" t="s">
        <v>292</v>
      </c>
      <c r="T14" s="3">
        <f>Table1[[#This Row],[Hire Date]]-Table1[[#This Row],[Job Posting Date]]</f>
        <v>67</v>
      </c>
      <c r="U14" s="9">
        <f>Table1[[#This Row],[Join Date]]-Table1[[#This Row],[Hire Date]]</f>
        <v>11</v>
      </c>
      <c r="V14" s="9">
        <f ca="1">IF(Table1[[#This Row],[Status]]="Exited",Table1[[#This Row],[Exit Date]]-Table1[[#This Row],[Join Date]],TODAY()-Table1[[#This Row],[Join Date]])</f>
        <v>738</v>
      </c>
      <c r="W14" s="3" t="str">
        <f t="shared" ca="1" si="0"/>
        <v>no</v>
      </c>
      <c r="X14" s="3">
        <f>Table1[[#This Row],[Hire Date]]-Table1[[#This Row],[Job Posting Date]]</f>
        <v>67</v>
      </c>
      <c r="Y14" s="10">
        <f t="shared" si="1"/>
        <v>16.417910447761194</v>
      </c>
      <c r="Z14" s="3">
        <f>Table1[[#This Row],[Join Date]]-Table1[[#This Row],[Job Posting Date]]</f>
        <v>78</v>
      </c>
      <c r="AA14" s="3">
        <v>160</v>
      </c>
    </row>
    <row r="15" spans="1:27" x14ac:dyDescent="0.2">
      <c r="A15" t="s">
        <v>47</v>
      </c>
      <c r="B15" t="s">
        <v>26</v>
      </c>
      <c r="C15" t="s">
        <v>22</v>
      </c>
      <c r="D15" t="s">
        <v>23</v>
      </c>
      <c r="E15" s="1">
        <v>44842</v>
      </c>
      <c r="F15" s="1">
        <v>44879</v>
      </c>
      <c r="G15" s="1">
        <v>44888</v>
      </c>
      <c r="H15" s="1" t="s">
        <v>32</v>
      </c>
      <c r="I15" t="s">
        <v>33</v>
      </c>
      <c r="J15" s="12">
        <v>4052</v>
      </c>
      <c r="K15">
        <v>6</v>
      </c>
      <c r="L15">
        <v>3</v>
      </c>
      <c r="M15" t="s">
        <v>287</v>
      </c>
      <c r="N15" s="4">
        <v>3</v>
      </c>
      <c r="O15" s="7" t="s">
        <v>292</v>
      </c>
      <c r="T15" s="4">
        <f>Table1[[#This Row],[Hire Date]]-Table1[[#This Row],[Job Posting Date]]</f>
        <v>37</v>
      </c>
      <c r="U15" s="11">
        <f>Table1[[#This Row],[Join Date]]-Table1[[#This Row],[Hire Date]]</f>
        <v>9</v>
      </c>
      <c r="V15" s="11">
        <f ca="1">IF(Table1[[#This Row],[Status]]="Exited",Table1[[#This Row],[Exit Date]]-Table1[[#This Row],[Join Date]],TODAY()-Table1[[#This Row],[Join Date]])</f>
        <v>786</v>
      </c>
      <c r="W15" s="3" t="str">
        <f t="shared" ca="1" si="0"/>
        <v>no</v>
      </c>
      <c r="X15" s="4">
        <f>Table1[[#This Row],[Hire Date]]-Table1[[#This Row],[Job Posting Date]]</f>
        <v>37</v>
      </c>
      <c r="Y15" s="10">
        <f t="shared" si="1"/>
        <v>24.324324324324326</v>
      </c>
      <c r="Z15" s="4">
        <f>Table1[[#This Row],[Join Date]]-Table1[[#This Row],[Job Posting Date]]</f>
        <v>46</v>
      </c>
      <c r="AA15" s="4">
        <v>135</v>
      </c>
    </row>
    <row r="16" spans="1:27" x14ac:dyDescent="0.2">
      <c r="A16" t="s">
        <v>48</v>
      </c>
      <c r="B16" t="s">
        <v>28</v>
      </c>
      <c r="C16" t="s">
        <v>16</v>
      </c>
      <c r="D16" t="s">
        <v>17</v>
      </c>
      <c r="E16" s="1">
        <v>43490</v>
      </c>
      <c r="F16" s="1">
        <v>43540</v>
      </c>
      <c r="G16" s="1">
        <v>43548</v>
      </c>
      <c r="H16" s="1">
        <v>44950</v>
      </c>
      <c r="I16" t="s">
        <v>37</v>
      </c>
      <c r="J16" s="12">
        <v>4830</v>
      </c>
      <c r="K16">
        <v>7</v>
      </c>
      <c r="L16">
        <v>3</v>
      </c>
      <c r="M16" t="s">
        <v>286</v>
      </c>
      <c r="N16" s="3">
        <v>1</v>
      </c>
      <c r="O16" s="6" t="s">
        <v>293</v>
      </c>
      <c r="T16" s="3">
        <f>Table1[[#This Row],[Hire Date]]-Table1[[#This Row],[Job Posting Date]]</f>
        <v>50</v>
      </c>
      <c r="U16" s="9">
        <f>Table1[[#This Row],[Join Date]]-Table1[[#This Row],[Hire Date]]</f>
        <v>8</v>
      </c>
      <c r="V16" s="9">
        <f ca="1">IF(Table1[[#This Row],[Status]]="Exited",Table1[[#This Row],[Exit Date]]-Table1[[#This Row],[Join Date]],TODAY()-Table1[[#This Row],[Join Date]])</f>
        <v>1402</v>
      </c>
      <c r="W16" s="3" t="str">
        <f t="shared" ca="1" si="0"/>
        <v>no</v>
      </c>
      <c r="X16" s="3">
        <f>Table1[[#This Row],[Hire Date]]-Table1[[#This Row],[Job Posting Date]]</f>
        <v>50</v>
      </c>
      <c r="Y16" s="10">
        <f t="shared" si="1"/>
        <v>16</v>
      </c>
      <c r="Z16" s="3">
        <f>Table1[[#This Row],[Join Date]]-Table1[[#This Row],[Job Posting Date]]</f>
        <v>58</v>
      </c>
      <c r="AA16" s="3">
        <v>166</v>
      </c>
    </row>
    <row r="17" spans="1:27" x14ac:dyDescent="0.2">
      <c r="A17" t="s">
        <v>49</v>
      </c>
      <c r="B17" t="s">
        <v>26</v>
      </c>
      <c r="C17" t="s">
        <v>20</v>
      </c>
      <c r="D17" t="s">
        <v>21</v>
      </c>
      <c r="E17" s="1">
        <v>44760</v>
      </c>
      <c r="F17" s="1">
        <v>44776</v>
      </c>
      <c r="G17" s="1">
        <v>44778</v>
      </c>
      <c r="H17" s="1">
        <v>45453</v>
      </c>
      <c r="I17" t="s">
        <v>37</v>
      </c>
      <c r="J17" s="12">
        <v>2901</v>
      </c>
      <c r="K17">
        <v>9</v>
      </c>
      <c r="L17">
        <v>4</v>
      </c>
      <c r="M17" t="s">
        <v>287</v>
      </c>
      <c r="N17" s="4">
        <v>3</v>
      </c>
      <c r="O17" s="7" t="s">
        <v>292</v>
      </c>
      <c r="T17" s="4">
        <f>Table1[[#This Row],[Hire Date]]-Table1[[#This Row],[Job Posting Date]]</f>
        <v>16</v>
      </c>
      <c r="U17" s="11">
        <f>Table1[[#This Row],[Join Date]]-Table1[[#This Row],[Hire Date]]</f>
        <v>2</v>
      </c>
      <c r="V17" s="11">
        <f ca="1">IF(Table1[[#This Row],[Status]]="Exited",Table1[[#This Row],[Exit Date]]-Table1[[#This Row],[Join Date]],TODAY()-Table1[[#This Row],[Join Date]])</f>
        <v>675</v>
      </c>
      <c r="W17" s="3" t="str">
        <f t="shared" ca="1" si="0"/>
        <v>yes</v>
      </c>
      <c r="X17" s="4">
        <f>Table1[[#This Row],[Hire Date]]-Table1[[#This Row],[Job Posting Date]]</f>
        <v>16</v>
      </c>
      <c r="Y17" s="10">
        <f t="shared" si="1"/>
        <v>12.5</v>
      </c>
      <c r="Z17" s="4">
        <f>Table1[[#This Row],[Join Date]]-Table1[[#This Row],[Job Posting Date]]</f>
        <v>18</v>
      </c>
      <c r="AA17" s="4">
        <v>146</v>
      </c>
    </row>
    <row r="18" spans="1:27" x14ac:dyDescent="0.2">
      <c r="A18" t="s">
        <v>50</v>
      </c>
      <c r="B18" t="s">
        <v>26</v>
      </c>
      <c r="C18" t="s">
        <v>18</v>
      </c>
      <c r="D18" t="s">
        <v>19</v>
      </c>
      <c r="E18" s="1">
        <v>43558</v>
      </c>
      <c r="F18" s="1">
        <v>43582</v>
      </c>
      <c r="G18" s="1">
        <v>43589</v>
      </c>
      <c r="H18" s="1">
        <v>44012</v>
      </c>
      <c r="I18" t="s">
        <v>37</v>
      </c>
      <c r="J18" s="12">
        <v>4492</v>
      </c>
      <c r="K18">
        <v>9</v>
      </c>
      <c r="L18">
        <v>5</v>
      </c>
      <c r="M18" t="s">
        <v>288</v>
      </c>
      <c r="N18" s="3">
        <v>3</v>
      </c>
      <c r="O18" s="6" t="s">
        <v>292</v>
      </c>
      <c r="T18" s="3">
        <f>Table1[[#This Row],[Hire Date]]-Table1[[#This Row],[Job Posting Date]]</f>
        <v>24</v>
      </c>
      <c r="U18" s="9">
        <f>Table1[[#This Row],[Join Date]]-Table1[[#This Row],[Hire Date]]</f>
        <v>7</v>
      </c>
      <c r="V18" s="9">
        <f ca="1">IF(Table1[[#This Row],[Status]]="Exited",Table1[[#This Row],[Exit Date]]-Table1[[#This Row],[Join Date]],TODAY()-Table1[[#This Row],[Join Date]])</f>
        <v>423</v>
      </c>
      <c r="W18" s="3" t="str">
        <f t="shared" ca="1" si="0"/>
        <v>yes</v>
      </c>
      <c r="X18" s="3">
        <f>Table1[[#This Row],[Hire Date]]-Table1[[#This Row],[Job Posting Date]]</f>
        <v>24</v>
      </c>
      <c r="Y18" s="10">
        <f t="shared" si="1"/>
        <v>29.166666666666668</v>
      </c>
      <c r="Z18" s="3">
        <f>Table1[[#This Row],[Join Date]]-Table1[[#This Row],[Job Posting Date]]</f>
        <v>31</v>
      </c>
      <c r="AA18" s="3">
        <v>151</v>
      </c>
    </row>
    <row r="19" spans="1:27" x14ac:dyDescent="0.2">
      <c r="A19" t="s">
        <v>51</v>
      </c>
      <c r="B19" t="s">
        <v>26</v>
      </c>
      <c r="C19" t="s">
        <v>24</v>
      </c>
      <c r="D19" t="s">
        <v>25</v>
      </c>
      <c r="E19" s="1">
        <v>44488</v>
      </c>
      <c r="F19" s="1">
        <v>44544</v>
      </c>
      <c r="G19" s="1">
        <v>44558</v>
      </c>
      <c r="H19" s="1" t="s">
        <v>32</v>
      </c>
      <c r="I19" t="s">
        <v>33</v>
      </c>
      <c r="J19" s="12">
        <v>4471</v>
      </c>
      <c r="K19">
        <v>8</v>
      </c>
      <c r="L19">
        <v>2</v>
      </c>
      <c r="M19" t="s">
        <v>288</v>
      </c>
      <c r="N19" s="4">
        <v>1</v>
      </c>
      <c r="O19" s="7" t="s">
        <v>292</v>
      </c>
      <c r="T19" s="4">
        <f>Table1[[#This Row],[Hire Date]]-Table1[[#This Row],[Job Posting Date]]</f>
        <v>56</v>
      </c>
      <c r="U19" s="11">
        <f>Table1[[#This Row],[Join Date]]-Table1[[#This Row],[Hire Date]]</f>
        <v>14</v>
      </c>
      <c r="V19" s="11">
        <f ca="1">IF(Table1[[#This Row],[Status]]="Exited",Table1[[#This Row],[Exit Date]]-Table1[[#This Row],[Join Date]],TODAY()-Table1[[#This Row],[Join Date]])</f>
        <v>1116</v>
      </c>
      <c r="W19" s="3" t="str">
        <f t="shared" ca="1" si="0"/>
        <v>no</v>
      </c>
      <c r="X19" s="4">
        <f>Table1[[#This Row],[Hire Date]]-Table1[[#This Row],[Job Posting Date]]</f>
        <v>56</v>
      </c>
      <c r="Y19" s="10">
        <f t="shared" si="1"/>
        <v>25</v>
      </c>
      <c r="Z19" s="4">
        <f>Table1[[#This Row],[Join Date]]-Table1[[#This Row],[Job Posting Date]]</f>
        <v>70</v>
      </c>
      <c r="AA19" s="4">
        <v>185</v>
      </c>
    </row>
    <row r="20" spans="1:27" x14ac:dyDescent="0.2">
      <c r="A20" t="s">
        <v>52</v>
      </c>
      <c r="B20" t="s">
        <v>28</v>
      </c>
      <c r="C20" t="s">
        <v>22</v>
      </c>
      <c r="D20" t="s">
        <v>23</v>
      </c>
      <c r="E20" s="1">
        <v>44908</v>
      </c>
      <c r="F20" s="1">
        <v>44966</v>
      </c>
      <c r="G20" s="1">
        <v>44971</v>
      </c>
      <c r="H20" s="1" t="s">
        <v>32</v>
      </c>
      <c r="I20" t="s">
        <v>33</v>
      </c>
      <c r="J20" s="12">
        <v>3081</v>
      </c>
      <c r="K20">
        <v>5</v>
      </c>
      <c r="L20">
        <v>0</v>
      </c>
      <c r="M20" t="s">
        <v>287</v>
      </c>
      <c r="N20" s="3">
        <v>1</v>
      </c>
      <c r="O20" s="6" t="s">
        <v>293</v>
      </c>
      <c r="T20" s="3">
        <f>Table1[[#This Row],[Hire Date]]-Table1[[#This Row],[Job Posting Date]]</f>
        <v>58</v>
      </c>
      <c r="U20" s="9">
        <f>Table1[[#This Row],[Join Date]]-Table1[[#This Row],[Hire Date]]</f>
        <v>5</v>
      </c>
      <c r="V20" s="9">
        <f ca="1">IF(Table1[[#This Row],[Status]]="Exited",Table1[[#This Row],[Exit Date]]-Table1[[#This Row],[Join Date]],TODAY()-Table1[[#This Row],[Join Date]])</f>
        <v>703</v>
      </c>
      <c r="W20" s="3" t="str">
        <f t="shared" ca="1" si="0"/>
        <v>yes</v>
      </c>
      <c r="X20" s="3">
        <f>Table1[[#This Row],[Hire Date]]-Table1[[#This Row],[Job Posting Date]]</f>
        <v>58</v>
      </c>
      <c r="Y20" s="10">
        <f t="shared" si="1"/>
        <v>8.6206896551724146</v>
      </c>
      <c r="Z20" s="3">
        <f>Table1[[#This Row],[Join Date]]-Table1[[#This Row],[Job Posting Date]]</f>
        <v>63</v>
      </c>
      <c r="AA20" s="3">
        <v>130</v>
      </c>
    </row>
    <row r="21" spans="1:27" x14ac:dyDescent="0.2">
      <c r="A21" t="s">
        <v>53</v>
      </c>
      <c r="B21" t="s">
        <v>26</v>
      </c>
      <c r="C21" t="s">
        <v>22</v>
      </c>
      <c r="D21" t="s">
        <v>23</v>
      </c>
      <c r="E21" s="1">
        <v>43814</v>
      </c>
      <c r="F21" s="1">
        <v>43860</v>
      </c>
      <c r="G21" s="1">
        <v>43866</v>
      </c>
      <c r="H21" s="1">
        <v>44366</v>
      </c>
      <c r="I21" t="s">
        <v>37</v>
      </c>
      <c r="J21" s="12">
        <v>3349</v>
      </c>
      <c r="K21">
        <v>2</v>
      </c>
      <c r="L21">
        <v>0</v>
      </c>
      <c r="M21" t="s">
        <v>286</v>
      </c>
      <c r="N21" s="4">
        <v>4</v>
      </c>
      <c r="O21" s="7" t="s">
        <v>292</v>
      </c>
      <c r="T21" s="4">
        <f>Table1[[#This Row],[Hire Date]]-Table1[[#This Row],[Job Posting Date]]</f>
        <v>46</v>
      </c>
      <c r="U21" s="11">
        <f>Table1[[#This Row],[Join Date]]-Table1[[#This Row],[Hire Date]]</f>
        <v>6</v>
      </c>
      <c r="V21" s="11">
        <f ca="1">IF(Table1[[#This Row],[Status]]="Exited",Table1[[#This Row],[Exit Date]]-Table1[[#This Row],[Join Date]],TODAY()-Table1[[#This Row],[Join Date]])</f>
        <v>500</v>
      </c>
      <c r="W21" s="3" t="str">
        <f t="shared" ca="1" si="0"/>
        <v>yes</v>
      </c>
      <c r="X21" s="4">
        <f>Table1[[#This Row],[Hire Date]]-Table1[[#This Row],[Job Posting Date]]</f>
        <v>46</v>
      </c>
      <c r="Y21" s="10">
        <f t="shared" si="1"/>
        <v>13.043478260869565</v>
      </c>
      <c r="Z21" s="4">
        <f>Table1[[#This Row],[Join Date]]-Table1[[#This Row],[Job Posting Date]]</f>
        <v>52</v>
      </c>
      <c r="AA21" s="4">
        <v>124</v>
      </c>
    </row>
    <row r="22" spans="1:27" x14ac:dyDescent="0.2">
      <c r="A22" t="s">
        <v>54</v>
      </c>
      <c r="B22" t="s">
        <v>27</v>
      </c>
      <c r="C22" t="s">
        <v>18</v>
      </c>
      <c r="D22" t="s">
        <v>19</v>
      </c>
      <c r="E22" s="1">
        <v>43690</v>
      </c>
      <c r="F22" s="1">
        <v>43780</v>
      </c>
      <c r="G22" s="1">
        <v>43783</v>
      </c>
      <c r="H22" s="1">
        <v>45229</v>
      </c>
      <c r="I22" t="s">
        <v>37</v>
      </c>
      <c r="J22" s="12">
        <v>2466</v>
      </c>
      <c r="K22">
        <v>3</v>
      </c>
      <c r="L22">
        <v>2</v>
      </c>
      <c r="M22" t="s">
        <v>287</v>
      </c>
      <c r="N22" s="3">
        <v>3</v>
      </c>
      <c r="O22" s="6" t="s">
        <v>293</v>
      </c>
      <c r="T22" s="3">
        <f>Table1[[#This Row],[Hire Date]]-Table1[[#This Row],[Job Posting Date]]</f>
        <v>90</v>
      </c>
      <c r="U22" s="9">
        <f>Table1[[#This Row],[Join Date]]-Table1[[#This Row],[Hire Date]]</f>
        <v>3</v>
      </c>
      <c r="V22" s="9">
        <f ca="1">IF(Table1[[#This Row],[Status]]="Exited",Table1[[#This Row],[Exit Date]]-Table1[[#This Row],[Join Date]],TODAY()-Table1[[#This Row],[Join Date]])</f>
        <v>1446</v>
      </c>
      <c r="W22" s="3" t="str">
        <f t="shared" ca="1" si="0"/>
        <v>no</v>
      </c>
      <c r="X22" s="3">
        <f>Table1[[#This Row],[Hire Date]]-Table1[[#This Row],[Job Posting Date]]</f>
        <v>90</v>
      </c>
      <c r="Y22" s="10">
        <f t="shared" si="1"/>
        <v>3.3333333333333335</v>
      </c>
      <c r="Z22" s="3">
        <f>Table1[[#This Row],[Join Date]]-Table1[[#This Row],[Job Posting Date]]</f>
        <v>93</v>
      </c>
      <c r="AA22" s="3">
        <v>182</v>
      </c>
    </row>
    <row r="23" spans="1:27" x14ac:dyDescent="0.2">
      <c r="A23" t="s">
        <v>55</v>
      </c>
      <c r="B23" t="s">
        <v>26</v>
      </c>
      <c r="C23" t="s">
        <v>24</v>
      </c>
      <c r="D23" t="s">
        <v>25</v>
      </c>
      <c r="E23" s="1">
        <v>44448</v>
      </c>
      <c r="F23" s="1">
        <v>44489</v>
      </c>
      <c r="G23" s="1">
        <v>44498</v>
      </c>
      <c r="H23" s="1" t="s">
        <v>32</v>
      </c>
      <c r="I23" t="s">
        <v>33</v>
      </c>
      <c r="J23" s="12">
        <v>2153</v>
      </c>
      <c r="K23">
        <v>4</v>
      </c>
      <c r="L23">
        <v>0</v>
      </c>
      <c r="M23" t="s">
        <v>287</v>
      </c>
      <c r="N23" s="4">
        <v>1</v>
      </c>
      <c r="O23" s="7" t="s">
        <v>292</v>
      </c>
      <c r="T23" s="4">
        <f>Table1[[#This Row],[Hire Date]]-Table1[[#This Row],[Job Posting Date]]</f>
        <v>41</v>
      </c>
      <c r="U23" s="11">
        <f>Table1[[#This Row],[Join Date]]-Table1[[#This Row],[Hire Date]]</f>
        <v>9</v>
      </c>
      <c r="V23" s="11">
        <f ca="1">IF(Table1[[#This Row],[Status]]="Exited",Table1[[#This Row],[Exit Date]]-Table1[[#This Row],[Join Date]],TODAY()-Table1[[#This Row],[Join Date]])</f>
        <v>1176</v>
      </c>
      <c r="W23" s="3" t="str">
        <f t="shared" ca="1" si="0"/>
        <v>no</v>
      </c>
      <c r="X23" s="4">
        <f>Table1[[#This Row],[Hire Date]]-Table1[[#This Row],[Job Posting Date]]</f>
        <v>41</v>
      </c>
      <c r="Y23" s="10">
        <f t="shared" si="1"/>
        <v>21.951219512195124</v>
      </c>
      <c r="Z23" s="4">
        <f>Table1[[#This Row],[Join Date]]-Table1[[#This Row],[Job Posting Date]]</f>
        <v>50</v>
      </c>
      <c r="AA23" s="4">
        <v>178</v>
      </c>
    </row>
    <row r="24" spans="1:27" x14ac:dyDescent="0.2">
      <c r="A24" t="s">
        <v>56</v>
      </c>
      <c r="B24" t="s">
        <v>28</v>
      </c>
      <c r="C24" t="s">
        <v>18</v>
      </c>
      <c r="D24" t="s">
        <v>19</v>
      </c>
      <c r="E24" s="1">
        <v>43489</v>
      </c>
      <c r="F24" s="1">
        <v>43572</v>
      </c>
      <c r="G24" s="1">
        <v>43583</v>
      </c>
      <c r="H24" s="1" t="s">
        <v>32</v>
      </c>
      <c r="I24" t="s">
        <v>33</v>
      </c>
      <c r="J24" s="12">
        <v>3862</v>
      </c>
      <c r="K24">
        <v>6</v>
      </c>
      <c r="L24">
        <v>2</v>
      </c>
      <c r="M24" t="s">
        <v>286</v>
      </c>
      <c r="N24" s="3">
        <v>1</v>
      </c>
      <c r="O24" s="6" t="s">
        <v>292</v>
      </c>
      <c r="T24" s="3">
        <f>Table1[[#This Row],[Hire Date]]-Table1[[#This Row],[Job Posting Date]]</f>
        <v>83</v>
      </c>
      <c r="U24" s="9">
        <f>Table1[[#This Row],[Join Date]]-Table1[[#This Row],[Hire Date]]</f>
        <v>11</v>
      </c>
      <c r="V24" s="9">
        <f ca="1">IF(Table1[[#This Row],[Status]]="Exited",Table1[[#This Row],[Exit Date]]-Table1[[#This Row],[Join Date]],TODAY()-Table1[[#This Row],[Join Date]])</f>
        <v>2091</v>
      </c>
      <c r="W24" s="3" t="str">
        <f t="shared" ca="1" si="0"/>
        <v>no</v>
      </c>
      <c r="X24" s="3">
        <f>Table1[[#This Row],[Hire Date]]-Table1[[#This Row],[Job Posting Date]]</f>
        <v>83</v>
      </c>
      <c r="Y24" s="10">
        <f t="shared" si="1"/>
        <v>13.253012048192772</v>
      </c>
      <c r="Z24" s="3">
        <f>Table1[[#This Row],[Join Date]]-Table1[[#This Row],[Job Posting Date]]</f>
        <v>94</v>
      </c>
      <c r="AA24" s="3">
        <v>119</v>
      </c>
    </row>
    <row r="25" spans="1:27" x14ac:dyDescent="0.2">
      <c r="A25" t="s">
        <v>57</v>
      </c>
      <c r="B25" t="s">
        <v>28</v>
      </c>
      <c r="C25" t="s">
        <v>16</v>
      </c>
      <c r="D25" t="s">
        <v>17</v>
      </c>
      <c r="E25" s="1">
        <v>43483</v>
      </c>
      <c r="F25" s="1">
        <v>43513</v>
      </c>
      <c r="G25" s="1">
        <v>43525</v>
      </c>
      <c r="H25" s="1">
        <v>45470</v>
      </c>
      <c r="I25" t="s">
        <v>37</v>
      </c>
      <c r="J25" s="12">
        <v>4828</v>
      </c>
      <c r="K25">
        <v>8</v>
      </c>
      <c r="L25">
        <v>1</v>
      </c>
      <c r="M25" t="s">
        <v>287</v>
      </c>
      <c r="N25" s="4">
        <v>3</v>
      </c>
      <c r="O25" s="7" t="s">
        <v>292</v>
      </c>
      <c r="T25" s="4">
        <f>Table1[[#This Row],[Hire Date]]-Table1[[#This Row],[Job Posting Date]]</f>
        <v>30</v>
      </c>
      <c r="U25" s="11">
        <f>Table1[[#This Row],[Join Date]]-Table1[[#This Row],[Hire Date]]</f>
        <v>12</v>
      </c>
      <c r="V25" s="11">
        <f ca="1">IF(Table1[[#This Row],[Status]]="Exited",Table1[[#This Row],[Exit Date]]-Table1[[#This Row],[Join Date]],TODAY()-Table1[[#This Row],[Join Date]])</f>
        <v>1945</v>
      </c>
      <c r="W25" s="3" t="str">
        <f t="shared" ca="1" si="0"/>
        <v>no</v>
      </c>
      <c r="X25" s="4">
        <f>Table1[[#This Row],[Hire Date]]-Table1[[#This Row],[Job Posting Date]]</f>
        <v>30</v>
      </c>
      <c r="Y25" s="10">
        <f t="shared" si="1"/>
        <v>40</v>
      </c>
      <c r="Z25" s="4">
        <f>Table1[[#This Row],[Join Date]]-Table1[[#This Row],[Job Posting Date]]</f>
        <v>42</v>
      </c>
      <c r="AA25" s="4">
        <v>175</v>
      </c>
    </row>
    <row r="26" spans="1:27" x14ac:dyDescent="0.2">
      <c r="A26" t="s">
        <v>58</v>
      </c>
      <c r="B26" t="s">
        <v>26</v>
      </c>
      <c r="C26" t="s">
        <v>20</v>
      </c>
      <c r="D26" t="s">
        <v>21</v>
      </c>
      <c r="E26" s="1">
        <v>44150</v>
      </c>
      <c r="F26" s="1">
        <v>44181</v>
      </c>
      <c r="G26" s="1">
        <v>44193</v>
      </c>
      <c r="H26" s="1">
        <v>44645</v>
      </c>
      <c r="I26" t="s">
        <v>37</v>
      </c>
      <c r="J26" s="12">
        <v>3736</v>
      </c>
      <c r="K26">
        <v>4</v>
      </c>
      <c r="L26">
        <v>2</v>
      </c>
      <c r="M26" t="s">
        <v>288</v>
      </c>
      <c r="N26" s="3">
        <v>5</v>
      </c>
      <c r="O26" s="6" t="s">
        <v>293</v>
      </c>
      <c r="T26" s="3">
        <f>Table1[[#This Row],[Hire Date]]-Table1[[#This Row],[Job Posting Date]]</f>
        <v>31</v>
      </c>
      <c r="U26" s="9">
        <f>Table1[[#This Row],[Join Date]]-Table1[[#This Row],[Hire Date]]</f>
        <v>12</v>
      </c>
      <c r="V26" s="9">
        <f ca="1">IF(Table1[[#This Row],[Status]]="Exited",Table1[[#This Row],[Exit Date]]-Table1[[#This Row],[Join Date]],TODAY()-Table1[[#This Row],[Join Date]])</f>
        <v>452</v>
      </c>
      <c r="W26" s="3" t="str">
        <f t="shared" ca="1" si="0"/>
        <v>yes</v>
      </c>
      <c r="X26" s="3">
        <f>Table1[[#This Row],[Hire Date]]-Table1[[#This Row],[Job Posting Date]]</f>
        <v>31</v>
      </c>
      <c r="Y26" s="10">
        <f t="shared" si="1"/>
        <v>38.70967741935484</v>
      </c>
      <c r="Z26" s="3">
        <f>Table1[[#This Row],[Join Date]]-Table1[[#This Row],[Job Posting Date]]</f>
        <v>43</v>
      </c>
      <c r="AA26" s="3">
        <v>120</v>
      </c>
    </row>
    <row r="27" spans="1:27" x14ac:dyDescent="0.2">
      <c r="A27" t="s">
        <v>59</v>
      </c>
      <c r="B27" t="s">
        <v>28</v>
      </c>
      <c r="C27" t="s">
        <v>24</v>
      </c>
      <c r="D27" t="s">
        <v>25</v>
      </c>
      <c r="E27" s="1">
        <v>44598</v>
      </c>
      <c r="F27" s="1">
        <v>44640</v>
      </c>
      <c r="G27" s="1">
        <v>44653</v>
      </c>
      <c r="H27" s="1" t="s">
        <v>32</v>
      </c>
      <c r="I27" t="s">
        <v>33</v>
      </c>
      <c r="J27" s="12">
        <v>2818</v>
      </c>
      <c r="K27">
        <v>9</v>
      </c>
      <c r="L27">
        <v>2</v>
      </c>
      <c r="M27" t="s">
        <v>287</v>
      </c>
      <c r="N27" s="4">
        <v>4</v>
      </c>
      <c r="O27" s="7" t="s">
        <v>292</v>
      </c>
      <c r="T27" s="4">
        <f>Table1[[#This Row],[Hire Date]]-Table1[[#This Row],[Job Posting Date]]</f>
        <v>42</v>
      </c>
      <c r="U27" s="11">
        <f>Table1[[#This Row],[Join Date]]-Table1[[#This Row],[Hire Date]]</f>
        <v>13</v>
      </c>
      <c r="V27" s="11">
        <f ca="1">IF(Table1[[#This Row],[Status]]="Exited",Table1[[#This Row],[Exit Date]]-Table1[[#This Row],[Join Date]],TODAY()-Table1[[#This Row],[Join Date]])</f>
        <v>1021</v>
      </c>
      <c r="W27" s="3" t="str">
        <f t="shared" ca="1" si="0"/>
        <v>no</v>
      </c>
      <c r="X27" s="4">
        <f>Table1[[#This Row],[Hire Date]]-Table1[[#This Row],[Job Posting Date]]</f>
        <v>42</v>
      </c>
      <c r="Y27" s="10">
        <f t="shared" si="1"/>
        <v>30.952380952380953</v>
      </c>
      <c r="Z27" s="4">
        <f>Table1[[#This Row],[Join Date]]-Table1[[#This Row],[Job Posting Date]]</f>
        <v>55</v>
      </c>
      <c r="AA27" s="4">
        <v>150</v>
      </c>
    </row>
    <row r="28" spans="1:27" x14ac:dyDescent="0.2">
      <c r="A28" t="s">
        <v>60</v>
      </c>
      <c r="B28" t="s">
        <v>26</v>
      </c>
      <c r="C28" t="s">
        <v>16</v>
      </c>
      <c r="D28" t="s">
        <v>17</v>
      </c>
      <c r="E28" s="1">
        <v>43353</v>
      </c>
      <c r="F28" s="1">
        <v>43382</v>
      </c>
      <c r="G28" s="1">
        <v>43386</v>
      </c>
      <c r="H28" s="1">
        <v>43564</v>
      </c>
      <c r="I28" t="s">
        <v>37</v>
      </c>
      <c r="J28" s="12">
        <v>1927</v>
      </c>
      <c r="K28">
        <v>1</v>
      </c>
      <c r="L28">
        <v>0</v>
      </c>
      <c r="M28" t="s">
        <v>288</v>
      </c>
      <c r="N28" s="3">
        <v>5</v>
      </c>
      <c r="O28" s="6" t="s">
        <v>293</v>
      </c>
      <c r="T28" s="3">
        <f>Table1[[#This Row],[Hire Date]]-Table1[[#This Row],[Job Posting Date]]</f>
        <v>29</v>
      </c>
      <c r="U28" s="9">
        <f>Table1[[#This Row],[Join Date]]-Table1[[#This Row],[Hire Date]]</f>
        <v>4</v>
      </c>
      <c r="V28" s="9">
        <f ca="1">IF(Table1[[#This Row],[Status]]="Exited",Table1[[#This Row],[Exit Date]]-Table1[[#This Row],[Join Date]],TODAY()-Table1[[#This Row],[Join Date]])</f>
        <v>178</v>
      </c>
      <c r="W28" s="3" t="str">
        <f t="shared" ca="1" si="0"/>
        <v>yes</v>
      </c>
      <c r="X28" s="3">
        <f>Table1[[#This Row],[Hire Date]]-Table1[[#This Row],[Job Posting Date]]</f>
        <v>29</v>
      </c>
      <c r="Y28" s="10">
        <f t="shared" si="1"/>
        <v>13.793103448275861</v>
      </c>
      <c r="Z28" s="3">
        <f>Table1[[#This Row],[Join Date]]-Table1[[#This Row],[Job Posting Date]]</f>
        <v>33</v>
      </c>
      <c r="AA28" s="3">
        <v>155</v>
      </c>
    </row>
    <row r="29" spans="1:27" x14ac:dyDescent="0.2">
      <c r="A29" t="s">
        <v>61</v>
      </c>
      <c r="B29" t="s">
        <v>28</v>
      </c>
      <c r="C29" t="s">
        <v>24</v>
      </c>
      <c r="D29" t="s">
        <v>25</v>
      </c>
      <c r="E29" s="1">
        <v>44053</v>
      </c>
      <c r="F29" s="1">
        <v>44135</v>
      </c>
      <c r="G29" s="1">
        <v>44139</v>
      </c>
      <c r="H29" s="1" t="s">
        <v>32</v>
      </c>
      <c r="I29" t="s">
        <v>33</v>
      </c>
      <c r="J29" s="12">
        <v>4100</v>
      </c>
      <c r="K29">
        <v>8</v>
      </c>
      <c r="L29">
        <v>2</v>
      </c>
      <c r="M29" t="s">
        <v>288</v>
      </c>
      <c r="N29" s="4">
        <v>3</v>
      </c>
      <c r="O29" s="7" t="s">
        <v>293</v>
      </c>
      <c r="T29" s="4">
        <f>Table1[[#This Row],[Hire Date]]-Table1[[#This Row],[Job Posting Date]]</f>
        <v>82</v>
      </c>
      <c r="U29" s="11">
        <f>Table1[[#This Row],[Join Date]]-Table1[[#This Row],[Hire Date]]</f>
        <v>4</v>
      </c>
      <c r="V29" s="11">
        <f ca="1">IF(Table1[[#This Row],[Status]]="Exited",Table1[[#This Row],[Exit Date]]-Table1[[#This Row],[Join Date]],TODAY()-Table1[[#This Row],[Join Date]])</f>
        <v>1535</v>
      </c>
      <c r="W29" s="3" t="str">
        <f t="shared" ca="1" si="0"/>
        <v>no</v>
      </c>
      <c r="X29" s="4">
        <f>Table1[[#This Row],[Hire Date]]-Table1[[#This Row],[Job Posting Date]]</f>
        <v>82</v>
      </c>
      <c r="Y29" s="10">
        <f t="shared" si="1"/>
        <v>4.8780487804878048</v>
      </c>
      <c r="Z29" s="4">
        <f>Table1[[#This Row],[Join Date]]-Table1[[#This Row],[Job Posting Date]]</f>
        <v>86</v>
      </c>
      <c r="AA29" s="4">
        <v>191</v>
      </c>
    </row>
    <row r="30" spans="1:27" x14ac:dyDescent="0.2">
      <c r="A30" t="s">
        <v>62</v>
      </c>
      <c r="B30" t="s">
        <v>26</v>
      </c>
      <c r="C30" t="s">
        <v>22</v>
      </c>
      <c r="D30" t="s">
        <v>23</v>
      </c>
      <c r="E30" s="1">
        <v>44812</v>
      </c>
      <c r="F30" s="1">
        <v>44851</v>
      </c>
      <c r="G30" s="1">
        <v>44856</v>
      </c>
      <c r="H30" s="1">
        <v>45187</v>
      </c>
      <c r="I30" t="s">
        <v>37</v>
      </c>
      <c r="J30" s="12">
        <v>4152</v>
      </c>
      <c r="K30">
        <v>5</v>
      </c>
      <c r="L30">
        <v>5</v>
      </c>
      <c r="M30" t="s">
        <v>288</v>
      </c>
      <c r="N30" s="3">
        <v>4</v>
      </c>
      <c r="O30" s="6" t="s">
        <v>292</v>
      </c>
      <c r="T30" s="3">
        <f>Table1[[#This Row],[Hire Date]]-Table1[[#This Row],[Job Posting Date]]</f>
        <v>39</v>
      </c>
      <c r="U30" s="9">
        <f>Table1[[#This Row],[Join Date]]-Table1[[#This Row],[Hire Date]]</f>
        <v>5</v>
      </c>
      <c r="V30" s="9">
        <f ca="1">IF(Table1[[#This Row],[Status]]="Exited",Table1[[#This Row],[Exit Date]]-Table1[[#This Row],[Join Date]],TODAY()-Table1[[#This Row],[Join Date]])</f>
        <v>331</v>
      </c>
      <c r="W30" s="3" t="str">
        <f t="shared" ca="1" si="0"/>
        <v>yes</v>
      </c>
      <c r="X30" s="3">
        <f>Table1[[#This Row],[Hire Date]]-Table1[[#This Row],[Job Posting Date]]</f>
        <v>39</v>
      </c>
      <c r="Y30" s="10">
        <f t="shared" si="1"/>
        <v>12.820512820512819</v>
      </c>
      <c r="Z30" s="3">
        <f>Table1[[#This Row],[Join Date]]-Table1[[#This Row],[Job Posting Date]]</f>
        <v>44</v>
      </c>
      <c r="AA30" s="3">
        <v>111</v>
      </c>
    </row>
    <row r="31" spans="1:27" x14ac:dyDescent="0.2">
      <c r="A31" t="s">
        <v>63</v>
      </c>
      <c r="B31" t="s">
        <v>27</v>
      </c>
      <c r="C31" t="s">
        <v>18</v>
      </c>
      <c r="D31" t="s">
        <v>19</v>
      </c>
      <c r="E31" s="1">
        <v>44016</v>
      </c>
      <c r="F31" s="1">
        <v>44056</v>
      </c>
      <c r="G31" s="1">
        <v>44062</v>
      </c>
      <c r="H31" s="1" t="s">
        <v>32</v>
      </c>
      <c r="I31" t="s">
        <v>33</v>
      </c>
      <c r="J31" s="12">
        <v>4981</v>
      </c>
      <c r="K31">
        <v>10</v>
      </c>
      <c r="L31">
        <v>5</v>
      </c>
      <c r="M31" t="s">
        <v>286</v>
      </c>
      <c r="N31" s="4">
        <v>5</v>
      </c>
      <c r="O31" s="7" t="s">
        <v>292</v>
      </c>
      <c r="T31" s="4">
        <f>Table1[[#This Row],[Hire Date]]-Table1[[#This Row],[Job Posting Date]]</f>
        <v>40</v>
      </c>
      <c r="U31" s="11">
        <f>Table1[[#This Row],[Join Date]]-Table1[[#This Row],[Hire Date]]</f>
        <v>6</v>
      </c>
      <c r="V31" s="11">
        <f ca="1">IF(Table1[[#This Row],[Status]]="Exited",Table1[[#This Row],[Exit Date]]-Table1[[#This Row],[Join Date]],TODAY()-Table1[[#This Row],[Join Date]])</f>
        <v>1612</v>
      </c>
      <c r="W31" s="3" t="str">
        <f t="shared" ca="1" si="0"/>
        <v>no</v>
      </c>
      <c r="X31" s="4">
        <f>Table1[[#This Row],[Hire Date]]-Table1[[#This Row],[Job Posting Date]]</f>
        <v>40</v>
      </c>
      <c r="Y31" s="10">
        <f t="shared" si="1"/>
        <v>15</v>
      </c>
      <c r="Z31" s="4">
        <f>Table1[[#This Row],[Join Date]]-Table1[[#This Row],[Job Posting Date]]</f>
        <v>46</v>
      </c>
      <c r="AA31" s="4">
        <v>181</v>
      </c>
    </row>
    <row r="32" spans="1:27" x14ac:dyDescent="0.2">
      <c r="A32" t="s">
        <v>64</v>
      </c>
      <c r="B32" t="s">
        <v>27</v>
      </c>
      <c r="C32" t="s">
        <v>20</v>
      </c>
      <c r="D32" t="s">
        <v>21</v>
      </c>
      <c r="E32" s="1">
        <v>44915</v>
      </c>
      <c r="F32" s="1">
        <v>44961</v>
      </c>
      <c r="G32" s="1">
        <v>44967</v>
      </c>
      <c r="H32" s="1">
        <v>45328</v>
      </c>
      <c r="I32" t="s">
        <v>37</v>
      </c>
      <c r="J32" s="12">
        <v>1780</v>
      </c>
      <c r="K32">
        <v>2</v>
      </c>
      <c r="L32">
        <v>0</v>
      </c>
      <c r="M32" t="s">
        <v>288</v>
      </c>
      <c r="N32" s="3">
        <v>2</v>
      </c>
      <c r="O32" s="6" t="s">
        <v>293</v>
      </c>
      <c r="T32" s="3">
        <f>Table1[[#This Row],[Hire Date]]-Table1[[#This Row],[Job Posting Date]]</f>
        <v>46</v>
      </c>
      <c r="U32" s="9">
        <f>Table1[[#This Row],[Join Date]]-Table1[[#This Row],[Hire Date]]</f>
        <v>6</v>
      </c>
      <c r="V32" s="9">
        <f ca="1">IF(Table1[[#This Row],[Status]]="Exited",Table1[[#This Row],[Exit Date]]-Table1[[#This Row],[Join Date]],TODAY()-Table1[[#This Row],[Join Date]])</f>
        <v>361</v>
      </c>
      <c r="W32" s="3" t="str">
        <f t="shared" ca="1" si="0"/>
        <v>yes</v>
      </c>
      <c r="X32" s="3">
        <f>Table1[[#This Row],[Hire Date]]-Table1[[#This Row],[Job Posting Date]]</f>
        <v>46</v>
      </c>
      <c r="Y32" s="10">
        <f t="shared" si="1"/>
        <v>13.043478260869565</v>
      </c>
      <c r="Z32" s="3">
        <f>Table1[[#This Row],[Join Date]]-Table1[[#This Row],[Job Posting Date]]</f>
        <v>52</v>
      </c>
      <c r="AA32" s="3">
        <v>198</v>
      </c>
    </row>
    <row r="33" spans="1:27" x14ac:dyDescent="0.2">
      <c r="A33" t="s">
        <v>65</v>
      </c>
      <c r="B33" t="s">
        <v>26</v>
      </c>
      <c r="C33" t="s">
        <v>20</v>
      </c>
      <c r="D33" t="s">
        <v>21</v>
      </c>
      <c r="E33" s="1">
        <v>44658</v>
      </c>
      <c r="F33" s="1">
        <v>44738</v>
      </c>
      <c r="G33" s="1">
        <v>44747</v>
      </c>
      <c r="H33" s="1" t="s">
        <v>32</v>
      </c>
      <c r="I33" t="s">
        <v>33</v>
      </c>
      <c r="J33" s="12">
        <v>1780</v>
      </c>
      <c r="K33">
        <v>1</v>
      </c>
      <c r="L33">
        <v>1</v>
      </c>
      <c r="M33" t="s">
        <v>288</v>
      </c>
      <c r="N33" s="4">
        <v>1</v>
      </c>
      <c r="O33" s="7" t="s">
        <v>292</v>
      </c>
      <c r="T33" s="4">
        <f>Table1[[#This Row],[Hire Date]]-Table1[[#This Row],[Job Posting Date]]</f>
        <v>80</v>
      </c>
      <c r="U33" s="11">
        <f>Table1[[#This Row],[Join Date]]-Table1[[#This Row],[Hire Date]]</f>
        <v>9</v>
      </c>
      <c r="V33" s="11">
        <f ca="1">IF(Table1[[#This Row],[Status]]="Exited",Table1[[#This Row],[Exit Date]]-Table1[[#This Row],[Join Date]],TODAY()-Table1[[#This Row],[Join Date]])</f>
        <v>927</v>
      </c>
      <c r="W33" s="3" t="str">
        <f t="shared" ca="1" si="0"/>
        <v>no</v>
      </c>
      <c r="X33" s="4">
        <f>Table1[[#This Row],[Hire Date]]-Table1[[#This Row],[Job Posting Date]]</f>
        <v>80</v>
      </c>
      <c r="Y33" s="10">
        <f t="shared" si="1"/>
        <v>11.25</v>
      </c>
      <c r="Z33" s="4">
        <f>Table1[[#This Row],[Join Date]]-Table1[[#This Row],[Job Posting Date]]</f>
        <v>89</v>
      </c>
      <c r="AA33" s="4">
        <v>104</v>
      </c>
    </row>
    <row r="34" spans="1:27" x14ac:dyDescent="0.2">
      <c r="A34" t="s">
        <v>66</v>
      </c>
      <c r="B34" t="s">
        <v>27</v>
      </c>
      <c r="C34" t="s">
        <v>24</v>
      </c>
      <c r="D34" t="s">
        <v>25</v>
      </c>
      <c r="E34" s="1">
        <v>44643</v>
      </c>
      <c r="F34" s="1">
        <v>44693</v>
      </c>
      <c r="G34" s="1">
        <v>44702</v>
      </c>
      <c r="H34" s="1" t="s">
        <v>32</v>
      </c>
      <c r="I34" t="s">
        <v>33</v>
      </c>
      <c r="J34" s="12">
        <v>4484</v>
      </c>
      <c r="K34">
        <v>3</v>
      </c>
      <c r="L34">
        <v>3</v>
      </c>
      <c r="M34" t="s">
        <v>286</v>
      </c>
      <c r="N34" s="3">
        <v>4</v>
      </c>
      <c r="O34" s="6" t="s">
        <v>293</v>
      </c>
      <c r="T34" s="3">
        <f>Table1[[#This Row],[Hire Date]]-Table1[[#This Row],[Job Posting Date]]</f>
        <v>50</v>
      </c>
      <c r="U34" s="9">
        <f>Table1[[#This Row],[Join Date]]-Table1[[#This Row],[Hire Date]]</f>
        <v>9</v>
      </c>
      <c r="V34" s="9">
        <f ca="1">IF(Table1[[#This Row],[Status]]="Exited",Table1[[#This Row],[Exit Date]]-Table1[[#This Row],[Join Date]],TODAY()-Table1[[#This Row],[Join Date]])</f>
        <v>972</v>
      </c>
      <c r="W34" s="3" t="str">
        <f t="shared" ca="1" si="0"/>
        <v>no</v>
      </c>
      <c r="X34" s="3">
        <f>Table1[[#This Row],[Hire Date]]-Table1[[#This Row],[Job Posting Date]]</f>
        <v>50</v>
      </c>
      <c r="Y34" s="10">
        <f t="shared" si="1"/>
        <v>18</v>
      </c>
      <c r="Z34" s="3">
        <f>Table1[[#This Row],[Join Date]]-Table1[[#This Row],[Job Posting Date]]</f>
        <v>59</v>
      </c>
      <c r="AA34" s="3">
        <v>173</v>
      </c>
    </row>
    <row r="35" spans="1:27" x14ac:dyDescent="0.2">
      <c r="A35" t="s">
        <v>67</v>
      </c>
      <c r="B35" t="s">
        <v>28</v>
      </c>
      <c r="C35" t="s">
        <v>20</v>
      </c>
      <c r="D35" t="s">
        <v>21</v>
      </c>
      <c r="E35" s="1">
        <v>44696</v>
      </c>
      <c r="F35" s="1">
        <v>44727</v>
      </c>
      <c r="G35" s="1">
        <v>44735</v>
      </c>
      <c r="H35" s="1">
        <v>45176</v>
      </c>
      <c r="I35" t="s">
        <v>37</v>
      </c>
      <c r="J35" s="12">
        <v>3730</v>
      </c>
      <c r="K35">
        <v>3</v>
      </c>
      <c r="L35">
        <v>0</v>
      </c>
      <c r="M35" t="s">
        <v>287</v>
      </c>
      <c r="N35" s="4">
        <v>4</v>
      </c>
      <c r="O35" s="7" t="s">
        <v>292</v>
      </c>
      <c r="T35" s="4">
        <f>Table1[[#This Row],[Hire Date]]-Table1[[#This Row],[Job Posting Date]]</f>
        <v>31</v>
      </c>
      <c r="U35" s="11">
        <f>Table1[[#This Row],[Join Date]]-Table1[[#This Row],[Hire Date]]</f>
        <v>8</v>
      </c>
      <c r="V35" s="11">
        <f ca="1">IF(Table1[[#This Row],[Status]]="Exited",Table1[[#This Row],[Exit Date]]-Table1[[#This Row],[Join Date]],TODAY()-Table1[[#This Row],[Join Date]])</f>
        <v>441</v>
      </c>
      <c r="W35" s="3" t="str">
        <f t="shared" ca="1" si="0"/>
        <v>yes</v>
      </c>
      <c r="X35" s="4">
        <f>Table1[[#This Row],[Hire Date]]-Table1[[#This Row],[Job Posting Date]]</f>
        <v>31</v>
      </c>
      <c r="Y35" s="10">
        <f t="shared" si="1"/>
        <v>25.806451612903224</v>
      </c>
      <c r="Z35" s="4">
        <f>Table1[[#This Row],[Join Date]]-Table1[[#This Row],[Job Posting Date]]</f>
        <v>39</v>
      </c>
      <c r="AA35" s="4">
        <v>163</v>
      </c>
    </row>
    <row r="36" spans="1:27" x14ac:dyDescent="0.2">
      <c r="A36" t="s">
        <v>68</v>
      </c>
      <c r="B36" t="s">
        <v>26</v>
      </c>
      <c r="C36" t="s">
        <v>18</v>
      </c>
      <c r="D36" t="s">
        <v>19</v>
      </c>
      <c r="E36" s="1">
        <v>43999</v>
      </c>
      <c r="F36" s="1">
        <v>44076</v>
      </c>
      <c r="G36" s="1">
        <v>44088</v>
      </c>
      <c r="H36" s="1" t="s">
        <v>32</v>
      </c>
      <c r="I36" t="s">
        <v>33</v>
      </c>
      <c r="J36" s="12">
        <v>1743</v>
      </c>
      <c r="K36">
        <v>2</v>
      </c>
      <c r="L36">
        <v>1</v>
      </c>
      <c r="M36" t="s">
        <v>287</v>
      </c>
      <c r="N36" s="3">
        <v>2</v>
      </c>
      <c r="O36" s="6" t="s">
        <v>292</v>
      </c>
      <c r="T36" s="3">
        <f>Table1[[#This Row],[Hire Date]]-Table1[[#This Row],[Job Posting Date]]</f>
        <v>77</v>
      </c>
      <c r="U36" s="9">
        <f>Table1[[#This Row],[Join Date]]-Table1[[#This Row],[Hire Date]]</f>
        <v>12</v>
      </c>
      <c r="V36" s="9">
        <f ca="1">IF(Table1[[#This Row],[Status]]="Exited",Table1[[#This Row],[Exit Date]]-Table1[[#This Row],[Join Date]],TODAY()-Table1[[#This Row],[Join Date]])</f>
        <v>1586</v>
      </c>
      <c r="W36" s="3" t="str">
        <f t="shared" ca="1" si="0"/>
        <v>no</v>
      </c>
      <c r="X36" s="3">
        <f>Table1[[#This Row],[Hire Date]]-Table1[[#This Row],[Job Posting Date]]</f>
        <v>77</v>
      </c>
      <c r="Y36" s="10">
        <f t="shared" si="1"/>
        <v>15.584415584415584</v>
      </c>
      <c r="Z36" s="3">
        <f>Table1[[#This Row],[Join Date]]-Table1[[#This Row],[Job Posting Date]]</f>
        <v>89</v>
      </c>
      <c r="AA36" s="3">
        <v>177</v>
      </c>
    </row>
    <row r="37" spans="1:27" x14ac:dyDescent="0.2">
      <c r="A37" t="s">
        <v>69</v>
      </c>
      <c r="B37" t="s">
        <v>27</v>
      </c>
      <c r="C37" t="s">
        <v>20</v>
      </c>
      <c r="D37" t="s">
        <v>21</v>
      </c>
      <c r="E37" s="1">
        <v>43986</v>
      </c>
      <c r="F37" s="1">
        <v>44041</v>
      </c>
      <c r="G37" s="1">
        <v>44055</v>
      </c>
      <c r="H37" s="1">
        <v>44449</v>
      </c>
      <c r="I37" t="s">
        <v>37</v>
      </c>
      <c r="J37" s="12">
        <v>1703</v>
      </c>
      <c r="K37">
        <v>9</v>
      </c>
      <c r="L37">
        <v>7</v>
      </c>
      <c r="M37" t="s">
        <v>288</v>
      </c>
      <c r="N37" s="4">
        <v>1</v>
      </c>
      <c r="O37" s="7" t="s">
        <v>292</v>
      </c>
      <c r="T37" s="4">
        <f>Table1[[#This Row],[Hire Date]]-Table1[[#This Row],[Job Posting Date]]</f>
        <v>55</v>
      </c>
      <c r="U37" s="11">
        <f>Table1[[#This Row],[Join Date]]-Table1[[#This Row],[Hire Date]]</f>
        <v>14</v>
      </c>
      <c r="V37" s="11">
        <f ca="1">IF(Table1[[#This Row],[Status]]="Exited",Table1[[#This Row],[Exit Date]]-Table1[[#This Row],[Join Date]],TODAY()-Table1[[#This Row],[Join Date]])</f>
        <v>394</v>
      </c>
      <c r="W37" s="3" t="str">
        <f t="shared" ca="1" si="0"/>
        <v>yes</v>
      </c>
      <c r="X37" s="4">
        <f>Table1[[#This Row],[Hire Date]]-Table1[[#This Row],[Job Posting Date]]</f>
        <v>55</v>
      </c>
      <c r="Y37" s="10">
        <f t="shared" si="1"/>
        <v>25.454545454545453</v>
      </c>
      <c r="Z37" s="4">
        <f>Table1[[#This Row],[Join Date]]-Table1[[#This Row],[Job Posting Date]]</f>
        <v>69</v>
      </c>
      <c r="AA37" s="4">
        <v>170</v>
      </c>
    </row>
    <row r="38" spans="1:27" x14ac:dyDescent="0.2">
      <c r="A38" t="s">
        <v>70</v>
      </c>
      <c r="B38" t="s">
        <v>28</v>
      </c>
      <c r="C38" t="s">
        <v>16</v>
      </c>
      <c r="D38" t="s">
        <v>17</v>
      </c>
      <c r="E38" s="1">
        <v>43824</v>
      </c>
      <c r="F38" s="1">
        <v>43878</v>
      </c>
      <c r="G38" s="1">
        <v>43890</v>
      </c>
      <c r="H38" s="1" t="s">
        <v>32</v>
      </c>
      <c r="I38" t="s">
        <v>33</v>
      </c>
      <c r="J38" s="12">
        <v>4250</v>
      </c>
      <c r="K38">
        <v>2</v>
      </c>
      <c r="L38">
        <v>2</v>
      </c>
      <c r="M38" t="s">
        <v>286</v>
      </c>
      <c r="N38" s="3">
        <v>4</v>
      </c>
      <c r="O38" s="6" t="s">
        <v>293</v>
      </c>
      <c r="T38" s="3">
        <f>Table1[[#This Row],[Hire Date]]-Table1[[#This Row],[Job Posting Date]]</f>
        <v>54</v>
      </c>
      <c r="U38" s="9">
        <f>Table1[[#This Row],[Join Date]]-Table1[[#This Row],[Hire Date]]</f>
        <v>12</v>
      </c>
      <c r="V38" s="9">
        <f ca="1">IF(Table1[[#This Row],[Status]]="Exited",Table1[[#This Row],[Exit Date]]-Table1[[#This Row],[Join Date]],TODAY()-Table1[[#This Row],[Join Date]])</f>
        <v>1784</v>
      </c>
      <c r="W38" s="3" t="str">
        <f t="shared" ca="1" si="0"/>
        <v>no</v>
      </c>
      <c r="X38" s="3">
        <f>Table1[[#This Row],[Hire Date]]-Table1[[#This Row],[Job Posting Date]]</f>
        <v>54</v>
      </c>
      <c r="Y38" s="10">
        <f t="shared" si="1"/>
        <v>22.222222222222221</v>
      </c>
      <c r="Z38" s="3">
        <f>Table1[[#This Row],[Join Date]]-Table1[[#This Row],[Job Posting Date]]</f>
        <v>66</v>
      </c>
      <c r="AA38" s="3">
        <v>117</v>
      </c>
    </row>
    <row r="39" spans="1:27" x14ac:dyDescent="0.2">
      <c r="A39" t="s">
        <v>71</v>
      </c>
      <c r="B39" t="s">
        <v>28</v>
      </c>
      <c r="C39" t="s">
        <v>20</v>
      </c>
      <c r="D39" t="s">
        <v>21</v>
      </c>
      <c r="E39" s="1">
        <v>44330</v>
      </c>
      <c r="F39" s="1">
        <v>44409</v>
      </c>
      <c r="G39" s="1">
        <v>44416</v>
      </c>
      <c r="H39" s="1" t="s">
        <v>32</v>
      </c>
      <c r="I39" t="s">
        <v>33</v>
      </c>
      <c r="J39" s="12">
        <v>4549</v>
      </c>
      <c r="K39">
        <v>1</v>
      </c>
      <c r="L39">
        <v>0</v>
      </c>
      <c r="M39" t="s">
        <v>288</v>
      </c>
      <c r="N39" s="4">
        <v>3</v>
      </c>
      <c r="O39" s="7" t="s">
        <v>293</v>
      </c>
      <c r="T39" s="4">
        <f>Table1[[#This Row],[Hire Date]]-Table1[[#This Row],[Job Posting Date]]</f>
        <v>79</v>
      </c>
      <c r="U39" s="11">
        <f>Table1[[#This Row],[Join Date]]-Table1[[#This Row],[Hire Date]]</f>
        <v>7</v>
      </c>
      <c r="V39" s="11">
        <f ca="1">IF(Table1[[#This Row],[Status]]="Exited",Table1[[#This Row],[Exit Date]]-Table1[[#This Row],[Join Date]],TODAY()-Table1[[#This Row],[Join Date]])</f>
        <v>1258</v>
      </c>
      <c r="W39" s="3" t="str">
        <f t="shared" ca="1" si="0"/>
        <v>no</v>
      </c>
      <c r="X39" s="4">
        <f>Table1[[#This Row],[Hire Date]]-Table1[[#This Row],[Job Posting Date]]</f>
        <v>79</v>
      </c>
      <c r="Y39" s="10">
        <f t="shared" si="1"/>
        <v>8.8607594936708853</v>
      </c>
      <c r="Z39" s="4">
        <f>Table1[[#This Row],[Join Date]]-Table1[[#This Row],[Job Posting Date]]</f>
        <v>86</v>
      </c>
      <c r="AA39" s="4">
        <v>103</v>
      </c>
    </row>
    <row r="40" spans="1:27" x14ac:dyDescent="0.2">
      <c r="A40" t="s">
        <v>72</v>
      </c>
      <c r="B40" t="s">
        <v>27</v>
      </c>
      <c r="C40" t="s">
        <v>18</v>
      </c>
      <c r="D40" t="s">
        <v>19</v>
      </c>
      <c r="E40" s="1">
        <v>44327</v>
      </c>
      <c r="F40" s="1">
        <v>44404</v>
      </c>
      <c r="G40" s="1">
        <v>44413</v>
      </c>
      <c r="H40" s="1">
        <v>45027</v>
      </c>
      <c r="I40" t="s">
        <v>37</v>
      </c>
      <c r="J40" s="12">
        <v>3637</v>
      </c>
      <c r="K40">
        <v>7</v>
      </c>
      <c r="L40">
        <v>5</v>
      </c>
      <c r="M40" t="s">
        <v>288</v>
      </c>
      <c r="N40" s="3">
        <v>3</v>
      </c>
      <c r="O40" s="6" t="s">
        <v>292</v>
      </c>
      <c r="T40" s="3">
        <f>Table1[[#This Row],[Hire Date]]-Table1[[#This Row],[Job Posting Date]]</f>
        <v>77</v>
      </c>
      <c r="U40" s="9">
        <f>Table1[[#This Row],[Join Date]]-Table1[[#This Row],[Hire Date]]</f>
        <v>9</v>
      </c>
      <c r="V40" s="9">
        <f ca="1">IF(Table1[[#This Row],[Status]]="Exited",Table1[[#This Row],[Exit Date]]-Table1[[#This Row],[Join Date]],TODAY()-Table1[[#This Row],[Join Date]])</f>
        <v>614</v>
      </c>
      <c r="W40" s="3" t="str">
        <f t="shared" ca="1" si="0"/>
        <v>yes</v>
      </c>
      <c r="X40" s="3">
        <f>Table1[[#This Row],[Hire Date]]-Table1[[#This Row],[Job Posting Date]]</f>
        <v>77</v>
      </c>
      <c r="Y40" s="10">
        <f t="shared" si="1"/>
        <v>11.688311688311687</v>
      </c>
      <c r="Z40" s="3">
        <f>Table1[[#This Row],[Join Date]]-Table1[[#This Row],[Job Posting Date]]</f>
        <v>86</v>
      </c>
      <c r="AA40" s="3">
        <v>150</v>
      </c>
    </row>
    <row r="41" spans="1:27" x14ac:dyDescent="0.2">
      <c r="A41" t="s">
        <v>73</v>
      </c>
      <c r="B41" t="s">
        <v>26</v>
      </c>
      <c r="C41" t="s">
        <v>16</v>
      </c>
      <c r="D41" t="s">
        <v>17</v>
      </c>
      <c r="E41" s="1">
        <v>43431</v>
      </c>
      <c r="F41" s="1">
        <v>43508</v>
      </c>
      <c r="G41" s="1">
        <v>43518</v>
      </c>
      <c r="H41" s="1" t="s">
        <v>32</v>
      </c>
      <c r="I41" t="s">
        <v>33</v>
      </c>
      <c r="J41" s="12">
        <v>3322</v>
      </c>
      <c r="K41">
        <v>1</v>
      </c>
      <c r="L41">
        <v>0</v>
      </c>
      <c r="M41" t="s">
        <v>288</v>
      </c>
      <c r="N41" s="4">
        <v>4</v>
      </c>
      <c r="O41" s="7" t="s">
        <v>292</v>
      </c>
      <c r="T41" s="4">
        <f>Table1[[#This Row],[Hire Date]]-Table1[[#This Row],[Job Posting Date]]</f>
        <v>77</v>
      </c>
      <c r="U41" s="11">
        <f>Table1[[#This Row],[Join Date]]-Table1[[#This Row],[Hire Date]]</f>
        <v>10</v>
      </c>
      <c r="V41" s="11">
        <f ca="1">IF(Table1[[#This Row],[Status]]="Exited",Table1[[#This Row],[Exit Date]]-Table1[[#This Row],[Join Date]],TODAY()-Table1[[#This Row],[Join Date]])</f>
        <v>2156</v>
      </c>
      <c r="W41" s="3" t="str">
        <f t="shared" ca="1" si="0"/>
        <v>no</v>
      </c>
      <c r="X41" s="4">
        <f>Table1[[#This Row],[Hire Date]]-Table1[[#This Row],[Job Posting Date]]</f>
        <v>77</v>
      </c>
      <c r="Y41" s="10">
        <f t="shared" si="1"/>
        <v>12.987012987012985</v>
      </c>
      <c r="Z41" s="4">
        <f>Table1[[#This Row],[Join Date]]-Table1[[#This Row],[Job Posting Date]]</f>
        <v>87</v>
      </c>
      <c r="AA41" s="4">
        <v>133</v>
      </c>
    </row>
    <row r="42" spans="1:27" x14ac:dyDescent="0.2">
      <c r="A42" t="s">
        <v>74</v>
      </c>
      <c r="B42" t="s">
        <v>26</v>
      </c>
      <c r="C42" t="s">
        <v>22</v>
      </c>
      <c r="D42" t="s">
        <v>23</v>
      </c>
      <c r="E42" s="1">
        <v>43757</v>
      </c>
      <c r="F42" s="1">
        <v>43834</v>
      </c>
      <c r="G42" s="1">
        <v>43845</v>
      </c>
      <c r="H42" s="1">
        <v>45643</v>
      </c>
      <c r="I42" t="s">
        <v>37</v>
      </c>
      <c r="J42" s="12">
        <v>1599</v>
      </c>
      <c r="K42">
        <v>5</v>
      </c>
      <c r="L42">
        <v>4</v>
      </c>
      <c r="M42" t="s">
        <v>287</v>
      </c>
      <c r="N42" s="3">
        <v>2</v>
      </c>
      <c r="O42" s="6" t="s">
        <v>293</v>
      </c>
      <c r="T42" s="3">
        <f>Table1[[#This Row],[Hire Date]]-Table1[[#This Row],[Job Posting Date]]</f>
        <v>77</v>
      </c>
      <c r="U42" s="9">
        <f>Table1[[#This Row],[Join Date]]-Table1[[#This Row],[Hire Date]]</f>
        <v>11</v>
      </c>
      <c r="V42" s="9">
        <f ca="1">IF(Table1[[#This Row],[Status]]="Exited",Table1[[#This Row],[Exit Date]]-Table1[[#This Row],[Join Date]],TODAY()-Table1[[#This Row],[Join Date]])</f>
        <v>1798</v>
      </c>
      <c r="W42" s="3" t="str">
        <f t="shared" ca="1" si="0"/>
        <v>no</v>
      </c>
      <c r="X42" s="3">
        <f>Table1[[#This Row],[Hire Date]]-Table1[[#This Row],[Job Posting Date]]</f>
        <v>77</v>
      </c>
      <c r="Y42" s="10">
        <f t="shared" si="1"/>
        <v>14.285714285714285</v>
      </c>
      <c r="Z42" s="3">
        <f>Table1[[#This Row],[Join Date]]-Table1[[#This Row],[Job Posting Date]]</f>
        <v>88</v>
      </c>
      <c r="AA42" s="3">
        <v>147</v>
      </c>
    </row>
    <row r="43" spans="1:27" x14ac:dyDescent="0.2">
      <c r="A43" t="s">
        <v>75</v>
      </c>
      <c r="B43" t="s">
        <v>26</v>
      </c>
      <c r="C43" t="s">
        <v>20</v>
      </c>
      <c r="D43" t="s">
        <v>21</v>
      </c>
      <c r="E43" s="1">
        <v>43624</v>
      </c>
      <c r="F43" s="1">
        <v>43683</v>
      </c>
      <c r="G43" s="1">
        <v>43698</v>
      </c>
      <c r="H43" s="1" t="s">
        <v>32</v>
      </c>
      <c r="I43" t="s">
        <v>33</v>
      </c>
      <c r="J43" s="12">
        <v>1540</v>
      </c>
      <c r="K43">
        <v>7</v>
      </c>
      <c r="L43">
        <v>4</v>
      </c>
      <c r="M43" t="s">
        <v>288</v>
      </c>
      <c r="N43" s="4">
        <v>3</v>
      </c>
      <c r="O43" s="7" t="s">
        <v>293</v>
      </c>
      <c r="T43" s="4">
        <f>Table1[[#This Row],[Hire Date]]-Table1[[#This Row],[Job Posting Date]]</f>
        <v>59</v>
      </c>
      <c r="U43" s="11">
        <f>Table1[[#This Row],[Join Date]]-Table1[[#This Row],[Hire Date]]</f>
        <v>15</v>
      </c>
      <c r="V43" s="11">
        <f ca="1">IF(Table1[[#This Row],[Status]]="Exited",Table1[[#This Row],[Exit Date]]-Table1[[#This Row],[Join Date]],TODAY()-Table1[[#This Row],[Join Date]])</f>
        <v>1976</v>
      </c>
      <c r="W43" s="3" t="str">
        <f t="shared" ca="1" si="0"/>
        <v>no</v>
      </c>
      <c r="X43" s="4">
        <f>Table1[[#This Row],[Hire Date]]-Table1[[#This Row],[Job Posting Date]]</f>
        <v>59</v>
      </c>
      <c r="Y43" s="10">
        <f t="shared" si="1"/>
        <v>25.423728813559322</v>
      </c>
      <c r="Z43" s="4">
        <f>Table1[[#This Row],[Join Date]]-Table1[[#This Row],[Job Posting Date]]</f>
        <v>74</v>
      </c>
      <c r="AA43" s="4">
        <v>185</v>
      </c>
    </row>
    <row r="44" spans="1:27" x14ac:dyDescent="0.2">
      <c r="A44" t="s">
        <v>76</v>
      </c>
      <c r="B44" t="s">
        <v>26</v>
      </c>
      <c r="C44" t="s">
        <v>24</v>
      </c>
      <c r="D44" t="s">
        <v>25</v>
      </c>
      <c r="E44" s="1">
        <v>44140</v>
      </c>
      <c r="F44" s="1">
        <v>44228</v>
      </c>
      <c r="G44" s="1">
        <v>44238</v>
      </c>
      <c r="H44" s="1" t="s">
        <v>32</v>
      </c>
      <c r="I44" t="s">
        <v>33</v>
      </c>
      <c r="J44" s="12">
        <v>3529</v>
      </c>
      <c r="K44">
        <v>8</v>
      </c>
      <c r="L44">
        <v>3</v>
      </c>
      <c r="M44" t="s">
        <v>287</v>
      </c>
      <c r="N44" s="3">
        <v>2</v>
      </c>
      <c r="O44" s="6" t="s">
        <v>293</v>
      </c>
      <c r="T44" s="3">
        <f>Table1[[#This Row],[Hire Date]]-Table1[[#This Row],[Job Posting Date]]</f>
        <v>88</v>
      </c>
      <c r="U44" s="9">
        <f>Table1[[#This Row],[Join Date]]-Table1[[#This Row],[Hire Date]]</f>
        <v>10</v>
      </c>
      <c r="V44" s="9">
        <f ca="1">IF(Table1[[#This Row],[Status]]="Exited",Table1[[#This Row],[Exit Date]]-Table1[[#This Row],[Join Date]],TODAY()-Table1[[#This Row],[Join Date]])</f>
        <v>1436</v>
      </c>
      <c r="W44" s="3" t="str">
        <f t="shared" ca="1" si="0"/>
        <v>no</v>
      </c>
      <c r="X44" s="3">
        <f>Table1[[#This Row],[Hire Date]]-Table1[[#This Row],[Job Posting Date]]</f>
        <v>88</v>
      </c>
      <c r="Y44" s="10">
        <f t="shared" si="1"/>
        <v>11.363636363636363</v>
      </c>
      <c r="Z44" s="3">
        <f>Table1[[#This Row],[Join Date]]-Table1[[#This Row],[Job Posting Date]]</f>
        <v>98</v>
      </c>
      <c r="AA44" s="3">
        <v>138</v>
      </c>
    </row>
    <row r="45" spans="1:27" x14ac:dyDescent="0.2">
      <c r="A45" t="s">
        <v>77</v>
      </c>
      <c r="B45" t="s">
        <v>27</v>
      </c>
      <c r="C45" t="s">
        <v>16</v>
      </c>
      <c r="D45" t="s">
        <v>17</v>
      </c>
      <c r="E45" s="1">
        <v>43839</v>
      </c>
      <c r="F45" s="1">
        <v>43919</v>
      </c>
      <c r="G45" s="1">
        <v>43920</v>
      </c>
      <c r="H45" s="1">
        <v>45609</v>
      </c>
      <c r="I45" t="s">
        <v>37</v>
      </c>
      <c r="J45" s="12">
        <v>3724</v>
      </c>
      <c r="K45">
        <v>7</v>
      </c>
      <c r="L45">
        <v>3</v>
      </c>
      <c r="M45" t="s">
        <v>286</v>
      </c>
      <c r="N45" s="4">
        <v>4</v>
      </c>
      <c r="O45" s="7" t="s">
        <v>292</v>
      </c>
      <c r="T45" s="4">
        <f>Table1[[#This Row],[Hire Date]]-Table1[[#This Row],[Job Posting Date]]</f>
        <v>80</v>
      </c>
      <c r="U45" s="11">
        <f>Table1[[#This Row],[Join Date]]-Table1[[#This Row],[Hire Date]]</f>
        <v>1</v>
      </c>
      <c r="V45" s="11">
        <f ca="1">IF(Table1[[#This Row],[Status]]="Exited",Table1[[#This Row],[Exit Date]]-Table1[[#This Row],[Join Date]],TODAY()-Table1[[#This Row],[Join Date]])</f>
        <v>1689</v>
      </c>
      <c r="W45" s="3" t="str">
        <f t="shared" ca="1" si="0"/>
        <v>no</v>
      </c>
      <c r="X45" s="4">
        <f>Table1[[#This Row],[Hire Date]]-Table1[[#This Row],[Job Posting Date]]</f>
        <v>80</v>
      </c>
      <c r="Y45" s="10">
        <f t="shared" si="1"/>
        <v>1.25</v>
      </c>
      <c r="Z45" s="4">
        <f>Table1[[#This Row],[Join Date]]-Table1[[#This Row],[Job Posting Date]]</f>
        <v>81</v>
      </c>
      <c r="AA45" s="4">
        <v>131</v>
      </c>
    </row>
    <row r="46" spans="1:27" x14ac:dyDescent="0.2">
      <c r="A46" t="s">
        <v>78</v>
      </c>
      <c r="B46" t="s">
        <v>28</v>
      </c>
      <c r="C46" t="s">
        <v>20</v>
      </c>
      <c r="D46" t="s">
        <v>21</v>
      </c>
      <c r="E46" s="1">
        <v>44183</v>
      </c>
      <c r="F46" s="1">
        <v>44243</v>
      </c>
      <c r="G46" s="1">
        <v>44247</v>
      </c>
      <c r="H46" s="1">
        <v>44636</v>
      </c>
      <c r="I46" t="s">
        <v>37</v>
      </c>
      <c r="J46" s="12">
        <v>3525</v>
      </c>
      <c r="K46">
        <v>1</v>
      </c>
      <c r="L46">
        <v>1</v>
      </c>
      <c r="M46" t="s">
        <v>286</v>
      </c>
      <c r="N46" s="3">
        <v>3</v>
      </c>
      <c r="O46" s="6" t="s">
        <v>293</v>
      </c>
      <c r="T46" s="3">
        <f>Table1[[#This Row],[Hire Date]]-Table1[[#This Row],[Job Posting Date]]</f>
        <v>60</v>
      </c>
      <c r="U46" s="9">
        <f>Table1[[#This Row],[Join Date]]-Table1[[#This Row],[Hire Date]]</f>
        <v>4</v>
      </c>
      <c r="V46" s="9">
        <f ca="1">IF(Table1[[#This Row],[Status]]="Exited",Table1[[#This Row],[Exit Date]]-Table1[[#This Row],[Join Date]],TODAY()-Table1[[#This Row],[Join Date]])</f>
        <v>389</v>
      </c>
      <c r="W46" s="3" t="str">
        <f t="shared" ca="1" si="0"/>
        <v>yes</v>
      </c>
      <c r="X46" s="3">
        <f>Table1[[#This Row],[Hire Date]]-Table1[[#This Row],[Job Posting Date]]</f>
        <v>60</v>
      </c>
      <c r="Y46" s="10">
        <f t="shared" si="1"/>
        <v>6.666666666666667</v>
      </c>
      <c r="Z46" s="3">
        <f>Table1[[#This Row],[Join Date]]-Table1[[#This Row],[Job Posting Date]]</f>
        <v>64</v>
      </c>
      <c r="AA46" s="3">
        <v>156</v>
      </c>
    </row>
    <row r="47" spans="1:27" x14ac:dyDescent="0.2">
      <c r="A47" t="s">
        <v>79</v>
      </c>
      <c r="B47" t="s">
        <v>28</v>
      </c>
      <c r="C47" t="s">
        <v>18</v>
      </c>
      <c r="D47" t="s">
        <v>19</v>
      </c>
      <c r="E47" s="1">
        <v>44775</v>
      </c>
      <c r="F47" s="1">
        <v>44810</v>
      </c>
      <c r="G47" s="1">
        <v>44813</v>
      </c>
      <c r="H47" s="1">
        <v>45125</v>
      </c>
      <c r="I47" t="s">
        <v>37</v>
      </c>
      <c r="J47" s="12">
        <v>2206</v>
      </c>
      <c r="K47">
        <v>5</v>
      </c>
      <c r="L47">
        <v>0</v>
      </c>
      <c r="M47" t="s">
        <v>287</v>
      </c>
      <c r="N47" s="4">
        <v>4</v>
      </c>
      <c r="O47" s="7" t="s">
        <v>293</v>
      </c>
      <c r="T47" s="4">
        <f>Table1[[#This Row],[Hire Date]]-Table1[[#This Row],[Job Posting Date]]</f>
        <v>35</v>
      </c>
      <c r="U47" s="11">
        <f>Table1[[#This Row],[Join Date]]-Table1[[#This Row],[Hire Date]]</f>
        <v>3</v>
      </c>
      <c r="V47" s="11">
        <f ca="1">IF(Table1[[#This Row],[Status]]="Exited",Table1[[#This Row],[Exit Date]]-Table1[[#This Row],[Join Date]],TODAY()-Table1[[#This Row],[Join Date]])</f>
        <v>312</v>
      </c>
      <c r="W47" s="3" t="str">
        <f t="shared" ca="1" si="0"/>
        <v>yes</v>
      </c>
      <c r="X47" s="4">
        <f>Table1[[#This Row],[Hire Date]]-Table1[[#This Row],[Job Posting Date]]</f>
        <v>35</v>
      </c>
      <c r="Y47" s="10">
        <f t="shared" si="1"/>
        <v>8.5714285714285712</v>
      </c>
      <c r="Z47" s="4">
        <f>Table1[[#This Row],[Join Date]]-Table1[[#This Row],[Job Posting Date]]</f>
        <v>38</v>
      </c>
      <c r="AA47" s="4">
        <v>116</v>
      </c>
    </row>
    <row r="48" spans="1:27" x14ac:dyDescent="0.2">
      <c r="A48" t="s">
        <v>80</v>
      </c>
      <c r="B48" t="s">
        <v>26</v>
      </c>
      <c r="C48" t="s">
        <v>22</v>
      </c>
      <c r="D48" t="s">
        <v>23</v>
      </c>
      <c r="E48" s="1">
        <v>43660</v>
      </c>
      <c r="F48" s="1">
        <v>43692</v>
      </c>
      <c r="G48" s="1">
        <v>43698</v>
      </c>
      <c r="H48" s="1">
        <v>44725</v>
      </c>
      <c r="I48" t="s">
        <v>37</v>
      </c>
      <c r="J48" s="12">
        <v>4011</v>
      </c>
      <c r="K48">
        <v>7</v>
      </c>
      <c r="L48">
        <v>7</v>
      </c>
      <c r="M48" t="s">
        <v>286</v>
      </c>
      <c r="N48" s="3">
        <v>4</v>
      </c>
      <c r="O48" s="6" t="s">
        <v>292</v>
      </c>
      <c r="T48" s="3">
        <f>Table1[[#This Row],[Hire Date]]-Table1[[#This Row],[Job Posting Date]]</f>
        <v>32</v>
      </c>
      <c r="U48" s="9">
        <f>Table1[[#This Row],[Join Date]]-Table1[[#This Row],[Hire Date]]</f>
        <v>6</v>
      </c>
      <c r="V48" s="9">
        <f ca="1">IF(Table1[[#This Row],[Status]]="Exited",Table1[[#This Row],[Exit Date]]-Table1[[#This Row],[Join Date]],TODAY()-Table1[[#This Row],[Join Date]])</f>
        <v>1027</v>
      </c>
      <c r="W48" s="3" t="str">
        <f t="shared" ca="1" si="0"/>
        <v>no</v>
      </c>
      <c r="X48" s="3">
        <f>Table1[[#This Row],[Hire Date]]-Table1[[#This Row],[Job Posting Date]]</f>
        <v>32</v>
      </c>
      <c r="Y48" s="10">
        <f t="shared" si="1"/>
        <v>18.75</v>
      </c>
      <c r="Z48" s="3">
        <f>Table1[[#This Row],[Join Date]]-Table1[[#This Row],[Job Posting Date]]</f>
        <v>38</v>
      </c>
      <c r="AA48" s="3">
        <v>116</v>
      </c>
    </row>
    <row r="49" spans="1:27" x14ac:dyDescent="0.2">
      <c r="A49" t="s">
        <v>81</v>
      </c>
      <c r="B49" t="s">
        <v>27</v>
      </c>
      <c r="C49" t="s">
        <v>24</v>
      </c>
      <c r="D49" t="s">
        <v>25</v>
      </c>
      <c r="E49" s="1">
        <v>43152</v>
      </c>
      <c r="F49" s="1">
        <v>43187</v>
      </c>
      <c r="G49" s="1">
        <v>43196</v>
      </c>
      <c r="H49" s="1" t="s">
        <v>32</v>
      </c>
      <c r="I49" t="s">
        <v>33</v>
      </c>
      <c r="J49" s="12">
        <v>2345</v>
      </c>
      <c r="K49">
        <v>5</v>
      </c>
      <c r="L49">
        <v>1</v>
      </c>
      <c r="M49" t="s">
        <v>287</v>
      </c>
      <c r="N49" s="4">
        <v>2</v>
      </c>
      <c r="O49" s="7" t="s">
        <v>292</v>
      </c>
      <c r="T49" s="4">
        <f>Table1[[#This Row],[Hire Date]]-Table1[[#This Row],[Job Posting Date]]</f>
        <v>35</v>
      </c>
      <c r="U49" s="11">
        <f>Table1[[#This Row],[Join Date]]-Table1[[#This Row],[Hire Date]]</f>
        <v>9</v>
      </c>
      <c r="V49" s="11">
        <f ca="1">IF(Table1[[#This Row],[Status]]="Exited",Table1[[#This Row],[Exit Date]]-Table1[[#This Row],[Join Date]],TODAY()-Table1[[#This Row],[Join Date]])</f>
        <v>2478</v>
      </c>
      <c r="W49" s="3" t="str">
        <f t="shared" ca="1" si="0"/>
        <v>no</v>
      </c>
      <c r="X49" s="4">
        <f>Table1[[#This Row],[Hire Date]]-Table1[[#This Row],[Job Posting Date]]</f>
        <v>35</v>
      </c>
      <c r="Y49" s="10">
        <f t="shared" si="1"/>
        <v>25.714285714285712</v>
      </c>
      <c r="Z49" s="4">
        <f>Table1[[#This Row],[Join Date]]-Table1[[#This Row],[Job Posting Date]]</f>
        <v>44</v>
      </c>
      <c r="AA49" s="4">
        <v>179</v>
      </c>
    </row>
    <row r="50" spans="1:27" x14ac:dyDescent="0.2">
      <c r="A50" t="s">
        <v>82</v>
      </c>
      <c r="B50" t="s">
        <v>28</v>
      </c>
      <c r="C50" t="s">
        <v>18</v>
      </c>
      <c r="D50" t="s">
        <v>19</v>
      </c>
      <c r="E50" s="1">
        <v>44907</v>
      </c>
      <c r="F50" s="1">
        <v>44932</v>
      </c>
      <c r="G50" s="1">
        <v>44935</v>
      </c>
      <c r="H50" s="1">
        <v>45190</v>
      </c>
      <c r="I50" t="s">
        <v>37</v>
      </c>
      <c r="J50" s="12">
        <v>2587</v>
      </c>
      <c r="K50">
        <v>3</v>
      </c>
      <c r="L50">
        <v>2</v>
      </c>
      <c r="M50" t="s">
        <v>286</v>
      </c>
      <c r="N50" s="3">
        <v>1</v>
      </c>
      <c r="O50" s="6" t="s">
        <v>293</v>
      </c>
      <c r="T50" s="3">
        <f>Table1[[#This Row],[Hire Date]]-Table1[[#This Row],[Job Posting Date]]</f>
        <v>25</v>
      </c>
      <c r="U50" s="9">
        <f>Table1[[#This Row],[Join Date]]-Table1[[#This Row],[Hire Date]]</f>
        <v>3</v>
      </c>
      <c r="V50" s="9">
        <f ca="1">IF(Table1[[#This Row],[Status]]="Exited",Table1[[#This Row],[Exit Date]]-Table1[[#This Row],[Join Date]],TODAY()-Table1[[#This Row],[Join Date]])</f>
        <v>255</v>
      </c>
      <c r="W50" s="3" t="str">
        <f t="shared" ca="1" si="0"/>
        <v>yes</v>
      </c>
      <c r="X50" s="3">
        <f>Table1[[#This Row],[Hire Date]]-Table1[[#This Row],[Job Posting Date]]</f>
        <v>25</v>
      </c>
      <c r="Y50" s="10">
        <f t="shared" si="1"/>
        <v>12</v>
      </c>
      <c r="Z50" s="3">
        <f>Table1[[#This Row],[Join Date]]-Table1[[#This Row],[Job Posting Date]]</f>
        <v>28</v>
      </c>
      <c r="AA50" s="3">
        <v>182</v>
      </c>
    </row>
    <row r="51" spans="1:27" x14ac:dyDescent="0.2">
      <c r="A51" t="s">
        <v>83</v>
      </c>
      <c r="B51" t="s">
        <v>26</v>
      </c>
      <c r="C51" t="s">
        <v>24</v>
      </c>
      <c r="D51" t="s">
        <v>25</v>
      </c>
      <c r="E51" s="1">
        <v>43611</v>
      </c>
      <c r="F51" s="1">
        <v>43633</v>
      </c>
      <c r="G51" s="1">
        <v>43634</v>
      </c>
      <c r="H51" s="1">
        <v>43756</v>
      </c>
      <c r="I51" t="s">
        <v>37</v>
      </c>
      <c r="J51" s="12">
        <v>4174</v>
      </c>
      <c r="K51">
        <v>8</v>
      </c>
      <c r="L51">
        <v>4</v>
      </c>
      <c r="M51" t="s">
        <v>286</v>
      </c>
      <c r="N51" s="4">
        <v>3</v>
      </c>
      <c r="O51" s="7" t="s">
        <v>293</v>
      </c>
      <c r="T51" s="4">
        <f>Table1[[#This Row],[Hire Date]]-Table1[[#This Row],[Job Posting Date]]</f>
        <v>22</v>
      </c>
      <c r="U51" s="11">
        <f>Table1[[#This Row],[Join Date]]-Table1[[#This Row],[Hire Date]]</f>
        <v>1</v>
      </c>
      <c r="V51" s="11">
        <f ca="1">IF(Table1[[#This Row],[Status]]="Exited",Table1[[#This Row],[Exit Date]]-Table1[[#This Row],[Join Date]],TODAY()-Table1[[#This Row],[Join Date]])</f>
        <v>122</v>
      </c>
      <c r="W51" s="3" t="str">
        <f t="shared" ca="1" si="0"/>
        <v>yes</v>
      </c>
      <c r="X51" s="4">
        <f>Table1[[#This Row],[Hire Date]]-Table1[[#This Row],[Job Posting Date]]</f>
        <v>22</v>
      </c>
      <c r="Y51" s="10">
        <f t="shared" si="1"/>
        <v>4.5454545454545459</v>
      </c>
      <c r="Z51" s="4">
        <f>Table1[[#This Row],[Join Date]]-Table1[[#This Row],[Job Posting Date]]</f>
        <v>23</v>
      </c>
      <c r="AA51" s="4">
        <v>196</v>
      </c>
    </row>
    <row r="52" spans="1:27" x14ac:dyDescent="0.2">
      <c r="A52" t="s">
        <v>84</v>
      </c>
      <c r="B52" t="s">
        <v>28</v>
      </c>
      <c r="C52" t="s">
        <v>24</v>
      </c>
      <c r="D52" t="s">
        <v>25</v>
      </c>
      <c r="E52" s="1">
        <v>44244</v>
      </c>
      <c r="F52" s="1">
        <v>44279</v>
      </c>
      <c r="G52" s="1">
        <v>44280</v>
      </c>
      <c r="H52" s="1">
        <v>45055</v>
      </c>
      <c r="I52" t="s">
        <v>37</v>
      </c>
      <c r="J52" s="12">
        <v>2210</v>
      </c>
      <c r="K52">
        <v>9</v>
      </c>
      <c r="L52">
        <v>8</v>
      </c>
      <c r="M52" t="s">
        <v>288</v>
      </c>
      <c r="N52" s="3">
        <v>1</v>
      </c>
      <c r="O52" s="6" t="s">
        <v>292</v>
      </c>
      <c r="T52" s="3">
        <f>Table1[[#This Row],[Hire Date]]-Table1[[#This Row],[Job Posting Date]]</f>
        <v>35</v>
      </c>
      <c r="U52" s="9">
        <f>Table1[[#This Row],[Join Date]]-Table1[[#This Row],[Hire Date]]</f>
        <v>1</v>
      </c>
      <c r="V52" s="9">
        <f ca="1">IF(Table1[[#This Row],[Status]]="Exited",Table1[[#This Row],[Exit Date]]-Table1[[#This Row],[Join Date]],TODAY()-Table1[[#This Row],[Join Date]])</f>
        <v>775</v>
      </c>
      <c r="W52" s="3" t="str">
        <f t="shared" ca="1" si="0"/>
        <v>no</v>
      </c>
      <c r="X52" s="3">
        <f>Table1[[#This Row],[Hire Date]]-Table1[[#This Row],[Job Posting Date]]</f>
        <v>35</v>
      </c>
      <c r="Y52" s="10">
        <f t="shared" si="1"/>
        <v>2.8571428571428572</v>
      </c>
      <c r="Z52" s="3">
        <f>Table1[[#This Row],[Join Date]]-Table1[[#This Row],[Job Posting Date]]</f>
        <v>36</v>
      </c>
      <c r="AA52" s="3">
        <v>197</v>
      </c>
    </row>
    <row r="53" spans="1:27" x14ac:dyDescent="0.2">
      <c r="A53" t="s">
        <v>85</v>
      </c>
      <c r="B53" t="s">
        <v>26</v>
      </c>
      <c r="C53" t="s">
        <v>18</v>
      </c>
      <c r="D53" t="s">
        <v>19</v>
      </c>
      <c r="E53" s="1">
        <v>43411</v>
      </c>
      <c r="F53" s="1">
        <v>43469</v>
      </c>
      <c r="G53" s="1">
        <v>43474</v>
      </c>
      <c r="H53" s="1">
        <v>43788</v>
      </c>
      <c r="I53" t="s">
        <v>37</v>
      </c>
      <c r="J53" s="12">
        <v>4620</v>
      </c>
      <c r="K53">
        <v>4</v>
      </c>
      <c r="L53">
        <v>2</v>
      </c>
      <c r="M53" t="s">
        <v>287</v>
      </c>
      <c r="N53" s="4">
        <v>2</v>
      </c>
      <c r="O53" s="7" t="s">
        <v>293</v>
      </c>
      <c r="T53" s="4">
        <f>Table1[[#This Row],[Hire Date]]-Table1[[#This Row],[Job Posting Date]]</f>
        <v>58</v>
      </c>
      <c r="U53" s="11">
        <f>Table1[[#This Row],[Join Date]]-Table1[[#This Row],[Hire Date]]</f>
        <v>5</v>
      </c>
      <c r="V53" s="11">
        <f ca="1">IF(Table1[[#This Row],[Status]]="Exited",Table1[[#This Row],[Exit Date]]-Table1[[#This Row],[Join Date]],TODAY()-Table1[[#This Row],[Join Date]])</f>
        <v>314</v>
      </c>
      <c r="W53" s="3" t="str">
        <f t="shared" ca="1" si="0"/>
        <v>yes</v>
      </c>
      <c r="X53" s="4">
        <f>Table1[[#This Row],[Hire Date]]-Table1[[#This Row],[Job Posting Date]]</f>
        <v>58</v>
      </c>
      <c r="Y53" s="10">
        <f t="shared" si="1"/>
        <v>8.6206896551724146</v>
      </c>
      <c r="Z53" s="4">
        <f>Table1[[#This Row],[Join Date]]-Table1[[#This Row],[Job Posting Date]]</f>
        <v>63</v>
      </c>
      <c r="AA53" s="4">
        <v>102</v>
      </c>
    </row>
    <row r="54" spans="1:27" x14ac:dyDescent="0.2">
      <c r="A54" t="s">
        <v>86</v>
      </c>
      <c r="B54" t="s">
        <v>26</v>
      </c>
      <c r="C54" t="s">
        <v>22</v>
      </c>
      <c r="D54" t="s">
        <v>23</v>
      </c>
      <c r="E54" s="1">
        <v>44232</v>
      </c>
      <c r="F54" s="1">
        <v>44267</v>
      </c>
      <c r="G54" s="1">
        <v>44277</v>
      </c>
      <c r="H54" s="1">
        <v>45358</v>
      </c>
      <c r="I54" t="s">
        <v>37</v>
      </c>
      <c r="J54" s="12">
        <v>3336</v>
      </c>
      <c r="K54">
        <v>8</v>
      </c>
      <c r="L54">
        <v>4</v>
      </c>
      <c r="M54" t="s">
        <v>286</v>
      </c>
      <c r="N54" s="3">
        <v>4</v>
      </c>
      <c r="O54" s="6" t="s">
        <v>293</v>
      </c>
      <c r="T54" s="3">
        <f>Table1[[#This Row],[Hire Date]]-Table1[[#This Row],[Job Posting Date]]</f>
        <v>35</v>
      </c>
      <c r="U54" s="9">
        <f>Table1[[#This Row],[Join Date]]-Table1[[#This Row],[Hire Date]]</f>
        <v>10</v>
      </c>
      <c r="V54" s="9">
        <f ca="1">IF(Table1[[#This Row],[Status]]="Exited",Table1[[#This Row],[Exit Date]]-Table1[[#This Row],[Join Date]],TODAY()-Table1[[#This Row],[Join Date]])</f>
        <v>1081</v>
      </c>
      <c r="W54" s="3" t="str">
        <f t="shared" ca="1" si="0"/>
        <v>no</v>
      </c>
      <c r="X54" s="3">
        <f>Table1[[#This Row],[Hire Date]]-Table1[[#This Row],[Job Posting Date]]</f>
        <v>35</v>
      </c>
      <c r="Y54" s="10">
        <f t="shared" si="1"/>
        <v>28.571428571428569</v>
      </c>
      <c r="Z54" s="3">
        <f>Table1[[#This Row],[Join Date]]-Table1[[#This Row],[Job Posting Date]]</f>
        <v>45</v>
      </c>
      <c r="AA54" s="3">
        <v>106</v>
      </c>
    </row>
    <row r="55" spans="1:27" x14ac:dyDescent="0.2">
      <c r="A55" t="s">
        <v>87</v>
      </c>
      <c r="B55" t="s">
        <v>27</v>
      </c>
      <c r="C55" t="s">
        <v>18</v>
      </c>
      <c r="D55" t="s">
        <v>19</v>
      </c>
      <c r="E55" s="1">
        <v>44782</v>
      </c>
      <c r="F55" s="1">
        <v>44827</v>
      </c>
      <c r="G55" s="1">
        <v>44834</v>
      </c>
      <c r="H55" s="1">
        <v>45454</v>
      </c>
      <c r="I55" t="s">
        <v>37</v>
      </c>
      <c r="J55" s="12">
        <v>3574</v>
      </c>
      <c r="K55">
        <v>2</v>
      </c>
      <c r="L55">
        <v>2</v>
      </c>
      <c r="M55" t="s">
        <v>287</v>
      </c>
      <c r="N55" s="4">
        <v>2</v>
      </c>
      <c r="O55" s="7" t="s">
        <v>292</v>
      </c>
      <c r="T55" s="4">
        <f>Table1[[#This Row],[Hire Date]]-Table1[[#This Row],[Job Posting Date]]</f>
        <v>45</v>
      </c>
      <c r="U55" s="11">
        <f>Table1[[#This Row],[Join Date]]-Table1[[#This Row],[Hire Date]]</f>
        <v>7</v>
      </c>
      <c r="V55" s="11">
        <f ca="1">IF(Table1[[#This Row],[Status]]="Exited",Table1[[#This Row],[Exit Date]]-Table1[[#This Row],[Join Date]],TODAY()-Table1[[#This Row],[Join Date]])</f>
        <v>620</v>
      </c>
      <c r="W55" s="3" t="str">
        <f t="shared" ca="1" si="0"/>
        <v>yes</v>
      </c>
      <c r="X55" s="4">
        <f>Table1[[#This Row],[Hire Date]]-Table1[[#This Row],[Job Posting Date]]</f>
        <v>45</v>
      </c>
      <c r="Y55" s="10">
        <f t="shared" si="1"/>
        <v>15.555555555555555</v>
      </c>
      <c r="Z55" s="4">
        <f>Table1[[#This Row],[Join Date]]-Table1[[#This Row],[Job Posting Date]]</f>
        <v>52</v>
      </c>
      <c r="AA55" s="4">
        <v>101</v>
      </c>
    </row>
    <row r="56" spans="1:27" x14ac:dyDescent="0.2">
      <c r="A56" t="s">
        <v>88</v>
      </c>
      <c r="B56" t="s">
        <v>27</v>
      </c>
      <c r="C56" t="s">
        <v>16</v>
      </c>
      <c r="D56" t="s">
        <v>17</v>
      </c>
      <c r="E56" s="1">
        <v>44266</v>
      </c>
      <c r="F56" s="1">
        <v>44283</v>
      </c>
      <c r="G56" s="1">
        <v>44298</v>
      </c>
      <c r="H56" s="1" t="s">
        <v>32</v>
      </c>
      <c r="I56" t="s">
        <v>33</v>
      </c>
      <c r="J56" s="12">
        <v>2092</v>
      </c>
      <c r="K56">
        <v>4</v>
      </c>
      <c r="L56">
        <v>2</v>
      </c>
      <c r="M56" t="s">
        <v>288</v>
      </c>
      <c r="N56" s="3">
        <v>5</v>
      </c>
      <c r="O56" s="6" t="s">
        <v>292</v>
      </c>
      <c r="T56" s="3">
        <f>Table1[[#This Row],[Hire Date]]-Table1[[#This Row],[Job Posting Date]]</f>
        <v>17</v>
      </c>
      <c r="U56" s="9">
        <f>Table1[[#This Row],[Join Date]]-Table1[[#This Row],[Hire Date]]</f>
        <v>15</v>
      </c>
      <c r="V56" s="9">
        <f ca="1">IF(Table1[[#This Row],[Status]]="Exited",Table1[[#This Row],[Exit Date]]-Table1[[#This Row],[Join Date]],TODAY()-Table1[[#This Row],[Join Date]])</f>
        <v>1376</v>
      </c>
      <c r="W56" s="3" t="str">
        <f t="shared" ca="1" si="0"/>
        <v>no</v>
      </c>
      <c r="X56" s="3">
        <f>Table1[[#This Row],[Hire Date]]-Table1[[#This Row],[Job Posting Date]]</f>
        <v>17</v>
      </c>
      <c r="Y56" s="10">
        <f t="shared" si="1"/>
        <v>88.235294117647058</v>
      </c>
      <c r="Z56" s="3">
        <f>Table1[[#This Row],[Join Date]]-Table1[[#This Row],[Job Posting Date]]</f>
        <v>32</v>
      </c>
      <c r="AA56" s="3">
        <v>171</v>
      </c>
    </row>
    <row r="57" spans="1:27" x14ac:dyDescent="0.2">
      <c r="A57" t="s">
        <v>89</v>
      </c>
      <c r="B57" t="s">
        <v>28</v>
      </c>
      <c r="C57" t="s">
        <v>16</v>
      </c>
      <c r="D57" t="s">
        <v>17</v>
      </c>
      <c r="E57" s="1">
        <v>43703</v>
      </c>
      <c r="F57" s="1">
        <v>43736</v>
      </c>
      <c r="G57" s="1">
        <v>43743</v>
      </c>
      <c r="H57" s="1" t="s">
        <v>32</v>
      </c>
      <c r="I57" t="s">
        <v>33</v>
      </c>
      <c r="J57" s="12">
        <v>3891</v>
      </c>
      <c r="K57">
        <v>5</v>
      </c>
      <c r="L57">
        <v>5</v>
      </c>
      <c r="M57" t="s">
        <v>286</v>
      </c>
      <c r="N57" s="4">
        <v>5</v>
      </c>
      <c r="O57" s="7" t="s">
        <v>293</v>
      </c>
      <c r="T57" s="4">
        <f>Table1[[#This Row],[Hire Date]]-Table1[[#This Row],[Job Posting Date]]</f>
        <v>33</v>
      </c>
      <c r="U57" s="11">
        <f>Table1[[#This Row],[Join Date]]-Table1[[#This Row],[Hire Date]]</f>
        <v>7</v>
      </c>
      <c r="V57" s="11">
        <f ca="1">IF(Table1[[#This Row],[Status]]="Exited",Table1[[#This Row],[Exit Date]]-Table1[[#This Row],[Join Date]],TODAY()-Table1[[#This Row],[Join Date]])</f>
        <v>1931</v>
      </c>
      <c r="W57" s="3" t="str">
        <f t="shared" ca="1" si="0"/>
        <v>no</v>
      </c>
      <c r="X57" s="4">
        <f>Table1[[#This Row],[Hire Date]]-Table1[[#This Row],[Job Posting Date]]</f>
        <v>33</v>
      </c>
      <c r="Y57" s="10">
        <f t="shared" si="1"/>
        <v>21.212121212121211</v>
      </c>
      <c r="Z57" s="4">
        <f>Table1[[#This Row],[Join Date]]-Table1[[#This Row],[Job Posting Date]]</f>
        <v>40</v>
      </c>
      <c r="AA57" s="4">
        <v>129</v>
      </c>
    </row>
    <row r="58" spans="1:27" x14ac:dyDescent="0.2">
      <c r="A58" t="s">
        <v>90</v>
      </c>
      <c r="B58" t="s">
        <v>26</v>
      </c>
      <c r="C58" t="s">
        <v>20</v>
      </c>
      <c r="D58" t="s">
        <v>21</v>
      </c>
      <c r="E58" s="1">
        <v>43503</v>
      </c>
      <c r="F58" s="1">
        <v>43588</v>
      </c>
      <c r="G58" s="1">
        <v>43597</v>
      </c>
      <c r="H58" s="1">
        <v>45027</v>
      </c>
      <c r="I58" t="s">
        <v>37</v>
      </c>
      <c r="J58" s="12">
        <v>2799</v>
      </c>
      <c r="K58">
        <v>9</v>
      </c>
      <c r="L58">
        <v>0</v>
      </c>
      <c r="M58" t="s">
        <v>288</v>
      </c>
      <c r="N58" s="3">
        <v>2</v>
      </c>
      <c r="O58" s="6" t="s">
        <v>293</v>
      </c>
      <c r="T58" s="3">
        <f>Table1[[#This Row],[Hire Date]]-Table1[[#This Row],[Job Posting Date]]</f>
        <v>85</v>
      </c>
      <c r="U58" s="9">
        <f>Table1[[#This Row],[Join Date]]-Table1[[#This Row],[Hire Date]]</f>
        <v>9</v>
      </c>
      <c r="V58" s="9">
        <f ca="1">IF(Table1[[#This Row],[Status]]="Exited",Table1[[#This Row],[Exit Date]]-Table1[[#This Row],[Join Date]],TODAY()-Table1[[#This Row],[Join Date]])</f>
        <v>1430</v>
      </c>
      <c r="W58" s="3" t="str">
        <f t="shared" ca="1" si="0"/>
        <v>no</v>
      </c>
      <c r="X58" s="3">
        <f>Table1[[#This Row],[Hire Date]]-Table1[[#This Row],[Job Posting Date]]</f>
        <v>85</v>
      </c>
      <c r="Y58" s="10">
        <f t="shared" si="1"/>
        <v>10.588235294117647</v>
      </c>
      <c r="Z58" s="3">
        <f>Table1[[#This Row],[Join Date]]-Table1[[#This Row],[Job Posting Date]]</f>
        <v>94</v>
      </c>
      <c r="AA58" s="3">
        <v>174</v>
      </c>
    </row>
    <row r="59" spans="1:27" x14ac:dyDescent="0.2">
      <c r="A59" t="s">
        <v>91</v>
      </c>
      <c r="B59" t="s">
        <v>26</v>
      </c>
      <c r="C59" t="s">
        <v>18</v>
      </c>
      <c r="D59" t="s">
        <v>19</v>
      </c>
      <c r="E59" s="1">
        <v>44357</v>
      </c>
      <c r="F59" s="1">
        <v>44401</v>
      </c>
      <c r="G59" s="1">
        <v>44405</v>
      </c>
      <c r="H59" s="1">
        <v>45174</v>
      </c>
      <c r="I59" t="s">
        <v>37</v>
      </c>
      <c r="J59" s="12">
        <v>3290</v>
      </c>
      <c r="K59">
        <v>6</v>
      </c>
      <c r="L59">
        <v>3</v>
      </c>
      <c r="M59" t="s">
        <v>286</v>
      </c>
      <c r="N59" s="4">
        <v>5</v>
      </c>
      <c r="O59" s="7" t="s">
        <v>293</v>
      </c>
      <c r="T59" s="4">
        <f>Table1[[#This Row],[Hire Date]]-Table1[[#This Row],[Job Posting Date]]</f>
        <v>44</v>
      </c>
      <c r="U59" s="11">
        <f>Table1[[#This Row],[Join Date]]-Table1[[#This Row],[Hire Date]]</f>
        <v>4</v>
      </c>
      <c r="V59" s="11">
        <f ca="1">IF(Table1[[#This Row],[Status]]="Exited",Table1[[#This Row],[Exit Date]]-Table1[[#This Row],[Join Date]],TODAY()-Table1[[#This Row],[Join Date]])</f>
        <v>769</v>
      </c>
      <c r="W59" s="3" t="str">
        <f t="shared" ca="1" si="0"/>
        <v>no</v>
      </c>
      <c r="X59" s="4">
        <f>Table1[[#This Row],[Hire Date]]-Table1[[#This Row],[Job Posting Date]]</f>
        <v>44</v>
      </c>
      <c r="Y59" s="10">
        <f t="shared" si="1"/>
        <v>9.0909090909090917</v>
      </c>
      <c r="Z59" s="4">
        <f>Table1[[#This Row],[Join Date]]-Table1[[#This Row],[Job Posting Date]]</f>
        <v>48</v>
      </c>
      <c r="AA59" s="4">
        <v>142</v>
      </c>
    </row>
    <row r="60" spans="1:27" x14ac:dyDescent="0.2">
      <c r="A60" t="s">
        <v>92</v>
      </c>
      <c r="B60" t="s">
        <v>28</v>
      </c>
      <c r="C60" t="s">
        <v>24</v>
      </c>
      <c r="D60" t="s">
        <v>25</v>
      </c>
      <c r="E60" s="1">
        <v>44736</v>
      </c>
      <c r="F60" s="1">
        <v>44810</v>
      </c>
      <c r="G60" s="1">
        <v>44821</v>
      </c>
      <c r="H60" s="1">
        <v>45349</v>
      </c>
      <c r="I60" t="s">
        <v>37</v>
      </c>
      <c r="J60" s="12">
        <v>4049</v>
      </c>
      <c r="K60">
        <v>9</v>
      </c>
      <c r="L60">
        <v>0</v>
      </c>
      <c r="M60" t="s">
        <v>288</v>
      </c>
      <c r="N60" s="3">
        <v>2</v>
      </c>
      <c r="O60" s="6" t="s">
        <v>293</v>
      </c>
      <c r="T60" s="3">
        <f>Table1[[#This Row],[Hire Date]]-Table1[[#This Row],[Job Posting Date]]</f>
        <v>74</v>
      </c>
      <c r="U60" s="9">
        <f>Table1[[#This Row],[Join Date]]-Table1[[#This Row],[Hire Date]]</f>
        <v>11</v>
      </c>
      <c r="V60" s="9">
        <f ca="1">IF(Table1[[#This Row],[Status]]="Exited",Table1[[#This Row],[Exit Date]]-Table1[[#This Row],[Join Date]],TODAY()-Table1[[#This Row],[Join Date]])</f>
        <v>528</v>
      </c>
      <c r="W60" s="3" t="str">
        <f t="shared" ca="1" si="0"/>
        <v>yes</v>
      </c>
      <c r="X60" s="3">
        <f>Table1[[#This Row],[Hire Date]]-Table1[[#This Row],[Job Posting Date]]</f>
        <v>74</v>
      </c>
      <c r="Y60" s="10">
        <f t="shared" si="1"/>
        <v>14.864864864864865</v>
      </c>
      <c r="Z60" s="3">
        <f>Table1[[#This Row],[Join Date]]-Table1[[#This Row],[Job Posting Date]]</f>
        <v>85</v>
      </c>
      <c r="AA60" s="3">
        <v>189</v>
      </c>
    </row>
    <row r="61" spans="1:27" x14ac:dyDescent="0.2">
      <c r="A61" t="s">
        <v>93</v>
      </c>
      <c r="B61" t="s">
        <v>26</v>
      </c>
      <c r="C61" t="s">
        <v>22</v>
      </c>
      <c r="D61" t="s">
        <v>23</v>
      </c>
      <c r="E61" s="1">
        <v>44723</v>
      </c>
      <c r="F61" s="1">
        <v>44772</v>
      </c>
      <c r="G61" s="1">
        <v>44777</v>
      </c>
      <c r="H61" s="1">
        <v>45499</v>
      </c>
      <c r="I61" t="s">
        <v>37</v>
      </c>
      <c r="J61" s="12">
        <v>1951</v>
      </c>
      <c r="K61">
        <v>6</v>
      </c>
      <c r="L61">
        <v>6</v>
      </c>
      <c r="M61" t="s">
        <v>287</v>
      </c>
      <c r="N61" s="4">
        <v>1</v>
      </c>
      <c r="O61" s="7" t="s">
        <v>292</v>
      </c>
      <c r="T61" s="4">
        <f>Table1[[#This Row],[Hire Date]]-Table1[[#This Row],[Job Posting Date]]</f>
        <v>49</v>
      </c>
      <c r="U61" s="11">
        <f>Table1[[#This Row],[Join Date]]-Table1[[#This Row],[Hire Date]]</f>
        <v>5</v>
      </c>
      <c r="V61" s="11">
        <f ca="1">IF(Table1[[#This Row],[Status]]="Exited",Table1[[#This Row],[Exit Date]]-Table1[[#This Row],[Join Date]],TODAY()-Table1[[#This Row],[Join Date]])</f>
        <v>722</v>
      </c>
      <c r="W61" s="3" t="str">
        <f t="shared" ca="1" si="0"/>
        <v>yes</v>
      </c>
      <c r="X61" s="4">
        <f>Table1[[#This Row],[Hire Date]]-Table1[[#This Row],[Job Posting Date]]</f>
        <v>49</v>
      </c>
      <c r="Y61" s="10">
        <f t="shared" si="1"/>
        <v>10.204081632653061</v>
      </c>
      <c r="Z61" s="4">
        <f>Table1[[#This Row],[Join Date]]-Table1[[#This Row],[Job Posting Date]]</f>
        <v>54</v>
      </c>
      <c r="AA61" s="4">
        <v>130</v>
      </c>
    </row>
    <row r="62" spans="1:27" x14ac:dyDescent="0.2">
      <c r="A62" t="s">
        <v>94</v>
      </c>
      <c r="B62" t="s">
        <v>27</v>
      </c>
      <c r="C62" t="s">
        <v>20</v>
      </c>
      <c r="D62" t="s">
        <v>21</v>
      </c>
      <c r="E62" s="1">
        <v>43777</v>
      </c>
      <c r="F62" s="1">
        <v>43862</v>
      </c>
      <c r="G62" s="1">
        <v>43869</v>
      </c>
      <c r="H62" s="1" t="s">
        <v>32</v>
      </c>
      <c r="I62" t="s">
        <v>33</v>
      </c>
      <c r="J62" s="12">
        <v>4160</v>
      </c>
      <c r="K62">
        <v>2</v>
      </c>
      <c r="L62">
        <v>1</v>
      </c>
      <c r="M62" t="s">
        <v>286</v>
      </c>
      <c r="N62" s="3">
        <v>2</v>
      </c>
      <c r="O62" s="6" t="s">
        <v>293</v>
      </c>
      <c r="T62" s="3">
        <f>Table1[[#This Row],[Hire Date]]-Table1[[#This Row],[Job Posting Date]]</f>
        <v>85</v>
      </c>
      <c r="U62" s="9">
        <f>Table1[[#This Row],[Join Date]]-Table1[[#This Row],[Hire Date]]</f>
        <v>7</v>
      </c>
      <c r="V62" s="9">
        <f ca="1">IF(Table1[[#This Row],[Status]]="Exited",Table1[[#This Row],[Exit Date]]-Table1[[#This Row],[Join Date]],TODAY()-Table1[[#This Row],[Join Date]])</f>
        <v>1805</v>
      </c>
      <c r="W62" s="3" t="str">
        <f t="shared" ca="1" si="0"/>
        <v>no</v>
      </c>
      <c r="X62" s="3">
        <f>Table1[[#This Row],[Hire Date]]-Table1[[#This Row],[Job Posting Date]]</f>
        <v>85</v>
      </c>
      <c r="Y62" s="10">
        <f t="shared" si="1"/>
        <v>8.235294117647058</v>
      </c>
      <c r="Z62" s="3">
        <f>Table1[[#This Row],[Join Date]]-Table1[[#This Row],[Job Posting Date]]</f>
        <v>92</v>
      </c>
      <c r="AA62" s="3">
        <v>191</v>
      </c>
    </row>
    <row r="63" spans="1:27" x14ac:dyDescent="0.2">
      <c r="A63" t="s">
        <v>95</v>
      </c>
      <c r="B63" t="s">
        <v>27</v>
      </c>
      <c r="C63" t="s">
        <v>24</v>
      </c>
      <c r="D63" t="s">
        <v>25</v>
      </c>
      <c r="E63" s="1">
        <v>44717</v>
      </c>
      <c r="F63" s="1">
        <v>44750</v>
      </c>
      <c r="G63" s="1">
        <v>44757</v>
      </c>
      <c r="H63" s="1" t="s">
        <v>32</v>
      </c>
      <c r="I63" t="s">
        <v>33</v>
      </c>
      <c r="J63" s="12">
        <v>2188</v>
      </c>
      <c r="K63">
        <v>9</v>
      </c>
      <c r="L63">
        <v>1</v>
      </c>
      <c r="M63" t="s">
        <v>287</v>
      </c>
      <c r="N63" s="4">
        <v>2</v>
      </c>
      <c r="O63" s="7" t="s">
        <v>292</v>
      </c>
      <c r="T63" s="4">
        <f>Table1[[#This Row],[Hire Date]]-Table1[[#This Row],[Job Posting Date]]</f>
        <v>33</v>
      </c>
      <c r="U63" s="11">
        <f>Table1[[#This Row],[Join Date]]-Table1[[#This Row],[Hire Date]]</f>
        <v>7</v>
      </c>
      <c r="V63" s="11">
        <f ca="1">IF(Table1[[#This Row],[Status]]="Exited",Table1[[#This Row],[Exit Date]]-Table1[[#This Row],[Join Date]],TODAY()-Table1[[#This Row],[Join Date]])</f>
        <v>917</v>
      </c>
      <c r="W63" s="3" t="str">
        <f t="shared" ca="1" si="0"/>
        <v>no</v>
      </c>
      <c r="X63" s="4">
        <f>Table1[[#This Row],[Hire Date]]-Table1[[#This Row],[Job Posting Date]]</f>
        <v>33</v>
      </c>
      <c r="Y63" s="10">
        <f t="shared" si="1"/>
        <v>21.212121212121211</v>
      </c>
      <c r="Z63" s="4">
        <f>Table1[[#This Row],[Join Date]]-Table1[[#This Row],[Job Posting Date]]</f>
        <v>40</v>
      </c>
      <c r="AA63" s="4">
        <v>171</v>
      </c>
    </row>
    <row r="64" spans="1:27" x14ac:dyDescent="0.2">
      <c r="A64" t="s">
        <v>96</v>
      </c>
      <c r="B64" t="s">
        <v>28</v>
      </c>
      <c r="C64" t="s">
        <v>20</v>
      </c>
      <c r="D64" t="s">
        <v>21</v>
      </c>
      <c r="E64" s="1">
        <v>43739</v>
      </c>
      <c r="F64" s="1">
        <v>43787</v>
      </c>
      <c r="G64" s="1">
        <v>43790</v>
      </c>
      <c r="H64" s="1">
        <v>44042</v>
      </c>
      <c r="I64" t="s">
        <v>37</v>
      </c>
      <c r="J64" s="12">
        <v>3068</v>
      </c>
      <c r="K64">
        <v>7</v>
      </c>
      <c r="L64">
        <v>0</v>
      </c>
      <c r="M64" t="s">
        <v>288</v>
      </c>
      <c r="N64" s="3">
        <v>2</v>
      </c>
      <c r="O64" s="6" t="s">
        <v>292</v>
      </c>
      <c r="T64" s="3">
        <f>Table1[[#This Row],[Hire Date]]-Table1[[#This Row],[Job Posting Date]]</f>
        <v>48</v>
      </c>
      <c r="U64" s="9">
        <f>Table1[[#This Row],[Join Date]]-Table1[[#This Row],[Hire Date]]</f>
        <v>3</v>
      </c>
      <c r="V64" s="9">
        <f ca="1">IF(Table1[[#This Row],[Status]]="Exited",Table1[[#This Row],[Exit Date]]-Table1[[#This Row],[Join Date]],TODAY()-Table1[[#This Row],[Join Date]])</f>
        <v>252</v>
      </c>
      <c r="W64" s="3" t="str">
        <f t="shared" ca="1" si="0"/>
        <v>yes</v>
      </c>
      <c r="X64" s="3">
        <f>Table1[[#This Row],[Hire Date]]-Table1[[#This Row],[Job Posting Date]]</f>
        <v>48</v>
      </c>
      <c r="Y64" s="10">
        <f t="shared" si="1"/>
        <v>6.25</v>
      </c>
      <c r="Z64" s="3">
        <f>Table1[[#This Row],[Join Date]]-Table1[[#This Row],[Job Posting Date]]</f>
        <v>51</v>
      </c>
      <c r="AA64" s="3">
        <v>164</v>
      </c>
    </row>
    <row r="65" spans="1:27" x14ac:dyDescent="0.2">
      <c r="A65" t="s">
        <v>97</v>
      </c>
      <c r="B65" t="s">
        <v>28</v>
      </c>
      <c r="C65" t="s">
        <v>20</v>
      </c>
      <c r="D65" t="s">
        <v>21</v>
      </c>
      <c r="E65" s="1">
        <v>43474</v>
      </c>
      <c r="F65" s="1">
        <v>43540</v>
      </c>
      <c r="G65" s="1">
        <v>43546</v>
      </c>
      <c r="H65" s="1" t="s">
        <v>32</v>
      </c>
      <c r="I65" t="s">
        <v>33</v>
      </c>
      <c r="J65" s="12">
        <v>2357</v>
      </c>
      <c r="K65">
        <v>7</v>
      </c>
      <c r="L65">
        <v>3</v>
      </c>
      <c r="M65" t="s">
        <v>288</v>
      </c>
      <c r="N65" s="4">
        <v>3</v>
      </c>
      <c r="O65" s="7" t="s">
        <v>293</v>
      </c>
      <c r="T65" s="4">
        <f>Table1[[#This Row],[Hire Date]]-Table1[[#This Row],[Job Posting Date]]</f>
        <v>66</v>
      </c>
      <c r="U65" s="11">
        <f>Table1[[#This Row],[Join Date]]-Table1[[#This Row],[Hire Date]]</f>
        <v>6</v>
      </c>
      <c r="V65" s="11">
        <f ca="1">IF(Table1[[#This Row],[Status]]="Exited",Table1[[#This Row],[Exit Date]]-Table1[[#This Row],[Join Date]],TODAY()-Table1[[#This Row],[Join Date]])</f>
        <v>2128</v>
      </c>
      <c r="W65" s="3" t="str">
        <f t="shared" ca="1" si="0"/>
        <v>no</v>
      </c>
      <c r="X65" s="4">
        <f>Table1[[#This Row],[Hire Date]]-Table1[[#This Row],[Job Posting Date]]</f>
        <v>66</v>
      </c>
      <c r="Y65" s="10">
        <f t="shared" si="1"/>
        <v>9.0909090909090917</v>
      </c>
      <c r="Z65" s="4">
        <f>Table1[[#This Row],[Join Date]]-Table1[[#This Row],[Job Posting Date]]</f>
        <v>72</v>
      </c>
      <c r="AA65" s="4">
        <v>127</v>
      </c>
    </row>
    <row r="66" spans="1:27" x14ac:dyDescent="0.2">
      <c r="A66" t="s">
        <v>98</v>
      </c>
      <c r="B66" t="s">
        <v>26</v>
      </c>
      <c r="C66" t="s">
        <v>20</v>
      </c>
      <c r="D66" t="s">
        <v>21</v>
      </c>
      <c r="E66" s="1">
        <v>43113</v>
      </c>
      <c r="F66" s="1">
        <v>43152</v>
      </c>
      <c r="G66" s="1">
        <v>43156</v>
      </c>
      <c r="H66" s="1" t="s">
        <v>32</v>
      </c>
      <c r="I66" t="s">
        <v>33</v>
      </c>
      <c r="J66" s="12">
        <v>2784</v>
      </c>
      <c r="K66">
        <v>9</v>
      </c>
      <c r="L66">
        <v>3</v>
      </c>
      <c r="M66" t="s">
        <v>287</v>
      </c>
      <c r="N66" s="3">
        <v>5</v>
      </c>
      <c r="O66" s="6" t="s">
        <v>293</v>
      </c>
      <c r="T66" s="3">
        <f>Table1[[#This Row],[Hire Date]]-Table1[[#This Row],[Job Posting Date]]</f>
        <v>39</v>
      </c>
      <c r="U66" s="9">
        <f>Table1[[#This Row],[Join Date]]-Table1[[#This Row],[Hire Date]]</f>
        <v>4</v>
      </c>
      <c r="V66" s="9">
        <f ca="1">IF(Table1[[#This Row],[Status]]="Exited",Table1[[#This Row],[Exit Date]]-Table1[[#This Row],[Join Date]],TODAY()-Table1[[#This Row],[Join Date]])</f>
        <v>2518</v>
      </c>
      <c r="W66" s="3" t="str">
        <f t="shared" ca="1" si="0"/>
        <v>no</v>
      </c>
      <c r="X66" s="3">
        <f>Table1[[#This Row],[Hire Date]]-Table1[[#This Row],[Job Posting Date]]</f>
        <v>39</v>
      </c>
      <c r="Y66" s="10">
        <f t="shared" si="1"/>
        <v>10.256410256410255</v>
      </c>
      <c r="Z66" s="3">
        <f>Table1[[#This Row],[Join Date]]-Table1[[#This Row],[Job Posting Date]]</f>
        <v>43</v>
      </c>
      <c r="AA66" s="3">
        <v>154</v>
      </c>
    </row>
    <row r="67" spans="1:27" x14ac:dyDescent="0.2">
      <c r="A67" t="s">
        <v>99</v>
      </c>
      <c r="B67" t="s">
        <v>28</v>
      </c>
      <c r="C67" t="s">
        <v>24</v>
      </c>
      <c r="D67" t="s">
        <v>25</v>
      </c>
      <c r="E67" s="1">
        <v>43440</v>
      </c>
      <c r="F67" s="1">
        <v>43526</v>
      </c>
      <c r="G67" s="1">
        <v>43536</v>
      </c>
      <c r="H67" s="1" t="s">
        <v>32</v>
      </c>
      <c r="I67" t="s">
        <v>33</v>
      </c>
      <c r="J67" s="12">
        <v>3412</v>
      </c>
      <c r="K67">
        <v>7</v>
      </c>
      <c r="L67">
        <v>5</v>
      </c>
      <c r="M67" t="s">
        <v>286</v>
      </c>
      <c r="N67" s="4">
        <v>2</v>
      </c>
      <c r="O67" s="7" t="s">
        <v>293</v>
      </c>
      <c r="T67" s="4">
        <f>Table1[[#This Row],[Hire Date]]-Table1[[#This Row],[Job Posting Date]]</f>
        <v>86</v>
      </c>
      <c r="U67" s="11">
        <f>Table1[[#This Row],[Join Date]]-Table1[[#This Row],[Hire Date]]</f>
        <v>10</v>
      </c>
      <c r="V67" s="11">
        <f ca="1">IF(Table1[[#This Row],[Status]]="Exited",Table1[[#This Row],[Exit Date]]-Table1[[#This Row],[Join Date]],TODAY()-Table1[[#This Row],[Join Date]])</f>
        <v>2138</v>
      </c>
      <c r="W67" s="3" t="str">
        <f t="shared" ref="W67:W130" ca="1" si="2">IF(V67&lt;=730, "yes","no")</f>
        <v>no</v>
      </c>
      <c r="X67" s="4">
        <f>Table1[[#This Row],[Hire Date]]-Table1[[#This Row],[Job Posting Date]]</f>
        <v>86</v>
      </c>
      <c r="Y67" s="10">
        <f t="shared" ref="Y67:Y130" si="3">U67/T67*100</f>
        <v>11.627906976744185</v>
      </c>
      <c r="Z67" s="4">
        <f>Table1[[#This Row],[Join Date]]-Table1[[#This Row],[Job Posting Date]]</f>
        <v>96</v>
      </c>
      <c r="AA67" s="4">
        <v>144</v>
      </c>
    </row>
    <row r="68" spans="1:27" x14ac:dyDescent="0.2">
      <c r="A68" t="s">
        <v>100</v>
      </c>
      <c r="B68" t="s">
        <v>27</v>
      </c>
      <c r="C68" t="s">
        <v>20</v>
      </c>
      <c r="D68" t="s">
        <v>21</v>
      </c>
      <c r="E68" s="1">
        <v>43254</v>
      </c>
      <c r="F68" s="1">
        <v>43293</v>
      </c>
      <c r="G68" s="1">
        <v>43305</v>
      </c>
      <c r="H68" s="1">
        <v>45064</v>
      </c>
      <c r="I68" t="s">
        <v>37</v>
      </c>
      <c r="J68" s="12">
        <v>4410</v>
      </c>
      <c r="K68">
        <v>4</v>
      </c>
      <c r="L68">
        <v>2</v>
      </c>
      <c r="M68" t="s">
        <v>287</v>
      </c>
      <c r="N68" s="3">
        <v>4</v>
      </c>
      <c r="O68" s="6" t="s">
        <v>292</v>
      </c>
      <c r="T68" s="3">
        <f>Table1[[#This Row],[Hire Date]]-Table1[[#This Row],[Job Posting Date]]</f>
        <v>39</v>
      </c>
      <c r="U68" s="9">
        <f>Table1[[#This Row],[Join Date]]-Table1[[#This Row],[Hire Date]]</f>
        <v>12</v>
      </c>
      <c r="V68" s="9">
        <f ca="1">IF(Table1[[#This Row],[Status]]="Exited",Table1[[#This Row],[Exit Date]]-Table1[[#This Row],[Join Date]],TODAY()-Table1[[#This Row],[Join Date]])</f>
        <v>1759</v>
      </c>
      <c r="W68" s="3" t="str">
        <f t="shared" ca="1" si="2"/>
        <v>no</v>
      </c>
      <c r="X68" s="3">
        <f>Table1[[#This Row],[Hire Date]]-Table1[[#This Row],[Job Posting Date]]</f>
        <v>39</v>
      </c>
      <c r="Y68" s="10">
        <f t="shared" si="3"/>
        <v>30.76923076923077</v>
      </c>
      <c r="Z68" s="3">
        <f>Table1[[#This Row],[Join Date]]-Table1[[#This Row],[Job Posting Date]]</f>
        <v>51</v>
      </c>
      <c r="AA68" s="3">
        <v>159</v>
      </c>
    </row>
    <row r="69" spans="1:27" x14ac:dyDescent="0.2">
      <c r="A69" t="s">
        <v>101</v>
      </c>
      <c r="B69" t="s">
        <v>28</v>
      </c>
      <c r="C69" t="s">
        <v>20</v>
      </c>
      <c r="D69" t="s">
        <v>21</v>
      </c>
      <c r="E69" s="1">
        <v>43791</v>
      </c>
      <c r="F69" s="1">
        <v>43826</v>
      </c>
      <c r="G69" s="1">
        <v>43840</v>
      </c>
      <c r="H69" s="1" t="s">
        <v>32</v>
      </c>
      <c r="I69" t="s">
        <v>33</v>
      </c>
      <c r="J69" s="12">
        <v>2463</v>
      </c>
      <c r="K69">
        <v>9</v>
      </c>
      <c r="L69">
        <v>0</v>
      </c>
      <c r="M69" t="s">
        <v>287</v>
      </c>
      <c r="N69" s="4">
        <v>5</v>
      </c>
      <c r="O69" s="7" t="s">
        <v>292</v>
      </c>
      <c r="T69" s="4">
        <f>Table1[[#This Row],[Hire Date]]-Table1[[#This Row],[Job Posting Date]]</f>
        <v>35</v>
      </c>
      <c r="U69" s="11">
        <f>Table1[[#This Row],[Join Date]]-Table1[[#This Row],[Hire Date]]</f>
        <v>14</v>
      </c>
      <c r="V69" s="11">
        <f ca="1">IF(Table1[[#This Row],[Status]]="Exited",Table1[[#This Row],[Exit Date]]-Table1[[#This Row],[Join Date]],TODAY()-Table1[[#This Row],[Join Date]])</f>
        <v>1834</v>
      </c>
      <c r="W69" s="3" t="str">
        <f t="shared" ca="1" si="2"/>
        <v>no</v>
      </c>
      <c r="X69" s="4">
        <f>Table1[[#This Row],[Hire Date]]-Table1[[#This Row],[Job Posting Date]]</f>
        <v>35</v>
      </c>
      <c r="Y69" s="10">
        <f t="shared" si="3"/>
        <v>40</v>
      </c>
      <c r="Z69" s="4">
        <f>Table1[[#This Row],[Join Date]]-Table1[[#This Row],[Job Posting Date]]</f>
        <v>49</v>
      </c>
      <c r="AA69" s="4">
        <v>184</v>
      </c>
    </row>
    <row r="70" spans="1:27" x14ac:dyDescent="0.2">
      <c r="A70" t="s">
        <v>102</v>
      </c>
      <c r="B70" t="s">
        <v>26</v>
      </c>
      <c r="C70" t="s">
        <v>16</v>
      </c>
      <c r="D70" t="s">
        <v>17</v>
      </c>
      <c r="E70" s="1">
        <v>44250</v>
      </c>
      <c r="F70" s="1">
        <v>44318</v>
      </c>
      <c r="G70" s="1">
        <v>44327</v>
      </c>
      <c r="H70" s="1">
        <v>45380</v>
      </c>
      <c r="I70" t="s">
        <v>37</v>
      </c>
      <c r="J70" s="12">
        <v>4248</v>
      </c>
      <c r="K70">
        <v>3</v>
      </c>
      <c r="L70">
        <v>0</v>
      </c>
      <c r="M70" t="s">
        <v>286</v>
      </c>
      <c r="N70" s="3">
        <v>3</v>
      </c>
      <c r="O70" s="6" t="s">
        <v>292</v>
      </c>
      <c r="T70" s="3">
        <f>Table1[[#This Row],[Hire Date]]-Table1[[#This Row],[Job Posting Date]]</f>
        <v>68</v>
      </c>
      <c r="U70" s="9">
        <f>Table1[[#This Row],[Join Date]]-Table1[[#This Row],[Hire Date]]</f>
        <v>9</v>
      </c>
      <c r="V70" s="9">
        <f ca="1">IF(Table1[[#This Row],[Status]]="Exited",Table1[[#This Row],[Exit Date]]-Table1[[#This Row],[Join Date]],TODAY()-Table1[[#This Row],[Join Date]])</f>
        <v>1053</v>
      </c>
      <c r="W70" s="3" t="str">
        <f t="shared" ca="1" si="2"/>
        <v>no</v>
      </c>
      <c r="X70" s="3">
        <f>Table1[[#This Row],[Hire Date]]-Table1[[#This Row],[Job Posting Date]]</f>
        <v>68</v>
      </c>
      <c r="Y70" s="10">
        <f t="shared" si="3"/>
        <v>13.23529411764706</v>
      </c>
      <c r="Z70" s="3">
        <f>Table1[[#This Row],[Join Date]]-Table1[[#This Row],[Job Posting Date]]</f>
        <v>77</v>
      </c>
      <c r="AA70" s="3">
        <v>199</v>
      </c>
    </row>
    <row r="71" spans="1:27" x14ac:dyDescent="0.2">
      <c r="A71" t="s">
        <v>103</v>
      </c>
      <c r="B71" t="s">
        <v>26</v>
      </c>
      <c r="C71" t="s">
        <v>18</v>
      </c>
      <c r="D71" t="s">
        <v>19</v>
      </c>
      <c r="E71" s="1">
        <v>43323</v>
      </c>
      <c r="F71" s="1">
        <v>43390</v>
      </c>
      <c r="G71" s="1">
        <v>43396</v>
      </c>
      <c r="H71" s="1">
        <v>43618</v>
      </c>
      <c r="I71" t="s">
        <v>37</v>
      </c>
      <c r="J71" s="12">
        <v>2079</v>
      </c>
      <c r="K71">
        <v>8</v>
      </c>
      <c r="L71">
        <v>5</v>
      </c>
      <c r="M71" t="s">
        <v>287</v>
      </c>
      <c r="N71" s="4">
        <v>3</v>
      </c>
      <c r="O71" s="7" t="s">
        <v>292</v>
      </c>
      <c r="T71" s="4">
        <f>Table1[[#This Row],[Hire Date]]-Table1[[#This Row],[Job Posting Date]]</f>
        <v>67</v>
      </c>
      <c r="U71" s="11">
        <f>Table1[[#This Row],[Join Date]]-Table1[[#This Row],[Hire Date]]</f>
        <v>6</v>
      </c>
      <c r="V71" s="11">
        <f ca="1">IF(Table1[[#This Row],[Status]]="Exited",Table1[[#This Row],[Exit Date]]-Table1[[#This Row],[Join Date]],TODAY()-Table1[[#This Row],[Join Date]])</f>
        <v>222</v>
      </c>
      <c r="W71" s="3" t="str">
        <f t="shared" ca="1" si="2"/>
        <v>yes</v>
      </c>
      <c r="X71" s="4">
        <f>Table1[[#This Row],[Hire Date]]-Table1[[#This Row],[Job Posting Date]]</f>
        <v>67</v>
      </c>
      <c r="Y71" s="10">
        <f t="shared" si="3"/>
        <v>8.9552238805970141</v>
      </c>
      <c r="Z71" s="4">
        <f>Table1[[#This Row],[Join Date]]-Table1[[#This Row],[Job Posting Date]]</f>
        <v>73</v>
      </c>
      <c r="AA71" s="4">
        <v>132</v>
      </c>
    </row>
    <row r="72" spans="1:27" x14ac:dyDescent="0.2">
      <c r="A72" t="s">
        <v>104</v>
      </c>
      <c r="B72" t="s">
        <v>27</v>
      </c>
      <c r="C72" t="s">
        <v>24</v>
      </c>
      <c r="D72" t="s">
        <v>25</v>
      </c>
      <c r="E72" s="1">
        <v>43598</v>
      </c>
      <c r="F72" s="1">
        <v>43687</v>
      </c>
      <c r="G72" s="1">
        <v>43698</v>
      </c>
      <c r="H72" s="1" t="s">
        <v>32</v>
      </c>
      <c r="I72" t="s">
        <v>33</v>
      </c>
      <c r="J72" s="12">
        <v>2195</v>
      </c>
      <c r="K72">
        <v>1</v>
      </c>
      <c r="L72">
        <v>1</v>
      </c>
      <c r="M72" t="s">
        <v>288</v>
      </c>
      <c r="N72" s="3">
        <v>3</v>
      </c>
      <c r="O72" s="6" t="s">
        <v>292</v>
      </c>
      <c r="T72" s="3">
        <f>Table1[[#This Row],[Hire Date]]-Table1[[#This Row],[Job Posting Date]]</f>
        <v>89</v>
      </c>
      <c r="U72" s="9">
        <f>Table1[[#This Row],[Join Date]]-Table1[[#This Row],[Hire Date]]</f>
        <v>11</v>
      </c>
      <c r="V72" s="9">
        <f ca="1">IF(Table1[[#This Row],[Status]]="Exited",Table1[[#This Row],[Exit Date]]-Table1[[#This Row],[Join Date]],TODAY()-Table1[[#This Row],[Join Date]])</f>
        <v>1976</v>
      </c>
      <c r="W72" s="3" t="str">
        <f t="shared" ca="1" si="2"/>
        <v>no</v>
      </c>
      <c r="X72" s="3">
        <f>Table1[[#This Row],[Hire Date]]-Table1[[#This Row],[Job Posting Date]]</f>
        <v>89</v>
      </c>
      <c r="Y72" s="10">
        <f t="shared" si="3"/>
        <v>12.359550561797752</v>
      </c>
      <c r="Z72" s="3">
        <f>Table1[[#This Row],[Join Date]]-Table1[[#This Row],[Job Posting Date]]</f>
        <v>100</v>
      </c>
      <c r="AA72" s="3">
        <v>105</v>
      </c>
    </row>
    <row r="73" spans="1:27" x14ac:dyDescent="0.2">
      <c r="A73" t="s">
        <v>105</v>
      </c>
      <c r="B73" t="s">
        <v>26</v>
      </c>
      <c r="C73" t="s">
        <v>20</v>
      </c>
      <c r="D73" t="s">
        <v>21</v>
      </c>
      <c r="E73" s="1">
        <v>44626</v>
      </c>
      <c r="F73" s="1">
        <v>44695</v>
      </c>
      <c r="G73" s="1">
        <v>44710</v>
      </c>
      <c r="H73" s="1" t="s">
        <v>32</v>
      </c>
      <c r="I73" t="s">
        <v>33</v>
      </c>
      <c r="J73" s="12">
        <v>2670</v>
      </c>
      <c r="K73">
        <v>8</v>
      </c>
      <c r="L73">
        <v>2</v>
      </c>
      <c r="M73" t="s">
        <v>287</v>
      </c>
      <c r="N73" s="4">
        <v>2</v>
      </c>
      <c r="O73" s="7" t="s">
        <v>293</v>
      </c>
      <c r="T73" s="4">
        <f>Table1[[#This Row],[Hire Date]]-Table1[[#This Row],[Job Posting Date]]</f>
        <v>69</v>
      </c>
      <c r="U73" s="11">
        <f>Table1[[#This Row],[Join Date]]-Table1[[#This Row],[Hire Date]]</f>
        <v>15</v>
      </c>
      <c r="V73" s="11">
        <f ca="1">IF(Table1[[#This Row],[Status]]="Exited",Table1[[#This Row],[Exit Date]]-Table1[[#This Row],[Join Date]],TODAY()-Table1[[#This Row],[Join Date]])</f>
        <v>964</v>
      </c>
      <c r="W73" s="3" t="str">
        <f t="shared" ca="1" si="2"/>
        <v>no</v>
      </c>
      <c r="X73" s="4">
        <f>Table1[[#This Row],[Hire Date]]-Table1[[#This Row],[Job Posting Date]]</f>
        <v>69</v>
      </c>
      <c r="Y73" s="10">
        <f t="shared" si="3"/>
        <v>21.739130434782609</v>
      </c>
      <c r="Z73" s="4">
        <f>Table1[[#This Row],[Join Date]]-Table1[[#This Row],[Job Posting Date]]</f>
        <v>84</v>
      </c>
      <c r="AA73" s="4">
        <v>188</v>
      </c>
    </row>
    <row r="74" spans="1:27" x14ac:dyDescent="0.2">
      <c r="A74" t="s">
        <v>106</v>
      </c>
      <c r="B74" t="s">
        <v>26</v>
      </c>
      <c r="C74" t="s">
        <v>24</v>
      </c>
      <c r="D74" t="s">
        <v>25</v>
      </c>
      <c r="E74" s="1">
        <v>43542</v>
      </c>
      <c r="F74" s="1">
        <v>43575</v>
      </c>
      <c r="G74" s="1">
        <v>43589</v>
      </c>
      <c r="H74" s="1" t="s">
        <v>32</v>
      </c>
      <c r="I74" t="s">
        <v>33</v>
      </c>
      <c r="J74" s="12">
        <v>3019</v>
      </c>
      <c r="K74">
        <v>1</v>
      </c>
      <c r="L74">
        <v>0</v>
      </c>
      <c r="M74" t="s">
        <v>288</v>
      </c>
      <c r="N74" s="3">
        <v>5</v>
      </c>
      <c r="O74" s="6" t="s">
        <v>292</v>
      </c>
      <c r="T74" s="3">
        <f>Table1[[#This Row],[Hire Date]]-Table1[[#This Row],[Job Posting Date]]</f>
        <v>33</v>
      </c>
      <c r="U74" s="9">
        <f>Table1[[#This Row],[Join Date]]-Table1[[#This Row],[Hire Date]]</f>
        <v>14</v>
      </c>
      <c r="V74" s="9">
        <f ca="1">IF(Table1[[#This Row],[Status]]="Exited",Table1[[#This Row],[Exit Date]]-Table1[[#This Row],[Join Date]],TODAY()-Table1[[#This Row],[Join Date]])</f>
        <v>2085</v>
      </c>
      <c r="W74" s="3" t="str">
        <f t="shared" ca="1" si="2"/>
        <v>no</v>
      </c>
      <c r="X74" s="3">
        <f>Table1[[#This Row],[Hire Date]]-Table1[[#This Row],[Job Posting Date]]</f>
        <v>33</v>
      </c>
      <c r="Y74" s="10">
        <f t="shared" si="3"/>
        <v>42.424242424242422</v>
      </c>
      <c r="Z74" s="3">
        <f>Table1[[#This Row],[Join Date]]-Table1[[#This Row],[Job Posting Date]]</f>
        <v>47</v>
      </c>
      <c r="AA74" s="3">
        <v>148</v>
      </c>
    </row>
    <row r="75" spans="1:27" x14ac:dyDescent="0.2">
      <c r="A75" t="s">
        <v>107</v>
      </c>
      <c r="B75" t="s">
        <v>27</v>
      </c>
      <c r="C75" t="s">
        <v>16</v>
      </c>
      <c r="D75" t="s">
        <v>17</v>
      </c>
      <c r="E75" s="1">
        <v>43581</v>
      </c>
      <c r="F75" s="1">
        <v>43640</v>
      </c>
      <c r="G75" s="1">
        <v>43646</v>
      </c>
      <c r="H75" s="1" t="s">
        <v>32</v>
      </c>
      <c r="I75" t="s">
        <v>33</v>
      </c>
      <c r="J75" s="12">
        <v>2721</v>
      </c>
      <c r="K75">
        <v>10</v>
      </c>
      <c r="L75">
        <v>7</v>
      </c>
      <c r="M75" t="s">
        <v>288</v>
      </c>
      <c r="N75" s="4">
        <v>5</v>
      </c>
      <c r="O75" s="7" t="s">
        <v>292</v>
      </c>
      <c r="T75" s="4">
        <f>Table1[[#This Row],[Hire Date]]-Table1[[#This Row],[Job Posting Date]]</f>
        <v>59</v>
      </c>
      <c r="U75" s="11">
        <f>Table1[[#This Row],[Join Date]]-Table1[[#This Row],[Hire Date]]</f>
        <v>6</v>
      </c>
      <c r="V75" s="11">
        <f ca="1">IF(Table1[[#This Row],[Status]]="Exited",Table1[[#This Row],[Exit Date]]-Table1[[#This Row],[Join Date]],TODAY()-Table1[[#This Row],[Join Date]])</f>
        <v>2028</v>
      </c>
      <c r="W75" s="3" t="str">
        <f t="shared" ca="1" si="2"/>
        <v>no</v>
      </c>
      <c r="X75" s="4">
        <f>Table1[[#This Row],[Hire Date]]-Table1[[#This Row],[Job Posting Date]]</f>
        <v>59</v>
      </c>
      <c r="Y75" s="10">
        <f t="shared" si="3"/>
        <v>10.16949152542373</v>
      </c>
      <c r="Z75" s="4">
        <f>Table1[[#This Row],[Join Date]]-Table1[[#This Row],[Job Posting Date]]</f>
        <v>65</v>
      </c>
      <c r="AA75" s="4">
        <v>134</v>
      </c>
    </row>
    <row r="76" spans="1:27" x14ac:dyDescent="0.2">
      <c r="A76" t="s">
        <v>108</v>
      </c>
      <c r="B76" t="s">
        <v>27</v>
      </c>
      <c r="C76" t="s">
        <v>18</v>
      </c>
      <c r="D76" t="s">
        <v>19</v>
      </c>
      <c r="E76" s="1">
        <v>44219</v>
      </c>
      <c r="F76" s="1">
        <v>44252</v>
      </c>
      <c r="G76" s="1">
        <v>44255</v>
      </c>
      <c r="H76" s="1">
        <v>44825</v>
      </c>
      <c r="I76" t="s">
        <v>37</v>
      </c>
      <c r="J76" s="12">
        <v>4679</v>
      </c>
      <c r="K76">
        <v>5</v>
      </c>
      <c r="L76">
        <v>2</v>
      </c>
      <c r="M76" t="s">
        <v>288</v>
      </c>
      <c r="N76" s="3">
        <v>5</v>
      </c>
      <c r="O76" s="6" t="s">
        <v>293</v>
      </c>
      <c r="T76" s="3">
        <f>Table1[[#This Row],[Hire Date]]-Table1[[#This Row],[Job Posting Date]]</f>
        <v>33</v>
      </c>
      <c r="U76" s="9">
        <f>Table1[[#This Row],[Join Date]]-Table1[[#This Row],[Hire Date]]</f>
        <v>3</v>
      </c>
      <c r="V76" s="9">
        <f ca="1">IF(Table1[[#This Row],[Status]]="Exited",Table1[[#This Row],[Exit Date]]-Table1[[#This Row],[Join Date]],TODAY()-Table1[[#This Row],[Join Date]])</f>
        <v>570</v>
      </c>
      <c r="W76" s="3" t="str">
        <f t="shared" ca="1" si="2"/>
        <v>yes</v>
      </c>
      <c r="X76" s="3">
        <f>Table1[[#This Row],[Hire Date]]-Table1[[#This Row],[Job Posting Date]]</f>
        <v>33</v>
      </c>
      <c r="Y76" s="10">
        <f t="shared" si="3"/>
        <v>9.0909090909090917</v>
      </c>
      <c r="Z76" s="3">
        <f>Table1[[#This Row],[Join Date]]-Table1[[#This Row],[Job Posting Date]]</f>
        <v>36</v>
      </c>
      <c r="AA76" s="3">
        <v>179</v>
      </c>
    </row>
    <row r="77" spans="1:27" x14ac:dyDescent="0.2">
      <c r="A77" t="s">
        <v>109</v>
      </c>
      <c r="B77" t="s">
        <v>28</v>
      </c>
      <c r="C77" t="s">
        <v>20</v>
      </c>
      <c r="D77" t="s">
        <v>21</v>
      </c>
      <c r="E77" s="1">
        <v>44584</v>
      </c>
      <c r="F77" s="1">
        <v>44644</v>
      </c>
      <c r="G77" s="1">
        <v>44653</v>
      </c>
      <c r="H77" s="1" t="s">
        <v>32</v>
      </c>
      <c r="I77" t="s">
        <v>33</v>
      </c>
      <c r="J77" s="12">
        <v>4912</v>
      </c>
      <c r="K77">
        <v>7</v>
      </c>
      <c r="L77">
        <v>5</v>
      </c>
      <c r="M77" t="s">
        <v>286</v>
      </c>
      <c r="N77" s="4">
        <v>2</v>
      </c>
      <c r="O77" s="7" t="s">
        <v>293</v>
      </c>
      <c r="T77" s="4">
        <f>Table1[[#This Row],[Hire Date]]-Table1[[#This Row],[Job Posting Date]]</f>
        <v>60</v>
      </c>
      <c r="U77" s="11">
        <f>Table1[[#This Row],[Join Date]]-Table1[[#This Row],[Hire Date]]</f>
        <v>9</v>
      </c>
      <c r="V77" s="11">
        <f ca="1">IF(Table1[[#This Row],[Status]]="Exited",Table1[[#This Row],[Exit Date]]-Table1[[#This Row],[Join Date]],TODAY()-Table1[[#This Row],[Join Date]])</f>
        <v>1021</v>
      </c>
      <c r="W77" s="3" t="str">
        <f t="shared" ca="1" si="2"/>
        <v>no</v>
      </c>
      <c r="X77" s="4">
        <f>Table1[[#This Row],[Hire Date]]-Table1[[#This Row],[Job Posting Date]]</f>
        <v>60</v>
      </c>
      <c r="Y77" s="10">
        <f t="shared" si="3"/>
        <v>15</v>
      </c>
      <c r="Z77" s="4">
        <f>Table1[[#This Row],[Join Date]]-Table1[[#This Row],[Job Posting Date]]</f>
        <v>69</v>
      </c>
      <c r="AA77" s="4">
        <v>180</v>
      </c>
    </row>
    <row r="78" spans="1:27" x14ac:dyDescent="0.2">
      <c r="A78" t="s">
        <v>110</v>
      </c>
      <c r="B78" t="s">
        <v>27</v>
      </c>
      <c r="C78" t="s">
        <v>16</v>
      </c>
      <c r="D78" t="s">
        <v>17</v>
      </c>
      <c r="E78" s="1">
        <v>43795</v>
      </c>
      <c r="F78" s="1">
        <v>43882</v>
      </c>
      <c r="G78" s="1">
        <v>43883</v>
      </c>
      <c r="H78" s="1">
        <v>45211</v>
      </c>
      <c r="I78" t="s">
        <v>37</v>
      </c>
      <c r="J78" s="12">
        <v>2280</v>
      </c>
      <c r="K78">
        <v>3</v>
      </c>
      <c r="L78">
        <v>0</v>
      </c>
      <c r="M78" t="s">
        <v>288</v>
      </c>
      <c r="N78" s="3">
        <v>2</v>
      </c>
      <c r="O78" s="6" t="s">
        <v>293</v>
      </c>
      <c r="T78" s="3">
        <f>Table1[[#This Row],[Hire Date]]-Table1[[#This Row],[Job Posting Date]]</f>
        <v>87</v>
      </c>
      <c r="U78" s="9">
        <f>Table1[[#This Row],[Join Date]]-Table1[[#This Row],[Hire Date]]</f>
        <v>1</v>
      </c>
      <c r="V78" s="9">
        <f ca="1">IF(Table1[[#This Row],[Status]]="Exited",Table1[[#This Row],[Exit Date]]-Table1[[#This Row],[Join Date]],TODAY()-Table1[[#This Row],[Join Date]])</f>
        <v>1328</v>
      </c>
      <c r="W78" s="3" t="str">
        <f t="shared" ca="1" si="2"/>
        <v>no</v>
      </c>
      <c r="X78" s="3">
        <f>Table1[[#This Row],[Hire Date]]-Table1[[#This Row],[Job Posting Date]]</f>
        <v>87</v>
      </c>
      <c r="Y78" s="10">
        <f t="shared" si="3"/>
        <v>1.1494252873563218</v>
      </c>
      <c r="Z78" s="3">
        <f>Table1[[#This Row],[Join Date]]-Table1[[#This Row],[Job Posting Date]]</f>
        <v>88</v>
      </c>
      <c r="AA78" s="3">
        <v>170</v>
      </c>
    </row>
    <row r="79" spans="1:27" x14ac:dyDescent="0.2">
      <c r="A79" t="s">
        <v>111</v>
      </c>
      <c r="B79" t="s">
        <v>28</v>
      </c>
      <c r="C79" t="s">
        <v>16</v>
      </c>
      <c r="D79" t="s">
        <v>17</v>
      </c>
      <c r="E79" s="1">
        <v>44869</v>
      </c>
      <c r="F79" s="1">
        <v>44897</v>
      </c>
      <c r="G79" s="1">
        <v>44905</v>
      </c>
      <c r="H79" s="1" t="s">
        <v>32</v>
      </c>
      <c r="I79" t="s">
        <v>33</v>
      </c>
      <c r="J79" s="12">
        <v>4644</v>
      </c>
      <c r="K79">
        <v>10</v>
      </c>
      <c r="L79">
        <v>0</v>
      </c>
      <c r="M79" t="s">
        <v>288</v>
      </c>
      <c r="N79" s="4">
        <v>1</v>
      </c>
      <c r="O79" s="7" t="s">
        <v>293</v>
      </c>
      <c r="T79" s="4">
        <f>Table1[[#This Row],[Hire Date]]-Table1[[#This Row],[Job Posting Date]]</f>
        <v>28</v>
      </c>
      <c r="U79" s="11">
        <f>Table1[[#This Row],[Join Date]]-Table1[[#This Row],[Hire Date]]</f>
        <v>8</v>
      </c>
      <c r="V79" s="11">
        <f ca="1">IF(Table1[[#This Row],[Status]]="Exited",Table1[[#This Row],[Exit Date]]-Table1[[#This Row],[Join Date]],TODAY()-Table1[[#This Row],[Join Date]])</f>
        <v>769</v>
      </c>
      <c r="W79" s="3" t="str">
        <f t="shared" ca="1" si="2"/>
        <v>no</v>
      </c>
      <c r="X79" s="4">
        <f>Table1[[#This Row],[Hire Date]]-Table1[[#This Row],[Job Posting Date]]</f>
        <v>28</v>
      </c>
      <c r="Y79" s="10">
        <f t="shared" si="3"/>
        <v>28.571428571428569</v>
      </c>
      <c r="Z79" s="4">
        <f>Table1[[#This Row],[Join Date]]-Table1[[#This Row],[Job Posting Date]]</f>
        <v>36</v>
      </c>
      <c r="AA79" s="4">
        <v>194</v>
      </c>
    </row>
    <row r="80" spans="1:27" x14ac:dyDescent="0.2">
      <c r="A80" t="s">
        <v>112</v>
      </c>
      <c r="B80" t="s">
        <v>27</v>
      </c>
      <c r="C80" t="s">
        <v>18</v>
      </c>
      <c r="D80" t="s">
        <v>19</v>
      </c>
      <c r="E80" s="1">
        <v>44452</v>
      </c>
      <c r="F80" s="1">
        <v>44534</v>
      </c>
      <c r="G80" s="1">
        <v>44538</v>
      </c>
      <c r="H80" s="1" t="s">
        <v>32</v>
      </c>
      <c r="I80" t="s">
        <v>33</v>
      </c>
      <c r="J80" s="12">
        <v>2657</v>
      </c>
      <c r="K80">
        <v>5</v>
      </c>
      <c r="L80">
        <v>4</v>
      </c>
      <c r="M80" t="s">
        <v>286</v>
      </c>
      <c r="N80" s="3">
        <v>5</v>
      </c>
      <c r="O80" s="6" t="s">
        <v>293</v>
      </c>
      <c r="T80" s="3">
        <f>Table1[[#This Row],[Hire Date]]-Table1[[#This Row],[Job Posting Date]]</f>
        <v>82</v>
      </c>
      <c r="U80" s="9">
        <f>Table1[[#This Row],[Join Date]]-Table1[[#This Row],[Hire Date]]</f>
        <v>4</v>
      </c>
      <c r="V80" s="9">
        <f ca="1">IF(Table1[[#This Row],[Status]]="Exited",Table1[[#This Row],[Exit Date]]-Table1[[#This Row],[Join Date]],TODAY()-Table1[[#This Row],[Join Date]])</f>
        <v>1136</v>
      </c>
      <c r="W80" s="3" t="str">
        <f t="shared" ca="1" si="2"/>
        <v>no</v>
      </c>
      <c r="X80" s="3">
        <f>Table1[[#This Row],[Hire Date]]-Table1[[#This Row],[Job Posting Date]]</f>
        <v>82</v>
      </c>
      <c r="Y80" s="10">
        <f t="shared" si="3"/>
        <v>4.8780487804878048</v>
      </c>
      <c r="Z80" s="3">
        <f>Table1[[#This Row],[Join Date]]-Table1[[#This Row],[Job Posting Date]]</f>
        <v>86</v>
      </c>
      <c r="AA80" s="3">
        <v>164</v>
      </c>
    </row>
    <row r="81" spans="1:27" x14ac:dyDescent="0.2">
      <c r="A81" t="s">
        <v>113</v>
      </c>
      <c r="B81" t="s">
        <v>27</v>
      </c>
      <c r="C81" t="s">
        <v>22</v>
      </c>
      <c r="D81" t="s">
        <v>23</v>
      </c>
      <c r="E81" s="1">
        <v>43757</v>
      </c>
      <c r="F81" s="1">
        <v>43818</v>
      </c>
      <c r="G81" s="1">
        <v>43831</v>
      </c>
      <c r="H81" s="1" t="s">
        <v>32</v>
      </c>
      <c r="I81" t="s">
        <v>33</v>
      </c>
      <c r="J81" s="12">
        <v>3932</v>
      </c>
      <c r="K81">
        <v>3</v>
      </c>
      <c r="L81">
        <v>0</v>
      </c>
      <c r="M81" t="s">
        <v>287</v>
      </c>
      <c r="N81" s="4">
        <v>5</v>
      </c>
      <c r="O81" s="7" t="s">
        <v>292</v>
      </c>
      <c r="T81" s="4">
        <f>Table1[[#This Row],[Hire Date]]-Table1[[#This Row],[Job Posting Date]]</f>
        <v>61</v>
      </c>
      <c r="U81" s="11">
        <f>Table1[[#This Row],[Join Date]]-Table1[[#This Row],[Hire Date]]</f>
        <v>13</v>
      </c>
      <c r="V81" s="11">
        <f ca="1">IF(Table1[[#This Row],[Status]]="Exited",Table1[[#This Row],[Exit Date]]-Table1[[#This Row],[Join Date]],TODAY()-Table1[[#This Row],[Join Date]])</f>
        <v>1843</v>
      </c>
      <c r="W81" s="3" t="str">
        <f t="shared" ca="1" si="2"/>
        <v>no</v>
      </c>
      <c r="X81" s="4">
        <f>Table1[[#This Row],[Hire Date]]-Table1[[#This Row],[Job Posting Date]]</f>
        <v>61</v>
      </c>
      <c r="Y81" s="10">
        <f t="shared" si="3"/>
        <v>21.311475409836063</v>
      </c>
      <c r="Z81" s="4">
        <f>Table1[[#This Row],[Join Date]]-Table1[[#This Row],[Job Posting Date]]</f>
        <v>74</v>
      </c>
      <c r="AA81" s="4">
        <v>172</v>
      </c>
    </row>
    <row r="82" spans="1:27" x14ac:dyDescent="0.2">
      <c r="A82" t="s">
        <v>114</v>
      </c>
      <c r="B82" t="s">
        <v>27</v>
      </c>
      <c r="C82" t="s">
        <v>16</v>
      </c>
      <c r="D82" t="s">
        <v>17</v>
      </c>
      <c r="E82" s="1">
        <v>43613</v>
      </c>
      <c r="F82" s="1">
        <v>43689</v>
      </c>
      <c r="G82" s="1">
        <v>43704</v>
      </c>
      <c r="H82" s="1" t="s">
        <v>32</v>
      </c>
      <c r="I82" t="s">
        <v>33</v>
      </c>
      <c r="J82" s="12">
        <v>2162</v>
      </c>
      <c r="K82">
        <v>10</v>
      </c>
      <c r="L82">
        <v>3</v>
      </c>
      <c r="M82" t="s">
        <v>287</v>
      </c>
      <c r="N82" s="3">
        <v>3</v>
      </c>
      <c r="O82" s="6" t="s">
        <v>293</v>
      </c>
      <c r="T82" s="3">
        <f>Table1[[#This Row],[Hire Date]]-Table1[[#This Row],[Job Posting Date]]</f>
        <v>76</v>
      </c>
      <c r="U82" s="9">
        <f>Table1[[#This Row],[Join Date]]-Table1[[#This Row],[Hire Date]]</f>
        <v>15</v>
      </c>
      <c r="V82" s="9">
        <f ca="1">IF(Table1[[#This Row],[Status]]="Exited",Table1[[#This Row],[Exit Date]]-Table1[[#This Row],[Join Date]],TODAY()-Table1[[#This Row],[Join Date]])</f>
        <v>1970</v>
      </c>
      <c r="W82" s="3" t="str">
        <f t="shared" ca="1" si="2"/>
        <v>no</v>
      </c>
      <c r="X82" s="3">
        <f>Table1[[#This Row],[Hire Date]]-Table1[[#This Row],[Job Posting Date]]</f>
        <v>76</v>
      </c>
      <c r="Y82" s="10">
        <f t="shared" si="3"/>
        <v>19.736842105263158</v>
      </c>
      <c r="Z82" s="3">
        <f>Table1[[#This Row],[Join Date]]-Table1[[#This Row],[Job Posting Date]]</f>
        <v>91</v>
      </c>
      <c r="AA82" s="3">
        <v>105</v>
      </c>
    </row>
    <row r="83" spans="1:27" x14ac:dyDescent="0.2">
      <c r="A83" t="s">
        <v>115</v>
      </c>
      <c r="B83" t="s">
        <v>26</v>
      </c>
      <c r="C83" t="s">
        <v>18</v>
      </c>
      <c r="D83" t="s">
        <v>19</v>
      </c>
      <c r="E83" s="1">
        <v>44601</v>
      </c>
      <c r="F83" s="1">
        <v>44621</v>
      </c>
      <c r="G83" s="1">
        <v>44630</v>
      </c>
      <c r="H83" s="1">
        <v>44885</v>
      </c>
      <c r="I83" t="s">
        <v>37</v>
      </c>
      <c r="J83" s="12">
        <v>1603</v>
      </c>
      <c r="K83">
        <v>1</v>
      </c>
      <c r="L83">
        <v>1</v>
      </c>
      <c r="M83" t="s">
        <v>288</v>
      </c>
      <c r="N83" s="4">
        <v>1</v>
      </c>
      <c r="O83" s="7" t="s">
        <v>292</v>
      </c>
      <c r="T83" s="4">
        <f>Table1[[#This Row],[Hire Date]]-Table1[[#This Row],[Job Posting Date]]</f>
        <v>20</v>
      </c>
      <c r="U83" s="11">
        <f>Table1[[#This Row],[Join Date]]-Table1[[#This Row],[Hire Date]]</f>
        <v>9</v>
      </c>
      <c r="V83" s="11">
        <f ca="1">IF(Table1[[#This Row],[Status]]="Exited",Table1[[#This Row],[Exit Date]]-Table1[[#This Row],[Join Date]],TODAY()-Table1[[#This Row],[Join Date]])</f>
        <v>255</v>
      </c>
      <c r="W83" s="3" t="str">
        <f t="shared" ca="1" si="2"/>
        <v>yes</v>
      </c>
      <c r="X83" s="4">
        <f>Table1[[#This Row],[Hire Date]]-Table1[[#This Row],[Job Posting Date]]</f>
        <v>20</v>
      </c>
      <c r="Y83" s="10">
        <f t="shared" si="3"/>
        <v>45</v>
      </c>
      <c r="Z83" s="4">
        <f>Table1[[#This Row],[Join Date]]-Table1[[#This Row],[Job Posting Date]]</f>
        <v>29</v>
      </c>
      <c r="AA83" s="4">
        <v>118</v>
      </c>
    </row>
    <row r="84" spans="1:27" x14ac:dyDescent="0.2">
      <c r="A84" t="s">
        <v>116</v>
      </c>
      <c r="B84" t="s">
        <v>28</v>
      </c>
      <c r="C84" t="s">
        <v>22</v>
      </c>
      <c r="D84" t="s">
        <v>23</v>
      </c>
      <c r="E84" s="1">
        <v>44902</v>
      </c>
      <c r="F84" s="1">
        <v>44965</v>
      </c>
      <c r="G84" s="1">
        <v>44966</v>
      </c>
      <c r="H84" s="1">
        <v>45088</v>
      </c>
      <c r="I84" t="s">
        <v>37</v>
      </c>
      <c r="J84" s="12">
        <v>3531</v>
      </c>
      <c r="K84">
        <v>6</v>
      </c>
      <c r="L84">
        <v>2</v>
      </c>
      <c r="M84" t="s">
        <v>286</v>
      </c>
      <c r="N84" s="3">
        <v>3</v>
      </c>
      <c r="O84" s="6" t="s">
        <v>292</v>
      </c>
      <c r="T84" s="3">
        <f>Table1[[#This Row],[Hire Date]]-Table1[[#This Row],[Job Posting Date]]</f>
        <v>63</v>
      </c>
      <c r="U84" s="9">
        <f>Table1[[#This Row],[Join Date]]-Table1[[#This Row],[Hire Date]]</f>
        <v>1</v>
      </c>
      <c r="V84" s="9">
        <f ca="1">IF(Table1[[#This Row],[Status]]="Exited",Table1[[#This Row],[Exit Date]]-Table1[[#This Row],[Join Date]],TODAY()-Table1[[#This Row],[Join Date]])</f>
        <v>122</v>
      </c>
      <c r="W84" s="3" t="str">
        <f t="shared" ca="1" si="2"/>
        <v>yes</v>
      </c>
      <c r="X84" s="3">
        <f>Table1[[#This Row],[Hire Date]]-Table1[[#This Row],[Job Posting Date]]</f>
        <v>63</v>
      </c>
      <c r="Y84" s="10">
        <f t="shared" si="3"/>
        <v>1.5873015873015872</v>
      </c>
      <c r="Z84" s="3">
        <f>Table1[[#This Row],[Join Date]]-Table1[[#This Row],[Job Posting Date]]</f>
        <v>64</v>
      </c>
      <c r="AA84" s="3">
        <v>188</v>
      </c>
    </row>
    <row r="85" spans="1:27" x14ac:dyDescent="0.2">
      <c r="A85" t="s">
        <v>117</v>
      </c>
      <c r="B85" t="s">
        <v>26</v>
      </c>
      <c r="C85" t="s">
        <v>22</v>
      </c>
      <c r="D85" t="s">
        <v>23</v>
      </c>
      <c r="E85" s="1">
        <v>44167</v>
      </c>
      <c r="F85" s="1">
        <v>44235</v>
      </c>
      <c r="G85" s="1">
        <v>44248</v>
      </c>
      <c r="H85" s="1">
        <v>44598</v>
      </c>
      <c r="I85" t="s">
        <v>37</v>
      </c>
      <c r="J85" s="12">
        <v>4330</v>
      </c>
      <c r="K85">
        <v>2</v>
      </c>
      <c r="L85">
        <v>1</v>
      </c>
      <c r="M85" t="s">
        <v>286</v>
      </c>
      <c r="N85" s="4">
        <v>5</v>
      </c>
      <c r="O85" s="7" t="s">
        <v>293</v>
      </c>
      <c r="T85" s="4">
        <f>Table1[[#This Row],[Hire Date]]-Table1[[#This Row],[Job Posting Date]]</f>
        <v>68</v>
      </c>
      <c r="U85" s="11">
        <f>Table1[[#This Row],[Join Date]]-Table1[[#This Row],[Hire Date]]</f>
        <v>13</v>
      </c>
      <c r="V85" s="11">
        <f ca="1">IF(Table1[[#This Row],[Status]]="Exited",Table1[[#This Row],[Exit Date]]-Table1[[#This Row],[Join Date]],TODAY()-Table1[[#This Row],[Join Date]])</f>
        <v>350</v>
      </c>
      <c r="W85" s="3" t="str">
        <f t="shared" ca="1" si="2"/>
        <v>yes</v>
      </c>
      <c r="X85" s="4">
        <f>Table1[[#This Row],[Hire Date]]-Table1[[#This Row],[Job Posting Date]]</f>
        <v>68</v>
      </c>
      <c r="Y85" s="10">
        <f t="shared" si="3"/>
        <v>19.117647058823529</v>
      </c>
      <c r="Z85" s="4">
        <f>Table1[[#This Row],[Join Date]]-Table1[[#This Row],[Job Posting Date]]</f>
        <v>81</v>
      </c>
      <c r="AA85" s="4">
        <v>122</v>
      </c>
    </row>
    <row r="86" spans="1:27" x14ac:dyDescent="0.2">
      <c r="A86" t="s">
        <v>118</v>
      </c>
      <c r="B86" t="s">
        <v>28</v>
      </c>
      <c r="C86" t="s">
        <v>24</v>
      </c>
      <c r="D86" t="s">
        <v>25</v>
      </c>
      <c r="E86" s="1">
        <v>43148</v>
      </c>
      <c r="F86" s="1">
        <v>43193</v>
      </c>
      <c r="G86" s="1">
        <v>43207</v>
      </c>
      <c r="H86" s="1" t="s">
        <v>32</v>
      </c>
      <c r="I86" t="s">
        <v>33</v>
      </c>
      <c r="J86" s="12">
        <v>2432</v>
      </c>
      <c r="K86">
        <v>5</v>
      </c>
      <c r="L86">
        <v>3</v>
      </c>
      <c r="M86" t="s">
        <v>286</v>
      </c>
      <c r="N86" s="3">
        <v>1</v>
      </c>
      <c r="O86" s="6" t="s">
        <v>292</v>
      </c>
      <c r="T86" s="3">
        <f>Table1[[#This Row],[Hire Date]]-Table1[[#This Row],[Job Posting Date]]</f>
        <v>45</v>
      </c>
      <c r="U86" s="9">
        <f>Table1[[#This Row],[Join Date]]-Table1[[#This Row],[Hire Date]]</f>
        <v>14</v>
      </c>
      <c r="V86" s="9">
        <f ca="1">IF(Table1[[#This Row],[Status]]="Exited",Table1[[#This Row],[Exit Date]]-Table1[[#This Row],[Join Date]],TODAY()-Table1[[#This Row],[Join Date]])</f>
        <v>2467</v>
      </c>
      <c r="W86" s="3" t="str">
        <f t="shared" ca="1" si="2"/>
        <v>no</v>
      </c>
      <c r="X86" s="3">
        <f>Table1[[#This Row],[Hire Date]]-Table1[[#This Row],[Job Posting Date]]</f>
        <v>45</v>
      </c>
      <c r="Y86" s="10">
        <f t="shared" si="3"/>
        <v>31.111111111111111</v>
      </c>
      <c r="Z86" s="3">
        <f>Table1[[#This Row],[Join Date]]-Table1[[#This Row],[Job Posting Date]]</f>
        <v>59</v>
      </c>
      <c r="AA86" s="3">
        <v>103</v>
      </c>
    </row>
    <row r="87" spans="1:27" x14ac:dyDescent="0.2">
      <c r="A87" t="s">
        <v>119</v>
      </c>
      <c r="B87" t="s">
        <v>26</v>
      </c>
      <c r="C87" t="s">
        <v>20</v>
      </c>
      <c r="D87" t="s">
        <v>21</v>
      </c>
      <c r="E87" s="1">
        <v>43564</v>
      </c>
      <c r="F87" s="1">
        <v>43635</v>
      </c>
      <c r="G87" s="1">
        <v>43647</v>
      </c>
      <c r="H87" s="1" t="s">
        <v>32</v>
      </c>
      <c r="I87" t="s">
        <v>33</v>
      </c>
      <c r="J87" s="12">
        <v>2980</v>
      </c>
      <c r="K87">
        <v>10</v>
      </c>
      <c r="L87">
        <v>5</v>
      </c>
      <c r="M87" t="s">
        <v>287</v>
      </c>
      <c r="N87" s="4">
        <v>3</v>
      </c>
      <c r="O87" s="7" t="s">
        <v>293</v>
      </c>
      <c r="T87" s="4">
        <f>Table1[[#This Row],[Hire Date]]-Table1[[#This Row],[Job Posting Date]]</f>
        <v>71</v>
      </c>
      <c r="U87" s="11">
        <f>Table1[[#This Row],[Join Date]]-Table1[[#This Row],[Hire Date]]</f>
        <v>12</v>
      </c>
      <c r="V87" s="11">
        <f ca="1">IF(Table1[[#This Row],[Status]]="Exited",Table1[[#This Row],[Exit Date]]-Table1[[#This Row],[Join Date]],TODAY()-Table1[[#This Row],[Join Date]])</f>
        <v>2027</v>
      </c>
      <c r="W87" s="3" t="str">
        <f t="shared" ca="1" si="2"/>
        <v>no</v>
      </c>
      <c r="X87" s="4">
        <f>Table1[[#This Row],[Hire Date]]-Table1[[#This Row],[Job Posting Date]]</f>
        <v>71</v>
      </c>
      <c r="Y87" s="10">
        <f t="shared" si="3"/>
        <v>16.901408450704224</v>
      </c>
      <c r="Z87" s="4">
        <f>Table1[[#This Row],[Join Date]]-Table1[[#This Row],[Job Posting Date]]</f>
        <v>83</v>
      </c>
      <c r="AA87" s="4">
        <v>156</v>
      </c>
    </row>
    <row r="88" spans="1:27" x14ac:dyDescent="0.2">
      <c r="A88" t="s">
        <v>120</v>
      </c>
      <c r="B88" t="s">
        <v>28</v>
      </c>
      <c r="C88" t="s">
        <v>24</v>
      </c>
      <c r="D88" t="s">
        <v>25</v>
      </c>
      <c r="E88" s="1">
        <v>43143</v>
      </c>
      <c r="F88" s="1">
        <v>43181</v>
      </c>
      <c r="G88" s="1">
        <v>43184</v>
      </c>
      <c r="H88" s="1">
        <v>45263</v>
      </c>
      <c r="I88" t="s">
        <v>37</v>
      </c>
      <c r="J88" s="12">
        <v>3008</v>
      </c>
      <c r="K88">
        <v>9</v>
      </c>
      <c r="L88">
        <v>1</v>
      </c>
      <c r="M88" t="s">
        <v>288</v>
      </c>
      <c r="N88" s="3">
        <v>2</v>
      </c>
      <c r="O88" s="6" t="s">
        <v>292</v>
      </c>
      <c r="T88" s="3">
        <f>Table1[[#This Row],[Hire Date]]-Table1[[#This Row],[Job Posting Date]]</f>
        <v>38</v>
      </c>
      <c r="U88" s="9">
        <f>Table1[[#This Row],[Join Date]]-Table1[[#This Row],[Hire Date]]</f>
        <v>3</v>
      </c>
      <c r="V88" s="9">
        <f ca="1">IF(Table1[[#This Row],[Status]]="Exited",Table1[[#This Row],[Exit Date]]-Table1[[#This Row],[Join Date]],TODAY()-Table1[[#This Row],[Join Date]])</f>
        <v>2079</v>
      </c>
      <c r="W88" s="3" t="str">
        <f t="shared" ca="1" si="2"/>
        <v>no</v>
      </c>
      <c r="X88" s="3">
        <f>Table1[[#This Row],[Hire Date]]-Table1[[#This Row],[Job Posting Date]]</f>
        <v>38</v>
      </c>
      <c r="Y88" s="10">
        <f t="shared" si="3"/>
        <v>7.8947368421052628</v>
      </c>
      <c r="Z88" s="3">
        <f>Table1[[#This Row],[Join Date]]-Table1[[#This Row],[Job Posting Date]]</f>
        <v>41</v>
      </c>
      <c r="AA88" s="3">
        <v>106</v>
      </c>
    </row>
    <row r="89" spans="1:27" x14ac:dyDescent="0.2">
      <c r="A89" t="s">
        <v>121</v>
      </c>
      <c r="B89" t="s">
        <v>28</v>
      </c>
      <c r="C89" t="s">
        <v>18</v>
      </c>
      <c r="D89" t="s">
        <v>19</v>
      </c>
      <c r="E89" s="1">
        <v>44018</v>
      </c>
      <c r="F89" s="1">
        <v>44064</v>
      </c>
      <c r="G89" s="1">
        <v>44067</v>
      </c>
      <c r="H89" s="1">
        <v>44234</v>
      </c>
      <c r="I89" t="s">
        <v>37</v>
      </c>
      <c r="J89" s="12">
        <v>1725</v>
      </c>
      <c r="K89">
        <v>1</v>
      </c>
      <c r="L89">
        <v>1</v>
      </c>
      <c r="M89" t="s">
        <v>288</v>
      </c>
      <c r="N89" s="4">
        <v>1</v>
      </c>
      <c r="O89" s="7" t="s">
        <v>292</v>
      </c>
      <c r="T89" s="4">
        <f>Table1[[#This Row],[Hire Date]]-Table1[[#This Row],[Job Posting Date]]</f>
        <v>46</v>
      </c>
      <c r="U89" s="11">
        <f>Table1[[#This Row],[Join Date]]-Table1[[#This Row],[Hire Date]]</f>
        <v>3</v>
      </c>
      <c r="V89" s="11">
        <f ca="1">IF(Table1[[#This Row],[Status]]="Exited",Table1[[#This Row],[Exit Date]]-Table1[[#This Row],[Join Date]],TODAY()-Table1[[#This Row],[Join Date]])</f>
        <v>167</v>
      </c>
      <c r="W89" s="3" t="str">
        <f t="shared" ca="1" si="2"/>
        <v>yes</v>
      </c>
      <c r="X89" s="4">
        <f>Table1[[#This Row],[Hire Date]]-Table1[[#This Row],[Job Posting Date]]</f>
        <v>46</v>
      </c>
      <c r="Y89" s="10">
        <f t="shared" si="3"/>
        <v>6.5217391304347823</v>
      </c>
      <c r="Z89" s="4">
        <f>Table1[[#This Row],[Join Date]]-Table1[[#This Row],[Job Posting Date]]</f>
        <v>49</v>
      </c>
      <c r="AA89" s="4">
        <v>154</v>
      </c>
    </row>
    <row r="90" spans="1:27" x14ac:dyDescent="0.2">
      <c r="A90" t="s">
        <v>122</v>
      </c>
      <c r="B90" t="s">
        <v>27</v>
      </c>
      <c r="C90" t="s">
        <v>20</v>
      </c>
      <c r="D90" t="s">
        <v>21</v>
      </c>
      <c r="E90" s="1">
        <v>43963</v>
      </c>
      <c r="F90" s="1">
        <v>44016</v>
      </c>
      <c r="G90" s="1">
        <v>44017</v>
      </c>
      <c r="H90" s="1">
        <v>45538</v>
      </c>
      <c r="I90" t="s">
        <v>37</v>
      </c>
      <c r="J90" s="12">
        <v>4720</v>
      </c>
      <c r="K90">
        <v>4</v>
      </c>
      <c r="L90">
        <v>4</v>
      </c>
      <c r="M90" t="s">
        <v>288</v>
      </c>
      <c r="N90" s="3">
        <v>2</v>
      </c>
      <c r="O90" s="6" t="s">
        <v>293</v>
      </c>
      <c r="T90" s="3">
        <f>Table1[[#This Row],[Hire Date]]-Table1[[#This Row],[Job Posting Date]]</f>
        <v>53</v>
      </c>
      <c r="U90" s="9">
        <f>Table1[[#This Row],[Join Date]]-Table1[[#This Row],[Hire Date]]</f>
        <v>1</v>
      </c>
      <c r="V90" s="9">
        <f ca="1">IF(Table1[[#This Row],[Status]]="Exited",Table1[[#This Row],[Exit Date]]-Table1[[#This Row],[Join Date]],TODAY()-Table1[[#This Row],[Join Date]])</f>
        <v>1521</v>
      </c>
      <c r="W90" s="3" t="str">
        <f t="shared" ca="1" si="2"/>
        <v>no</v>
      </c>
      <c r="X90" s="3">
        <f>Table1[[#This Row],[Hire Date]]-Table1[[#This Row],[Job Posting Date]]</f>
        <v>53</v>
      </c>
      <c r="Y90" s="10">
        <f t="shared" si="3"/>
        <v>1.8867924528301887</v>
      </c>
      <c r="Z90" s="3">
        <f>Table1[[#This Row],[Join Date]]-Table1[[#This Row],[Job Posting Date]]</f>
        <v>54</v>
      </c>
      <c r="AA90" s="3">
        <v>130</v>
      </c>
    </row>
    <row r="91" spans="1:27" x14ac:dyDescent="0.2">
      <c r="A91" t="s">
        <v>123</v>
      </c>
      <c r="B91" t="s">
        <v>26</v>
      </c>
      <c r="C91" t="s">
        <v>20</v>
      </c>
      <c r="D91" t="s">
        <v>21</v>
      </c>
      <c r="E91" s="1">
        <v>44807</v>
      </c>
      <c r="F91" s="1">
        <v>44867</v>
      </c>
      <c r="G91" s="1">
        <v>44872</v>
      </c>
      <c r="H91" s="1" t="s">
        <v>32</v>
      </c>
      <c r="I91" t="s">
        <v>33</v>
      </c>
      <c r="J91" s="12">
        <v>4766</v>
      </c>
      <c r="K91">
        <v>10</v>
      </c>
      <c r="L91">
        <v>9</v>
      </c>
      <c r="M91" t="s">
        <v>286</v>
      </c>
      <c r="N91" s="4">
        <v>1</v>
      </c>
      <c r="O91" s="7" t="s">
        <v>293</v>
      </c>
      <c r="T91" s="4">
        <f>Table1[[#This Row],[Hire Date]]-Table1[[#This Row],[Job Posting Date]]</f>
        <v>60</v>
      </c>
      <c r="U91" s="11">
        <f>Table1[[#This Row],[Join Date]]-Table1[[#This Row],[Hire Date]]</f>
        <v>5</v>
      </c>
      <c r="V91" s="11">
        <f ca="1">IF(Table1[[#This Row],[Status]]="Exited",Table1[[#This Row],[Exit Date]]-Table1[[#This Row],[Join Date]],TODAY()-Table1[[#This Row],[Join Date]])</f>
        <v>802</v>
      </c>
      <c r="W91" s="3" t="str">
        <f t="shared" ca="1" si="2"/>
        <v>no</v>
      </c>
      <c r="X91" s="4">
        <f>Table1[[#This Row],[Hire Date]]-Table1[[#This Row],[Job Posting Date]]</f>
        <v>60</v>
      </c>
      <c r="Y91" s="10">
        <f t="shared" si="3"/>
        <v>8.3333333333333321</v>
      </c>
      <c r="Z91" s="4">
        <f>Table1[[#This Row],[Join Date]]-Table1[[#This Row],[Job Posting Date]]</f>
        <v>65</v>
      </c>
      <c r="AA91" s="4">
        <v>157</v>
      </c>
    </row>
    <row r="92" spans="1:27" x14ac:dyDescent="0.2">
      <c r="A92" t="s">
        <v>124</v>
      </c>
      <c r="B92" t="s">
        <v>28</v>
      </c>
      <c r="C92" t="s">
        <v>22</v>
      </c>
      <c r="D92" t="s">
        <v>23</v>
      </c>
      <c r="E92" s="1">
        <v>44023</v>
      </c>
      <c r="F92" s="1">
        <v>44061</v>
      </c>
      <c r="G92" s="1">
        <v>44066</v>
      </c>
      <c r="H92" s="1">
        <v>44726</v>
      </c>
      <c r="I92" t="s">
        <v>37</v>
      </c>
      <c r="J92" s="12">
        <v>3711</v>
      </c>
      <c r="K92">
        <v>9</v>
      </c>
      <c r="L92">
        <v>2</v>
      </c>
      <c r="M92" t="s">
        <v>286</v>
      </c>
      <c r="N92" s="3">
        <v>2</v>
      </c>
      <c r="O92" s="6" t="s">
        <v>292</v>
      </c>
      <c r="T92" s="3">
        <f>Table1[[#This Row],[Hire Date]]-Table1[[#This Row],[Job Posting Date]]</f>
        <v>38</v>
      </c>
      <c r="U92" s="9">
        <f>Table1[[#This Row],[Join Date]]-Table1[[#This Row],[Hire Date]]</f>
        <v>5</v>
      </c>
      <c r="V92" s="9">
        <f ca="1">IF(Table1[[#This Row],[Status]]="Exited",Table1[[#This Row],[Exit Date]]-Table1[[#This Row],[Join Date]],TODAY()-Table1[[#This Row],[Join Date]])</f>
        <v>660</v>
      </c>
      <c r="W92" s="3" t="str">
        <f t="shared" ca="1" si="2"/>
        <v>yes</v>
      </c>
      <c r="X92" s="3">
        <f>Table1[[#This Row],[Hire Date]]-Table1[[#This Row],[Job Posting Date]]</f>
        <v>38</v>
      </c>
      <c r="Y92" s="10">
        <f t="shared" si="3"/>
        <v>13.157894736842104</v>
      </c>
      <c r="Z92" s="3">
        <f>Table1[[#This Row],[Join Date]]-Table1[[#This Row],[Job Posting Date]]</f>
        <v>43</v>
      </c>
      <c r="AA92" s="3">
        <v>117</v>
      </c>
    </row>
    <row r="93" spans="1:27" x14ac:dyDescent="0.2">
      <c r="A93" t="s">
        <v>125</v>
      </c>
      <c r="B93" t="s">
        <v>27</v>
      </c>
      <c r="C93" t="s">
        <v>24</v>
      </c>
      <c r="D93" t="s">
        <v>25</v>
      </c>
      <c r="E93" s="1">
        <v>44693</v>
      </c>
      <c r="F93" s="1">
        <v>44718</v>
      </c>
      <c r="G93" s="1">
        <v>44722</v>
      </c>
      <c r="H93" s="1" t="s">
        <v>32</v>
      </c>
      <c r="I93" t="s">
        <v>33</v>
      </c>
      <c r="J93" s="12">
        <v>4302</v>
      </c>
      <c r="K93">
        <v>5</v>
      </c>
      <c r="L93">
        <v>0</v>
      </c>
      <c r="M93" t="s">
        <v>287</v>
      </c>
      <c r="N93" s="4">
        <v>5</v>
      </c>
      <c r="O93" s="7" t="s">
        <v>293</v>
      </c>
      <c r="T93" s="4">
        <f>Table1[[#This Row],[Hire Date]]-Table1[[#This Row],[Job Posting Date]]</f>
        <v>25</v>
      </c>
      <c r="U93" s="11">
        <f>Table1[[#This Row],[Join Date]]-Table1[[#This Row],[Hire Date]]</f>
        <v>4</v>
      </c>
      <c r="V93" s="11">
        <f ca="1">IF(Table1[[#This Row],[Status]]="Exited",Table1[[#This Row],[Exit Date]]-Table1[[#This Row],[Join Date]],TODAY()-Table1[[#This Row],[Join Date]])</f>
        <v>952</v>
      </c>
      <c r="W93" s="3" t="str">
        <f t="shared" ca="1" si="2"/>
        <v>no</v>
      </c>
      <c r="X93" s="4">
        <f>Table1[[#This Row],[Hire Date]]-Table1[[#This Row],[Job Posting Date]]</f>
        <v>25</v>
      </c>
      <c r="Y93" s="10">
        <f t="shared" si="3"/>
        <v>16</v>
      </c>
      <c r="Z93" s="4">
        <f>Table1[[#This Row],[Join Date]]-Table1[[#This Row],[Job Posting Date]]</f>
        <v>29</v>
      </c>
      <c r="AA93" s="4">
        <v>139</v>
      </c>
    </row>
    <row r="94" spans="1:27" x14ac:dyDescent="0.2">
      <c r="A94" t="s">
        <v>126</v>
      </c>
      <c r="B94" t="s">
        <v>28</v>
      </c>
      <c r="C94" t="s">
        <v>22</v>
      </c>
      <c r="D94" t="s">
        <v>23</v>
      </c>
      <c r="E94" s="1">
        <v>44445</v>
      </c>
      <c r="F94" s="1">
        <v>44522</v>
      </c>
      <c r="G94" s="1">
        <v>44527</v>
      </c>
      <c r="H94" s="1" t="s">
        <v>32</v>
      </c>
      <c r="I94" t="s">
        <v>33</v>
      </c>
      <c r="J94" s="12">
        <v>3666</v>
      </c>
      <c r="K94">
        <v>7</v>
      </c>
      <c r="L94">
        <v>2</v>
      </c>
      <c r="M94" t="s">
        <v>288</v>
      </c>
      <c r="N94" s="3">
        <v>4</v>
      </c>
      <c r="O94" s="6" t="s">
        <v>292</v>
      </c>
      <c r="T94" s="3">
        <f>Table1[[#This Row],[Hire Date]]-Table1[[#This Row],[Job Posting Date]]</f>
        <v>77</v>
      </c>
      <c r="U94" s="9">
        <f>Table1[[#This Row],[Join Date]]-Table1[[#This Row],[Hire Date]]</f>
        <v>5</v>
      </c>
      <c r="V94" s="9">
        <f ca="1">IF(Table1[[#This Row],[Status]]="Exited",Table1[[#This Row],[Exit Date]]-Table1[[#This Row],[Join Date]],TODAY()-Table1[[#This Row],[Join Date]])</f>
        <v>1147</v>
      </c>
      <c r="W94" s="3" t="str">
        <f t="shared" ca="1" si="2"/>
        <v>no</v>
      </c>
      <c r="X94" s="3">
        <f>Table1[[#This Row],[Hire Date]]-Table1[[#This Row],[Job Posting Date]]</f>
        <v>77</v>
      </c>
      <c r="Y94" s="10">
        <f t="shared" si="3"/>
        <v>6.4935064935064926</v>
      </c>
      <c r="Z94" s="3">
        <f>Table1[[#This Row],[Join Date]]-Table1[[#This Row],[Job Posting Date]]</f>
        <v>82</v>
      </c>
      <c r="AA94" s="3">
        <v>159</v>
      </c>
    </row>
    <row r="95" spans="1:27" x14ac:dyDescent="0.2">
      <c r="A95" t="s">
        <v>127</v>
      </c>
      <c r="B95" t="s">
        <v>28</v>
      </c>
      <c r="C95" t="s">
        <v>24</v>
      </c>
      <c r="D95" t="s">
        <v>25</v>
      </c>
      <c r="E95" s="1">
        <v>43457</v>
      </c>
      <c r="F95" s="1">
        <v>43480</v>
      </c>
      <c r="G95" s="1">
        <v>43483</v>
      </c>
      <c r="H95" s="1">
        <v>44889</v>
      </c>
      <c r="I95" t="s">
        <v>37</v>
      </c>
      <c r="J95" s="12">
        <v>4675</v>
      </c>
      <c r="K95">
        <v>9</v>
      </c>
      <c r="L95">
        <v>3</v>
      </c>
      <c r="M95" t="s">
        <v>286</v>
      </c>
      <c r="N95" s="4">
        <v>4</v>
      </c>
      <c r="O95" s="7" t="s">
        <v>292</v>
      </c>
      <c r="T95" s="4">
        <f>Table1[[#This Row],[Hire Date]]-Table1[[#This Row],[Job Posting Date]]</f>
        <v>23</v>
      </c>
      <c r="U95" s="11">
        <f>Table1[[#This Row],[Join Date]]-Table1[[#This Row],[Hire Date]]</f>
        <v>3</v>
      </c>
      <c r="V95" s="11">
        <f ca="1">IF(Table1[[#This Row],[Status]]="Exited",Table1[[#This Row],[Exit Date]]-Table1[[#This Row],[Join Date]],TODAY()-Table1[[#This Row],[Join Date]])</f>
        <v>1406</v>
      </c>
      <c r="W95" s="3" t="str">
        <f t="shared" ca="1" si="2"/>
        <v>no</v>
      </c>
      <c r="X95" s="4">
        <f>Table1[[#This Row],[Hire Date]]-Table1[[#This Row],[Job Posting Date]]</f>
        <v>23</v>
      </c>
      <c r="Y95" s="10">
        <f t="shared" si="3"/>
        <v>13.043478260869565</v>
      </c>
      <c r="Z95" s="4">
        <f>Table1[[#This Row],[Join Date]]-Table1[[#This Row],[Job Posting Date]]</f>
        <v>26</v>
      </c>
      <c r="AA95" s="4">
        <v>136</v>
      </c>
    </row>
    <row r="96" spans="1:27" x14ac:dyDescent="0.2">
      <c r="A96" t="s">
        <v>128</v>
      </c>
      <c r="B96" t="s">
        <v>26</v>
      </c>
      <c r="C96" t="s">
        <v>22</v>
      </c>
      <c r="D96" t="s">
        <v>23</v>
      </c>
      <c r="E96" s="1">
        <v>44861</v>
      </c>
      <c r="F96" s="1">
        <v>44928</v>
      </c>
      <c r="G96" s="1">
        <v>44935</v>
      </c>
      <c r="H96" s="1" t="s">
        <v>32</v>
      </c>
      <c r="I96" t="s">
        <v>33</v>
      </c>
      <c r="J96" s="12">
        <v>3418</v>
      </c>
      <c r="K96">
        <v>3</v>
      </c>
      <c r="L96">
        <v>2</v>
      </c>
      <c r="M96" t="s">
        <v>286</v>
      </c>
      <c r="N96" s="3">
        <v>3</v>
      </c>
      <c r="O96" s="6" t="s">
        <v>293</v>
      </c>
      <c r="T96" s="3">
        <f>Table1[[#This Row],[Hire Date]]-Table1[[#This Row],[Job Posting Date]]</f>
        <v>67</v>
      </c>
      <c r="U96" s="9">
        <f>Table1[[#This Row],[Join Date]]-Table1[[#This Row],[Hire Date]]</f>
        <v>7</v>
      </c>
      <c r="V96" s="9">
        <f ca="1">IF(Table1[[#This Row],[Status]]="Exited",Table1[[#This Row],[Exit Date]]-Table1[[#This Row],[Join Date]],TODAY()-Table1[[#This Row],[Join Date]])</f>
        <v>739</v>
      </c>
      <c r="W96" s="3" t="str">
        <f t="shared" ca="1" si="2"/>
        <v>no</v>
      </c>
      <c r="X96" s="3">
        <f>Table1[[#This Row],[Hire Date]]-Table1[[#This Row],[Job Posting Date]]</f>
        <v>67</v>
      </c>
      <c r="Y96" s="10">
        <f t="shared" si="3"/>
        <v>10.44776119402985</v>
      </c>
      <c r="Z96" s="3">
        <f>Table1[[#This Row],[Join Date]]-Table1[[#This Row],[Job Posting Date]]</f>
        <v>74</v>
      </c>
      <c r="AA96" s="3">
        <v>150</v>
      </c>
    </row>
    <row r="97" spans="1:27" x14ac:dyDescent="0.2">
      <c r="A97" t="s">
        <v>129</v>
      </c>
      <c r="B97" t="s">
        <v>26</v>
      </c>
      <c r="C97" t="s">
        <v>18</v>
      </c>
      <c r="D97" t="s">
        <v>19</v>
      </c>
      <c r="E97" s="1">
        <v>43242</v>
      </c>
      <c r="F97" s="1">
        <v>43266</v>
      </c>
      <c r="G97" s="1">
        <v>43273</v>
      </c>
      <c r="H97" s="1" t="s">
        <v>32</v>
      </c>
      <c r="I97" t="s">
        <v>33</v>
      </c>
      <c r="J97" s="12">
        <v>3334</v>
      </c>
      <c r="K97">
        <v>7</v>
      </c>
      <c r="L97">
        <v>0</v>
      </c>
      <c r="M97" t="s">
        <v>287</v>
      </c>
      <c r="N97" s="4">
        <v>3</v>
      </c>
      <c r="O97" s="7" t="s">
        <v>292</v>
      </c>
      <c r="T97" s="4">
        <f>Table1[[#This Row],[Hire Date]]-Table1[[#This Row],[Job Posting Date]]</f>
        <v>24</v>
      </c>
      <c r="U97" s="11">
        <f>Table1[[#This Row],[Join Date]]-Table1[[#This Row],[Hire Date]]</f>
        <v>7</v>
      </c>
      <c r="V97" s="11">
        <f ca="1">IF(Table1[[#This Row],[Status]]="Exited",Table1[[#This Row],[Exit Date]]-Table1[[#This Row],[Join Date]],TODAY()-Table1[[#This Row],[Join Date]])</f>
        <v>2401</v>
      </c>
      <c r="W97" s="3" t="str">
        <f t="shared" ca="1" si="2"/>
        <v>no</v>
      </c>
      <c r="X97" s="4">
        <f>Table1[[#This Row],[Hire Date]]-Table1[[#This Row],[Job Posting Date]]</f>
        <v>24</v>
      </c>
      <c r="Y97" s="10">
        <f t="shared" si="3"/>
        <v>29.166666666666668</v>
      </c>
      <c r="Z97" s="4">
        <f>Table1[[#This Row],[Join Date]]-Table1[[#This Row],[Job Posting Date]]</f>
        <v>31</v>
      </c>
      <c r="AA97" s="4">
        <v>169</v>
      </c>
    </row>
    <row r="98" spans="1:27" x14ac:dyDescent="0.2">
      <c r="A98" t="s">
        <v>130</v>
      </c>
      <c r="B98" t="s">
        <v>28</v>
      </c>
      <c r="C98" t="s">
        <v>20</v>
      </c>
      <c r="D98" t="s">
        <v>21</v>
      </c>
      <c r="E98" s="1">
        <v>44626</v>
      </c>
      <c r="F98" s="1">
        <v>44647</v>
      </c>
      <c r="G98" s="1">
        <v>44654</v>
      </c>
      <c r="H98" s="1" t="s">
        <v>32</v>
      </c>
      <c r="I98" t="s">
        <v>33</v>
      </c>
      <c r="J98" s="12">
        <v>3216</v>
      </c>
      <c r="K98">
        <v>7</v>
      </c>
      <c r="L98">
        <v>3</v>
      </c>
      <c r="M98" t="s">
        <v>286</v>
      </c>
      <c r="N98" s="3">
        <v>4</v>
      </c>
      <c r="O98" s="6" t="s">
        <v>293</v>
      </c>
      <c r="T98" s="3">
        <f>Table1[[#This Row],[Hire Date]]-Table1[[#This Row],[Job Posting Date]]</f>
        <v>21</v>
      </c>
      <c r="U98" s="9">
        <f>Table1[[#This Row],[Join Date]]-Table1[[#This Row],[Hire Date]]</f>
        <v>7</v>
      </c>
      <c r="V98" s="9">
        <f ca="1">IF(Table1[[#This Row],[Status]]="Exited",Table1[[#This Row],[Exit Date]]-Table1[[#This Row],[Join Date]],TODAY()-Table1[[#This Row],[Join Date]])</f>
        <v>1020</v>
      </c>
      <c r="W98" s="3" t="str">
        <f t="shared" ca="1" si="2"/>
        <v>no</v>
      </c>
      <c r="X98" s="3">
        <f>Table1[[#This Row],[Hire Date]]-Table1[[#This Row],[Job Posting Date]]</f>
        <v>21</v>
      </c>
      <c r="Y98" s="10">
        <f t="shared" si="3"/>
        <v>33.333333333333329</v>
      </c>
      <c r="Z98" s="3">
        <f>Table1[[#This Row],[Join Date]]-Table1[[#This Row],[Job Posting Date]]</f>
        <v>28</v>
      </c>
      <c r="AA98" s="3">
        <v>163</v>
      </c>
    </row>
    <row r="99" spans="1:27" x14ac:dyDescent="0.2">
      <c r="A99" t="s">
        <v>131</v>
      </c>
      <c r="B99" t="s">
        <v>28</v>
      </c>
      <c r="C99" t="s">
        <v>22</v>
      </c>
      <c r="D99" t="s">
        <v>23</v>
      </c>
      <c r="E99" s="1">
        <v>43929</v>
      </c>
      <c r="F99" s="1">
        <v>44013</v>
      </c>
      <c r="G99" s="1">
        <v>44018</v>
      </c>
      <c r="H99" s="1">
        <v>45489</v>
      </c>
      <c r="I99" t="s">
        <v>37</v>
      </c>
      <c r="J99" s="12">
        <v>3128</v>
      </c>
      <c r="K99">
        <v>4</v>
      </c>
      <c r="L99">
        <v>0</v>
      </c>
      <c r="M99" t="s">
        <v>287</v>
      </c>
      <c r="N99" s="4">
        <v>2</v>
      </c>
      <c r="O99" s="7" t="s">
        <v>293</v>
      </c>
      <c r="T99" s="4">
        <f>Table1[[#This Row],[Hire Date]]-Table1[[#This Row],[Job Posting Date]]</f>
        <v>84</v>
      </c>
      <c r="U99" s="11">
        <f>Table1[[#This Row],[Join Date]]-Table1[[#This Row],[Hire Date]]</f>
        <v>5</v>
      </c>
      <c r="V99" s="11">
        <f ca="1">IF(Table1[[#This Row],[Status]]="Exited",Table1[[#This Row],[Exit Date]]-Table1[[#This Row],[Join Date]],TODAY()-Table1[[#This Row],[Join Date]])</f>
        <v>1471</v>
      </c>
      <c r="W99" s="3" t="str">
        <f t="shared" ca="1" si="2"/>
        <v>no</v>
      </c>
      <c r="X99" s="4">
        <f>Table1[[#This Row],[Hire Date]]-Table1[[#This Row],[Job Posting Date]]</f>
        <v>84</v>
      </c>
      <c r="Y99" s="10">
        <f t="shared" si="3"/>
        <v>5.9523809523809517</v>
      </c>
      <c r="Z99" s="4">
        <f>Table1[[#This Row],[Join Date]]-Table1[[#This Row],[Job Posting Date]]</f>
        <v>89</v>
      </c>
      <c r="AA99" s="4">
        <v>155</v>
      </c>
    </row>
    <row r="100" spans="1:27" x14ac:dyDescent="0.2">
      <c r="A100" t="s">
        <v>132</v>
      </c>
      <c r="B100" t="s">
        <v>27</v>
      </c>
      <c r="C100" t="s">
        <v>18</v>
      </c>
      <c r="D100" t="s">
        <v>19</v>
      </c>
      <c r="E100" s="1">
        <v>44607</v>
      </c>
      <c r="F100" s="1">
        <v>44697</v>
      </c>
      <c r="G100" s="1">
        <v>44704</v>
      </c>
      <c r="H100" s="1" t="s">
        <v>32</v>
      </c>
      <c r="I100" t="s">
        <v>33</v>
      </c>
      <c r="J100" s="12">
        <v>2097</v>
      </c>
      <c r="K100">
        <v>8</v>
      </c>
      <c r="L100">
        <v>7</v>
      </c>
      <c r="M100" t="s">
        <v>288</v>
      </c>
      <c r="N100" s="3">
        <v>4</v>
      </c>
      <c r="O100" s="6" t="s">
        <v>293</v>
      </c>
      <c r="T100" s="3">
        <f>Table1[[#This Row],[Hire Date]]-Table1[[#This Row],[Job Posting Date]]</f>
        <v>90</v>
      </c>
      <c r="U100" s="9">
        <f>Table1[[#This Row],[Join Date]]-Table1[[#This Row],[Hire Date]]</f>
        <v>7</v>
      </c>
      <c r="V100" s="9">
        <f ca="1">IF(Table1[[#This Row],[Status]]="Exited",Table1[[#This Row],[Exit Date]]-Table1[[#This Row],[Join Date]],TODAY()-Table1[[#This Row],[Join Date]])</f>
        <v>970</v>
      </c>
      <c r="W100" s="3" t="str">
        <f t="shared" ca="1" si="2"/>
        <v>no</v>
      </c>
      <c r="X100" s="3">
        <f>Table1[[#This Row],[Hire Date]]-Table1[[#This Row],[Job Posting Date]]</f>
        <v>90</v>
      </c>
      <c r="Y100" s="10">
        <f t="shared" si="3"/>
        <v>7.7777777777777777</v>
      </c>
      <c r="Z100" s="3">
        <f>Table1[[#This Row],[Join Date]]-Table1[[#This Row],[Job Posting Date]]</f>
        <v>97</v>
      </c>
      <c r="AA100" s="3">
        <v>144</v>
      </c>
    </row>
    <row r="101" spans="1:27" x14ac:dyDescent="0.2">
      <c r="A101" t="s">
        <v>133</v>
      </c>
      <c r="B101" t="s">
        <v>26</v>
      </c>
      <c r="C101" t="s">
        <v>22</v>
      </c>
      <c r="D101" t="s">
        <v>23</v>
      </c>
      <c r="E101" s="1">
        <v>43988</v>
      </c>
      <c r="F101" s="1">
        <v>44009</v>
      </c>
      <c r="G101" s="1">
        <v>44016</v>
      </c>
      <c r="H101" s="1">
        <v>44759</v>
      </c>
      <c r="I101" t="s">
        <v>37</v>
      </c>
      <c r="J101" s="12">
        <v>3596</v>
      </c>
      <c r="K101">
        <v>7</v>
      </c>
      <c r="L101">
        <v>4</v>
      </c>
      <c r="M101" t="s">
        <v>286</v>
      </c>
      <c r="N101" s="4">
        <v>1</v>
      </c>
      <c r="O101" s="7" t="s">
        <v>292</v>
      </c>
      <c r="T101" s="4">
        <f>Table1[[#This Row],[Hire Date]]-Table1[[#This Row],[Job Posting Date]]</f>
        <v>21</v>
      </c>
      <c r="U101" s="11">
        <f>Table1[[#This Row],[Join Date]]-Table1[[#This Row],[Hire Date]]</f>
        <v>7</v>
      </c>
      <c r="V101" s="11">
        <f ca="1">IF(Table1[[#This Row],[Status]]="Exited",Table1[[#This Row],[Exit Date]]-Table1[[#This Row],[Join Date]],TODAY()-Table1[[#This Row],[Join Date]])</f>
        <v>743</v>
      </c>
      <c r="W101" s="3" t="str">
        <f t="shared" ca="1" si="2"/>
        <v>no</v>
      </c>
      <c r="X101" s="4">
        <f>Table1[[#This Row],[Hire Date]]-Table1[[#This Row],[Job Posting Date]]</f>
        <v>21</v>
      </c>
      <c r="Y101" s="10">
        <f t="shared" si="3"/>
        <v>33.333333333333329</v>
      </c>
      <c r="Z101" s="4">
        <f>Table1[[#This Row],[Join Date]]-Table1[[#This Row],[Job Posting Date]]</f>
        <v>28</v>
      </c>
      <c r="AA101" s="4">
        <v>164</v>
      </c>
    </row>
    <row r="102" spans="1:27" x14ac:dyDescent="0.2">
      <c r="A102" t="s">
        <v>134</v>
      </c>
      <c r="B102" t="s">
        <v>26</v>
      </c>
      <c r="C102" t="s">
        <v>22</v>
      </c>
      <c r="D102" t="s">
        <v>23</v>
      </c>
      <c r="E102" s="1">
        <v>44236</v>
      </c>
      <c r="F102" s="1">
        <v>44295</v>
      </c>
      <c r="G102" s="1">
        <v>44305</v>
      </c>
      <c r="H102" s="1">
        <v>44581</v>
      </c>
      <c r="I102" t="s">
        <v>37</v>
      </c>
      <c r="J102" s="12">
        <v>2032</v>
      </c>
      <c r="K102">
        <v>2</v>
      </c>
      <c r="L102">
        <v>1</v>
      </c>
      <c r="M102" t="s">
        <v>288</v>
      </c>
      <c r="N102" s="3">
        <v>1</v>
      </c>
      <c r="O102" s="6" t="s">
        <v>293</v>
      </c>
      <c r="T102" s="3">
        <f>Table1[[#This Row],[Hire Date]]-Table1[[#This Row],[Job Posting Date]]</f>
        <v>59</v>
      </c>
      <c r="U102" s="9">
        <f>Table1[[#This Row],[Join Date]]-Table1[[#This Row],[Hire Date]]</f>
        <v>10</v>
      </c>
      <c r="V102" s="9">
        <f ca="1">IF(Table1[[#This Row],[Status]]="Exited",Table1[[#This Row],[Exit Date]]-Table1[[#This Row],[Join Date]],TODAY()-Table1[[#This Row],[Join Date]])</f>
        <v>276</v>
      </c>
      <c r="W102" s="3" t="str">
        <f t="shared" ca="1" si="2"/>
        <v>yes</v>
      </c>
      <c r="X102" s="3">
        <f>Table1[[#This Row],[Hire Date]]-Table1[[#This Row],[Job Posting Date]]</f>
        <v>59</v>
      </c>
      <c r="Y102" s="10">
        <f t="shared" si="3"/>
        <v>16.949152542372879</v>
      </c>
      <c r="Z102" s="3">
        <f>Table1[[#This Row],[Join Date]]-Table1[[#This Row],[Job Posting Date]]</f>
        <v>69</v>
      </c>
      <c r="AA102" s="3">
        <v>156</v>
      </c>
    </row>
    <row r="103" spans="1:27" x14ac:dyDescent="0.2">
      <c r="A103" t="s">
        <v>135</v>
      </c>
      <c r="B103" t="s">
        <v>27</v>
      </c>
      <c r="C103" t="s">
        <v>22</v>
      </c>
      <c r="D103" t="s">
        <v>23</v>
      </c>
      <c r="E103" s="1">
        <v>43988</v>
      </c>
      <c r="F103" s="1">
        <v>44021</v>
      </c>
      <c r="G103" s="1">
        <v>44034</v>
      </c>
      <c r="H103" s="1" t="s">
        <v>32</v>
      </c>
      <c r="I103" t="s">
        <v>33</v>
      </c>
      <c r="J103" s="12">
        <v>2735</v>
      </c>
      <c r="K103">
        <v>4</v>
      </c>
      <c r="L103">
        <v>1</v>
      </c>
      <c r="M103" t="s">
        <v>286</v>
      </c>
      <c r="N103" s="4">
        <v>2</v>
      </c>
      <c r="O103" s="7" t="s">
        <v>292</v>
      </c>
      <c r="T103" s="4">
        <f>Table1[[#This Row],[Hire Date]]-Table1[[#This Row],[Job Posting Date]]</f>
        <v>33</v>
      </c>
      <c r="U103" s="11">
        <f>Table1[[#This Row],[Join Date]]-Table1[[#This Row],[Hire Date]]</f>
        <v>13</v>
      </c>
      <c r="V103" s="11">
        <f ca="1">IF(Table1[[#This Row],[Status]]="Exited",Table1[[#This Row],[Exit Date]]-Table1[[#This Row],[Join Date]],TODAY()-Table1[[#This Row],[Join Date]])</f>
        <v>1640</v>
      </c>
      <c r="W103" s="3" t="str">
        <f t="shared" ca="1" si="2"/>
        <v>no</v>
      </c>
      <c r="X103" s="4">
        <f>Table1[[#This Row],[Hire Date]]-Table1[[#This Row],[Job Posting Date]]</f>
        <v>33</v>
      </c>
      <c r="Y103" s="10">
        <f t="shared" si="3"/>
        <v>39.393939393939391</v>
      </c>
      <c r="Z103" s="4">
        <f>Table1[[#This Row],[Join Date]]-Table1[[#This Row],[Job Posting Date]]</f>
        <v>46</v>
      </c>
      <c r="AA103" s="4">
        <v>190</v>
      </c>
    </row>
    <row r="104" spans="1:27" x14ac:dyDescent="0.2">
      <c r="A104" t="s">
        <v>136</v>
      </c>
      <c r="B104" t="s">
        <v>27</v>
      </c>
      <c r="C104" t="s">
        <v>18</v>
      </c>
      <c r="D104" t="s">
        <v>19</v>
      </c>
      <c r="E104" s="1">
        <v>44404</v>
      </c>
      <c r="F104" s="1">
        <v>44473</v>
      </c>
      <c r="G104" s="1">
        <v>44488</v>
      </c>
      <c r="H104" s="1">
        <v>45648</v>
      </c>
      <c r="I104" t="s">
        <v>37</v>
      </c>
      <c r="J104" s="12">
        <v>1866</v>
      </c>
      <c r="K104">
        <v>4</v>
      </c>
      <c r="L104">
        <v>0</v>
      </c>
      <c r="M104" t="s">
        <v>288</v>
      </c>
      <c r="N104" s="3">
        <v>3</v>
      </c>
      <c r="O104" s="6" t="s">
        <v>293</v>
      </c>
      <c r="T104" s="3">
        <f>Table1[[#This Row],[Hire Date]]-Table1[[#This Row],[Job Posting Date]]</f>
        <v>69</v>
      </c>
      <c r="U104" s="9">
        <f>Table1[[#This Row],[Join Date]]-Table1[[#This Row],[Hire Date]]</f>
        <v>15</v>
      </c>
      <c r="V104" s="9">
        <f ca="1">IF(Table1[[#This Row],[Status]]="Exited",Table1[[#This Row],[Exit Date]]-Table1[[#This Row],[Join Date]],TODAY()-Table1[[#This Row],[Join Date]])</f>
        <v>1160</v>
      </c>
      <c r="W104" s="3" t="str">
        <f t="shared" ca="1" si="2"/>
        <v>no</v>
      </c>
      <c r="X104" s="3">
        <f>Table1[[#This Row],[Hire Date]]-Table1[[#This Row],[Job Posting Date]]</f>
        <v>69</v>
      </c>
      <c r="Y104" s="10">
        <f t="shared" si="3"/>
        <v>21.739130434782609</v>
      </c>
      <c r="Z104" s="3">
        <f>Table1[[#This Row],[Join Date]]-Table1[[#This Row],[Job Posting Date]]</f>
        <v>84</v>
      </c>
      <c r="AA104" s="3">
        <v>183</v>
      </c>
    </row>
    <row r="105" spans="1:27" x14ac:dyDescent="0.2">
      <c r="A105" t="s">
        <v>137</v>
      </c>
      <c r="B105" t="s">
        <v>28</v>
      </c>
      <c r="C105" t="s">
        <v>16</v>
      </c>
      <c r="D105" t="s">
        <v>17</v>
      </c>
      <c r="E105" s="1">
        <v>44541</v>
      </c>
      <c r="F105" s="1">
        <v>44631</v>
      </c>
      <c r="G105" s="1">
        <v>44633</v>
      </c>
      <c r="H105" s="1">
        <v>45206</v>
      </c>
      <c r="I105" t="s">
        <v>37</v>
      </c>
      <c r="J105" s="12">
        <v>3903</v>
      </c>
      <c r="K105">
        <v>10</v>
      </c>
      <c r="L105">
        <v>7</v>
      </c>
      <c r="M105" t="s">
        <v>287</v>
      </c>
      <c r="N105" s="4">
        <v>3</v>
      </c>
      <c r="O105" s="7" t="s">
        <v>293</v>
      </c>
      <c r="T105" s="4">
        <f>Table1[[#This Row],[Hire Date]]-Table1[[#This Row],[Job Posting Date]]</f>
        <v>90</v>
      </c>
      <c r="U105" s="11">
        <f>Table1[[#This Row],[Join Date]]-Table1[[#This Row],[Hire Date]]</f>
        <v>2</v>
      </c>
      <c r="V105" s="11">
        <f ca="1">IF(Table1[[#This Row],[Status]]="Exited",Table1[[#This Row],[Exit Date]]-Table1[[#This Row],[Join Date]],TODAY()-Table1[[#This Row],[Join Date]])</f>
        <v>573</v>
      </c>
      <c r="W105" s="3" t="str">
        <f t="shared" ca="1" si="2"/>
        <v>yes</v>
      </c>
      <c r="X105" s="4">
        <f>Table1[[#This Row],[Hire Date]]-Table1[[#This Row],[Job Posting Date]]</f>
        <v>90</v>
      </c>
      <c r="Y105" s="10">
        <f t="shared" si="3"/>
        <v>2.2222222222222223</v>
      </c>
      <c r="Z105" s="4">
        <f>Table1[[#This Row],[Join Date]]-Table1[[#This Row],[Job Posting Date]]</f>
        <v>92</v>
      </c>
      <c r="AA105" s="4">
        <v>145</v>
      </c>
    </row>
    <row r="106" spans="1:27" x14ac:dyDescent="0.2">
      <c r="A106" t="s">
        <v>138</v>
      </c>
      <c r="B106" t="s">
        <v>27</v>
      </c>
      <c r="C106" t="s">
        <v>24</v>
      </c>
      <c r="D106" t="s">
        <v>25</v>
      </c>
      <c r="E106" s="1">
        <v>44814</v>
      </c>
      <c r="F106" s="1">
        <v>44832</v>
      </c>
      <c r="G106" s="1">
        <v>44843</v>
      </c>
      <c r="H106" s="1">
        <v>45281</v>
      </c>
      <c r="I106" t="s">
        <v>37</v>
      </c>
      <c r="J106" s="12">
        <v>3537</v>
      </c>
      <c r="K106">
        <v>7</v>
      </c>
      <c r="L106">
        <v>2</v>
      </c>
      <c r="M106" t="s">
        <v>286</v>
      </c>
      <c r="N106" s="3">
        <v>2</v>
      </c>
      <c r="O106" s="6" t="s">
        <v>292</v>
      </c>
      <c r="T106" s="3">
        <f>Table1[[#This Row],[Hire Date]]-Table1[[#This Row],[Job Posting Date]]</f>
        <v>18</v>
      </c>
      <c r="U106" s="9">
        <f>Table1[[#This Row],[Join Date]]-Table1[[#This Row],[Hire Date]]</f>
        <v>11</v>
      </c>
      <c r="V106" s="9">
        <f ca="1">IF(Table1[[#This Row],[Status]]="Exited",Table1[[#This Row],[Exit Date]]-Table1[[#This Row],[Join Date]],TODAY()-Table1[[#This Row],[Join Date]])</f>
        <v>438</v>
      </c>
      <c r="W106" s="3" t="str">
        <f t="shared" ca="1" si="2"/>
        <v>yes</v>
      </c>
      <c r="X106" s="3">
        <f>Table1[[#This Row],[Hire Date]]-Table1[[#This Row],[Job Posting Date]]</f>
        <v>18</v>
      </c>
      <c r="Y106" s="10">
        <f t="shared" si="3"/>
        <v>61.111111111111114</v>
      </c>
      <c r="Z106" s="3">
        <f>Table1[[#This Row],[Join Date]]-Table1[[#This Row],[Job Posting Date]]</f>
        <v>29</v>
      </c>
      <c r="AA106" s="3">
        <v>110</v>
      </c>
    </row>
    <row r="107" spans="1:27" x14ac:dyDescent="0.2">
      <c r="A107" t="s">
        <v>139</v>
      </c>
      <c r="B107" t="s">
        <v>28</v>
      </c>
      <c r="C107" t="s">
        <v>24</v>
      </c>
      <c r="D107" t="s">
        <v>25</v>
      </c>
      <c r="E107" s="1">
        <v>44356</v>
      </c>
      <c r="F107" s="1">
        <v>44435</v>
      </c>
      <c r="G107" s="1">
        <v>44448</v>
      </c>
      <c r="H107" s="1" t="s">
        <v>32</v>
      </c>
      <c r="I107" t="s">
        <v>33</v>
      </c>
      <c r="J107" s="12">
        <v>3318</v>
      </c>
      <c r="K107">
        <v>4</v>
      </c>
      <c r="L107">
        <v>3</v>
      </c>
      <c r="M107" t="s">
        <v>287</v>
      </c>
      <c r="N107" s="4">
        <v>5</v>
      </c>
      <c r="O107" s="7" t="s">
        <v>293</v>
      </c>
      <c r="T107" s="4">
        <f>Table1[[#This Row],[Hire Date]]-Table1[[#This Row],[Job Posting Date]]</f>
        <v>79</v>
      </c>
      <c r="U107" s="11">
        <f>Table1[[#This Row],[Join Date]]-Table1[[#This Row],[Hire Date]]</f>
        <v>13</v>
      </c>
      <c r="V107" s="11">
        <f ca="1">IF(Table1[[#This Row],[Status]]="Exited",Table1[[#This Row],[Exit Date]]-Table1[[#This Row],[Join Date]],TODAY()-Table1[[#This Row],[Join Date]])</f>
        <v>1226</v>
      </c>
      <c r="W107" s="3" t="str">
        <f t="shared" ca="1" si="2"/>
        <v>no</v>
      </c>
      <c r="X107" s="4">
        <f>Table1[[#This Row],[Hire Date]]-Table1[[#This Row],[Job Posting Date]]</f>
        <v>79</v>
      </c>
      <c r="Y107" s="10">
        <f t="shared" si="3"/>
        <v>16.455696202531644</v>
      </c>
      <c r="Z107" s="4">
        <f>Table1[[#This Row],[Join Date]]-Table1[[#This Row],[Job Posting Date]]</f>
        <v>92</v>
      </c>
      <c r="AA107" s="4">
        <v>112</v>
      </c>
    </row>
    <row r="108" spans="1:27" x14ac:dyDescent="0.2">
      <c r="A108" t="s">
        <v>140</v>
      </c>
      <c r="B108" t="s">
        <v>28</v>
      </c>
      <c r="C108" t="s">
        <v>20</v>
      </c>
      <c r="D108" t="s">
        <v>21</v>
      </c>
      <c r="E108" s="1">
        <v>43364</v>
      </c>
      <c r="F108" s="1">
        <v>43430</v>
      </c>
      <c r="G108" s="1">
        <v>43436</v>
      </c>
      <c r="H108" s="1">
        <v>43823</v>
      </c>
      <c r="I108" t="s">
        <v>37</v>
      </c>
      <c r="J108" s="12">
        <v>3541</v>
      </c>
      <c r="K108">
        <v>4</v>
      </c>
      <c r="L108">
        <v>2</v>
      </c>
      <c r="M108" t="s">
        <v>288</v>
      </c>
      <c r="N108" s="3">
        <v>3</v>
      </c>
      <c r="O108" s="6" t="s">
        <v>293</v>
      </c>
      <c r="T108" s="3">
        <f>Table1[[#This Row],[Hire Date]]-Table1[[#This Row],[Job Posting Date]]</f>
        <v>66</v>
      </c>
      <c r="U108" s="9">
        <f>Table1[[#This Row],[Join Date]]-Table1[[#This Row],[Hire Date]]</f>
        <v>6</v>
      </c>
      <c r="V108" s="9">
        <f ca="1">IF(Table1[[#This Row],[Status]]="Exited",Table1[[#This Row],[Exit Date]]-Table1[[#This Row],[Join Date]],TODAY()-Table1[[#This Row],[Join Date]])</f>
        <v>387</v>
      </c>
      <c r="W108" s="3" t="str">
        <f t="shared" ca="1" si="2"/>
        <v>yes</v>
      </c>
      <c r="X108" s="3">
        <f>Table1[[#This Row],[Hire Date]]-Table1[[#This Row],[Job Posting Date]]</f>
        <v>66</v>
      </c>
      <c r="Y108" s="10">
        <f t="shared" si="3"/>
        <v>9.0909090909090917</v>
      </c>
      <c r="Z108" s="3">
        <f>Table1[[#This Row],[Join Date]]-Table1[[#This Row],[Job Posting Date]]</f>
        <v>72</v>
      </c>
      <c r="AA108" s="3">
        <v>200</v>
      </c>
    </row>
    <row r="109" spans="1:27" x14ac:dyDescent="0.2">
      <c r="A109" t="s">
        <v>141</v>
      </c>
      <c r="B109" t="s">
        <v>26</v>
      </c>
      <c r="C109" t="s">
        <v>20</v>
      </c>
      <c r="D109" t="s">
        <v>21</v>
      </c>
      <c r="E109" s="1">
        <v>44351</v>
      </c>
      <c r="F109" s="1">
        <v>44408</v>
      </c>
      <c r="G109" s="1">
        <v>44411</v>
      </c>
      <c r="H109" s="1">
        <v>44564</v>
      </c>
      <c r="I109" t="s">
        <v>37</v>
      </c>
      <c r="J109" s="12">
        <v>2317</v>
      </c>
      <c r="K109">
        <v>7</v>
      </c>
      <c r="L109">
        <v>6</v>
      </c>
      <c r="M109" t="s">
        <v>288</v>
      </c>
      <c r="N109" s="4">
        <v>3</v>
      </c>
      <c r="O109" s="7" t="s">
        <v>292</v>
      </c>
      <c r="T109" s="4">
        <f>Table1[[#This Row],[Hire Date]]-Table1[[#This Row],[Job Posting Date]]</f>
        <v>57</v>
      </c>
      <c r="U109" s="11">
        <f>Table1[[#This Row],[Join Date]]-Table1[[#This Row],[Hire Date]]</f>
        <v>3</v>
      </c>
      <c r="V109" s="11">
        <f ca="1">IF(Table1[[#This Row],[Status]]="Exited",Table1[[#This Row],[Exit Date]]-Table1[[#This Row],[Join Date]],TODAY()-Table1[[#This Row],[Join Date]])</f>
        <v>153</v>
      </c>
      <c r="W109" s="3" t="str">
        <f t="shared" ca="1" si="2"/>
        <v>yes</v>
      </c>
      <c r="X109" s="4">
        <f>Table1[[#This Row],[Hire Date]]-Table1[[#This Row],[Job Posting Date]]</f>
        <v>57</v>
      </c>
      <c r="Y109" s="10">
        <f t="shared" si="3"/>
        <v>5.2631578947368416</v>
      </c>
      <c r="Z109" s="4">
        <f>Table1[[#This Row],[Join Date]]-Table1[[#This Row],[Job Posting Date]]</f>
        <v>60</v>
      </c>
      <c r="AA109" s="4">
        <v>196</v>
      </c>
    </row>
    <row r="110" spans="1:27" x14ac:dyDescent="0.2">
      <c r="A110" t="s">
        <v>142</v>
      </c>
      <c r="B110" t="s">
        <v>27</v>
      </c>
      <c r="C110" t="s">
        <v>22</v>
      </c>
      <c r="D110" t="s">
        <v>23</v>
      </c>
      <c r="E110" s="1">
        <v>44149</v>
      </c>
      <c r="F110" s="1">
        <v>44165</v>
      </c>
      <c r="G110" s="1">
        <v>44172</v>
      </c>
      <c r="H110" s="1" t="s">
        <v>32</v>
      </c>
      <c r="I110" t="s">
        <v>33</v>
      </c>
      <c r="J110" s="12">
        <v>2706</v>
      </c>
      <c r="K110">
        <v>3</v>
      </c>
      <c r="L110">
        <v>0</v>
      </c>
      <c r="M110" t="s">
        <v>287</v>
      </c>
      <c r="N110" s="3">
        <v>4</v>
      </c>
      <c r="O110" s="6" t="s">
        <v>292</v>
      </c>
      <c r="T110" s="3">
        <f>Table1[[#This Row],[Hire Date]]-Table1[[#This Row],[Job Posting Date]]</f>
        <v>16</v>
      </c>
      <c r="U110" s="9">
        <f>Table1[[#This Row],[Join Date]]-Table1[[#This Row],[Hire Date]]</f>
        <v>7</v>
      </c>
      <c r="V110" s="9">
        <f ca="1">IF(Table1[[#This Row],[Status]]="Exited",Table1[[#This Row],[Exit Date]]-Table1[[#This Row],[Join Date]],TODAY()-Table1[[#This Row],[Join Date]])</f>
        <v>1502</v>
      </c>
      <c r="W110" s="3" t="str">
        <f t="shared" ca="1" si="2"/>
        <v>no</v>
      </c>
      <c r="X110" s="3">
        <f>Table1[[#This Row],[Hire Date]]-Table1[[#This Row],[Job Posting Date]]</f>
        <v>16</v>
      </c>
      <c r="Y110" s="10">
        <f t="shared" si="3"/>
        <v>43.75</v>
      </c>
      <c r="Z110" s="3">
        <f>Table1[[#This Row],[Join Date]]-Table1[[#This Row],[Job Posting Date]]</f>
        <v>23</v>
      </c>
      <c r="AA110" s="3">
        <v>157</v>
      </c>
    </row>
    <row r="111" spans="1:27" x14ac:dyDescent="0.2">
      <c r="A111" t="s">
        <v>143</v>
      </c>
      <c r="B111" t="s">
        <v>27</v>
      </c>
      <c r="C111" t="s">
        <v>18</v>
      </c>
      <c r="D111" t="s">
        <v>19</v>
      </c>
      <c r="E111" s="1">
        <v>43775</v>
      </c>
      <c r="F111" s="1">
        <v>43841</v>
      </c>
      <c r="G111" s="1">
        <v>43855</v>
      </c>
      <c r="H111" s="1" t="s">
        <v>32</v>
      </c>
      <c r="I111" t="s">
        <v>33</v>
      </c>
      <c r="J111" s="12">
        <v>4500</v>
      </c>
      <c r="K111">
        <v>4</v>
      </c>
      <c r="L111">
        <v>1</v>
      </c>
      <c r="M111" t="s">
        <v>286</v>
      </c>
      <c r="N111" s="4">
        <v>2</v>
      </c>
      <c r="O111" s="7" t="s">
        <v>293</v>
      </c>
      <c r="T111" s="4">
        <f>Table1[[#This Row],[Hire Date]]-Table1[[#This Row],[Job Posting Date]]</f>
        <v>66</v>
      </c>
      <c r="U111" s="11">
        <f>Table1[[#This Row],[Join Date]]-Table1[[#This Row],[Hire Date]]</f>
        <v>14</v>
      </c>
      <c r="V111" s="11">
        <f ca="1">IF(Table1[[#This Row],[Status]]="Exited",Table1[[#This Row],[Exit Date]]-Table1[[#This Row],[Join Date]],TODAY()-Table1[[#This Row],[Join Date]])</f>
        <v>1819</v>
      </c>
      <c r="W111" s="3" t="str">
        <f t="shared" ca="1" si="2"/>
        <v>no</v>
      </c>
      <c r="X111" s="4">
        <f>Table1[[#This Row],[Hire Date]]-Table1[[#This Row],[Job Posting Date]]</f>
        <v>66</v>
      </c>
      <c r="Y111" s="10">
        <f t="shared" si="3"/>
        <v>21.212121212121211</v>
      </c>
      <c r="Z111" s="4">
        <f>Table1[[#This Row],[Join Date]]-Table1[[#This Row],[Job Posting Date]]</f>
        <v>80</v>
      </c>
      <c r="AA111" s="4">
        <v>174</v>
      </c>
    </row>
    <row r="112" spans="1:27" x14ac:dyDescent="0.2">
      <c r="A112" t="s">
        <v>144</v>
      </c>
      <c r="B112" t="s">
        <v>28</v>
      </c>
      <c r="C112" t="s">
        <v>24</v>
      </c>
      <c r="D112" t="s">
        <v>25</v>
      </c>
      <c r="E112" s="1">
        <v>43547</v>
      </c>
      <c r="F112" s="1">
        <v>43634</v>
      </c>
      <c r="G112" s="1">
        <v>43643</v>
      </c>
      <c r="H112" s="1">
        <v>44539</v>
      </c>
      <c r="I112" t="s">
        <v>37</v>
      </c>
      <c r="J112" s="12">
        <v>3979</v>
      </c>
      <c r="K112">
        <v>10</v>
      </c>
      <c r="L112">
        <v>3</v>
      </c>
      <c r="M112" t="s">
        <v>287</v>
      </c>
      <c r="N112" s="3">
        <v>5</v>
      </c>
      <c r="O112" s="6" t="s">
        <v>293</v>
      </c>
      <c r="T112" s="3">
        <f>Table1[[#This Row],[Hire Date]]-Table1[[#This Row],[Job Posting Date]]</f>
        <v>87</v>
      </c>
      <c r="U112" s="9">
        <f>Table1[[#This Row],[Join Date]]-Table1[[#This Row],[Hire Date]]</f>
        <v>9</v>
      </c>
      <c r="V112" s="9">
        <f ca="1">IF(Table1[[#This Row],[Status]]="Exited",Table1[[#This Row],[Exit Date]]-Table1[[#This Row],[Join Date]],TODAY()-Table1[[#This Row],[Join Date]])</f>
        <v>896</v>
      </c>
      <c r="W112" s="3" t="str">
        <f t="shared" ca="1" si="2"/>
        <v>no</v>
      </c>
      <c r="X112" s="3">
        <f>Table1[[#This Row],[Hire Date]]-Table1[[#This Row],[Job Posting Date]]</f>
        <v>87</v>
      </c>
      <c r="Y112" s="10">
        <f t="shared" si="3"/>
        <v>10.344827586206897</v>
      </c>
      <c r="Z112" s="3">
        <f>Table1[[#This Row],[Join Date]]-Table1[[#This Row],[Job Posting Date]]</f>
        <v>96</v>
      </c>
      <c r="AA112" s="3">
        <v>180</v>
      </c>
    </row>
    <row r="113" spans="1:27" x14ac:dyDescent="0.2">
      <c r="A113" t="s">
        <v>145</v>
      </c>
      <c r="B113" t="s">
        <v>27</v>
      </c>
      <c r="C113" t="s">
        <v>16</v>
      </c>
      <c r="D113" t="s">
        <v>17</v>
      </c>
      <c r="E113" s="1">
        <v>44425</v>
      </c>
      <c r="F113" s="1">
        <v>44484</v>
      </c>
      <c r="G113" s="1">
        <v>44485</v>
      </c>
      <c r="H113" s="1" t="s">
        <v>32</v>
      </c>
      <c r="I113" t="s">
        <v>33</v>
      </c>
      <c r="J113" s="12">
        <v>1678</v>
      </c>
      <c r="K113">
        <v>1</v>
      </c>
      <c r="L113">
        <v>0</v>
      </c>
      <c r="M113" t="s">
        <v>287</v>
      </c>
      <c r="N113" s="4">
        <v>4</v>
      </c>
      <c r="O113" s="7" t="s">
        <v>293</v>
      </c>
      <c r="T113" s="4">
        <f>Table1[[#This Row],[Hire Date]]-Table1[[#This Row],[Job Posting Date]]</f>
        <v>59</v>
      </c>
      <c r="U113" s="11">
        <f>Table1[[#This Row],[Join Date]]-Table1[[#This Row],[Hire Date]]</f>
        <v>1</v>
      </c>
      <c r="V113" s="11">
        <f ca="1">IF(Table1[[#This Row],[Status]]="Exited",Table1[[#This Row],[Exit Date]]-Table1[[#This Row],[Join Date]],TODAY()-Table1[[#This Row],[Join Date]])</f>
        <v>1189</v>
      </c>
      <c r="W113" s="3" t="str">
        <f t="shared" ca="1" si="2"/>
        <v>no</v>
      </c>
      <c r="X113" s="4">
        <f>Table1[[#This Row],[Hire Date]]-Table1[[#This Row],[Job Posting Date]]</f>
        <v>59</v>
      </c>
      <c r="Y113" s="10">
        <f t="shared" si="3"/>
        <v>1.6949152542372881</v>
      </c>
      <c r="Z113" s="4">
        <f>Table1[[#This Row],[Join Date]]-Table1[[#This Row],[Job Posting Date]]</f>
        <v>60</v>
      </c>
      <c r="AA113" s="4">
        <v>102</v>
      </c>
    </row>
    <row r="114" spans="1:27" x14ac:dyDescent="0.2">
      <c r="A114" t="s">
        <v>146</v>
      </c>
      <c r="B114" t="s">
        <v>28</v>
      </c>
      <c r="C114" t="s">
        <v>20</v>
      </c>
      <c r="D114" t="s">
        <v>21</v>
      </c>
      <c r="E114" s="1">
        <v>44301</v>
      </c>
      <c r="F114" s="1">
        <v>44329</v>
      </c>
      <c r="G114" s="1">
        <v>44338</v>
      </c>
      <c r="H114" s="1">
        <v>44473</v>
      </c>
      <c r="I114" t="s">
        <v>37</v>
      </c>
      <c r="J114" s="12">
        <v>3194</v>
      </c>
      <c r="K114">
        <v>6</v>
      </c>
      <c r="L114">
        <v>1</v>
      </c>
      <c r="M114" t="s">
        <v>286</v>
      </c>
      <c r="N114" s="3">
        <v>3</v>
      </c>
      <c r="O114" s="6" t="s">
        <v>293</v>
      </c>
      <c r="T114" s="3">
        <f>Table1[[#This Row],[Hire Date]]-Table1[[#This Row],[Job Posting Date]]</f>
        <v>28</v>
      </c>
      <c r="U114" s="9">
        <f>Table1[[#This Row],[Join Date]]-Table1[[#This Row],[Hire Date]]</f>
        <v>9</v>
      </c>
      <c r="V114" s="9">
        <f ca="1">IF(Table1[[#This Row],[Status]]="Exited",Table1[[#This Row],[Exit Date]]-Table1[[#This Row],[Join Date]],TODAY()-Table1[[#This Row],[Join Date]])</f>
        <v>135</v>
      </c>
      <c r="W114" s="3" t="str">
        <f t="shared" ca="1" si="2"/>
        <v>yes</v>
      </c>
      <c r="X114" s="3">
        <f>Table1[[#This Row],[Hire Date]]-Table1[[#This Row],[Job Posting Date]]</f>
        <v>28</v>
      </c>
      <c r="Y114" s="10">
        <f t="shared" si="3"/>
        <v>32.142857142857146</v>
      </c>
      <c r="Z114" s="3">
        <f>Table1[[#This Row],[Join Date]]-Table1[[#This Row],[Job Posting Date]]</f>
        <v>37</v>
      </c>
      <c r="AA114" s="3">
        <v>184</v>
      </c>
    </row>
    <row r="115" spans="1:27" x14ac:dyDescent="0.2">
      <c r="A115" t="s">
        <v>147</v>
      </c>
      <c r="B115" t="s">
        <v>26</v>
      </c>
      <c r="C115" t="s">
        <v>22</v>
      </c>
      <c r="D115" t="s">
        <v>23</v>
      </c>
      <c r="E115" s="1">
        <v>43292</v>
      </c>
      <c r="F115" s="1">
        <v>43338</v>
      </c>
      <c r="G115" s="1">
        <v>43339</v>
      </c>
      <c r="H115" s="1" t="s">
        <v>32</v>
      </c>
      <c r="I115" t="s">
        <v>33</v>
      </c>
      <c r="J115" s="12">
        <v>3358</v>
      </c>
      <c r="K115">
        <v>9</v>
      </c>
      <c r="L115">
        <v>0</v>
      </c>
      <c r="M115" t="s">
        <v>287</v>
      </c>
      <c r="N115" s="4">
        <v>4</v>
      </c>
      <c r="O115" s="7" t="s">
        <v>293</v>
      </c>
      <c r="T115" s="4">
        <f>Table1[[#This Row],[Hire Date]]-Table1[[#This Row],[Job Posting Date]]</f>
        <v>46</v>
      </c>
      <c r="U115" s="11">
        <f>Table1[[#This Row],[Join Date]]-Table1[[#This Row],[Hire Date]]</f>
        <v>1</v>
      </c>
      <c r="V115" s="11">
        <f ca="1">IF(Table1[[#This Row],[Status]]="Exited",Table1[[#This Row],[Exit Date]]-Table1[[#This Row],[Join Date]],TODAY()-Table1[[#This Row],[Join Date]])</f>
        <v>2335</v>
      </c>
      <c r="W115" s="3" t="str">
        <f t="shared" ca="1" si="2"/>
        <v>no</v>
      </c>
      <c r="X115" s="4">
        <f>Table1[[#This Row],[Hire Date]]-Table1[[#This Row],[Job Posting Date]]</f>
        <v>46</v>
      </c>
      <c r="Y115" s="10">
        <f t="shared" si="3"/>
        <v>2.1739130434782608</v>
      </c>
      <c r="Z115" s="4">
        <f>Table1[[#This Row],[Join Date]]-Table1[[#This Row],[Job Posting Date]]</f>
        <v>47</v>
      </c>
      <c r="AA115" s="4">
        <v>151</v>
      </c>
    </row>
    <row r="116" spans="1:27" x14ac:dyDescent="0.2">
      <c r="A116" t="s">
        <v>148</v>
      </c>
      <c r="B116" t="s">
        <v>27</v>
      </c>
      <c r="C116" t="s">
        <v>16</v>
      </c>
      <c r="D116" t="s">
        <v>17</v>
      </c>
      <c r="E116" s="1">
        <v>44454</v>
      </c>
      <c r="F116" s="1">
        <v>44535</v>
      </c>
      <c r="G116" s="1">
        <v>44544</v>
      </c>
      <c r="H116" s="1">
        <v>44731</v>
      </c>
      <c r="I116" t="s">
        <v>37</v>
      </c>
      <c r="J116" s="12">
        <v>2995</v>
      </c>
      <c r="K116">
        <v>10</v>
      </c>
      <c r="L116">
        <v>6</v>
      </c>
      <c r="M116" t="s">
        <v>288</v>
      </c>
      <c r="N116" s="3">
        <v>3</v>
      </c>
      <c r="O116" s="6" t="s">
        <v>292</v>
      </c>
      <c r="T116" s="3">
        <f>Table1[[#This Row],[Hire Date]]-Table1[[#This Row],[Job Posting Date]]</f>
        <v>81</v>
      </c>
      <c r="U116" s="9">
        <f>Table1[[#This Row],[Join Date]]-Table1[[#This Row],[Hire Date]]</f>
        <v>9</v>
      </c>
      <c r="V116" s="9">
        <f ca="1">IF(Table1[[#This Row],[Status]]="Exited",Table1[[#This Row],[Exit Date]]-Table1[[#This Row],[Join Date]],TODAY()-Table1[[#This Row],[Join Date]])</f>
        <v>187</v>
      </c>
      <c r="W116" s="3" t="str">
        <f t="shared" ca="1" si="2"/>
        <v>yes</v>
      </c>
      <c r="X116" s="3">
        <f>Table1[[#This Row],[Hire Date]]-Table1[[#This Row],[Job Posting Date]]</f>
        <v>81</v>
      </c>
      <c r="Y116" s="10">
        <f t="shared" si="3"/>
        <v>11.111111111111111</v>
      </c>
      <c r="Z116" s="3">
        <f>Table1[[#This Row],[Join Date]]-Table1[[#This Row],[Job Posting Date]]</f>
        <v>90</v>
      </c>
      <c r="AA116" s="3">
        <v>166</v>
      </c>
    </row>
    <row r="117" spans="1:27" x14ac:dyDescent="0.2">
      <c r="A117" t="s">
        <v>149</v>
      </c>
      <c r="B117" t="s">
        <v>26</v>
      </c>
      <c r="C117" t="s">
        <v>20</v>
      </c>
      <c r="D117" t="s">
        <v>21</v>
      </c>
      <c r="E117" s="1">
        <v>43726</v>
      </c>
      <c r="F117" s="1">
        <v>43790</v>
      </c>
      <c r="G117" s="1">
        <v>43802</v>
      </c>
      <c r="H117" s="1">
        <v>45495</v>
      </c>
      <c r="I117" t="s">
        <v>37</v>
      </c>
      <c r="J117" s="12">
        <v>3047</v>
      </c>
      <c r="K117">
        <v>6</v>
      </c>
      <c r="L117">
        <v>6</v>
      </c>
      <c r="M117" t="s">
        <v>287</v>
      </c>
      <c r="N117" s="4">
        <v>2</v>
      </c>
      <c r="O117" s="7" t="s">
        <v>292</v>
      </c>
      <c r="T117" s="4">
        <f>Table1[[#This Row],[Hire Date]]-Table1[[#This Row],[Job Posting Date]]</f>
        <v>64</v>
      </c>
      <c r="U117" s="11">
        <f>Table1[[#This Row],[Join Date]]-Table1[[#This Row],[Hire Date]]</f>
        <v>12</v>
      </c>
      <c r="V117" s="11">
        <f ca="1">IF(Table1[[#This Row],[Status]]="Exited",Table1[[#This Row],[Exit Date]]-Table1[[#This Row],[Join Date]],TODAY()-Table1[[#This Row],[Join Date]])</f>
        <v>1693</v>
      </c>
      <c r="W117" s="3" t="str">
        <f t="shared" ca="1" si="2"/>
        <v>no</v>
      </c>
      <c r="X117" s="4">
        <f>Table1[[#This Row],[Hire Date]]-Table1[[#This Row],[Job Posting Date]]</f>
        <v>64</v>
      </c>
      <c r="Y117" s="10">
        <f t="shared" si="3"/>
        <v>18.75</v>
      </c>
      <c r="Z117" s="4">
        <f>Table1[[#This Row],[Join Date]]-Table1[[#This Row],[Job Posting Date]]</f>
        <v>76</v>
      </c>
      <c r="AA117" s="4">
        <v>178</v>
      </c>
    </row>
    <row r="118" spans="1:27" x14ac:dyDescent="0.2">
      <c r="A118" t="s">
        <v>150</v>
      </c>
      <c r="B118" t="s">
        <v>27</v>
      </c>
      <c r="C118" t="s">
        <v>22</v>
      </c>
      <c r="D118" t="s">
        <v>23</v>
      </c>
      <c r="E118" s="1">
        <v>43640</v>
      </c>
      <c r="F118" s="1">
        <v>43665</v>
      </c>
      <c r="G118" s="1">
        <v>43670</v>
      </c>
      <c r="H118" s="1">
        <v>44213</v>
      </c>
      <c r="I118" t="s">
        <v>37</v>
      </c>
      <c r="J118" s="12">
        <v>4915</v>
      </c>
      <c r="K118">
        <v>7</v>
      </c>
      <c r="L118">
        <v>5</v>
      </c>
      <c r="M118" t="s">
        <v>288</v>
      </c>
      <c r="N118" s="3">
        <v>1</v>
      </c>
      <c r="O118" s="6" t="s">
        <v>292</v>
      </c>
      <c r="T118" s="3">
        <f>Table1[[#This Row],[Hire Date]]-Table1[[#This Row],[Job Posting Date]]</f>
        <v>25</v>
      </c>
      <c r="U118" s="9">
        <f>Table1[[#This Row],[Join Date]]-Table1[[#This Row],[Hire Date]]</f>
        <v>5</v>
      </c>
      <c r="V118" s="9">
        <f ca="1">IF(Table1[[#This Row],[Status]]="Exited",Table1[[#This Row],[Exit Date]]-Table1[[#This Row],[Join Date]],TODAY()-Table1[[#This Row],[Join Date]])</f>
        <v>543</v>
      </c>
      <c r="W118" s="3" t="str">
        <f t="shared" ca="1" si="2"/>
        <v>yes</v>
      </c>
      <c r="X118" s="3">
        <f>Table1[[#This Row],[Hire Date]]-Table1[[#This Row],[Job Posting Date]]</f>
        <v>25</v>
      </c>
      <c r="Y118" s="10">
        <f t="shared" si="3"/>
        <v>20</v>
      </c>
      <c r="Z118" s="3">
        <f>Table1[[#This Row],[Join Date]]-Table1[[#This Row],[Job Posting Date]]</f>
        <v>30</v>
      </c>
      <c r="AA118" s="3">
        <v>158</v>
      </c>
    </row>
    <row r="119" spans="1:27" x14ac:dyDescent="0.2">
      <c r="A119" t="s">
        <v>151</v>
      </c>
      <c r="B119" t="s">
        <v>28</v>
      </c>
      <c r="C119" t="s">
        <v>20</v>
      </c>
      <c r="D119" t="s">
        <v>21</v>
      </c>
      <c r="E119" s="1">
        <v>44324</v>
      </c>
      <c r="F119" s="1">
        <v>44396</v>
      </c>
      <c r="G119" s="1">
        <v>44399</v>
      </c>
      <c r="H119" s="1">
        <v>44643</v>
      </c>
      <c r="I119" t="s">
        <v>37</v>
      </c>
      <c r="J119" s="12">
        <v>3513</v>
      </c>
      <c r="K119">
        <v>3</v>
      </c>
      <c r="L119">
        <v>2</v>
      </c>
      <c r="M119" t="s">
        <v>288</v>
      </c>
      <c r="N119" s="4">
        <v>5</v>
      </c>
      <c r="O119" s="7" t="s">
        <v>292</v>
      </c>
      <c r="T119" s="4">
        <f>Table1[[#This Row],[Hire Date]]-Table1[[#This Row],[Job Posting Date]]</f>
        <v>72</v>
      </c>
      <c r="U119" s="11">
        <f>Table1[[#This Row],[Join Date]]-Table1[[#This Row],[Hire Date]]</f>
        <v>3</v>
      </c>
      <c r="V119" s="11">
        <f ca="1">IF(Table1[[#This Row],[Status]]="Exited",Table1[[#This Row],[Exit Date]]-Table1[[#This Row],[Join Date]],TODAY()-Table1[[#This Row],[Join Date]])</f>
        <v>244</v>
      </c>
      <c r="W119" s="3" t="str">
        <f t="shared" ca="1" si="2"/>
        <v>yes</v>
      </c>
      <c r="X119" s="4">
        <f>Table1[[#This Row],[Hire Date]]-Table1[[#This Row],[Job Posting Date]]</f>
        <v>72</v>
      </c>
      <c r="Y119" s="10">
        <f t="shared" si="3"/>
        <v>4.1666666666666661</v>
      </c>
      <c r="Z119" s="4">
        <f>Table1[[#This Row],[Join Date]]-Table1[[#This Row],[Job Posting Date]]</f>
        <v>75</v>
      </c>
      <c r="AA119" s="4">
        <v>107</v>
      </c>
    </row>
    <row r="120" spans="1:27" x14ac:dyDescent="0.2">
      <c r="A120" t="s">
        <v>152</v>
      </c>
      <c r="B120" t="s">
        <v>27</v>
      </c>
      <c r="C120" t="s">
        <v>16</v>
      </c>
      <c r="D120" t="s">
        <v>17</v>
      </c>
      <c r="E120" s="1">
        <v>43141</v>
      </c>
      <c r="F120" s="1">
        <v>43187</v>
      </c>
      <c r="G120" s="1">
        <v>43191</v>
      </c>
      <c r="H120" s="1" t="s">
        <v>32</v>
      </c>
      <c r="I120" t="s">
        <v>33</v>
      </c>
      <c r="J120" s="12">
        <v>3922</v>
      </c>
      <c r="K120">
        <v>5</v>
      </c>
      <c r="L120">
        <v>2</v>
      </c>
      <c r="M120" t="s">
        <v>288</v>
      </c>
      <c r="N120" s="3">
        <v>2</v>
      </c>
      <c r="O120" s="6" t="s">
        <v>292</v>
      </c>
      <c r="T120" s="3">
        <f>Table1[[#This Row],[Hire Date]]-Table1[[#This Row],[Job Posting Date]]</f>
        <v>46</v>
      </c>
      <c r="U120" s="9">
        <f>Table1[[#This Row],[Join Date]]-Table1[[#This Row],[Hire Date]]</f>
        <v>4</v>
      </c>
      <c r="V120" s="9">
        <f ca="1">IF(Table1[[#This Row],[Status]]="Exited",Table1[[#This Row],[Exit Date]]-Table1[[#This Row],[Join Date]],TODAY()-Table1[[#This Row],[Join Date]])</f>
        <v>2483</v>
      </c>
      <c r="W120" s="3" t="str">
        <f t="shared" ca="1" si="2"/>
        <v>no</v>
      </c>
      <c r="X120" s="3">
        <f>Table1[[#This Row],[Hire Date]]-Table1[[#This Row],[Job Posting Date]]</f>
        <v>46</v>
      </c>
      <c r="Y120" s="10">
        <f t="shared" si="3"/>
        <v>8.695652173913043</v>
      </c>
      <c r="Z120" s="3">
        <f>Table1[[#This Row],[Join Date]]-Table1[[#This Row],[Job Posting Date]]</f>
        <v>50</v>
      </c>
      <c r="AA120" s="3">
        <v>130</v>
      </c>
    </row>
    <row r="121" spans="1:27" x14ac:dyDescent="0.2">
      <c r="A121" t="s">
        <v>153</v>
      </c>
      <c r="B121" t="s">
        <v>27</v>
      </c>
      <c r="C121" t="s">
        <v>22</v>
      </c>
      <c r="D121" t="s">
        <v>23</v>
      </c>
      <c r="E121" s="1">
        <v>43684</v>
      </c>
      <c r="F121" s="1">
        <v>43730</v>
      </c>
      <c r="G121" s="1">
        <v>43736</v>
      </c>
      <c r="H121" s="1">
        <v>43965</v>
      </c>
      <c r="I121" t="s">
        <v>37</v>
      </c>
      <c r="J121" s="12">
        <v>4333</v>
      </c>
      <c r="K121">
        <v>1</v>
      </c>
      <c r="L121">
        <v>1</v>
      </c>
      <c r="M121" t="s">
        <v>286</v>
      </c>
      <c r="N121" s="4">
        <v>2</v>
      </c>
      <c r="O121" s="7" t="s">
        <v>292</v>
      </c>
      <c r="T121" s="4">
        <f>Table1[[#This Row],[Hire Date]]-Table1[[#This Row],[Job Posting Date]]</f>
        <v>46</v>
      </c>
      <c r="U121" s="11">
        <f>Table1[[#This Row],[Join Date]]-Table1[[#This Row],[Hire Date]]</f>
        <v>6</v>
      </c>
      <c r="V121" s="11">
        <f ca="1">IF(Table1[[#This Row],[Status]]="Exited",Table1[[#This Row],[Exit Date]]-Table1[[#This Row],[Join Date]],TODAY()-Table1[[#This Row],[Join Date]])</f>
        <v>229</v>
      </c>
      <c r="W121" s="3" t="str">
        <f t="shared" ca="1" si="2"/>
        <v>yes</v>
      </c>
      <c r="X121" s="4">
        <f>Table1[[#This Row],[Hire Date]]-Table1[[#This Row],[Job Posting Date]]</f>
        <v>46</v>
      </c>
      <c r="Y121" s="10">
        <f t="shared" si="3"/>
        <v>13.043478260869565</v>
      </c>
      <c r="Z121" s="4">
        <f>Table1[[#This Row],[Join Date]]-Table1[[#This Row],[Job Posting Date]]</f>
        <v>52</v>
      </c>
      <c r="AA121" s="4">
        <v>119</v>
      </c>
    </row>
    <row r="122" spans="1:27" x14ac:dyDescent="0.2">
      <c r="A122" t="s">
        <v>154</v>
      </c>
      <c r="B122" t="s">
        <v>27</v>
      </c>
      <c r="C122" t="s">
        <v>22</v>
      </c>
      <c r="D122" t="s">
        <v>23</v>
      </c>
      <c r="E122" s="1">
        <v>44641</v>
      </c>
      <c r="F122" s="1">
        <v>44683</v>
      </c>
      <c r="G122" s="1">
        <v>44685</v>
      </c>
      <c r="H122" s="1">
        <v>45160</v>
      </c>
      <c r="I122" t="s">
        <v>37</v>
      </c>
      <c r="J122" s="12">
        <v>1641</v>
      </c>
      <c r="K122">
        <v>8</v>
      </c>
      <c r="L122">
        <v>8</v>
      </c>
      <c r="M122" t="s">
        <v>288</v>
      </c>
      <c r="N122" s="3">
        <v>2</v>
      </c>
      <c r="O122" s="6" t="s">
        <v>293</v>
      </c>
      <c r="T122" s="3">
        <f>Table1[[#This Row],[Hire Date]]-Table1[[#This Row],[Job Posting Date]]</f>
        <v>42</v>
      </c>
      <c r="U122" s="9">
        <f>Table1[[#This Row],[Join Date]]-Table1[[#This Row],[Hire Date]]</f>
        <v>2</v>
      </c>
      <c r="V122" s="9">
        <f ca="1">IF(Table1[[#This Row],[Status]]="Exited",Table1[[#This Row],[Exit Date]]-Table1[[#This Row],[Join Date]],TODAY()-Table1[[#This Row],[Join Date]])</f>
        <v>475</v>
      </c>
      <c r="W122" s="3" t="str">
        <f t="shared" ca="1" si="2"/>
        <v>yes</v>
      </c>
      <c r="X122" s="3">
        <f>Table1[[#This Row],[Hire Date]]-Table1[[#This Row],[Job Posting Date]]</f>
        <v>42</v>
      </c>
      <c r="Y122" s="10">
        <f t="shared" si="3"/>
        <v>4.7619047619047619</v>
      </c>
      <c r="Z122" s="3">
        <f>Table1[[#This Row],[Join Date]]-Table1[[#This Row],[Job Posting Date]]</f>
        <v>44</v>
      </c>
      <c r="AA122" s="3">
        <v>175</v>
      </c>
    </row>
    <row r="123" spans="1:27" x14ac:dyDescent="0.2">
      <c r="A123" t="s">
        <v>155</v>
      </c>
      <c r="B123" t="s">
        <v>26</v>
      </c>
      <c r="C123" t="s">
        <v>22</v>
      </c>
      <c r="D123" t="s">
        <v>23</v>
      </c>
      <c r="E123" s="1">
        <v>44661</v>
      </c>
      <c r="F123" s="1">
        <v>44690</v>
      </c>
      <c r="G123" s="1">
        <v>44693</v>
      </c>
      <c r="H123" s="1" t="s">
        <v>32</v>
      </c>
      <c r="I123" t="s">
        <v>33</v>
      </c>
      <c r="J123" s="12">
        <v>4051</v>
      </c>
      <c r="K123">
        <v>2</v>
      </c>
      <c r="L123">
        <v>2</v>
      </c>
      <c r="M123" t="s">
        <v>288</v>
      </c>
      <c r="N123" s="4">
        <v>3</v>
      </c>
      <c r="O123" s="7" t="s">
        <v>293</v>
      </c>
      <c r="T123" s="4">
        <f>Table1[[#This Row],[Hire Date]]-Table1[[#This Row],[Job Posting Date]]</f>
        <v>29</v>
      </c>
      <c r="U123" s="11">
        <f>Table1[[#This Row],[Join Date]]-Table1[[#This Row],[Hire Date]]</f>
        <v>3</v>
      </c>
      <c r="V123" s="11">
        <f ca="1">IF(Table1[[#This Row],[Status]]="Exited",Table1[[#This Row],[Exit Date]]-Table1[[#This Row],[Join Date]],TODAY()-Table1[[#This Row],[Join Date]])</f>
        <v>981</v>
      </c>
      <c r="W123" s="3" t="str">
        <f t="shared" ca="1" si="2"/>
        <v>no</v>
      </c>
      <c r="X123" s="4">
        <f>Table1[[#This Row],[Hire Date]]-Table1[[#This Row],[Job Posting Date]]</f>
        <v>29</v>
      </c>
      <c r="Y123" s="10">
        <f t="shared" si="3"/>
        <v>10.344827586206897</v>
      </c>
      <c r="Z123" s="4">
        <f>Table1[[#This Row],[Join Date]]-Table1[[#This Row],[Job Posting Date]]</f>
        <v>32</v>
      </c>
      <c r="AA123" s="4">
        <v>159</v>
      </c>
    </row>
    <row r="124" spans="1:27" x14ac:dyDescent="0.2">
      <c r="A124" t="s">
        <v>156</v>
      </c>
      <c r="B124" t="s">
        <v>27</v>
      </c>
      <c r="C124" t="s">
        <v>18</v>
      </c>
      <c r="D124" t="s">
        <v>19</v>
      </c>
      <c r="E124" s="1">
        <v>44745</v>
      </c>
      <c r="F124" s="1">
        <v>44814</v>
      </c>
      <c r="G124" s="1">
        <v>44827</v>
      </c>
      <c r="H124" s="1" t="s">
        <v>32</v>
      </c>
      <c r="I124" t="s">
        <v>33</v>
      </c>
      <c r="J124" s="12">
        <v>1618</v>
      </c>
      <c r="K124">
        <v>4</v>
      </c>
      <c r="L124">
        <v>4</v>
      </c>
      <c r="M124" t="s">
        <v>286</v>
      </c>
      <c r="N124" s="3">
        <v>4</v>
      </c>
      <c r="O124" s="6" t="s">
        <v>292</v>
      </c>
      <c r="T124" s="3">
        <f>Table1[[#This Row],[Hire Date]]-Table1[[#This Row],[Job Posting Date]]</f>
        <v>69</v>
      </c>
      <c r="U124" s="9">
        <f>Table1[[#This Row],[Join Date]]-Table1[[#This Row],[Hire Date]]</f>
        <v>13</v>
      </c>
      <c r="V124" s="9">
        <f ca="1">IF(Table1[[#This Row],[Status]]="Exited",Table1[[#This Row],[Exit Date]]-Table1[[#This Row],[Join Date]],TODAY()-Table1[[#This Row],[Join Date]])</f>
        <v>847</v>
      </c>
      <c r="W124" s="3" t="str">
        <f t="shared" ca="1" si="2"/>
        <v>no</v>
      </c>
      <c r="X124" s="3">
        <f>Table1[[#This Row],[Hire Date]]-Table1[[#This Row],[Job Posting Date]]</f>
        <v>69</v>
      </c>
      <c r="Y124" s="10">
        <f t="shared" si="3"/>
        <v>18.840579710144929</v>
      </c>
      <c r="Z124" s="3">
        <f>Table1[[#This Row],[Join Date]]-Table1[[#This Row],[Job Posting Date]]</f>
        <v>82</v>
      </c>
      <c r="AA124" s="3">
        <v>148</v>
      </c>
    </row>
    <row r="125" spans="1:27" x14ac:dyDescent="0.2">
      <c r="A125" t="s">
        <v>157</v>
      </c>
      <c r="B125" t="s">
        <v>26</v>
      </c>
      <c r="C125" t="s">
        <v>24</v>
      </c>
      <c r="D125" t="s">
        <v>25</v>
      </c>
      <c r="E125" s="1">
        <v>43705</v>
      </c>
      <c r="F125" s="1">
        <v>43779</v>
      </c>
      <c r="G125" s="1">
        <v>43793</v>
      </c>
      <c r="H125" s="1">
        <v>45294</v>
      </c>
      <c r="I125" t="s">
        <v>37</v>
      </c>
      <c r="J125" s="12">
        <v>4498</v>
      </c>
      <c r="K125">
        <v>1</v>
      </c>
      <c r="L125">
        <v>1</v>
      </c>
      <c r="M125" t="s">
        <v>287</v>
      </c>
      <c r="N125" s="4">
        <v>3</v>
      </c>
      <c r="O125" s="7" t="s">
        <v>293</v>
      </c>
      <c r="T125" s="4">
        <f>Table1[[#This Row],[Hire Date]]-Table1[[#This Row],[Job Posting Date]]</f>
        <v>74</v>
      </c>
      <c r="U125" s="11">
        <f>Table1[[#This Row],[Join Date]]-Table1[[#This Row],[Hire Date]]</f>
        <v>14</v>
      </c>
      <c r="V125" s="11">
        <f ca="1">IF(Table1[[#This Row],[Status]]="Exited",Table1[[#This Row],[Exit Date]]-Table1[[#This Row],[Join Date]],TODAY()-Table1[[#This Row],[Join Date]])</f>
        <v>1501</v>
      </c>
      <c r="W125" s="3" t="str">
        <f t="shared" ca="1" si="2"/>
        <v>no</v>
      </c>
      <c r="X125" s="4">
        <f>Table1[[#This Row],[Hire Date]]-Table1[[#This Row],[Job Posting Date]]</f>
        <v>74</v>
      </c>
      <c r="Y125" s="10">
        <f t="shared" si="3"/>
        <v>18.918918918918919</v>
      </c>
      <c r="Z125" s="4">
        <f>Table1[[#This Row],[Join Date]]-Table1[[#This Row],[Job Posting Date]]</f>
        <v>88</v>
      </c>
      <c r="AA125" s="4">
        <v>138</v>
      </c>
    </row>
    <row r="126" spans="1:27" x14ac:dyDescent="0.2">
      <c r="A126" t="s">
        <v>158</v>
      </c>
      <c r="B126" t="s">
        <v>28</v>
      </c>
      <c r="C126" t="s">
        <v>24</v>
      </c>
      <c r="D126" t="s">
        <v>25</v>
      </c>
      <c r="E126" s="1">
        <v>44392</v>
      </c>
      <c r="F126" s="1">
        <v>44482</v>
      </c>
      <c r="G126" s="1">
        <v>44493</v>
      </c>
      <c r="H126" s="1">
        <v>45098</v>
      </c>
      <c r="I126" t="s">
        <v>37</v>
      </c>
      <c r="J126" s="12">
        <v>2783</v>
      </c>
      <c r="K126">
        <v>6</v>
      </c>
      <c r="L126">
        <v>5</v>
      </c>
      <c r="M126" t="s">
        <v>287</v>
      </c>
      <c r="N126" s="3">
        <v>2</v>
      </c>
      <c r="O126" s="6" t="s">
        <v>292</v>
      </c>
      <c r="T126" s="3">
        <f>Table1[[#This Row],[Hire Date]]-Table1[[#This Row],[Job Posting Date]]</f>
        <v>90</v>
      </c>
      <c r="U126" s="9">
        <f>Table1[[#This Row],[Join Date]]-Table1[[#This Row],[Hire Date]]</f>
        <v>11</v>
      </c>
      <c r="V126" s="9">
        <f ca="1">IF(Table1[[#This Row],[Status]]="Exited",Table1[[#This Row],[Exit Date]]-Table1[[#This Row],[Join Date]],TODAY()-Table1[[#This Row],[Join Date]])</f>
        <v>605</v>
      </c>
      <c r="W126" s="3" t="str">
        <f t="shared" ca="1" si="2"/>
        <v>yes</v>
      </c>
      <c r="X126" s="3">
        <f>Table1[[#This Row],[Hire Date]]-Table1[[#This Row],[Job Posting Date]]</f>
        <v>90</v>
      </c>
      <c r="Y126" s="10">
        <f t="shared" si="3"/>
        <v>12.222222222222221</v>
      </c>
      <c r="Z126" s="3">
        <f>Table1[[#This Row],[Join Date]]-Table1[[#This Row],[Job Posting Date]]</f>
        <v>101</v>
      </c>
      <c r="AA126" s="3">
        <v>166</v>
      </c>
    </row>
    <row r="127" spans="1:27" x14ac:dyDescent="0.2">
      <c r="A127" t="s">
        <v>159</v>
      </c>
      <c r="B127" t="s">
        <v>28</v>
      </c>
      <c r="C127" t="s">
        <v>24</v>
      </c>
      <c r="D127" t="s">
        <v>25</v>
      </c>
      <c r="E127" s="1">
        <v>43536</v>
      </c>
      <c r="F127" s="1">
        <v>43587</v>
      </c>
      <c r="G127" s="1">
        <v>43600</v>
      </c>
      <c r="H127" s="1">
        <v>44828</v>
      </c>
      <c r="I127" t="s">
        <v>37</v>
      </c>
      <c r="J127" s="12">
        <v>3702</v>
      </c>
      <c r="K127">
        <v>8</v>
      </c>
      <c r="L127">
        <v>3</v>
      </c>
      <c r="M127" t="s">
        <v>288</v>
      </c>
      <c r="N127" s="4">
        <v>5</v>
      </c>
      <c r="O127" s="7" t="s">
        <v>292</v>
      </c>
      <c r="T127" s="4">
        <f>Table1[[#This Row],[Hire Date]]-Table1[[#This Row],[Job Posting Date]]</f>
        <v>51</v>
      </c>
      <c r="U127" s="11">
        <f>Table1[[#This Row],[Join Date]]-Table1[[#This Row],[Hire Date]]</f>
        <v>13</v>
      </c>
      <c r="V127" s="11">
        <f ca="1">IF(Table1[[#This Row],[Status]]="Exited",Table1[[#This Row],[Exit Date]]-Table1[[#This Row],[Join Date]],TODAY()-Table1[[#This Row],[Join Date]])</f>
        <v>1228</v>
      </c>
      <c r="W127" s="3" t="str">
        <f t="shared" ca="1" si="2"/>
        <v>no</v>
      </c>
      <c r="X127" s="4">
        <f>Table1[[#This Row],[Hire Date]]-Table1[[#This Row],[Job Posting Date]]</f>
        <v>51</v>
      </c>
      <c r="Y127" s="10">
        <f t="shared" si="3"/>
        <v>25.490196078431371</v>
      </c>
      <c r="Z127" s="4">
        <f>Table1[[#This Row],[Join Date]]-Table1[[#This Row],[Job Posting Date]]</f>
        <v>64</v>
      </c>
      <c r="AA127" s="4">
        <v>186</v>
      </c>
    </row>
    <row r="128" spans="1:27" x14ac:dyDescent="0.2">
      <c r="A128" t="s">
        <v>160</v>
      </c>
      <c r="B128" t="s">
        <v>27</v>
      </c>
      <c r="C128" t="s">
        <v>16</v>
      </c>
      <c r="D128" t="s">
        <v>17</v>
      </c>
      <c r="E128" s="1">
        <v>44190</v>
      </c>
      <c r="F128" s="1">
        <v>44206</v>
      </c>
      <c r="G128" s="1">
        <v>44213</v>
      </c>
      <c r="H128" s="1">
        <v>44732</v>
      </c>
      <c r="I128" t="s">
        <v>37</v>
      </c>
      <c r="J128" s="12">
        <v>1919</v>
      </c>
      <c r="K128">
        <v>3</v>
      </c>
      <c r="L128">
        <v>1</v>
      </c>
      <c r="M128" t="s">
        <v>286</v>
      </c>
      <c r="N128" s="3">
        <v>1</v>
      </c>
      <c r="O128" s="6" t="s">
        <v>293</v>
      </c>
      <c r="T128" s="3">
        <f>Table1[[#This Row],[Hire Date]]-Table1[[#This Row],[Job Posting Date]]</f>
        <v>16</v>
      </c>
      <c r="U128" s="9">
        <f>Table1[[#This Row],[Join Date]]-Table1[[#This Row],[Hire Date]]</f>
        <v>7</v>
      </c>
      <c r="V128" s="9">
        <f ca="1">IF(Table1[[#This Row],[Status]]="Exited",Table1[[#This Row],[Exit Date]]-Table1[[#This Row],[Join Date]],TODAY()-Table1[[#This Row],[Join Date]])</f>
        <v>519</v>
      </c>
      <c r="W128" s="3" t="str">
        <f t="shared" ca="1" si="2"/>
        <v>yes</v>
      </c>
      <c r="X128" s="3">
        <f>Table1[[#This Row],[Hire Date]]-Table1[[#This Row],[Job Posting Date]]</f>
        <v>16</v>
      </c>
      <c r="Y128" s="10">
        <f t="shared" si="3"/>
        <v>43.75</v>
      </c>
      <c r="Z128" s="3">
        <f>Table1[[#This Row],[Join Date]]-Table1[[#This Row],[Job Posting Date]]</f>
        <v>23</v>
      </c>
      <c r="AA128" s="3">
        <v>192</v>
      </c>
    </row>
    <row r="129" spans="1:27" x14ac:dyDescent="0.2">
      <c r="A129" t="s">
        <v>161</v>
      </c>
      <c r="B129" t="s">
        <v>27</v>
      </c>
      <c r="C129" t="s">
        <v>18</v>
      </c>
      <c r="D129" t="s">
        <v>19</v>
      </c>
      <c r="E129" s="1">
        <v>43166</v>
      </c>
      <c r="F129" s="1">
        <v>43182</v>
      </c>
      <c r="G129" s="1">
        <v>43196</v>
      </c>
      <c r="H129" s="1">
        <v>44939</v>
      </c>
      <c r="I129" t="s">
        <v>37</v>
      </c>
      <c r="J129" s="12">
        <v>3944</v>
      </c>
      <c r="K129">
        <v>8</v>
      </c>
      <c r="L129">
        <v>4</v>
      </c>
      <c r="M129" t="s">
        <v>286</v>
      </c>
      <c r="N129" s="4">
        <v>1</v>
      </c>
      <c r="O129" s="7" t="s">
        <v>293</v>
      </c>
      <c r="T129" s="4">
        <f>Table1[[#This Row],[Hire Date]]-Table1[[#This Row],[Job Posting Date]]</f>
        <v>16</v>
      </c>
      <c r="U129" s="11">
        <f>Table1[[#This Row],[Join Date]]-Table1[[#This Row],[Hire Date]]</f>
        <v>14</v>
      </c>
      <c r="V129" s="11">
        <f ca="1">IF(Table1[[#This Row],[Status]]="Exited",Table1[[#This Row],[Exit Date]]-Table1[[#This Row],[Join Date]],TODAY()-Table1[[#This Row],[Join Date]])</f>
        <v>1743</v>
      </c>
      <c r="W129" s="3" t="str">
        <f t="shared" ca="1" si="2"/>
        <v>no</v>
      </c>
      <c r="X129" s="4">
        <f>Table1[[#This Row],[Hire Date]]-Table1[[#This Row],[Job Posting Date]]</f>
        <v>16</v>
      </c>
      <c r="Y129" s="10">
        <f t="shared" si="3"/>
        <v>87.5</v>
      </c>
      <c r="Z129" s="4">
        <f>Table1[[#This Row],[Join Date]]-Table1[[#This Row],[Job Posting Date]]</f>
        <v>30</v>
      </c>
      <c r="AA129" s="4">
        <v>129</v>
      </c>
    </row>
    <row r="130" spans="1:27" x14ac:dyDescent="0.2">
      <c r="A130" t="s">
        <v>162</v>
      </c>
      <c r="B130" t="s">
        <v>26</v>
      </c>
      <c r="C130" t="s">
        <v>20</v>
      </c>
      <c r="D130" t="s">
        <v>21</v>
      </c>
      <c r="E130" s="1">
        <v>44300</v>
      </c>
      <c r="F130" s="1">
        <v>44377</v>
      </c>
      <c r="G130" s="1">
        <v>44389</v>
      </c>
      <c r="H130" s="1">
        <v>45232</v>
      </c>
      <c r="I130" t="s">
        <v>37</v>
      </c>
      <c r="J130" s="12">
        <v>4468</v>
      </c>
      <c r="K130">
        <v>5</v>
      </c>
      <c r="L130">
        <v>5</v>
      </c>
      <c r="M130" t="s">
        <v>288</v>
      </c>
      <c r="N130" s="3">
        <v>3</v>
      </c>
      <c r="O130" s="6" t="s">
        <v>292</v>
      </c>
      <c r="T130" s="3">
        <f>Table1[[#This Row],[Hire Date]]-Table1[[#This Row],[Job Posting Date]]</f>
        <v>77</v>
      </c>
      <c r="U130" s="9">
        <f>Table1[[#This Row],[Join Date]]-Table1[[#This Row],[Hire Date]]</f>
        <v>12</v>
      </c>
      <c r="V130" s="9">
        <f ca="1">IF(Table1[[#This Row],[Status]]="Exited",Table1[[#This Row],[Exit Date]]-Table1[[#This Row],[Join Date]],TODAY()-Table1[[#This Row],[Join Date]])</f>
        <v>843</v>
      </c>
      <c r="W130" s="3" t="str">
        <f t="shared" ca="1" si="2"/>
        <v>no</v>
      </c>
      <c r="X130" s="3">
        <f>Table1[[#This Row],[Hire Date]]-Table1[[#This Row],[Job Posting Date]]</f>
        <v>77</v>
      </c>
      <c r="Y130" s="10">
        <f t="shared" si="3"/>
        <v>15.584415584415584</v>
      </c>
      <c r="Z130" s="3">
        <f>Table1[[#This Row],[Join Date]]-Table1[[#This Row],[Job Posting Date]]</f>
        <v>89</v>
      </c>
      <c r="AA130" s="3">
        <v>152</v>
      </c>
    </row>
    <row r="131" spans="1:27" x14ac:dyDescent="0.2">
      <c r="A131" t="s">
        <v>163</v>
      </c>
      <c r="B131" t="s">
        <v>27</v>
      </c>
      <c r="C131" t="s">
        <v>18</v>
      </c>
      <c r="D131" t="s">
        <v>19</v>
      </c>
      <c r="E131" s="1">
        <v>44137</v>
      </c>
      <c r="F131" s="1">
        <v>44218</v>
      </c>
      <c r="G131" s="1">
        <v>44232</v>
      </c>
      <c r="H131" s="1">
        <v>45375</v>
      </c>
      <c r="I131" t="s">
        <v>37</v>
      </c>
      <c r="J131" s="12">
        <v>3622</v>
      </c>
      <c r="K131">
        <v>7</v>
      </c>
      <c r="L131">
        <v>0</v>
      </c>
      <c r="M131" t="s">
        <v>288</v>
      </c>
      <c r="N131" s="4">
        <v>5</v>
      </c>
      <c r="O131" s="7" t="s">
        <v>292</v>
      </c>
      <c r="T131" s="4">
        <f>Table1[[#This Row],[Hire Date]]-Table1[[#This Row],[Job Posting Date]]</f>
        <v>81</v>
      </c>
      <c r="U131" s="11">
        <f>Table1[[#This Row],[Join Date]]-Table1[[#This Row],[Hire Date]]</f>
        <v>14</v>
      </c>
      <c r="V131" s="11">
        <f ca="1">IF(Table1[[#This Row],[Status]]="Exited",Table1[[#This Row],[Exit Date]]-Table1[[#This Row],[Join Date]],TODAY()-Table1[[#This Row],[Join Date]])</f>
        <v>1143</v>
      </c>
      <c r="W131" s="3" t="str">
        <f t="shared" ref="W131:W194" ca="1" si="4">IF(V131&lt;=730, "yes","no")</f>
        <v>no</v>
      </c>
      <c r="X131" s="4">
        <f>Table1[[#This Row],[Hire Date]]-Table1[[#This Row],[Job Posting Date]]</f>
        <v>81</v>
      </c>
      <c r="Y131" s="10">
        <f t="shared" ref="Y131:Y194" si="5">U131/T131*100</f>
        <v>17.283950617283949</v>
      </c>
      <c r="Z131" s="4">
        <f>Table1[[#This Row],[Join Date]]-Table1[[#This Row],[Job Posting Date]]</f>
        <v>95</v>
      </c>
      <c r="AA131" s="4">
        <v>193</v>
      </c>
    </row>
    <row r="132" spans="1:27" x14ac:dyDescent="0.2">
      <c r="A132" t="s">
        <v>164</v>
      </c>
      <c r="B132" t="s">
        <v>26</v>
      </c>
      <c r="C132" t="s">
        <v>18</v>
      </c>
      <c r="D132" t="s">
        <v>19</v>
      </c>
      <c r="E132" s="1">
        <v>44673</v>
      </c>
      <c r="F132" s="1">
        <v>44700</v>
      </c>
      <c r="G132" s="1">
        <v>44713</v>
      </c>
      <c r="H132" s="1" t="s">
        <v>32</v>
      </c>
      <c r="I132" t="s">
        <v>33</v>
      </c>
      <c r="J132" s="12">
        <v>3032</v>
      </c>
      <c r="K132">
        <v>8</v>
      </c>
      <c r="L132">
        <v>4</v>
      </c>
      <c r="M132" t="s">
        <v>286</v>
      </c>
      <c r="N132" s="3">
        <v>3</v>
      </c>
      <c r="O132" s="6" t="s">
        <v>292</v>
      </c>
      <c r="T132" s="3">
        <f>Table1[[#This Row],[Hire Date]]-Table1[[#This Row],[Job Posting Date]]</f>
        <v>27</v>
      </c>
      <c r="U132" s="9">
        <f>Table1[[#This Row],[Join Date]]-Table1[[#This Row],[Hire Date]]</f>
        <v>13</v>
      </c>
      <c r="V132" s="9">
        <f ca="1">IF(Table1[[#This Row],[Status]]="Exited",Table1[[#This Row],[Exit Date]]-Table1[[#This Row],[Join Date]],TODAY()-Table1[[#This Row],[Join Date]])</f>
        <v>961</v>
      </c>
      <c r="W132" s="3" t="str">
        <f t="shared" ca="1" si="4"/>
        <v>no</v>
      </c>
      <c r="X132" s="3">
        <f>Table1[[#This Row],[Hire Date]]-Table1[[#This Row],[Job Posting Date]]</f>
        <v>27</v>
      </c>
      <c r="Y132" s="10">
        <f t="shared" si="5"/>
        <v>48.148148148148145</v>
      </c>
      <c r="Z132" s="3">
        <f>Table1[[#This Row],[Join Date]]-Table1[[#This Row],[Job Posting Date]]</f>
        <v>40</v>
      </c>
      <c r="AA132" s="3">
        <v>151</v>
      </c>
    </row>
    <row r="133" spans="1:27" x14ac:dyDescent="0.2">
      <c r="A133" t="s">
        <v>165</v>
      </c>
      <c r="B133" t="s">
        <v>28</v>
      </c>
      <c r="C133" t="s">
        <v>24</v>
      </c>
      <c r="D133" t="s">
        <v>25</v>
      </c>
      <c r="E133" s="1">
        <v>43206</v>
      </c>
      <c r="F133" s="1">
        <v>43271</v>
      </c>
      <c r="G133" s="1">
        <v>43272</v>
      </c>
      <c r="H133" s="1" t="s">
        <v>32</v>
      </c>
      <c r="I133" t="s">
        <v>33</v>
      </c>
      <c r="J133" s="12">
        <v>1650</v>
      </c>
      <c r="K133">
        <v>2</v>
      </c>
      <c r="L133">
        <v>0</v>
      </c>
      <c r="M133" t="s">
        <v>287</v>
      </c>
      <c r="N133" s="4">
        <v>4</v>
      </c>
      <c r="O133" s="7" t="s">
        <v>292</v>
      </c>
      <c r="T133" s="4">
        <f>Table1[[#This Row],[Hire Date]]-Table1[[#This Row],[Job Posting Date]]</f>
        <v>65</v>
      </c>
      <c r="U133" s="11">
        <f>Table1[[#This Row],[Join Date]]-Table1[[#This Row],[Hire Date]]</f>
        <v>1</v>
      </c>
      <c r="V133" s="11">
        <f ca="1">IF(Table1[[#This Row],[Status]]="Exited",Table1[[#This Row],[Exit Date]]-Table1[[#This Row],[Join Date]],TODAY()-Table1[[#This Row],[Join Date]])</f>
        <v>2402</v>
      </c>
      <c r="W133" s="3" t="str">
        <f t="shared" ca="1" si="4"/>
        <v>no</v>
      </c>
      <c r="X133" s="4">
        <f>Table1[[#This Row],[Hire Date]]-Table1[[#This Row],[Job Posting Date]]</f>
        <v>65</v>
      </c>
      <c r="Y133" s="10">
        <f t="shared" si="5"/>
        <v>1.5384615384615385</v>
      </c>
      <c r="Z133" s="4">
        <f>Table1[[#This Row],[Join Date]]-Table1[[#This Row],[Job Posting Date]]</f>
        <v>66</v>
      </c>
      <c r="AA133" s="4">
        <v>102</v>
      </c>
    </row>
    <row r="134" spans="1:27" x14ac:dyDescent="0.2">
      <c r="A134" t="s">
        <v>166</v>
      </c>
      <c r="B134" t="s">
        <v>27</v>
      </c>
      <c r="C134" t="s">
        <v>24</v>
      </c>
      <c r="D134" t="s">
        <v>25</v>
      </c>
      <c r="E134" s="1">
        <v>43907</v>
      </c>
      <c r="F134" s="1">
        <v>43973</v>
      </c>
      <c r="G134" s="1">
        <v>43975</v>
      </c>
      <c r="H134" s="1" t="s">
        <v>32</v>
      </c>
      <c r="I134" t="s">
        <v>33</v>
      </c>
      <c r="J134" s="12">
        <v>3994</v>
      </c>
      <c r="K134">
        <v>2</v>
      </c>
      <c r="L134">
        <v>1</v>
      </c>
      <c r="M134" t="s">
        <v>287</v>
      </c>
      <c r="N134" s="3">
        <v>3</v>
      </c>
      <c r="O134" s="6" t="s">
        <v>293</v>
      </c>
      <c r="T134" s="3">
        <f>Table1[[#This Row],[Hire Date]]-Table1[[#This Row],[Job Posting Date]]</f>
        <v>66</v>
      </c>
      <c r="U134" s="9">
        <f>Table1[[#This Row],[Join Date]]-Table1[[#This Row],[Hire Date]]</f>
        <v>2</v>
      </c>
      <c r="V134" s="9">
        <f ca="1">IF(Table1[[#This Row],[Status]]="Exited",Table1[[#This Row],[Exit Date]]-Table1[[#This Row],[Join Date]],TODAY()-Table1[[#This Row],[Join Date]])</f>
        <v>1699</v>
      </c>
      <c r="W134" s="3" t="str">
        <f t="shared" ca="1" si="4"/>
        <v>no</v>
      </c>
      <c r="X134" s="3">
        <f>Table1[[#This Row],[Hire Date]]-Table1[[#This Row],[Job Posting Date]]</f>
        <v>66</v>
      </c>
      <c r="Y134" s="10">
        <f t="shared" si="5"/>
        <v>3.0303030303030303</v>
      </c>
      <c r="Z134" s="3">
        <f>Table1[[#This Row],[Join Date]]-Table1[[#This Row],[Job Posting Date]]</f>
        <v>68</v>
      </c>
      <c r="AA134" s="3">
        <v>173</v>
      </c>
    </row>
    <row r="135" spans="1:27" x14ac:dyDescent="0.2">
      <c r="A135" t="s">
        <v>167</v>
      </c>
      <c r="B135" t="s">
        <v>28</v>
      </c>
      <c r="C135" t="s">
        <v>24</v>
      </c>
      <c r="D135" t="s">
        <v>25</v>
      </c>
      <c r="E135" s="1">
        <v>44866</v>
      </c>
      <c r="F135" s="1">
        <v>44887</v>
      </c>
      <c r="G135" s="1">
        <v>44890</v>
      </c>
      <c r="H135" s="1" t="s">
        <v>32</v>
      </c>
      <c r="I135" t="s">
        <v>33</v>
      </c>
      <c r="J135" s="12">
        <v>4437</v>
      </c>
      <c r="K135">
        <v>3</v>
      </c>
      <c r="L135">
        <v>2</v>
      </c>
      <c r="M135" t="s">
        <v>288</v>
      </c>
      <c r="N135" s="4">
        <v>5</v>
      </c>
      <c r="O135" s="7" t="s">
        <v>293</v>
      </c>
      <c r="T135" s="4">
        <f>Table1[[#This Row],[Hire Date]]-Table1[[#This Row],[Job Posting Date]]</f>
        <v>21</v>
      </c>
      <c r="U135" s="11">
        <f>Table1[[#This Row],[Join Date]]-Table1[[#This Row],[Hire Date]]</f>
        <v>3</v>
      </c>
      <c r="V135" s="11">
        <f ca="1">IF(Table1[[#This Row],[Status]]="Exited",Table1[[#This Row],[Exit Date]]-Table1[[#This Row],[Join Date]],TODAY()-Table1[[#This Row],[Join Date]])</f>
        <v>784</v>
      </c>
      <c r="W135" s="3" t="str">
        <f t="shared" ca="1" si="4"/>
        <v>no</v>
      </c>
      <c r="X135" s="4">
        <f>Table1[[#This Row],[Hire Date]]-Table1[[#This Row],[Job Posting Date]]</f>
        <v>21</v>
      </c>
      <c r="Y135" s="10">
        <f t="shared" si="5"/>
        <v>14.285714285714285</v>
      </c>
      <c r="Z135" s="4">
        <f>Table1[[#This Row],[Join Date]]-Table1[[#This Row],[Job Posting Date]]</f>
        <v>24</v>
      </c>
      <c r="AA135" s="4">
        <v>194</v>
      </c>
    </row>
    <row r="136" spans="1:27" x14ac:dyDescent="0.2">
      <c r="A136" t="s">
        <v>168</v>
      </c>
      <c r="B136" t="s">
        <v>28</v>
      </c>
      <c r="C136" t="s">
        <v>16</v>
      </c>
      <c r="D136" t="s">
        <v>17</v>
      </c>
      <c r="E136" s="1">
        <v>43995</v>
      </c>
      <c r="F136" s="1">
        <v>44040</v>
      </c>
      <c r="G136" s="1">
        <v>44050</v>
      </c>
      <c r="H136" s="1">
        <v>45566</v>
      </c>
      <c r="I136" t="s">
        <v>37</v>
      </c>
      <c r="J136" s="12">
        <v>3237</v>
      </c>
      <c r="K136">
        <v>1</v>
      </c>
      <c r="L136">
        <v>0</v>
      </c>
      <c r="M136" t="s">
        <v>288</v>
      </c>
      <c r="N136" s="3">
        <v>4</v>
      </c>
      <c r="O136" s="6" t="s">
        <v>292</v>
      </c>
      <c r="T136" s="3">
        <f>Table1[[#This Row],[Hire Date]]-Table1[[#This Row],[Job Posting Date]]</f>
        <v>45</v>
      </c>
      <c r="U136" s="9">
        <f>Table1[[#This Row],[Join Date]]-Table1[[#This Row],[Hire Date]]</f>
        <v>10</v>
      </c>
      <c r="V136" s="9">
        <f ca="1">IF(Table1[[#This Row],[Status]]="Exited",Table1[[#This Row],[Exit Date]]-Table1[[#This Row],[Join Date]],TODAY()-Table1[[#This Row],[Join Date]])</f>
        <v>1516</v>
      </c>
      <c r="W136" s="3" t="str">
        <f t="shared" ca="1" si="4"/>
        <v>no</v>
      </c>
      <c r="X136" s="3">
        <f>Table1[[#This Row],[Hire Date]]-Table1[[#This Row],[Job Posting Date]]</f>
        <v>45</v>
      </c>
      <c r="Y136" s="10">
        <f t="shared" si="5"/>
        <v>22.222222222222221</v>
      </c>
      <c r="Z136" s="3">
        <f>Table1[[#This Row],[Join Date]]-Table1[[#This Row],[Job Posting Date]]</f>
        <v>55</v>
      </c>
      <c r="AA136" s="3">
        <v>116</v>
      </c>
    </row>
    <row r="137" spans="1:27" x14ac:dyDescent="0.2">
      <c r="A137" t="s">
        <v>169</v>
      </c>
      <c r="B137" t="s">
        <v>27</v>
      </c>
      <c r="C137" t="s">
        <v>16</v>
      </c>
      <c r="D137" t="s">
        <v>17</v>
      </c>
      <c r="E137" s="1">
        <v>44209</v>
      </c>
      <c r="F137" s="1">
        <v>44249</v>
      </c>
      <c r="G137" s="1">
        <v>44259</v>
      </c>
      <c r="H137" s="1">
        <v>45150</v>
      </c>
      <c r="I137" t="s">
        <v>37</v>
      </c>
      <c r="J137" s="12">
        <v>2370</v>
      </c>
      <c r="K137">
        <v>1</v>
      </c>
      <c r="L137">
        <v>0</v>
      </c>
      <c r="M137" t="s">
        <v>286</v>
      </c>
      <c r="N137" s="4">
        <v>5</v>
      </c>
      <c r="O137" s="7" t="s">
        <v>292</v>
      </c>
      <c r="T137" s="4">
        <f>Table1[[#This Row],[Hire Date]]-Table1[[#This Row],[Job Posting Date]]</f>
        <v>40</v>
      </c>
      <c r="U137" s="11">
        <f>Table1[[#This Row],[Join Date]]-Table1[[#This Row],[Hire Date]]</f>
        <v>10</v>
      </c>
      <c r="V137" s="11">
        <f ca="1">IF(Table1[[#This Row],[Status]]="Exited",Table1[[#This Row],[Exit Date]]-Table1[[#This Row],[Join Date]],TODAY()-Table1[[#This Row],[Join Date]])</f>
        <v>891</v>
      </c>
      <c r="W137" s="3" t="str">
        <f t="shared" ca="1" si="4"/>
        <v>no</v>
      </c>
      <c r="X137" s="4">
        <f>Table1[[#This Row],[Hire Date]]-Table1[[#This Row],[Job Posting Date]]</f>
        <v>40</v>
      </c>
      <c r="Y137" s="10">
        <f t="shared" si="5"/>
        <v>25</v>
      </c>
      <c r="Z137" s="4">
        <f>Table1[[#This Row],[Join Date]]-Table1[[#This Row],[Job Posting Date]]</f>
        <v>50</v>
      </c>
      <c r="AA137" s="4">
        <v>154</v>
      </c>
    </row>
    <row r="138" spans="1:27" x14ac:dyDescent="0.2">
      <c r="A138" t="s">
        <v>170</v>
      </c>
      <c r="B138" t="s">
        <v>28</v>
      </c>
      <c r="C138" t="s">
        <v>18</v>
      </c>
      <c r="D138" t="s">
        <v>19</v>
      </c>
      <c r="E138" s="1">
        <v>43957</v>
      </c>
      <c r="F138" s="1">
        <v>44004</v>
      </c>
      <c r="G138" s="1">
        <v>44016</v>
      </c>
      <c r="H138" s="1">
        <v>44987</v>
      </c>
      <c r="I138" t="s">
        <v>37</v>
      </c>
      <c r="J138" s="12">
        <v>4231</v>
      </c>
      <c r="K138">
        <v>1</v>
      </c>
      <c r="L138">
        <v>1</v>
      </c>
      <c r="M138" t="s">
        <v>286</v>
      </c>
      <c r="N138" s="3">
        <v>3</v>
      </c>
      <c r="O138" s="6" t="s">
        <v>293</v>
      </c>
      <c r="T138" s="3">
        <f>Table1[[#This Row],[Hire Date]]-Table1[[#This Row],[Job Posting Date]]</f>
        <v>47</v>
      </c>
      <c r="U138" s="9">
        <f>Table1[[#This Row],[Join Date]]-Table1[[#This Row],[Hire Date]]</f>
        <v>12</v>
      </c>
      <c r="V138" s="9">
        <f ca="1">IF(Table1[[#This Row],[Status]]="Exited",Table1[[#This Row],[Exit Date]]-Table1[[#This Row],[Join Date]],TODAY()-Table1[[#This Row],[Join Date]])</f>
        <v>971</v>
      </c>
      <c r="W138" s="3" t="str">
        <f t="shared" ca="1" si="4"/>
        <v>no</v>
      </c>
      <c r="X138" s="3">
        <f>Table1[[#This Row],[Hire Date]]-Table1[[#This Row],[Job Posting Date]]</f>
        <v>47</v>
      </c>
      <c r="Y138" s="10">
        <f t="shared" si="5"/>
        <v>25.531914893617021</v>
      </c>
      <c r="Z138" s="3">
        <f>Table1[[#This Row],[Join Date]]-Table1[[#This Row],[Job Posting Date]]</f>
        <v>59</v>
      </c>
      <c r="AA138" s="3">
        <v>115</v>
      </c>
    </row>
    <row r="139" spans="1:27" x14ac:dyDescent="0.2">
      <c r="A139" t="s">
        <v>171</v>
      </c>
      <c r="B139" t="s">
        <v>26</v>
      </c>
      <c r="C139" t="s">
        <v>20</v>
      </c>
      <c r="D139" t="s">
        <v>21</v>
      </c>
      <c r="E139" s="1">
        <v>43766</v>
      </c>
      <c r="F139" s="1">
        <v>43828</v>
      </c>
      <c r="G139" s="1">
        <v>43835</v>
      </c>
      <c r="H139" s="1" t="s">
        <v>32</v>
      </c>
      <c r="I139" t="s">
        <v>33</v>
      </c>
      <c r="J139" s="12">
        <v>2060</v>
      </c>
      <c r="K139">
        <v>4</v>
      </c>
      <c r="L139">
        <v>4</v>
      </c>
      <c r="M139" t="s">
        <v>287</v>
      </c>
      <c r="N139" s="4">
        <v>3</v>
      </c>
      <c r="O139" s="7" t="s">
        <v>293</v>
      </c>
      <c r="T139" s="4">
        <f>Table1[[#This Row],[Hire Date]]-Table1[[#This Row],[Job Posting Date]]</f>
        <v>62</v>
      </c>
      <c r="U139" s="11">
        <f>Table1[[#This Row],[Join Date]]-Table1[[#This Row],[Hire Date]]</f>
        <v>7</v>
      </c>
      <c r="V139" s="11">
        <f ca="1">IF(Table1[[#This Row],[Status]]="Exited",Table1[[#This Row],[Exit Date]]-Table1[[#This Row],[Join Date]],TODAY()-Table1[[#This Row],[Join Date]])</f>
        <v>1839</v>
      </c>
      <c r="W139" s="3" t="str">
        <f t="shared" ca="1" si="4"/>
        <v>no</v>
      </c>
      <c r="X139" s="4">
        <f>Table1[[#This Row],[Hire Date]]-Table1[[#This Row],[Job Posting Date]]</f>
        <v>62</v>
      </c>
      <c r="Y139" s="10">
        <f t="shared" si="5"/>
        <v>11.29032258064516</v>
      </c>
      <c r="Z139" s="4">
        <f>Table1[[#This Row],[Join Date]]-Table1[[#This Row],[Job Posting Date]]</f>
        <v>69</v>
      </c>
      <c r="AA139" s="4">
        <v>160</v>
      </c>
    </row>
    <row r="140" spans="1:27" x14ac:dyDescent="0.2">
      <c r="A140" t="s">
        <v>172</v>
      </c>
      <c r="B140" t="s">
        <v>27</v>
      </c>
      <c r="C140" t="s">
        <v>18</v>
      </c>
      <c r="D140" t="s">
        <v>19</v>
      </c>
      <c r="E140" s="1">
        <v>43212</v>
      </c>
      <c r="F140" s="1">
        <v>43278</v>
      </c>
      <c r="G140" s="1">
        <v>43281</v>
      </c>
      <c r="H140" s="1" t="s">
        <v>32</v>
      </c>
      <c r="I140" t="s">
        <v>33</v>
      </c>
      <c r="J140" s="12">
        <v>3393</v>
      </c>
      <c r="K140">
        <v>10</v>
      </c>
      <c r="L140">
        <v>0</v>
      </c>
      <c r="M140" t="s">
        <v>286</v>
      </c>
      <c r="N140" s="3">
        <v>1</v>
      </c>
      <c r="O140" s="6" t="s">
        <v>292</v>
      </c>
      <c r="T140" s="3">
        <f>Table1[[#This Row],[Hire Date]]-Table1[[#This Row],[Job Posting Date]]</f>
        <v>66</v>
      </c>
      <c r="U140" s="9">
        <f>Table1[[#This Row],[Join Date]]-Table1[[#This Row],[Hire Date]]</f>
        <v>3</v>
      </c>
      <c r="V140" s="9">
        <f ca="1">IF(Table1[[#This Row],[Status]]="Exited",Table1[[#This Row],[Exit Date]]-Table1[[#This Row],[Join Date]],TODAY()-Table1[[#This Row],[Join Date]])</f>
        <v>2393</v>
      </c>
      <c r="W140" s="3" t="str">
        <f t="shared" ca="1" si="4"/>
        <v>no</v>
      </c>
      <c r="X140" s="3">
        <f>Table1[[#This Row],[Hire Date]]-Table1[[#This Row],[Job Posting Date]]</f>
        <v>66</v>
      </c>
      <c r="Y140" s="10">
        <f t="shared" si="5"/>
        <v>4.5454545454545459</v>
      </c>
      <c r="Z140" s="3">
        <f>Table1[[#This Row],[Join Date]]-Table1[[#This Row],[Job Posting Date]]</f>
        <v>69</v>
      </c>
      <c r="AA140" s="3">
        <v>106</v>
      </c>
    </row>
    <row r="141" spans="1:27" x14ac:dyDescent="0.2">
      <c r="A141" t="s">
        <v>173</v>
      </c>
      <c r="B141" t="s">
        <v>27</v>
      </c>
      <c r="C141" t="s">
        <v>16</v>
      </c>
      <c r="D141" t="s">
        <v>17</v>
      </c>
      <c r="E141" s="1">
        <v>44400</v>
      </c>
      <c r="F141" s="1">
        <v>44461</v>
      </c>
      <c r="G141" s="1">
        <v>44471</v>
      </c>
      <c r="H141" s="1" t="s">
        <v>32</v>
      </c>
      <c r="I141" t="s">
        <v>33</v>
      </c>
      <c r="J141" s="12">
        <v>3778</v>
      </c>
      <c r="K141">
        <v>10</v>
      </c>
      <c r="L141">
        <v>8</v>
      </c>
      <c r="M141" t="s">
        <v>288</v>
      </c>
      <c r="N141" s="4">
        <v>3</v>
      </c>
      <c r="O141" s="7" t="s">
        <v>292</v>
      </c>
      <c r="T141" s="4">
        <f>Table1[[#This Row],[Hire Date]]-Table1[[#This Row],[Job Posting Date]]</f>
        <v>61</v>
      </c>
      <c r="U141" s="11">
        <f>Table1[[#This Row],[Join Date]]-Table1[[#This Row],[Hire Date]]</f>
        <v>10</v>
      </c>
      <c r="V141" s="11">
        <f ca="1">IF(Table1[[#This Row],[Status]]="Exited",Table1[[#This Row],[Exit Date]]-Table1[[#This Row],[Join Date]],TODAY()-Table1[[#This Row],[Join Date]])</f>
        <v>1203</v>
      </c>
      <c r="W141" s="3" t="str">
        <f t="shared" ca="1" si="4"/>
        <v>no</v>
      </c>
      <c r="X141" s="4">
        <f>Table1[[#This Row],[Hire Date]]-Table1[[#This Row],[Job Posting Date]]</f>
        <v>61</v>
      </c>
      <c r="Y141" s="10">
        <f t="shared" si="5"/>
        <v>16.393442622950818</v>
      </c>
      <c r="Z141" s="4">
        <f>Table1[[#This Row],[Join Date]]-Table1[[#This Row],[Job Posting Date]]</f>
        <v>71</v>
      </c>
      <c r="AA141" s="4">
        <v>182</v>
      </c>
    </row>
    <row r="142" spans="1:27" x14ac:dyDescent="0.2">
      <c r="A142" t="s">
        <v>174</v>
      </c>
      <c r="B142" t="s">
        <v>27</v>
      </c>
      <c r="C142" t="s">
        <v>16</v>
      </c>
      <c r="D142" t="s">
        <v>17</v>
      </c>
      <c r="E142" s="1">
        <v>43145</v>
      </c>
      <c r="F142" s="1">
        <v>43228</v>
      </c>
      <c r="G142" s="1">
        <v>43241</v>
      </c>
      <c r="H142" s="1" t="s">
        <v>32</v>
      </c>
      <c r="I142" t="s">
        <v>33</v>
      </c>
      <c r="J142" s="12">
        <v>3014</v>
      </c>
      <c r="K142">
        <v>10</v>
      </c>
      <c r="L142">
        <v>9</v>
      </c>
      <c r="M142" t="s">
        <v>287</v>
      </c>
      <c r="N142" s="3">
        <v>1</v>
      </c>
      <c r="O142" s="6" t="s">
        <v>293</v>
      </c>
      <c r="T142" s="3">
        <f>Table1[[#This Row],[Hire Date]]-Table1[[#This Row],[Job Posting Date]]</f>
        <v>83</v>
      </c>
      <c r="U142" s="9">
        <f>Table1[[#This Row],[Join Date]]-Table1[[#This Row],[Hire Date]]</f>
        <v>13</v>
      </c>
      <c r="V142" s="9">
        <f ca="1">IF(Table1[[#This Row],[Status]]="Exited",Table1[[#This Row],[Exit Date]]-Table1[[#This Row],[Join Date]],TODAY()-Table1[[#This Row],[Join Date]])</f>
        <v>2433</v>
      </c>
      <c r="W142" s="3" t="str">
        <f t="shared" ca="1" si="4"/>
        <v>no</v>
      </c>
      <c r="X142" s="3">
        <f>Table1[[#This Row],[Hire Date]]-Table1[[#This Row],[Job Posting Date]]</f>
        <v>83</v>
      </c>
      <c r="Y142" s="10">
        <f t="shared" si="5"/>
        <v>15.66265060240964</v>
      </c>
      <c r="Z142" s="3">
        <f>Table1[[#This Row],[Join Date]]-Table1[[#This Row],[Job Posting Date]]</f>
        <v>96</v>
      </c>
      <c r="AA142" s="3">
        <v>152</v>
      </c>
    </row>
    <row r="143" spans="1:27" x14ac:dyDescent="0.2">
      <c r="A143" t="s">
        <v>175</v>
      </c>
      <c r="B143" t="s">
        <v>28</v>
      </c>
      <c r="C143" t="s">
        <v>24</v>
      </c>
      <c r="D143" t="s">
        <v>25</v>
      </c>
      <c r="E143" s="1">
        <v>44046</v>
      </c>
      <c r="F143" s="1">
        <v>44116</v>
      </c>
      <c r="G143" s="1">
        <v>44129</v>
      </c>
      <c r="H143" s="1">
        <v>45488</v>
      </c>
      <c r="I143" t="s">
        <v>37</v>
      </c>
      <c r="J143" s="12">
        <v>4837</v>
      </c>
      <c r="K143">
        <v>3</v>
      </c>
      <c r="L143">
        <v>3</v>
      </c>
      <c r="M143" t="s">
        <v>286</v>
      </c>
      <c r="N143" s="4">
        <v>4</v>
      </c>
      <c r="O143" s="7" t="s">
        <v>292</v>
      </c>
      <c r="T143" s="4">
        <f>Table1[[#This Row],[Hire Date]]-Table1[[#This Row],[Job Posting Date]]</f>
        <v>70</v>
      </c>
      <c r="U143" s="11">
        <f>Table1[[#This Row],[Join Date]]-Table1[[#This Row],[Hire Date]]</f>
        <v>13</v>
      </c>
      <c r="V143" s="11">
        <f ca="1">IF(Table1[[#This Row],[Status]]="Exited",Table1[[#This Row],[Exit Date]]-Table1[[#This Row],[Join Date]],TODAY()-Table1[[#This Row],[Join Date]])</f>
        <v>1359</v>
      </c>
      <c r="W143" s="3" t="str">
        <f t="shared" ca="1" si="4"/>
        <v>no</v>
      </c>
      <c r="X143" s="4">
        <f>Table1[[#This Row],[Hire Date]]-Table1[[#This Row],[Job Posting Date]]</f>
        <v>70</v>
      </c>
      <c r="Y143" s="10">
        <f t="shared" si="5"/>
        <v>18.571428571428573</v>
      </c>
      <c r="Z143" s="4">
        <f>Table1[[#This Row],[Join Date]]-Table1[[#This Row],[Job Posting Date]]</f>
        <v>83</v>
      </c>
      <c r="AA143" s="4">
        <v>109</v>
      </c>
    </row>
    <row r="144" spans="1:27" x14ac:dyDescent="0.2">
      <c r="A144" t="s">
        <v>176</v>
      </c>
      <c r="B144" t="s">
        <v>26</v>
      </c>
      <c r="C144" t="s">
        <v>16</v>
      </c>
      <c r="D144" t="s">
        <v>17</v>
      </c>
      <c r="E144" s="1">
        <v>43948</v>
      </c>
      <c r="F144" s="1">
        <v>43964</v>
      </c>
      <c r="G144" s="1">
        <v>43978</v>
      </c>
      <c r="H144" s="1">
        <v>44207</v>
      </c>
      <c r="I144" t="s">
        <v>37</v>
      </c>
      <c r="J144" s="12">
        <v>4326</v>
      </c>
      <c r="K144">
        <v>9</v>
      </c>
      <c r="L144">
        <v>5</v>
      </c>
      <c r="M144" t="s">
        <v>288</v>
      </c>
      <c r="N144" s="3">
        <v>3</v>
      </c>
      <c r="O144" s="6" t="s">
        <v>292</v>
      </c>
      <c r="T144" s="3">
        <f>Table1[[#This Row],[Hire Date]]-Table1[[#This Row],[Job Posting Date]]</f>
        <v>16</v>
      </c>
      <c r="U144" s="9">
        <f>Table1[[#This Row],[Join Date]]-Table1[[#This Row],[Hire Date]]</f>
        <v>14</v>
      </c>
      <c r="V144" s="9">
        <f ca="1">IF(Table1[[#This Row],[Status]]="Exited",Table1[[#This Row],[Exit Date]]-Table1[[#This Row],[Join Date]],TODAY()-Table1[[#This Row],[Join Date]])</f>
        <v>229</v>
      </c>
      <c r="W144" s="3" t="str">
        <f t="shared" ca="1" si="4"/>
        <v>yes</v>
      </c>
      <c r="X144" s="3">
        <f>Table1[[#This Row],[Hire Date]]-Table1[[#This Row],[Job Posting Date]]</f>
        <v>16</v>
      </c>
      <c r="Y144" s="10">
        <f t="shared" si="5"/>
        <v>87.5</v>
      </c>
      <c r="Z144" s="3">
        <f>Table1[[#This Row],[Join Date]]-Table1[[#This Row],[Job Posting Date]]</f>
        <v>30</v>
      </c>
      <c r="AA144" s="3">
        <v>156</v>
      </c>
    </row>
    <row r="145" spans="1:27" x14ac:dyDescent="0.2">
      <c r="A145" t="s">
        <v>177</v>
      </c>
      <c r="B145" t="s">
        <v>28</v>
      </c>
      <c r="C145" t="s">
        <v>18</v>
      </c>
      <c r="D145" t="s">
        <v>19</v>
      </c>
      <c r="E145" s="1">
        <v>44697</v>
      </c>
      <c r="F145" s="1">
        <v>44728</v>
      </c>
      <c r="G145" s="1">
        <v>44733</v>
      </c>
      <c r="H145" s="1" t="s">
        <v>32</v>
      </c>
      <c r="I145" t="s">
        <v>33</v>
      </c>
      <c r="J145" s="12">
        <v>3778</v>
      </c>
      <c r="K145">
        <v>6</v>
      </c>
      <c r="L145">
        <v>0</v>
      </c>
      <c r="M145" t="s">
        <v>286</v>
      </c>
      <c r="N145" s="4">
        <v>1</v>
      </c>
      <c r="O145" s="7" t="s">
        <v>293</v>
      </c>
      <c r="T145" s="4">
        <f>Table1[[#This Row],[Hire Date]]-Table1[[#This Row],[Job Posting Date]]</f>
        <v>31</v>
      </c>
      <c r="U145" s="11">
        <f>Table1[[#This Row],[Join Date]]-Table1[[#This Row],[Hire Date]]</f>
        <v>5</v>
      </c>
      <c r="V145" s="11">
        <f ca="1">IF(Table1[[#This Row],[Status]]="Exited",Table1[[#This Row],[Exit Date]]-Table1[[#This Row],[Join Date]],TODAY()-Table1[[#This Row],[Join Date]])</f>
        <v>941</v>
      </c>
      <c r="W145" s="3" t="str">
        <f t="shared" ca="1" si="4"/>
        <v>no</v>
      </c>
      <c r="X145" s="4">
        <f>Table1[[#This Row],[Hire Date]]-Table1[[#This Row],[Job Posting Date]]</f>
        <v>31</v>
      </c>
      <c r="Y145" s="10">
        <f t="shared" si="5"/>
        <v>16.129032258064516</v>
      </c>
      <c r="Z145" s="4">
        <f>Table1[[#This Row],[Join Date]]-Table1[[#This Row],[Job Posting Date]]</f>
        <v>36</v>
      </c>
      <c r="AA145" s="4">
        <v>169</v>
      </c>
    </row>
    <row r="146" spans="1:27" x14ac:dyDescent="0.2">
      <c r="A146" t="s">
        <v>178</v>
      </c>
      <c r="B146" t="s">
        <v>28</v>
      </c>
      <c r="C146" t="s">
        <v>18</v>
      </c>
      <c r="D146" t="s">
        <v>19</v>
      </c>
      <c r="E146" s="1">
        <v>43780</v>
      </c>
      <c r="F146" s="1">
        <v>43860</v>
      </c>
      <c r="G146" s="1">
        <v>43874</v>
      </c>
      <c r="H146" s="1" t="s">
        <v>32</v>
      </c>
      <c r="I146" t="s">
        <v>33</v>
      </c>
      <c r="J146" s="12">
        <v>2057</v>
      </c>
      <c r="K146">
        <v>2</v>
      </c>
      <c r="L146">
        <v>1</v>
      </c>
      <c r="M146" t="s">
        <v>286</v>
      </c>
      <c r="N146" s="3">
        <v>1</v>
      </c>
      <c r="O146" s="6" t="s">
        <v>292</v>
      </c>
      <c r="T146" s="3">
        <f>Table1[[#This Row],[Hire Date]]-Table1[[#This Row],[Job Posting Date]]</f>
        <v>80</v>
      </c>
      <c r="U146" s="9">
        <f>Table1[[#This Row],[Join Date]]-Table1[[#This Row],[Hire Date]]</f>
        <v>14</v>
      </c>
      <c r="V146" s="9">
        <f ca="1">IF(Table1[[#This Row],[Status]]="Exited",Table1[[#This Row],[Exit Date]]-Table1[[#This Row],[Join Date]],TODAY()-Table1[[#This Row],[Join Date]])</f>
        <v>1800</v>
      </c>
      <c r="W146" s="3" t="str">
        <f t="shared" ca="1" si="4"/>
        <v>no</v>
      </c>
      <c r="X146" s="3">
        <f>Table1[[#This Row],[Hire Date]]-Table1[[#This Row],[Job Posting Date]]</f>
        <v>80</v>
      </c>
      <c r="Y146" s="10">
        <f t="shared" si="5"/>
        <v>17.5</v>
      </c>
      <c r="Z146" s="3">
        <f>Table1[[#This Row],[Join Date]]-Table1[[#This Row],[Job Posting Date]]</f>
        <v>94</v>
      </c>
      <c r="AA146" s="3">
        <v>124</v>
      </c>
    </row>
    <row r="147" spans="1:27" x14ac:dyDescent="0.2">
      <c r="A147" t="s">
        <v>179</v>
      </c>
      <c r="B147" t="s">
        <v>26</v>
      </c>
      <c r="C147" t="s">
        <v>18</v>
      </c>
      <c r="D147" t="s">
        <v>19</v>
      </c>
      <c r="E147" s="1">
        <v>44781</v>
      </c>
      <c r="F147" s="1">
        <v>44800</v>
      </c>
      <c r="G147" s="1">
        <v>44809</v>
      </c>
      <c r="H147" s="1">
        <v>45358</v>
      </c>
      <c r="I147" t="s">
        <v>37</v>
      </c>
      <c r="J147" s="12">
        <v>3959</v>
      </c>
      <c r="K147">
        <v>4</v>
      </c>
      <c r="L147">
        <v>4</v>
      </c>
      <c r="M147" t="s">
        <v>287</v>
      </c>
      <c r="N147" s="4">
        <v>1</v>
      </c>
      <c r="O147" s="7" t="s">
        <v>293</v>
      </c>
      <c r="T147" s="4">
        <f>Table1[[#This Row],[Hire Date]]-Table1[[#This Row],[Job Posting Date]]</f>
        <v>19</v>
      </c>
      <c r="U147" s="11">
        <f>Table1[[#This Row],[Join Date]]-Table1[[#This Row],[Hire Date]]</f>
        <v>9</v>
      </c>
      <c r="V147" s="11">
        <f ca="1">IF(Table1[[#This Row],[Status]]="Exited",Table1[[#This Row],[Exit Date]]-Table1[[#This Row],[Join Date]],TODAY()-Table1[[#This Row],[Join Date]])</f>
        <v>549</v>
      </c>
      <c r="W147" s="3" t="str">
        <f t="shared" ca="1" si="4"/>
        <v>yes</v>
      </c>
      <c r="X147" s="4">
        <f>Table1[[#This Row],[Hire Date]]-Table1[[#This Row],[Job Posting Date]]</f>
        <v>19</v>
      </c>
      <c r="Y147" s="10">
        <f t="shared" si="5"/>
        <v>47.368421052631575</v>
      </c>
      <c r="Z147" s="4">
        <f>Table1[[#This Row],[Join Date]]-Table1[[#This Row],[Job Posting Date]]</f>
        <v>28</v>
      </c>
      <c r="AA147" s="4">
        <v>128</v>
      </c>
    </row>
    <row r="148" spans="1:27" x14ac:dyDescent="0.2">
      <c r="A148" t="s">
        <v>180</v>
      </c>
      <c r="B148" t="s">
        <v>28</v>
      </c>
      <c r="C148" t="s">
        <v>24</v>
      </c>
      <c r="D148" t="s">
        <v>25</v>
      </c>
      <c r="E148" s="1">
        <v>44625</v>
      </c>
      <c r="F148" s="1">
        <v>44653</v>
      </c>
      <c r="G148" s="1">
        <v>44666</v>
      </c>
      <c r="H148" s="1">
        <v>45206</v>
      </c>
      <c r="I148" t="s">
        <v>37</v>
      </c>
      <c r="J148" s="12">
        <v>2498</v>
      </c>
      <c r="K148">
        <v>8</v>
      </c>
      <c r="L148">
        <v>7</v>
      </c>
      <c r="M148" t="s">
        <v>286</v>
      </c>
      <c r="N148" s="3">
        <v>3</v>
      </c>
      <c r="O148" s="6" t="s">
        <v>292</v>
      </c>
      <c r="T148" s="3">
        <f>Table1[[#This Row],[Hire Date]]-Table1[[#This Row],[Job Posting Date]]</f>
        <v>28</v>
      </c>
      <c r="U148" s="9">
        <f>Table1[[#This Row],[Join Date]]-Table1[[#This Row],[Hire Date]]</f>
        <v>13</v>
      </c>
      <c r="V148" s="9">
        <f ca="1">IF(Table1[[#This Row],[Status]]="Exited",Table1[[#This Row],[Exit Date]]-Table1[[#This Row],[Join Date]],TODAY()-Table1[[#This Row],[Join Date]])</f>
        <v>540</v>
      </c>
      <c r="W148" s="3" t="str">
        <f t="shared" ca="1" si="4"/>
        <v>yes</v>
      </c>
      <c r="X148" s="3">
        <f>Table1[[#This Row],[Hire Date]]-Table1[[#This Row],[Job Posting Date]]</f>
        <v>28</v>
      </c>
      <c r="Y148" s="10">
        <f t="shared" si="5"/>
        <v>46.428571428571431</v>
      </c>
      <c r="Z148" s="3">
        <f>Table1[[#This Row],[Join Date]]-Table1[[#This Row],[Job Posting Date]]</f>
        <v>41</v>
      </c>
      <c r="AA148" s="3">
        <v>172</v>
      </c>
    </row>
    <row r="149" spans="1:27" x14ac:dyDescent="0.2">
      <c r="A149" t="s">
        <v>181</v>
      </c>
      <c r="B149" t="s">
        <v>27</v>
      </c>
      <c r="C149" t="s">
        <v>16</v>
      </c>
      <c r="D149" t="s">
        <v>17</v>
      </c>
      <c r="E149" s="1">
        <v>44192</v>
      </c>
      <c r="F149" s="1">
        <v>44275</v>
      </c>
      <c r="G149" s="1">
        <v>44290</v>
      </c>
      <c r="H149" s="1" t="s">
        <v>32</v>
      </c>
      <c r="I149" t="s">
        <v>33</v>
      </c>
      <c r="J149" s="12">
        <v>3576</v>
      </c>
      <c r="K149">
        <v>10</v>
      </c>
      <c r="L149">
        <v>0</v>
      </c>
      <c r="M149" t="s">
        <v>287</v>
      </c>
      <c r="N149" s="4">
        <v>1</v>
      </c>
      <c r="O149" s="7" t="s">
        <v>293</v>
      </c>
      <c r="T149" s="4">
        <f>Table1[[#This Row],[Hire Date]]-Table1[[#This Row],[Job Posting Date]]</f>
        <v>83</v>
      </c>
      <c r="U149" s="11">
        <f>Table1[[#This Row],[Join Date]]-Table1[[#This Row],[Hire Date]]</f>
        <v>15</v>
      </c>
      <c r="V149" s="11">
        <f ca="1">IF(Table1[[#This Row],[Status]]="Exited",Table1[[#This Row],[Exit Date]]-Table1[[#This Row],[Join Date]],TODAY()-Table1[[#This Row],[Join Date]])</f>
        <v>1384</v>
      </c>
      <c r="W149" s="3" t="str">
        <f t="shared" ca="1" si="4"/>
        <v>no</v>
      </c>
      <c r="X149" s="4">
        <f>Table1[[#This Row],[Hire Date]]-Table1[[#This Row],[Job Posting Date]]</f>
        <v>83</v>
      </c>
      <c r="Y149" s="10">
        <f t="shared" si="5"/>
        <v>18.072289156626507</v>
      </c>
      <c r="Z149" s="4">
        <f>Table1[[#This Row],[Join Date]]-Table1[[#This Row],[Job Posting Date]]</f>
        <v>98</v>
      </c>
      <c r="AA149" s="4">
        <v>199</v>
      </c>
    </row>
    <row r="150" spans="1:27" x14ac:dyDescent="0.2">
      <c r="A150" t="s">
        <v>182</v>
      </c>
      <c r="B150" t="s">
        <v>27</v>
      </c>
      <c r="C150" t="s">
        <v>18</v>
      </c>
      <c r="D150" t="s">
        <v>19</v>
      </c>
      <c r="E150" s="1">
        <v>44293</v>
      </c>
      <c r="F150" s="1">
        <v>44343</v>
      </c>
      <c r="G150" s="1">
        <v>44344</v>
      </c>
      <c r="H150" s="1">
        <v>44655</v>
      </c>
      <c r="I150" t="s">
        <v>37</v>
      </c>
      <c r="J150" s="12">
        <v>4094</v>
      </c>
      <c r="K150">
        <v>6</v>
      </c>
      <c r="L150">
        <v>0</v>
      </c>
      <c r="M150" t="s">
        <v>286</v>
      </c>
      <c r="N150" s="3">
        <v>1</v>
      </c>
      <c r="O150" s="6" t="s">
        <v>293</v>
      </c>
      <c r="T150" s="3">
        <f>Table1[[#This Row],[Hire Date]]-Table1[[#This Row],[Job Posting Date]]</f>
        <v>50</v>
      </c>
      <c r="U150" s="9">
        <f>Table1[[#This Row],[Join Date]]-Table1[[#This Row],[Hire Date]]</f>
        <v>1</v>
      </c>
      <c r="V150" s="9">
        <f ca="1">IF(Table1[[#This Row],[Status]]="Exited",Table1[[#This Row],[Exit Date]]-Table1[[#This Row],[Join Date]],TODAY()-Table1[[#This Row],[Join Date]])</f>
        <v>311</v>
      </c>
      <c r="W150" s="3" t="str">
        <f t="shared" ca="1" si="4"/>
        <v>yes</v>
      </c>
      <c r="X150" s="3">
        <f>Table1[[#This Row],[Hire Date]]-Table1[[#This Row],[Job Posting Date]]</f>
        <v>50</v>
      </c>
      <c r="Y150" s="10">
        <f t="shared" si="5"/>
        <v>2</v>
      </c>
      <c r="Z150" s="3">
        <f>Table1[[#This Row],[Join Date]]-Table1[[#This Row],[Job Posting Date]]</f>
        <v>51</v>
      </c>
      <c r="AA150" s="3">
        <v>161</v>
      </c>
    </row>
    <row r="151" spans="1:27" x14ac:dyDescent="0.2">
      <c r="A151" t="s">
        <v>183</v>
      </c>
      <c r="B151" t="s">
        <v>27</v>
      </c>
      <c r="C151" t="s">
        <v>18</v>
      </c>
      <c r="D151" t="s">
        <v>19</v>
      </c>
      <c r="E151" s="1">
        <v>44630</v>
      </c>
      <c r="F151" s="1">
        <v>44717</v>
      </c>
      <c r="G151" s="1">
        <v>44719</v>
      </c>
      <c r="H151" s="1" t="s">
        <v>32</v>
      </c>
      <c r="I151" t="s">
        <v>33</v>
      </c>
      <c r="J151" s="12">
        <v>4030</v>
      </c>
      <c r="K151">
        <v>1</v>
      </c>
      <c r="L151">
        <v>1</v>
      </c>
      <c r="M151" t="s">
        <v>286</v>
      </c>
      <c r="N151" s="4">
        <v>4</v>
      </c>
      <c r="O151" s="7" t="s">
        <v>292</v>
      </c>
      <c r="T151" s="4">
        <f>Table1[[#This Row],[Hire Date]]-Table1[[#This Row],[Job Posting Date]]</f>
        <v>87</v>
      </c>
      <c r="U151" s="11">
        <f>Table1[[#This Row],[Join Date]]-Table1[[#This Row],[Hire Date]]</f>
        <v>2</v>
      </c>
      <c r="V151" s="11">
        <f ca="1">IF(Table1[[#This Row],[Status]]="Exited",Table1[[#This Row],[Exit Date]]-Table1[[#This Row],[Join Date]],TODAY()-Table1[[#This Row],[Join Date]])</f>
        <v>955</v>
      </c>
      <c r="W151" s="3" t="str">
        <f t="shared" ca="1" si="4"/>
        <v>no</v>
      </c>
      <c r="X151" s="4">
        <f>Table1[[#This Row],[Hire Date]]-Table1[[#This Row],[Job Posting Date]]</f>
        <v>87</v>
      </c>
      <c r="Y151" s="10">
        <f t="shared" si="5"/>
        <v>2.2988505747126435</v>
      </c>
      <c r="Z151" s="4">
        <f>Table1[[#This Row],[Join Date]]-Table1[[#This Row],[Job Posting Date]]</f>
        <v>89</v>
      </c>
      <c r="AA151" s="4">
        <v>188</v>
      </c>
    </row>
    <row r="152" spans="1:27" x14ac:dyDescent="0.2">
      <c r="A152" t="s">
        <v>184</v>
      </c>
      <c r="B152" t="s">
        <v>28</v>
      </c>
      <c r="C152" t="s">
        <v>24</v>
      </c>
      <c r="D152" t="s">
        <v>25</v>
      </c>
      <c r="E152" s="1">
        <v>43226</v>
      </c>
      <c r="F152" s="1">
        <v>43250</v>
      </c>
      <c r="G152" s="1">
        <v>43259</v>
      </c>
      <c r="H152" s="1">
        <v>43943</v>
      </c>
      <c r="I152" t="s">
        <v>37</v>
      </c>
      <c r="J152" s="12">
        <v>4155</v>
      </c>
      <c r="K152">
        <v>2</v>
      </c>
      <c r="L152">
        <v>0</v>
      </c>
      <c r="M152" t="s">
        <v>286</v>
      </c>
      <c r="N152" s="3">
        <v>3</v>
      </c>
      <c r="O152" s="6" t="s">
        <v>293</v>
      </c>
      <c r="T152" s="3">
        <f>Table1[[#This Row],[Hire Date]]-Table1[[#This Row],[Job Posting Date]]</f>
        <v>24</v>
      </c>
      <c r="U152" s="9">
        <f>Table1[[#This Row],[Join Date]]-Table1[[#This Row],[Hire Date]]</f>
        <v>9</v>
      </c>
      <c r="V152" s="9">
        <f ca="1">IF(Table1[[#This Row],[Status]]="Exited",Table1[[#This Row],[Exit Date]]-Table1[[#This Row],[Join Date]],TODAY()-Table1[[#This Row],[Join Date]])</f>
        <v>684</v>
      </c>
      <c r="W152" s="3" t="str">
        <f t="shared" ca="1" si="4"/>
        <v>yes</v>
      </c>
      <c r="X152" s="3">
        <f>Table1[[#This Row],[Hire Date]]-Table1[[#This Row],[Job Posting Date]]</f>
        <v>24</v>
      </c>
      <c r="Y152" s="10">
        <f t="shared" si="5"/>
        <v>37.5</v>
      </c>
      <c r="Z152" s="3">
        <f>Table1[[#This Row],[Join Date]]-Table1[[#This Row],[Job Posting Date]]</f>
        <v>33</v>
      </c>
      <c r="AA152" s="3">
        <v>138</v>
      </c>
    </row>
    <row r="153" spans="1:27" x14ac:dyDescent="0.2">
      <c r="A153" t="s">
        <v>185</v>
      </c>
      <c r="B153" t="s">
        <v>28</v>
      </c>
      <c r="C153" t="s">
        <v>20</v>
      </c>
      <c r="D153" t="s">
        <v>21</v>
      </c>
      <c r="E153" s="1">
        <v>43558</v>
      </c>
      <c r="F153" s="1">
        <v>43607</v>
      </c>
      <c r="G153" s="1">
        <v>43620</v>
      </c>
      <c r="H153" s="1">
        <v>45076</v>
      </c>
      <c r="I153" t="s">
        <v>37</v>
      </c>
      <c r="J153" s="12">
        <v>3801</v>
      </c>
      <c r="K153">
        <v>8</v>
      </c>
      <c r="L153">
        <v>8</v>
      </c>
      <c r="M153" t="s">
        <v>286</v>
      </c>
      <c r="N153" s="4">
        <v>2</v>
      </c>
      <c r="O153" s="7" t="s">
        <v>293</v>
      </c>
      <c r="T153" s="4">
        <f>Table1[[#This Row],[Hire Date]]-Table1[[#This Row],[Job Posting Date]]</f>
        <v>49</v>
      </c>
      <c r="U153" s="11">
        <f>Table1[[#This Row],[Join Date]]-Table1[[#This Row],[Hire Date]]</f>
        <v>13</v>
      </c>
      <c r="V153" s="11">
        <f ca="1">IF(Table1[[#This Row],[Status]]="Exited",Table1[[#This Row],[Exit Date]]-Table1[[#This Row],[Join Date]],TODAY()-Table1[[#This Row],[Join Date]])</f>
        <v>1456</v>
      </c>
      <c r="W153" s="3" t="str">
        <f t="shared" ca="1" si="4"/>
        <v>no</v>
      </c>
      <c r="X153" s="4">
        <f>Table1[[#This Row],[Hire Date]]-Table1[[#This Row],[Job Posting Date]]</f>
        <v>49</v>
      </c>
      <c r="Y153" s="10">
        <f t="shared" si="5"/>
        <v>26.530612244897959</v>
      </c>
      <c r="Z153" s="4">
        <f>Table1[[#This Row],[Join Date]]-Table1[[#This Row],[Job Posting Date]]</f>
        <v>62</v>
      </c>
      <c r="AA153" s="4">
        <v>189</v>
      </c>
    </row>
    <row r="154" spans="1:27" x14ac:dyDescent="0.2">
      <c r="A154" t="s">
        <v>186</v>
      </c>
      <c r="B154" t="s">
        <v>28</v>
      </c>
      <c r="C154" t="s">
        <v>20</v>
      </c>
      <c r="D154" t="s">
        <v>21</v>
      </c>
      <c r="E154" s="1">
        <v>43986</v>
      </c>
      <c r="F154" s="1">
        <v>44052</v>
      </c>
      <c r="G154" s="1">
        <v>44066</v>
      </c>
      <c r="H154" s="1">
        <v>44369</v>
      </c>
      <c r="I154" t="s">
        <v>37</v>
      </c>
      <c r="J154" s="12">
        <v>2068</v>
      </c>
      <c r="K154">
        <v>3</v>
      </c>
      <c r="L154">
        <v>0</v>
      </c>
      <c r="M154" t="s">
        <v>288</v>
      </c>
      <c r="N154" s="3">
        <v>5</v>
      </c>
      <c r="O154" s="6" t="s">
        <v>292</v>
      </c>
      <c r="T154" s="3">
        <f>Table1[[#This Row],[Hire Date]]-Table1[[#This Row],[Job Posting Date]]</f>
        <v>66</v>
      </c>
      <c r="U154" s="9">
        <f>Table1[[#This Row],[Join Date]]-Table1[[#This Row],[Hire Date]]</f>
        <v>14</v>
      </c>
      <c r="V154" s="9">
        <f ca="1">IF(Table1[[#This Row],[Status]]="Exited",Table1[[#This Row],[Exit Date]]-Table1[[#This Row],[Join Date]],TODAY()-Table1[[#This Row],[Join Date]])</f>
        <v>303</v>
      </c>
      <c r="W154" s="3" t="str">
        <f t="shared" ca="1" si="4"/>
        <v>yes</v>
      </c>
      <c r="X154" s="3">
        <f>Table1[[#This Row],[Hire Date]]-Table1[[#This Row],[Job Posting Date]]</f>
        <v>66</v>
      </c>
      <c r="Y154" s="10">
        <f t="shared" si="5"/>
        <v>21.212121212121211</v>
      </c>
      <c r="Z154" s="3">
        <f>Table1[[#This Row],[Join Date]]-Table1[[#This Row],[Job Posting Date]]</f>
        <v>80</v>
      </c>
      <c r="AA154" s="3">
        <v>168</v>
      </c>
    </row>
    <row r="155" spans="1:27" x14ac:dyDescent="0.2">
      <c r="A155" t="s">
        <v>187</v>
      </c>
      <c r="B155" t="s">
        <v>27</v>
      </c>
      <c r="C155" t="s">
        <v>20</v>
      </c>
      <c r="D155" t="s">
        <v>21</v>
      </c>
      <c r="E155" s="1">
        <v>44739</v>
      </c>
      <c r="F155" s="1">
        <v>44824</v>
      </c>
      <c r="G155" s="1">
        <v>44825</v>
      </c>
      <c r="H155" s="1">
        <v>45500</v>
      </c>
      <c r="I155" t="s">
        <v>37</v>
      </c>
      <c r="J155" s="12">
        <v>3317</v>
      </c>
      <c r="K155">
        <v>9</v>
      </c>
      <c r="L155">
        <v>7</v>
      </c>
      <c r="M155" t="s">
        <v>286</v>
      </c>
      <c r="N155" s="4">
        <v>1</v>
      </c>
      <c r="O155" s="7" t="s">
        <v>292</v>
      </c>
      <c r="T155" s="4">
        <f>Table1[[#This Row],[Hire Date]]-Table1[[#This Row],[Job Posting Date]]</f>
        <v>85</v>
      </c>
      <c r="U155" s="11">
        <f>Table1[[#This Row],[Join Date]]-Table1[[#This Row],[Hire Date]]</f>
        <v>1</v>
      </c>
      <c r="V155" s="11">
        <f ca="1">IF(Table1[[#This Row],[Status]]="Exited",Table1[[#This Row],[Exit Date]]-Table1[[#This Row],[Join Date]],TODAY()-Table1[[#This Row],[Join Date]])</f>
        <v>675</v>
      </c>
      <c r="W155" s="3" t="str">
        <f t="shared" ca="1" si="4"/>
        <v>yes</v>
      </c>
      <c r="X155" s="4">
        <f>Table1[[#This Row],[Hire Date]]-Table1[[#This Row],[Job Posting Date]]</f>
        <v>85</v>
      </c>
      <c r="Y155" s="10">
        <f t="shared" si="5"/>
        <v>1.1764705882352942</v>
      </c>
      <c r="Z155" s="4">
        <f>Table1[[#This Row],[Join Date]]-Table1[[#This Row],[Job Posting Date]]</f>
        <v>86</v>
      </c>
      <c r="AA155" s="4">
        <v>165</v>
      </c>
    </row>
    <row r="156" spans="1:27" x14ac:dyDescent="0.2">
      <c r="A156" t="s">
        <v>188</v>
      </c>
      <c r="B156" t="s">
        <v>26</v>
      </c>
      <c r="C156" t="s">
        <v>22</v>
      </c>
      <c r="D156" t="s">
        <v>23</v>
      </c>
      <c r="E156" s="1">
        <v>44509</v>
      </c>
      <c r="F156" s="1">
        <v>44565</v>
      </c>
      <c r="G156" s="1">
        <v>44575</v>
      </c>
      <c r="H156" s="1" t="s">
        <v>32</v>
      </c>
      <c r="I156" t="s">
        <v>33</v>
      </c>
      <c r="J156" s="12">
        <v>4427</v>
      </c>
      <c r="K156">
        <v>4</v>
      </c>
      <c r="L156">
        <v>3</v>
      </c>
      <c r="M156" t="s">
        <v>286</v>
      </c>
      <c r="N156" s="3">
        <v>2</v>
      </c>
      <c r="O156" s="6" t="s">
        <v>292</v>
      </c>
      <c r="T156" s="3">
        <f>Table1[[#This Row],[Hire Date]]-Table1[[#This Row],[Job Posting Date]]</f>
        <v>56</v>
      </c>
      <c r="U156" s="9">
        <f>Table1[[#This Row],[Join Date]]-Table1[[#This Row],[Hire Date]]</f>
        <v>10</v>
      </c>
      <c r="V156" s="9">
        <f ca="1">IF(Table1[[#This Row],[Status]]="Exited",Table1[[#This Row],[Exit Date]]-Table1[[#This Row],[Join Date]],TODAY()-Table1[[#This Row],[Join Date]])</f>
        <v>1099</v>
      </c>
      <c r="W156" s="3" t="str">
        <f t="shared" ca="1" si="4"/>
        <v>no</v>
      </c>
      <c r="X156" s="3">
        <f>Table1[[#This Row],[Hire Date]]-Table1[[#This Row],[Job Posting Date]]</f>
        <v>56</v>
      </c>
      <c r="Y156" s="10">
        <f t="shared" si="5"/>
        <v>17.857142857142858</v>
      </c>
      <c r="Z156" s="3">
        <f>Table1[[#This Row],[Join Date]]-Table1[[#This Row],[Job Posting Date]]</f>
        <v>66</v>
      </c>
      <c r="AA156" s="3">
        <v>107</v>
      </c>
    </row>
    <row r="157" spans="1:27" x14ac:dyDescent="0.2">
      <c r="A157" t="s">
        <v>189</v>
      </c>
      <c r="B157" t="s">
        <v>26</v>
      </c>
      <c r="C157" t="s">
        <v>24</v>
      </c>
      <c r="D157" t="s">
        <v>25</v>
      </c>
      <c r="E157" s="1">
        <v>43977</v>
      </c>
      <c r="F157" s="1">
        <v>44037</v>
      </c>
      <c r="G157" s="1">
        <v>44049</v>
      </c>
      <c r="H157" s="1" t="s">
        <v>32</v>
      </c>
      <c r="I157" t="s">
        <v>33</v>
      </c>
      <c r="J157" s="12">
        <v>4512</v>
      </c>
      <c r="K157">
        <v>5</v>
      </c>
      <c r="L157">
        <v>1</v>
      </c>
      <c r="M157" t="s">
        <v>288</v>
      </c>
      <c r="N157" s="4">
        <v>4</v>
      </c>
      <c r="O157" s="7" t="s">
        <v>293</v>
      </c>
      <c r="T157" s="4">
        <f>Table1[[#This Row],[Hire Date]]-Table1[[#This Row],[Job Posting Date]]</f>
        <v>60</v>
      </c>
      <c r="U157" s="11">
        <f>Table1[[#This Row],[Join Date]]-Table1[[#This Row],[Hire Date]]</f>
        <v>12</v>
      </c>
      <c r="V157" s="11">
        <f ca="1">IF(Table1[[#This Row],[Status]]="Exited",Table1[[#This Row],[Exit Date]]-Table1[[#This Row],[Join Date]],TODAY()-Table1[[#This Row],[Join Date]])</f>
        <v>1625</v>
      </c>
      <c r="W157" s="3" t="str">
        <f t="shared" ca="1" si="4"/>
        <v>no</v>
      </c>
      <c r="X157" s="4">
        <f>Table1[[#This Row],[Hire Date]]-Table1[[#This Row],[Job Posting Date]]</f>
        <v>60</v>
      </c>
      <c r="Y157" s="10">
        <f t="shared" si="5"/>
        <v>20</v>
      </c>
      <c r="Z157" s="4">
        <f>Table1[[#This Row],[Join Date]]-Table1[[#This Row],[Job Posting Date]]</f>
        <v>72</v>
      </c>
      <c r="AA157" s="4">
        <v>123</v>
      </c>
    </row>
    <row r="158" spans="1:27" x14ac:dyDescent="0.2">
      <c r="A158" t="s">
        <v>190</v>
      </c>
      <c r="B158" t="s">
        <v>27</v>
      </c>
      <c r="C158" t="s">
        <v>16</v>
      </c>
      <c r="D158" t="s">
        <v>17</v>
      </c>
      <c r="E158" s="1">
        <v>43417</v>
      </c>
      <c r="F158" s="1">
        <v>43463</v>
      </c>
      <c r="G158" s="1">
        <v>43464</v>
      </c>
      <c r="H158" s="1">
        <v>45351</v>
      </c>
      <c r="I158" t="s">
        <v>37</v>
      </c>
      <c r="J158" s="12">
        <v>4190</v>
      </c>
      <c r="K158">
        <v>9</v>
      </c>
      <c r="L158">
        <v>1</v>
      </c>
      <c r="M158" t="s">
        <v>287</v>
      </c>
      <c r="N158" s="3">
        <v>4</v>
      </c>
      <c r="O158" s="6" t="s">
        <v>292</v>
      </c>
      <c r="T158" s="3">
        <f>Table1[[#This Row],[Hire Date]]-Table1[[#This Row],[Job Posting Date]]</f>
        <v>46</v>
      </c>
      <c r="U158" s="9">
        <f>Table1[[#This Row],[Join Date]]-Table1[[#This Row],[Hire Date]]</f>
        <v>1</v>
      </c>
      <c r="V158" s="9">
        <f ca="1">IF(Table1[[#This Row],[Status]]="Exited",Table1[[#This Row],[Exit Date]]-Table1[[#This Row],[Join Date]],TODAY()-Table1[[#This Row],[Join Date]])</f>
        <v>1887</v>
      </c>
      <c r="W158" s="3" t="str">
        <f t="shared" ca="1" si="4"/>
        <v>no</v>
      </c>
      <c r="X158" s="3">
        <f>Table1[[#This Row],[Hire Date]]-Table1[[#This Row],[Job Posting Date]]</f>
        <v>46</v>
      </c>
      <c r="Y158" s="10">
        <f t="shared" si="5"/>
        <v>2.1739130434782608</v>
      </c>
      <c r="Z158" s="3">
        <f>Table1[[#This Row],[Join Date]]-Table1[[#This Row],[Job Posting Date]]</f>
        <v>47</v>
      </c>
      <c r="AA158" s="3">
        <v>148</v>
      </c>
    </row>
    <row r="159" spans="1:27" x14ac:dyDescent="0.2">
      <c r="A159" t="s">
        <v>191</v>
      </c>
      <c r="B159" t="s">
        <v>27</v>
      </c>
      <c r="C159" t="s">
        <v>24</v>
      </c>
      <c r="D159" t="s">
        <v>25</v>
      </c>
      <c r="E159" s="1">
        <v>43797</v>
      </c>
      <c r="F159" s="1">
        <v>43816</v>
      </c>
      <c r="G159" s="1">
        <v>43829</v>
      </c>
      <c r="H159" s="1" t="s">
        <v>32</v>
      </c>
      <c r="I159" t="s">
        <v>33</v>
      </c>
      <c r="J159" s="12">
        <v>2125</v>
      </c>
      <c r="K159">
        <v>5</v>
      </c>
      <c r="L159">
        <v>5</v>
      </c>
      <c r="M159" t="s">
        <v>288</v>
      </c>
      <c r="N159" s="4">
        <v>5</v>
      </c>
      <c r="O159" s="7" t="s">
        <v>293</v>
      </c>
      <c r="T159" s="4">
        <f>Table1[[#This Row],[Hire Date]]-Table1[[#This Row],[Job Posting Date]]</f>
        <v>19</v>
      </c>
      <c r="U159" s="11">
        <f>Table1[[#This Row],[Join Date]]-Table1[[#This Row],[Hire Date]]</f>
        <v>13</v>
      </c>
      <c r="V159" s="11">
        <f ca="1">IF(Table1[[#This Row],[Status]]="Exited",Table1[[#This Row],[Exit Date]]-Table1[[#This Row],[Join Date]],TODAY()-Table1[[#This Row],[Join Date]])</f>
        <v>1845</v>
      </c>
      <c r="W159" s="3" t="str">
        <f t="shared" ca="1" si="4"/>
        <v>no</v>
      </c>
      <c r="X159" s="4">
        <f>Table1[[#This Row],[Hire Date]]-Table1[[#This Row],[Job Posting Date]]</f>
        <v>19</v>
      </c>
      <c r="Y159" s="10">
        <f t="shared" si="5"/>
        <v>68.421052631578945</v>
      </c>
      <c r="Z159" s="4">
        <f>Table1[[#This Row],[Join Date]]-Table1[[#This Row],[Job Posting Date]]</f>
        <v>32</v>
      </c>
      <c r="AA159" s="4">
        <v>141</v>
      </c>
    </row>
    <row r="160" spans="1:27" x14ac:dyDescent="0.2">
      <c r="A160" t="s">
        <v>192</v>
      </c>
      <c r="B160" t="s">
        <v>26</v>
      </c>
      <c r="C160" t="s">
        <v>24</v>
      </c>
      <c r="D160" t="s">
        <v>25</v>
      </c>
      <c r="E160" s="1">
        <v>44885</v>
      </c>
      <c r="F160" s="1">
        <v>44960</v>
      </c>
      <c r="G160" s="1">
        <v>44968</v>
      </c>
      <c r="H160" s="1" t="s">
        <v>32</v>
      </c>
      <c r="I160" t="s">
        <v>33</v>
      </c>
      <c r="J160" s="12">
        <v>4746</v>
      </c>
      <c r="K160">
        <v>6</v>
      </c>
      <c r="L160">
        <v>0</v>
      </c>
      <c r="M160" t="s">
        <v>287</v>
      </c>
      <c r="N160" s="3">
        <v>5</v>
      </c>
      <c r="O160" s="6" t="s">
        <v>292</v>
      </c>
      <c r="T160" s="3">
        <f>Table1[[#This Row],[Hire Date]]-Table1[[#This Row],[Job Posting Date]]</f>
        <v>75</v>
      </c>
      <c r="U160" s="9">
        <f>Table1[[#This Row],[Join Date]]-Table1[[#This Row],[Hire Date]]</f>
        <v>8</v>
      </c>
      <c r="V160" s="9">
        <f ca="1">IF(Table1[[#This Row],[Status]]="Exited",Table1[[#This Row],[Exit Date]]-Table1[[#This Row],[Join Date]],TODAY()-Table1[[#This Row],[Join Date]])</f>
        <v>706</v>
      </c>
      <c r="W160" s="3" t="str">
        <f t="shared" ca="1" si="4"/>
        <v>yes</v>
      </c>
      <c r="X160" s="3">
        <f>Table1[[#This Row],[Hire Date]]-Table1[[#This Row],[Job Posting Date]]</f>
        <v>75</v>
      </c>
      <c r="Y160" s="10">
        <f t="shared" si="5"/>
        <v>10.666666666666668</v>
      </c>
      <c r="Z160" s="3">
        <f>Table1[[#This Row],[Join Date]]-Table1[[#This Row],[Job Posting Date]]</f>
        <v>83</v>
      </c>
      <c r="AA160" s="3">
        <v>104</v>
      </c>
    </row>
    <row r="161" spans="1:27" x14ac:dyDescent="0.2">
      <c r="A161" t="s">
        <v>193</v>
      </c>
      <c r="B161" t="s">
        <v>28</v>
      </c>
      <c r="C161" t="s">
        <v>24</v>
      </c>
      <c r="D161" t="s">
        <v>25</v>
      </c>
      <c r="E161" s="1">
        <v>43968</v>
      </c>
      <c r="F161" s="1">
        <v>44044</v>
      </c>
      <c r="G161" s="1">
        <v>44054</v>
      </c>
      <c r="H161" s="1">
        <v>45165</v>
      </c>
      <c r="I161" t="s">
        <v>37</v>
      </c>
      <c r="J161" s="12">
        <v>3336</v>
      </c>
      <c r="K161">
        <v>9</v>
      </c>
      <c r="L161">
        <v>1</v>
      </c>
      <c r="M161" t="s">
        <v>286</v>
      </c>
      <c r="N161" s="4">
        <v>4</v>
      </c>
      <c r="O161" s="7" t="s">
        <v>292</v>
      </c>
      <c r="T161" s="4">
        <f>Table1[[#This Row],[Hire Date]]-Table1[[#This Row],[Job Posting Date]]</f>
        <v>76</v>
      </c>
      <c r="U161" s="11">
        <f>Table1[[#This Row],[Join Date]]-Table1[[#This Row],[Hire Date]]</f>
        <v>10</v>
      </c>
      <c r="V161" s="11">
        <f ca="1">IF(Table1[[#This Row],[Status]]="Exited",Table1[[#This Row],[Exit Date]]-Table1[[#This Row],[Join Date]],TODAY()-Table1[[#This Row],[Join Date]])</f>
        <v>1111</v>
      </c>
      <c r="W161" s="3" t="str">
        <f t="shared" ca="1" si="4"/>
        <v>no</v>
      </c>
      <c r="X161" s="4">
        <f>Table1[[#This Row],[Hire Date]]-Table1[[#This Row],[Job Posting Date]]</f>
        <v>76</v>
      </c>
      <c r="Y161" s="10">
        <f t="shared" si="5"/>
        <v>13.157894736842104</v>
      </c>
      <c r="Z161" s="4">
        <f>Table1[[#This Row],[Join Date]]-Table1[[#This Row],[Job Posting Date]]</f>
        <v>86</v>
      </c>
      <c r="AA161" s="4">
        <v>194</v>
      </c>
    </row>
    <row r="162" spans="1:27" x14ac:dyDescent="0.2">
      <c r="A162" t="s">
        <v>194</v>
      </c>
      <c r="B162" t="s">
        <v>26</v>
      </c>
      <c r="C162" t="s">
        <v>16</v>
      </c>
      <c r="D162" t="s">
        <v>17</v>
      </c>
      <c r="E162" s="1">
        <v>43975</v>
      </c>
      <c r="F162" s="1">
        <v>44020</v>
      </c>
      <c r="G162" s="1">
        <v>44021</v>
      </c>
      <c r="H162" s="1">
        <v>44438</v>
      </c>
      <c r="I162" t="s">
        <v>37</v>
      </c>
      <c r="J162" s="12">
        <v>2032</v>
      </c>
      <c r="K162">
        <v>2</v>
      </c>
      <c r="L162">
        <v>1</v>
      </c>
      <c r="M162" t="s">
        <v>288</v>
      </c>
      <c r="N162" s="3">
        <v>5</v>
      </c>
      <c r="O162" s="6" t="s">
        <v>293</v>
      </c>
      <c r="T162" s="3">
        <f>Table1[[#This Row],[Hire Date]]-Table1[[#This Row],[Job Posting Date]]</f>
        <v>45</v>
      </c>
      <c r="U162" s="9">
        <f>Table1[[#This Row],[Join Date]]-Table1[[#This Row],[Hire Date]]</f>
        <v>1</v>
      </c>
      <c r="V162" s="9">
        <f ca="1">IF(Table1[[#This Row],[Status]]="Exited",Table1[[#This Row],[Exit Date]]-Table1[[#This Row],[Join Date]],TODAY()-Table1[[#This Row],[Join Date]])</f>
        <v>417</v>
      </c>
      <c r="W162" s="3" t="str">
        <f t="shared" ca="1" si="4"/>
        <v>yes</v>
      </c>
      <c r="X162" s="3">
        <f>Table1[[#This Row],[Hire Date]]-Table1[[#This Row],[Job Posting Date]]</f>
        <v>45</v>
      </c>
      <c r="Y162" s="10">
        <f t="shared" si="5"/>
        <v>2.2222222222222223</v>
      </c>
      <c r="Z162" s="3">
        <f>Table1[[#This Row],[Join Date]]-Table1[[#This Row],[Job Posting Date]]</f>
        <v>46</v>
      </c>
      <c r="AA162" s="3">
        <v>172</v>
      </c>
    </row>
    <row r="163" spans="1:27" x14ac:dyDescent="0.2">
      <c r="A163" t="s">
        <v>195</v>
      </c>
      <c r="B163" t="s">
        <v>27</v>
      </c>
      <c r="C163" t="s">
        <v>22</v>
      </c>
      <c r="D163" t="s">
        <v>23</v>
      </c>
      <c r="E163" s="1">
        <v>43674</v>
      </c>
      <c r="F163" s="1">
        <v>43709</v>
      </c>
      <c r="G163" s="1">
        <v>43721</v>
      </c>
      <c r="H163" s="1">
        <v>45510</v>
      </c>
      <c r="I163" t="s">
        <v>37</v>
      </c>
      <c r="J163" s="12">
        <v>2457</v>
      </c>
      <c r="K163">
        <v>7</v>
      </c>
      <c r="L163">
        <v>6</v>
      </c>
      <c r="M163" t="s">
        <v>288</v>
      </c>
      <c r="N163" s="4">
        <v>1</v>
      </c>
      <c r="O163" s="7" t="s">
        <v>293</v>
      </c>
      <c r="T163" s="4">
        <f>Table1[[#This Row],[Hire Date]]-Table1[[#This Row],[Job Posting Date]]</f>
        <v>35</v>
      </c>
      <c r="U163" s="11">
        <f>Table1[[#This Row],[Join Date]]-Table1[[#This Row],[Hire Date]]</f>
        <v>12</v>
      </c>
      <c r="V163" s="11">
        <f ca="1">IF(Table1[[#This Row],[Status]]="Exited",Table1[[#This Row],[Exit Date]]-Table1[[#This Row],[Join Date]],TODAY()-Table1[[#This Row],[Join Date]])</f>
        <v>1789</v>
      </c>
      <c r="W163" s="3" t="str">
        <f t="shared" ca="1" si="4"/>
        <v>no</v>
      </c>
      <c r="X163" s="4">
        <f>Table1[[#This Row],[Hire Date]]-Table1[[#This Row],[Job Posting Date]]</f>
        <v>35</v>
      </c>
      <c r="Y163" s="10">
        <f t="shared" si="5"/>
        <v>34.285714285714285</v>
      </c>
      <c r="Z163" s="4">
        <f>Table1[[#This Row],[Join Date]]-Table1[[#This Row],[Job Posting Date]]</f>
        <v>47</v>
      </c>
      <c r="AA163" s="4">
        <v>124</v>
      </c>
    </row>
    <row r="164" spans="1:27" x14ac:dyDescent="0.2">
      <c r="A164" t="s">
        <v>196</v>
      </c>
      <c r="B164" t="s">
        <v>26</v>
      </c>
      <c r="C164" t="s">
        <v>18</v>
      </c>
      <c r="D164" t="s">
        <v>19</v>
      </c>
      <c r="E164" s="1">
        <v>44250</v>
      </c>
      <c r="F164" s="1">
        <v>44331</v>
      </c>
      <c r="G164" s="1">
        <v>44341</v>
      </c>
      <c r="H164" s="1" t="s">
        <v>32</v>
      </c>
      <c r="I164" t="s">
        <v>33</v>
      </c>
      <c r="J164" s="12">
        <v>2626</v>
      </c>
      <c r="K164">
        <v>1</v>
      </c>
      <c r="L164">
        <v>0</v>
      </c>
      <c r="M164" t="s">
        <v>288</v>
      </c>
      <c r="N164" s="3">
        <v>1</v>
      </c>
      <c r="O164" s="6" t="s">
        <v>293</v>
      </c>
      <c r="T164" s="3">
        <f>Table1[[#This Row],[Hire Date]]-Table1[[#This Row],[Job Posting Date]]</f>
        <v>81</v>
      </c>
      <c r="U164" s="9">
        <f>Table1[[#This Row],[Join Date]]-Table1[[#This Row],[Hire Date]]</f>
        <v>10</v>
      </c>
      <c r="V164" s="9">
        <f ca="1">IF(Table1[[#This Row],[Status]]="Exited",Table1[[#This Row],[Exit Date]]-Table1[[#This Row],[Join Date]],TODAY()-Table1[[#This Row],[Join Date]])</f>
        <v>1333</v>
      </c>
      <c r="W164" s="3" t="str">
        <f t="shared" ca="1" si="4"/>
        <v>no</v>
      </c>
      <c r="X164" s="3">
        <f>Table1[[#This Row],[Hire Date]]-Table1[[#This Row],[Job Posting Date]]</f>
        <v>81</v>
      </c>
      <c r="Y164" s="10">
        <f t="shared" si="5"/>
        <v>12.345679012345679</v>
      </c>
      <c r="Z164" s="3">
        <f>Table1[[#This Row],[Join Date]]-Table1[[#This Row],[Job Posting Date]]</f>
        <v>91</v>
      </c>
      <c r="AA164" s="3">
        <v>144</v>
      </c>
    </row>
    <row r="165" spans="1:27" x14ac:dyDescent="0.2">
      <c r="A165" t="s">
        <v>197</v>
      </c>
      <c r="B165" t="s">
        <v>28</v>
      </c>
      <c r="C165" t="s">
        <v>16</v>
      </c>
      <c r="D165" t="s">
        <v>17</v>
      </c>
      <c r="E165" s="1">
        <v>44446</v>
      </c>
      <c r="F165" s="1">
        <v>44508</v>
      </c>
      <c r="G165" s="1">
        <v>44519</v>
      </c>
      <c r="H165" s="1" t="s">
        <v>32</v>
      </c>
      <c r="I165" t="s">
        <v>33</v>
      </c>
      <c r="J165" s="12">
        <v>3436</v>
      </c>
      <c r="K165">
        <v>8</v>
      </c>
      <c r="L165">
        <v>5</v>
      </c>
      <c r="M165" t="s">
        <v>286</v>
      </c>
      <c r="N165" s="4">
        <v>3</v>
      </c>
      <c r="O165" s="7" t="s">
        <v>292</v>
      </c>
      <c r="T165" s="4">
        <f>Table1[[#This Row],[Hire Date]]-Table1[[#This Row],[Job Posting Date]]</f>
        <v>62</v>
      </c>
      <c r="U165" s="11">
        <f>Table1[[#This Row],[Join Date]]-Table1[[#This Row],[Hire Date]]</f>
        <v>11</v>
      </c>
      <c r="V165" s="11">
        <f ca="1">IF(Table1[[#This Row],[Status]]="Exited",Table1[[#This Row],[Exit Date]]-Table1[[#This Row],[Join Date]],TODAY()-Table1[[#This Row],[Join Date]])</f>
        <v>1155</v>
      </c>
      <c r="W165" s="3" t="str">
        <f t="shared" ca="1" si="4"/>
        <v>no</v>
      </c>
      <c r="X165" s="4">
        <f>Table1[[#This Row],[Hire Date]]-Table1[[#This Row],[Job Posting Date]]</f>
        <v>62</v>
      </c>
      <c r="Y165" s="10">
        <f t="shared" si="5"/>
        <v>17.741935483870968</v>
      </c>
      <c r="Z165" s="4">
        <f>Table1[[#This Row],[Join Date]]-Table1[[#This Row],[Job Posting Date]]</f>
        <v>73</v>
      </c>
      <c r="AA165" s="4">
        <v>180</v>
      </c>
    </row>
    <row r="166" spans="1:27" x14ac:dyDescent="0.2">
      <c r="A166" t="s">
        <v>198</v>
      </c>
      <c r="B166" t="s">
        <v>26</v>
      </c>
      <c r="C166" t="s">
        <v>24</v>
      </c>
      <c r="D166" t="s">
        <v>25</v>
      </c>
      <c r="E166" s="1">
        <v>43375</v>
      </c>
      <c r="F166" s="1">
        <v>43413</v>
      </c>
      <c r="G166" s="1">
        <v>43415</v>
      </c>
      <c r="H166" s="1">
        <v>44037</v>
      </c>
      <c r="I166" t="s">
        <v>37</v>
      </c>
      <c r="J166" s="12">
        <v>2704</v>
      </c>
      <c r="K166">
        <v>1</v>
      </c>
      <c r="L166">
        <v>0</v>
      </c>
      <c r="M166" t="s">
        <v>286</v>
      </c>
      <c r="N166" s="3">
        <v>3</v>
      </c>
      <c r="O166" s="6" t="s">
        <v>292</v>
      </c>
      <c r="T166" s="3">
        <f>Table1[[#This Row],[Hire Date]]-Table1[[#This Row],[Job Posting Date]]</f>
        <v>38</v>
      </c>
      <c r="U166" s="9">
        <f>Table1[[#This Row],[Join Date]]-Table1[[#This Row],[Hire Date]]</f>
        <v>2</v>
      </c>
      <c r="V166" s="9">
        <f ca="1">IF(Table1[[#This Row],[Status]]="Exited",Table1[[#This Row],[Exit Date]]-Table1[[#This Row],[Join Date]],TODAY()-Table1[[#This Row],[Join Date]])</f>
        <v>622</v>
      </c>
      <c r="W166" s="3" t="str">
        <f t="shared" ca="1" si="4"/>
        <v>yes</v>
      </c>
      <c r="X166" s="3">
        <f>Table1[[#This Row],[Hire Date]]-Table1[[#This Row],[Job Posting Date]]</f>
        <v>38</v>
      </c>
      <c r="Y166" s="10">
        <f t="shared" si="5"/>
        <v>5.2631578947368416</v>
      </c>
      <c r="Z166" s="3">
        <f>Table1[[#This Row],[Join Date]]-Table1[[#This Row],[Job Posting Date]]</f>
        <v>40</v>
      </c>
      <c r="AA166" s="3">
        <v>160</v>
      </c>
    </row>
    <row r="167" spans="1:27" x14ac:dyDescent="0.2">
      <c r="A167" t="s">
        <v>199</v>
      </c>
      <c r="B167" t="s">
        <v>26</v>
      </c>
      <c r="C167" t="s">
        <v>16</v>
      </c>
      <c r="D167" t="s">
        <v>17</v>
      </c>
      <c r="E167" s="1">
        <v>43588</v>
      </c>
      <c r="F167" s="1">
        <v>43660</v>
      </c>
      <c r="G167" s="1">
        <v>43669</v>
      </c>
      <c r="H167" s="1">
        <v>43856</v>
      </c>
      <c r="I167" t="s">
        <v>37</v>
      </c>
      <c r="J167" s="12">
        <v>3230</v>
      </c>
      <c r="K167">
        <v>3</v>
      </c>
      <c r="L167">
        <v>2</v>
      </c>
      <c r="M167" t="s">
        <v>286</v>
      </c>
      <c r="N167" s="4">
        <v>3</v>
      </c>
      <c r="O167" s="7" t="s">
        <v>292</v>
      </c>
      <c r="T167" s="4">
        <f>Table1[[#This Row],[Hire Date]]-Table1[[#This Row],[Job Posting Date]]</f>
        <v>72</v>
      </c>
      <c r="U167" s="11">
        <f>Table1[[#This Row],[Join Date]]-Table1[[#This Row],[Hire Date]]</f>
        <v>9</v>
      </c>
      <c r="V167" s="11">
        <f ca="1">IF(Table1[[#This Row],[Status]]="Exited",Table1[[#This Row],[Exit Date]]-Table1[[#This Row],[Join Date]],TODAY()-Table1[[#This Row],[Join Date]])</f>
        <v>187</v>
      </c>
      <c r="W167" s="3" t="str">
        <f t="shared" ca="1" si="4"/>
        <v>yes</v>
      </c>
      <c r="X167" s="4">
        <f>Table1[[#This Row],[Hire Date]]-Table1[[#This Row],[Job Posting Date]]</f>
        <v>72</v>
      </c>
      <c r="Y167" s="10">
        <f t="shared" si="5"/>
        <v>12.5</v>
      </c>
      <c r="Z167" s="4">
        <f>Table1[[#This Row],[Join Date]]-Table1[[#This Row],[Job Posting Date]]</f>
        <v>81</v>
      </c>
      <c r="AA167" s="4">
        <v>151</v>
      </c>
    </row>
    <row r="168" spans="1:27" x14ac:dyDescent="0.2">
      <c r="A168" t="s">
        <v>200</v>
      </c>
      <c r="B168" t="s">
        <v>26</v>
      </c>
      <c r="C168" t="s">
        <v>20</v>
      </c>
      <c r="D168" t="s">
        <v>21</v>
      </c>
      <c r="E168" s="1">
        <v>44161</v>
      </c>
      <c r="F168" s="1">
        <v>44202</v>
      </c>
      <c r="G168" s="1">
        <v>44206</v>
      </c>
      <c r="H168" s="1">
        <v>45394</v>
      </c>
      <c r="I168" t="s">
        <v>37</v>
      </c>
      <c r="J168" s="12">
        <v>4764</v>
      </c>
      <c r="K168">
        <v>1</v>
      </c>
      <c r="L168">
        <v>0</v>
      </c>
      <c r="M168" t="s">
        <v>288</v>
      </c>
      <c r="N168" s="3">
        <v>4</v>
      </c>
      <c r="O168" s="6" t="s">
        <v>292</v>
      </c>
      <c r="T168" s="3">
        <f>Table1[[#This Row],[Hire Date]]-Table1[[#This Row],[Job Posting Date]]</f>
        <v>41</v>
      </c>
      <c r="U168" s="9">
        <f>Table1[[#This Row],[Join Date]]-Table1[[#This Row],[Hire Date]]</f>
        <v>4</v>
      </c>
      <c r="V168" s="9">
        <f ca="1">IF(Table1[[#This Row],[Status]]="Exited",Table1[[#This Row],[Exit Date]]-Table1[[#This Row],[Join Date]],TODAY()-Table1[[#This Row],[Join Date]])</f>
        <v>1188</v>
      </c>
      <c r="W168" s="3" t="str">
        <f t="shared" ca="1" si="4"/>
        <v>no</v>
      </c>
      <c r="X168" s="3">
        <f>Table1[[#This Row],[Hire Date]]-Table1[[#This Row],[Job Posting Date]]</f>
        <v>41</v>
      </c>
      <c r="Y168" s="10">
        <f t="shared" si="5"/>
        <v>9.7560975609756095</v>
      </c>
      <c r="Z168" s="3">
        <f>Table1[[#This Row],[Join Date]]-Table1[[#This Row],[Job Posting Date]]</f>
        <v>45</v>
      </c>
      <c r="AA168" s="3">
        <v>111</v>
      </c>
    </row>
    <row r="169" spans="1:27" x14ac:dyDescent="0.2">
      <c r="A169" t="s">
        <v>201</v>
      </c>
      <c r="B169" t="s">
        <v>26</v>
      </c>
      <c r="C169" t="s">
        <v>24</v>
      </c>
      <c r="D169" t="s">
        <v>25</v>
      </c>
      <c r="E169" s="1">
        <v>43198</v>
      </c>
      <c r="F169" s="1">
        <v>43253</v>
      </c>
      <c r="G169" s="1">
        <v>43255</v>
      </c>
      <c r="H169" s="1">
        <v>44311</v>
      </c>
      <c r="I169" t="s">
        <v>37</v>
      </c>
      <c r="J169" s="12">
        <v>4940</v>
      </c>
      <c r="K169">
        <v>3</v>
      </c>
      <c r="L169">
        <v>0</v>
      </c>
      <c r="M169" t="s">
        <v>288</v>
      </c>
      <c r="N169" s="4">
        <v>1</v>
      </c>
      <c r="O169" s="7" t="s">
        <v>292</v>
      </c>
      <c r="T169" s="4">
        <f>Table1[[#This Row],[Hire Date]]-Table1[[#This Row],[Job Posting Date]]</f>
        <v>55</v>
      </c>
      <c r="U169" s="11">
        <f>Table1[[#This Row],[Join Date]]-Table1[[#This Row],[Hire Date]]</f>
        <v>2</v>
      </c>
      <c r="V169" s="11">
        <f ca="1">IF(Table1[[#This Row],[Status]]="Exited",Table1[[#This Row],[Exit Date]]-Table1[[#This Row],[Join Date]],TODAY()-Table1[[#This Row],[Join Date]])</f>
        <v>1056</v>
      </c>
      <c r="W169" s="3" t="str">
        <f t="shared" ca="1" si="4"/>
        <v>no</v>
      </c>
      <c r="X169" s="4">
        <f>Table1[[#This Row],[Hire Date]]-Table1[[#This Row],[Job Posting Date]]</f>
        <v>55</v>
      </c>
      <c r="Y169" s="10">
        <f t="shared" si="5"/>
        <v>3.6363636363636362</v>
      </c>
      <c r="Z169" s="4">
        <f>Table1[[#This Row],[Join Date]]-Table1[[#This Row],[Job Posting Date]]</f>
        <v>57</v>
      </c>
      <c r="AA169" s="4">
        <v>164</v>
      </c>
    </row>
    <row r="170" spans="1:27" x14ac:dyDescent="0.2">
      <c r="A170" t="s">
        <v>202</v>
      </c>
      <c r="B170" t="s">
        <v>26</v>
      </c>
      <c r="C170" t="s">
        <v>20</v>
      </c>
      <c r="D170" t="s">
        <v>21</v>
      </c>
      <c r="E170" s="1">
        <v>43536</v>
      </c>
      <c r="F170" s="1">
        <v>43556</v>
      </c>
      <c r="G170" s="1">
        <v>43558</v>
      </c>
      <c r="H170" s="1" t="s">
        <v>32</v>
      </c>
      <c r="I170" t="s">
        <v>33</v>
      </c>
      <c r="J170" s="12">
        <v>2432</v>
      </c>
      <c r="K170">
        <v>9</v>
      </c>
      <c r="L170">
        <v>4</v>
      </c>
      <c r="M170" t="s">
        <v>288</v>
      </c>
      <c r="N170" s="3">
        <v>1</v>
      </c>
      <c r="O170" s="6" t="s">
        <v>292</v>
      </c>
      <c r="T170" s="3">
        <f>Table1[[#This Row],[Hire Date]]-Table1[[#This Row],[Job Posting Date]]</f>
        <v>20</v>
      </c>
      <c r="U170" s="9">
        <f>Table1[[#This Row],[Join Date]]-Table1[[#This Row],[Hire Date]]</f>
        <v>2</v>
      </c>
      <c r="V170" s="9">
        <f ca="1">IF(Table1[[#This Row],[Status]]="Exited",Table1[[#This Row],[Exit Date]]-Table1[[#This Row],[Join Date]],TODAY()-Table1[[#This Row],[Join Date]])</f>
        <v>2116</v>
      </c>
      <c r="W170" s="3" t="str">
        <f t="shared" ca="1" si="4"/>
        <v>no</v>
      </c>
      <c r="X170" s="3">
        <f>Table1[[#This Row],[Hire Date]]-Table1[[#This Row],[Job Posting Date]]</f>
        <v>20</v>
      </c>
      <c r="Y170" s="10">
        <f t="shared" si="5"/>
        <v>10</v>
      </c>
      <c r="Z170" s="3">
        <f>Table1[[#This Row],[Join Date]]-Table1[[#This Row],[Job Posting Date]]</f>
        <v>22</v>
      </c>
      <c r="AA170" s="3">
        <v>138</v>
      </c>
    </row>
    <row r="171" spans="1:27" x14ac:dyDescent="0.2">
      <c r="A171" t="s">
        <v>203</v>
      </c>
      <c r="B171" t="s">
        <v>27</v>
      </c>
      <c r="C171" t="s">
        <v>22</v>
      </c>
      <c r="D171" t="s">
        <v>23</v>
      </c>
      <c r="E171" s="1">
        <v>44212</v>
      </c>
      <c r="F171" s="1">
        <v>44231</v>
      </c>
      <c r="G171" s="1">
        <v>44233</v>
      </c>
      <c r="H171" s="1" t="s">
        <v>32</v>
      </c>
      <c r="I171" t="s">
        <v>33</v>
      </c>
      <c r="J171" s="12">
        <v>3230</v>
      </c>
      <c r="K171">
        <v>7</v>
      </c>
      <c r="L171">
        <v>5</v>
      </c>
      <c r="M171" t="s">
        <v>286</v>
      </c>
      <c r="N171" s="4">
        <v>3</v>
      </c>
      <c r="O171" s="7" t="s">
        <v>292</v>
      </c>
      <c r="T171" s="4">
        <f>Table1[[#This Row],[Hire Date]]-Table1[[#This Row],[Job Posting Date]]</f>
        <v>19</v>
      </c>
      <c r="U171" s="11">
        <f>Table1[[#This Row],[Join Date]]-Table1[[#This Row],[Hire Date]]</f>
        <v>2</v>
      </c>
      <c r="V171" s="11">
        <f ca="1">IF(Table1[[#This Row],[Status]]="Exited",Table1[[#This Row],[Exit Date]]-Table1[[#This Row],[Join Date]],TODAY()-Table1[[#This Row],[Join Date]])</f>
        <v>1441</v>
      </c>
      <c r="W171" s="3" t="str">
        <f t="shared" ca="1" si="4"/>
        <v>no</v>
      </c>
      <c r="X171" s="4">
        <f>Table1[[#This Row],[Hire Date]]-Table1[[#This Row],[Job Posting Date]]</f>
        <v>19</v>
      </c>
      <c r="Y171" s="10">
        <f t="shared" si="5"/>
        <v>10.526315789473683</v>
      </c>
      <c r="Z171" s="4">
        <f>Table1[[#This Row],[Join Date]]-Table1[[#This Row],[Job Posting Date]]</f>
        <v>21</v>
      </c>
      <c r="AA171" s="4">
        <v>105</v>
      </c>
    </row>
    <row r="172" spans="1:27" x14ac:dyDescent="0.2">
      <c r="A172" t="s">
        <v>204</v>
      </c>
      <c r="B172" t="s">
        <v>27</v>
      </c>
      <c r="C172" t="s">
        <v>18</v>
      </c>
      <c r="D172" t="s">
        <v>19</v>
      </c>
      <c r="E172" s="1">
        <v>43216</v>
      </c>
      <c r="F172" s="1">
        <v>43233</v>
      </c>
      <c r="G172" s="1">
        <v>43243</v>
      </c>
      <c r="H172" s="1">
        <v>44784</v>
      </c>
      <c r="I172" t="s">
        <v>37</v>
      </c>
      <c r="J172" s="12">
        <v>3430</v>
      </c>
      <c r="K172">
        <v>8</v>
      </c>
      <c r="L172">
        <v>7</v>
      </c>
      <c r="M172" t="s">
        <v>287</v>
      </c>
      <c r="N172" s="3">
        <v>4</v>
      </c>
      <c r="O172" s="6" t="s">
        <v>293</v>
      </c>
      <c r="T172" s="3">
        <f>Table1[[#This Row],[Hire Date]]-Table1[[#This Row],[Job Posting Date]]</f>
        <v>17</v>
      </c>
      <c r="U172" s="9">
        <f>Table1[[#This Row],[Join Date]]-Table1[[#This Row],[Hire Date]]</f>
        <v>10</v>
      </c>
      <c r="V172" s="9">
        <f ca="1">IF(Table1[[#This Row],[Status]]="Exited",Table1[[#This Row],[Exit Date]]-Table1[[#This Row],[Join Date]],TODAY()-Table1[[#This Row],[Join Date]])</f>
        <v>1541</v>
      </c>
      <c r="W172" s="3" t="str">
        <f t="shared" ca="1" si="4"/>
        <v>no</v>
      </c>
      <c r="X172" s="3">
        <f>Table1[[#This Row],[Hire Date]]-Table1[[#This Row],[Job Posting Date]]</f>
        <v>17</v>
      </c>
      <c r="Y172" s="10">
        <f t="shared" si="5"/>
        <v>58.82352941176471</v>
      </c>
      <c r="Z172" s="3">
        <f>Table1[[#This Row],[Join Date]]-Table1[[#This Row],[Job Posting Date]]</f>
        <v>27</v>
      </c>
      <c r="AA172" s="3">
        <v>108</v>
      </c>
    </row>
    <row r="173" spans="1:27" x14ac:dyDescent="0.2">
      <c r="A173" t="s">
        <v>205</v>
      </c>
      <c r="B173" t="s">
        <v>27</v>
      </c>
      <c r="C173" t="s">
        <v>20</v>
      </c>
      <c r="D173" t="s">
        <v>21</v>
      </c>
      <c r="E173" s="1">
        <v>43918</v>
      </c>
      <c r="F173" s="1">
        <v>43952</v>
      </c>
      <c r="G173" s="1">
        <v>43957</v>
      </c>
      <c r="H173" s="1" t="s">
        <v>32</v>
      </c>
      <c r="I173" t="s">
        <v>33</v>
      </c>
      <c r="J173" s="12">
        <v>2424</v>
      </c>
      <c r="K173">
        <v>7</v>
      </c>
      <c r="L173">
        <v>3</v>
      </c>
      <c r="M173" t="s">
        <v>287</v>
      </c>
      <c r="N173" s="4">
        <v>4</v>
      </c>
      <c r="O173" s="7" t="s">
        <v>293</v>
      </c>
      <c r="T173" s="4">
        <f>Table1[[#This Row],[Hire Date]]-Table1[[#This Row],[Job Posting Date]]</f>
        <v>34</v>
      </c>
      <c r="U173" s="11">
        <f>Table1[[#This Row],[Join Date]]-Table1[[#This Row],[Hire Date]]</f>
        <v>5</v>
      </c>
      <c r="V173" s="11">
        <f ca="1">IF(Table1[[#This Row],[Status]]="Exited",Table1[[#This Row],[Exit Date]]-Table1[[#This Row],[Join Date]],TODAY()-Table1[[#This Row],[Join Date]])</f>
        <v>1717</v>
      </c>
      <c r="W173" s="3" t="str">
        <f t="shared" ca="1" si="4"/>
        <v>no</v>
      </c>
      <c r="X173" s="4">
        <f>Table1[[#This Row],[Hire Date]]-Table1[[#This Row],[Job Posting Date]]</f>
        <v>34</v>
      </c>
      <c r="Y173" s="10">
        <f t="shared" si="5"/>
        <v>14.705882352941178</v>
      </c>
      <c r="Z173" s="4">
        <f>Table1[[#This Row],[Join Date]]-Table1[[#This Row],[Job Posting Date]]</f>
        <v>39</v>
      </c>
      <c r="AA173" s="4">
        <v>171</v>
      </c>
    </row>
    <row r="174" spans="1:27" x14ac:dyDescent="0.2">
      <c r="A174" t="s">
        <v>206</v>
      </c>
      <c r="B174" t="s">
        <v>26</v>
      </c>
      <c r="C174" t="s">
        <v>22</v>
      </c>
      <c r="D174" t="s">
        <v>23</v>
      </c>
      <c r="E174" s="1">
        <v>44916</v>
      </c>
      <c r="F174" s="1">
        <v>44948</v>
      </c>
      <c r="G174" s="1">
        <v>44959</v>
      </c>
      <c r="H174" s="1" t="s">
        <v>32</v>
      </c>
      <c r="I174" t="s">
        <v>33</v>
      </c>
      <c r="J174" s="12">
        <v>1914</v>
      </c>
      <c r="K174">
        <v>3</v>
      </c>
      <c r="L174">
        <v>2</v>
      </c>
      <c r="M174" t="s">
        <v>288</v>
      </c>
      <c r="N174" s="3">
        <v>1</v>
      </c>
      <c r="O174" s="6" t="s">
        <v>293</v>
      </c>
      <c r="T174" s="3">
        <f>Table1[[#This Row],[Hire Date]]-Table1[[#This Row],[Job Posting Date]]</f>
        <v>32</v>
      </c>
      <c r="U174" s="9">
        <f>Table1[[#This Row],[Join Date]]-Table1[[#This Row],[Hire Date]]</f>
        <v>11</v>
      </c>
      <c r="V174" s="9">
        <f ca="1">IF(Table1[[#This Row],[Status]]="Exited",Table1[[#This Row],[Exit Date]]-Table1[[#This Row],[Join Date]],TODAY()-Table1[[#This Row],[Join Date]])</f>
        <v>715</v>
      </c>
      <c r="W174" s="3" t="str">
        <f t="shared" ca="1" si="4"/>
        <v>yes</v>
      </c>
      <c r="X174" s="3">
        <f>Table1[[#This Row],[Hire Date]]-Table1[[#This Row],[Job Posting Date]]</f>
        <v>32</v>
      </c>
      <c r="Y174" s="10">
        <f t="shared" si="5"/>
        <v>34.375</v>
      </c>
      <c r="Z174" s="3">
        <f>Table1[[#This Row],[Join Date]]-Table1[[#This Row],[Job Posting Date]]</f>
        <v>43</v>
      </c>
      <c r="AA174" s="3">
        <v>162</v>
      </c>
    </row>
    <row r="175" spans="1:27" x14ac:dyDescent="0.2">
      <c r="A175" t="s">
        <v>207</v>
      </c>
      <c r="B175" t="s">
        <v>26</v>
      </c>
      <c r="C175" t="s">
        <v>18</v>
      </c>
      <c r="D175" t="s">
        <v>19</v>
      </c>
      <c r="E175" s="1">
        <v>43693</v>
      </c>
      <c r="F175" s="1">
        <v>43719</v>
      </c>
      <c r="G175" s="1">
        <v>43722</v>
      </c>
      <c r="H175" s="1" t="s">
        <v>32</v>
      </c>
      <c r="I175" t="s">
        <v>33</v>
      </c>
      <c r="J175" s="12">
        <v>4734</v>
      </c>
      <c r="K175">
        <v>9</v>
      </c>
      <c r="L175">
        <v>9</v>
      </c>
      <c r="M175" t="s">
        <v>287</v>
      </c>
      <c r="N175" s="4">
        <v>3</v>
      </c>
      <c r="O175" s="7" t="s">
        <v>293</v>
      </c>
      <c r="T175" s="4">
        <f>Table1[[#This Row],[Hire Date]]-Table1[[#This Row],[Job Posting Date]]</f>
        <v>26</v>
      </c>
      <c r="U175" s="11">
        <f>Table1[[#This Row],[Join Date]]-Table1[[#This Row],[Hire Date]]</f>
        <v>3</v>
      </c>
      <c r="V175" s="11">
        <f ca="1">IF(Table1[[#This Row],[Status]]="Exited",Table1[[#This Row],[Exit Date]]-Table1[[#This Row],[Join Date]],TODAY()-Table1[[#This Row],[Join Date]])</f>
        <v>1952</v>
      </c>
      <c r="W175" s="3" t="str">
        <f t="shared" ca="1" si="4"/>
        <v>no</v>
      </c>
      <c r="X175" s="4">
        <f>Table1[[#This Row],[Hire Date]]-Table1[[#This Row],[Job Posting Date]]</f>
        <v>26</v>
      </c>
      <c r="Y175" s="10">
        <f t="shared" si="5"/>
        <v>11.538461538461538</v>
      </c>
      <c r="Z175" s="4">
        <f>Table1[[#This Row],[Join Date]]-Table1[[#This Row],[Job Posting Date]]</f>
        <v>29</v>
      </c>
      <c r="AA175" s="4">
        <v>101</v>
      </c>
    </row>
    <row r="176" spans="1:27" x14ac:dyDescent="0.2">
      <c r="A176" t="s">
        <v>208</v>
      </c>
      <c r="B176" t="s">
        <v>27</v>
      </c>
      <c r="C176" t="s">
        <v>20</v>
      </c>
      <c r="D176" t="s">
        <v>21</v>
      </c>
      <c r="E176" s="1">
        <v>44922</v>
      </c>
      <c r="F176" s="1">
        <v>44960</v>
      </c>
      <c r="G176" s="1">
        <v>44965</v>
      </c>
      <c r="H176" s="1">
        <v>45289</v>
      </c>
      <c r="I176" t="s">
        <v>37</v>
      </c>
      <c r="J176" s="12">
        <v>2172</v>
      </c>
      <c r="K176">
        <v>3</v>
      </c>
      <c r="L176">
        <v>0</v>
      </c>
      <c r="M176" t="s">
        <v>287</v>
      </c>
      <c r="N176" s="3">
        <v>1</v>
      </c>
      <c r="O176" s="6" t="s">
        <v>293</v>
      </c>
      <c r="T176" s="3">
        <f>Table1[[#This Row],[Hire Date]]-Table1[[#This Row],[Job Posting Date]]</f>
        <v>38</v>
      </c>
      <c r="U176" s="9">
        <f>Table1[[#This Row],[Join Date]]-Table1[[#This Row],[Hire Date]]</f>
        <v>5</v>
      </c>
      <c r="V176" s="9">
        <f ca="1">IF(Table1[[#This Row],[Status]]="Exited",Table1[[#This Row],[Exit Date]]-Table1[[#This Row],[Join Date]],TODAY()-Table1[[#This Row],[Join Date]])</f>
        <v>324</v>
      </c>
      <c r="W176" s="3" t="str">
        <f t="shared" ca="1" si="4"/>
        <v>yes</v>
      </c>
      <c r="X176" s="3">
        <f>Table1[[#This Row],[Hire Date]]-Table1[[#This Row],[Job Posting Date]]</f>
        <v>38</v>
      </c>
      <c r="Y176" s="10">
        <f t="shared" si="5"/>
        <v>13.157894736842104</v>
      </c>
      <c r="Z176" s="3">
        <f>Table1[[#This Row],[Join Date]]-Table1[[#This Row],[Job Posting Date]]</f>
        <v>43</v>
      </c>
      <c r="AA176" s="3">
        <v>183</v>
      </c>
    </row>
    <row r="177" spans="1:27" x14ac:dyDescent="0.2">
      <c r="A177" t="s">
        <v>209</v>
      </c>
      <c r="B177" t="s">
        <v>26</v>
      </c>
      <c r="C177" t="s">
        <v>16</v>
      </c>
      <c r="D177" t="s">
        <v>17</v>
      </c>
      <c r="E177" s="1">
        <v>43606</v>
      </c>
      <c r="F177" s="1">
        <v>43641</v>
      </c>
      <c r="G177" s="1">
        <v>43653</v>
      </c>
      <c r="H177" s="1" t="s">
        <v>32</v>
      </c>
      <c r="I177" t="s">
        <v>33</v>
      </c>
      <c r="J177" s="12">
        <v>4529</v>
      </c>
      <c r="K177">
        <v>1</v>
      </c>
      <c r="L177">
        <v>1</v>
      </c>
      <c r="M177" t="s">
        <v>286</v>
      </c>
      <c r="N177" s="4">
        <v>3</v>
      </c>
      <c r="O177" s="7" t="s">
        <v>292</v>
      </c>
      <c r="T177" s="4">
        <f>Table1[[#This Row],[Hire Date]]-Table1[[#This Row],[Job Posting Date]]</f>
        <v>35</v>
      </c>
      <c r="U177" s="11">
        <f>Table1[[#This Row],[Join Date]]-Table1[[#This Row],[Hire Date]]</f>
        <v>12</v>
      </c>
      <c r="V177" s="11">
        <f ca="1">IF(Table1[[#This Row],[Status]]="Exited",Table1[[#This Row],[Exit Date]]-Table1[[#This Row],[Join Date]],TODAY()-Table1[[#This Row],[Join Date]])</f>
        <v>2021</v>
      </c>
      <c r="W177" s="3" t="str">
        <f t="shared" ca="1" si="4"/>
        <v>no</v>
      </c>
      <c r="X177" s="4">
        <f>Table1[[#This Row],[Hire Date]]-Table1[[#This Row],[Job Posting Date]]</f>
        <v>35</v>
      </c>
      <c r="Y177" s="10">
        <f t="shared" si="5"/>
        <v>34.285714285714285</v>
      </c>
      <c r="Z177" s="4">
        <f>Table1[[#This Row],[Join Date]]-Table1[[#This Row],[Job Posting Date]]</f>
        <v>47</v>
      </c>
      <c r="AA177" s="4">
        <v>188</v>
      </c>
    </row>
    <row r="178" spans="1:27" x14ac:dyDescent="0.2">
      <c r="A178" t="s">
        <v>210</v>
      </c>
      <c r="B178" t="s">
        <v>26</v>
      </c>
      <c r="C178" t="s">
        <v>24</v>
      </c>
      <c r="D178" t="s">
        <v>25</v>
      </c>
      <c r="E178" s="1">
        <v>43333</v>
      </c>
      <c r="F178" s="1">
        <v>43348</v>
      </c>
      <c r="G178" s="1">
        <v>43362</v>
      </c>
      <c r="H178" s="1">
        <v>45530</v>
      </c>
      <c r="I178" t="s">
        <v>37</v>
      </c>
      <c r="J178" s="12">
        <v>3189</v>
      </c>
      <c r="K178">
        <v>9</v>
      </c>
      <c r="L178">
        <v>3</v>
      </c>
      <c r="M178" t="s">
        <v>286</v>
      </c>
      <c r="N178" s="3">
        <v>1</v>
      </c>
      <c r="O178" s="6" t="s">
        <v>293</v>
      </c>
      <c r="T178" s="3">
        <f>Table1[[#This Row],[Hire Date]]-Table1[[#This Row],[Job Posting Date]]</f>
        <v>15</v>
      </c>
      <c r="U178" s="9">
        <f>Table1[[#This Row],[Join Date]]-Table1[[#This Row],[Hire Date]]</f>
        <v>14</v>
      </c>
      <c r="V178" s="9">
        <f ca="1">IF(Table1[[#This Row],[Status]]="Exited",Table1[[#This Row],[Exit Date]]-Table1[[#This Row],[Join Date]],TODAY()-Table1[[#This Row],[Join Date]])</f>
        <v>2168</v>
      </c>
      <c r="W178" s="3" t="str">
        <f t="shared" ca="1" si="4"/>
        <v>no</v>
      </c>
      <c r="X178" s="3">
        <f>Table1[[#This Row],[Hire Date]]-Table1[[#This Row],[Job Posting Date]]</f>
        <v>15</v>
      </c>
      <c r="Y178" s="10">
        <f t="shared" si="5"/>
        <v>93.333333333333329</v>
      </c>
      <c r="Z178" s="3">
        <f>Table1[[#This Row],[Join Date]]-Table1[[#This Row],[Job Posting Date]]</f>
        <v>29</v>
      </c>
      <c r="AA178" s="3">
        <v>165</v>
      </c>
    </row>
    <row r="179" spans="1:27" x14ac:dyDescent="0.2">
      <c r="A179" t="s">
        <v>211</v>
      </c>
      <c r="B179" t="s">
        <v>28</v>
      </c>
      <c r="C179" t="s">
        <v>24</v>
      </c>
      <c r="D179" t="s">
        <v>25</v>
      </c>
      <c r="E179" s="1">
        <v>44563</v>
      </c>
      <c r="F179" s="1">
        <v>44602</v>
      </c>
      <c r="G179" s="1">
        <v>44617</v>
      </c>
      <c r="H179" s="1" t="s">
        <v>32</v>
      </c>
      <c r="I179" t="s">
        <v>33</v>
      </c>
      <c r="J179" s="12">
        <v>4780</v>
      </c>
      <c r="K179">
        <v>5</v>
      </c>
      <c r="L179">
        <v>2</v>
      </c>
      <c r="M179" t="s">
        <v>288</v>
      </c>
      <c r="N179" s="4">
        <v>2</v>
      </c>
      <c r="O179" s="7" t="s">
        <v>293</v>
      </c>
      <c r="T179" s="4">
        <f>Table1[[#This Row],[Hire Date]]-Table1[[#This Row],[Job Posting Date]]</f>
        <v>39</v>
      </c>
      <c r="U179" s="11">
        <f>Table1[[#This Row],[Join Date]]-Table1[[#This Row],[Hire Date]]</f>
        <v>15</v>
      </c>
      <c r="V179" s="11">
        <f ca="1">IF(Table1[[#This Row],[Status]]="Exited",Table1[[#This Row],[Exit Date]]-Table1[[#This Row],[Join Date]],TODAY()-Table1[[#This Row],[Join Date]])</f>
        <v>1057</v>
      </c>
      <c r="W179" s="3" t="str">
        <f t="shared" ca="1" si="4"/>
        <v>no</v>
      </c>
      <c r="X179" s="4">
        <f>Table1[[#This Row],[Hire Date]]-Table1[[#This Row],[Job Posting Date]]</f>
        <v>39</v>
      </c>
      <c r="Y179" s="10">
        <f t="shared" si="5"/>
        <v>38.461538461538467</v>
      </c>
      <c r="Z179" s="4">
        <f>Table1[[#This Row],[Join Date]]-Table1[[#This Row],[Job Posting Date]]</f>
        <v>54</v>
      </c>
      <c r="AA179" s="4">
        <v>142</v>
      </c>
    </row>
    <row r="180" spans="1:27" x14ac:dyDescent="0.2">
      <c r="A180" t="s">
        <v>212</v>
      </c>
      <c r="B180" t="s">
        <v>27</v>
      </c>
      <c r="C180" t="s">
        <v>24</v>
      </c>
      <c r="D180" t="s">
        <v>25</v>
      </c>
      <c r="E180" s="1">
        <v>44102</v>
      </c>
      <c r="F180" s="1">
        <v>44182</v>
      </c>
      <c r="G180" s="1">
        <v>44194</v>
      </c>
      <c r="H180" s="1">
        <v>44555</v>
      </c>
      <c r="I180" t="s">
        <v>37</v>
      </c>
      <c r="J180" s="12">
        <v>3374</v>
      </c>
      <c r="K180">
        <v>3</v>
      </c>
      <c r="L180">
        <v>3</v>
      </c>
      <c r="M180" t="s">
        <v>288</v>
      </c>
      <c r="N180" s="3">
        <v>4</v>
      </c>
      <c r="O180" s="6" t="s">
        <v>293</v>
      </c>
      <c r="T180" s="3">
        <f>Table1[[#This Row],[Hire Date]]-Table1[[#This Row],[Job Posting Date]]</f>
        <v>80</v>
      </c>
      <c r="U180" s="9">
        <f>Table1[[#This Row],[Join Date]]-Table1[[#This Row],[Hire Date]]</f>
        <v>12</v>
      </c>
      <c r="V180" s="9">
        <f ca="1">IF(Table1[[#This Row],[Status]]="Exited",Table1[[#This Row],[Exit Date]]-Table1[[#This Row],[Join Date]],TODAY()-Table1[[#This Row],[Join Date]])</f>
        <v>361</v>
      </c>
      <c r="W180" s="3" t="str">
        <f t="shared" ca="1" si="4"/>
        <v>yes</v>
      </c>
      <c r="X180" s="3">
        <f>Table1[[#This Row],[Hire Date]]-Table1[[#This Row],[Job Posting Date]]</f>
        <v>80</v>
      </c>
      <c r="Y180" s="10">
        <f t="shared" si="5"/>
        <v>15</v>
      </c>
      <c r="Z180" s="3">
        <f>Table1[[#This Row],[Join Date]]-Table1[[#This Row],[Job Posting Date]]</f>
        <v>92</v>
      </c>
      <c r="AA180" s="3">
        <v>162</v>
      </c>
    </row>
    <row r="181" spans="1:27" x14ac:dyDescent="0.2">
      <c r="A181" t="s">
        <v>213</v>
      </c>
      <c r="B181" t="s">
        <v>26</v>
      </c>
      <c r="C181" t="s">
        <v>20</v>
      </c>
      <c r="D181" t="s">
        <v>21</v>
      </c>
      <c r="E181" s="1">
        <v>44904</v>
      </c>
      <c r="F181" s="1">
        <v>44940</v>
      </c>
      <c r="G181" s="1">
        <v>44941</v>
      </c>
      <c r="H181" s="1" t="s">
        <v>32</v>
      </c>
      <c r="I181" t="s">
        <v>33</v>
      </c>
      <c r="J181" s="12">
        <v>1711</v>
      </c>
      <c r="K181">
        <v>7</v>
      </c>
      <c r="L181">
        <v>2</v>
      </c>
      <c r="M181" t="s">
        <v>286</v>
      </c>
      <c r="N181" s="4">
        <v>1</v>
      </c>
      <c r="O181" s="7" t="s">
        <v>293</v>
      </c>
      <c r="T181" s="4">
        <f>Table1[[#This Row],[Hire Date]]-Table1[[#This Row],[Job Posting Date]]</f>
        <v>36</v>
      </c>
      <c r="U181" s="11">
        <f>Table1[[#This Row],[Join Date]]-Table1[[#This Row],[Hire Date]]</f>
        <v>1</v>
      </c>
      <c r="V181" s="11">
        <f ca="1">IF(Table1[[#This Row],[Status]]="Exited",Table1[[#This Row],[Exit Date]]-Table1[[#This Row],[Join Date]],TODAY()-Table1[[#This Row],[Join Date]])</f>
        <v>733</v>
      </c>
      <c r="W181" s="3" t="str">
        <f t="shared" ca="1" si="4"/>
        <v>no</v>
      </c>
      <c r="X181" s="4">
        <f>Table1[[#This Row],[Hire Date]]-Table1[[#This Row],[Job Posting Date]]</f>
        <v>36</v>
      </c>
      <c r="Y181" s="10">
        <f t="shared" si="5"/>
        <v>2.7777777777777777</v>
      </c>
      <c r="Z181" s="4">
        <f>Table1[[#This Row],[Join Date]]-Table1[[#This Row],[Job Posting Date]]</f>
        <v>37</v>
      </c>
      <c r="AA181" s="4">
        <v>128</v>
      </c>
    </row>
    <row r="182" spans="1:27" x14ac:dyDescent="0.2">
      <c r="A182" t="s">
        <v>214</v>
      </c>
      <c r="B182" t="s">
        <v>26</v>
      </c>
      <c r="C182" t="s">
        <v>20</v>
      </c>
      <c r="D182" t="s">
        <v>21</v>
      </c>
      <c r="E182" s="1">
        <v>44116</v>
      </c>
      <c r="F182" s="1">
        <v>44203</v>
      </c>
      <c r="G182" s="1">
        <v>44213</v>
      </c>
      <c r="H182" s="1">
        <v>45377</v>
      </c>
      <c r="I182" t="s">
        <v>37</v>
      </c>
      <c r="J182" s="12">
        <v>1720</v>
      </c>
      <c r="K182">
        <v>4</v>
      </c>
      <c r="L182">
        <v>1</v>
      </c>
      <c r="M182" t="s">
        <v>288</v>
      </c>
      <c r="N182" s="3">
        <v>2</v>
      </c>
      <c r="O182" s="6" t="s">
        <v>293</v>
      </c>
      <c r="T182" s="3">
        <f>Table1[[#This Row],[Hire Date]]-Table1[[#This Row],[Job Posting Date]]</f>
        <v>87</v>
      </c>
      <c r="U182" s="9">
        <f>Table1[[#This Row],[Join Date]]-Table1[[#This Row],[Hire Date]]</f>
        <v>10</v>
      </c>
      <c r="V182" s="9">
        <f ca="1">IF(Table1[[#This Row],[Status]]="Exited",Table1[[#This Row],[Exit Date]]-Table1[[#This Row],[Join Date]],TODAY()-Table1[[#This Row],[Join Date]])</f>
        <v>1164</v>
      </c>
      <c r="W182" s="3" t="str">
        <f t="shared" ca="1" si="4"/>
        <v>no</v>
      </c>
      <c r="X182" s="3">
        <f>Table1[[#This Row],[Hire Date]]-Table1[[#This Row],[Job Posting Date]]</f>
        <v>87</v>
      </c>
      <c r="Y182" s="10">
        <f t="shared" si="5"/>
        <v>11.494252873563218</v>
      </c>
      <c r="Z182" s="3">
        <f>Table1[[#This Row],[Join Date]]-Table1[[#This Row],[Job Posting Date]]</f>
        <v>97</v>
      </c>
      <c r="AA182" s="3">
        <v>172</v>
      </c>
    </row>
    <row r="183" spans="1:27" x14ac:dyDescent="0.2">
      <c r="A183" t="s">
        <v>215</v>
      </c>
      <c r="B183" t="s">
        <v>26</v>
      </c>
      <c r="C183" t="s">
        <v>18</v>
      </c>
      <c r="D183" t="s">
        <v>19</v>
      </c>
      <c r="E183" s="1">
        <v>43135</v>
      </c>
      <c r="F183" s="1">
        <v>43205</v>
      </c>
      <c r="G183" s="1">
        <v>43214</v>
      </c>
      <c r="H183" s="1" t="s">
        <v>32</v>
      </c>
      <c r="I183" t="s">
        <v>33</v>
      </c>
      <c r="J183" s="12">
        <v>4553</v>
      </c>
      <c r="K183">
        <v>5</v>
      </c>
      <c r="L183">
        <v>2</v>
      </c>
      <c r="M183" t="s">
        <v>287</v>
      </c>
      <c r="N183" s="4">
        <v>2</v>
      </c>
      <c r="O183" s="7" t="s">
        <v>293</v>
      </c>
      <c r="T183" s="4">
        <f>Table1[[#This Row],[Hire Date]]-Table1[[#This Row],[Job Posting Date]]</f>
        <v>70</v>
      </c>
      <c r="U183" s="11">
        <f>Table1[[#This Row],[Join Date]]-Table1[[#This Row],[Hire Date]]</f>
        <v>9</v>
      </c>
      <c r="V183" s="11">
        <f ca="1">IF(Table1[[#This Row],[Status]]="Exited",Table1[[#This Row],[Exit Date]]-Table1[[#This Row],[Join Date]],TODAY()-Table1[[#This Row],[Join Date]])</f>
        <v>2460</v>
      </c>
      <c r="W183" s="3" t="str">
        <f t="shared" ca="1" si="4"/>
        <v>no</v>
      </c>
      <c r="X183" s="4">
        <f>Table1[[#This Row],[Hire Date]]-Table1[[#This Row],[Job Posting Date]]</f>
        <v>70</v>
      </c>
      <c r="Y183" s="10">
        <f t="shared" si="5"/>
        <v>12.857142857142856</v>
      </c>
      <c r="Z183" s="4">
        <f>Table1[[#This Row],[Join Date]]-Table1[[#This Row],[Job Posting Date]]</f>
        <v>79</v>
      </c>
      <c r="AA183" s="4">
        <v>158</v>
      </c>
    </row>
    <row r="184" spans="1:27" x14ac:dyDescent="0.2">
      <c r="A184" t="s">
        <v>216</v>
      </c>
      <c r="B184" t="s">
        <v>27</v>
      </c>
      <c r="C184" t="s">
        <v>20</v>
      </c>
      <c r="D184" t="s">
        <v>21</v>
      </c>
      <c r="E184" s="1">
        <v>43619</v>
      </c>
      <c r="F184" s="1">
        <v>43663</v>
      </c>
      <c r="G184" s="1">
        <v>43664</v>
      </c>
      <c r="H184" s="1" t="s">
        <v>32</v>
      </c>
      <c r="I184" t="s">
        <v>33</v>
      </c>
      <c r="J184" s="12">
        <v>1582</v>
      </c>
      <c r="K184">
        <v>9</v>
      </c>
      <c r="L184">
        <v>5</v>
      </c>
      <c r="M184" t="s">
        <v>286</v>
      </c>
      <c r="N184" s="3">
        <v>4</v>
      </c>
      <c r="O184" s="6" t="s">
        <v>292</v>
      </c>
      <c r="T184" s="3">
        <f>Table1[[#This Row],[Hire Date]]-Table1[[#This Row],[Job Posting Date]]</f>
        <v>44</v>
      </c>
      <c r="U184" s="9">
        <f>Table1[[#This Row],[Join Date]]-Table1[[#This Row],[Hire Date]]</f>
        <v>1</v>
      </c>
      <c r="V184" s="9">
        <f ca="1">IF(Table1[[#This Row],[Status]]="Exited",Table1[[#This Row],[Exit Date]]-Table1[[#This Row],[Join Date]],TODAY()-Table1[[#This Row],[Join Date]])</f>
        <v>2010</v>
      </c>
      <c r="W184" s="3" t="str">
        <f t="shared" ca="1" si="4"/>
        <v>no</v>
      </c>
      <c r="X184" s="3">
        <f>Table1[[#This Row],[Hire Date]]-Table1[[#This Row],[Job Posting Date]]</f>
        <v>44</v>
      </c>
      <c r="Y184" s="10">
        <f t="shared" si="5"/>
        <v>2.2727272727272729</v>
      </c>
      <c r="Z184" s="3">
        <f>Table1[[#This Row],[Join Date]]-Table1[[#This Row],[Job Posting Date]]</f>
        <v>45</v>
      </c>
      <c r="AA184" s="3">
        <v>137</v>
      </c>
    </row>
    <row r="185" spans="1:27" x14ac:dyDescent="0.2">
      <c r="A185" t="s">
        <v>217</v>
      </c>
      <c r="B185" t="s">
        <v>26</v>
      </c>
      <c r="C185" t="s">
        <v>16</v>
      </c>
      <c r="D185" t="s">
        <v>17</v>
      </c>
      <c r="E185" s="1">
        <v>43532</v>
      </c>
      <c r="F185" s="1">
        <v>43557</v>
      </c>
      <c r="G185" s="1">
        <v>43568</v>
      </c>
      <c r="H185" s="1" t="s">
        <v>32</v>
      </c>
      <c r="I185" t="s">
        <v>33</v>
      </c>
      <c r="J185" s="12">
        <v>4229</v>
      </c>
      <c r="K185">
        <v>9</v>
      </c>
      <c r="L185">
        <v>9</v>
      </c>
      <c r="M185" t="s">
        <v>286</v>
      </c>
      <c r="N185" s="4">
        <v>2</v>
      </c>
      <c r="O185" s="7" t="s">
        <v>292</v>
      </c>
      <c r="T185" s="4">
        <f>Table1[[#This Row],[Hire Date]]-Table1[[#This Row],[Job Posting Date]]</f>
        <v>25</v>
      </c>
      <c r="U185" s="11">
        <f>Table1[[#This Row],[Join Date]]-Table1[[#This Row],[Hire Date]]</f>
        <v>11</v>
      </c>
      <c r="V185" s="11">
        <f ca="1">IF(Table1[[#This Row],[Status]]="Exited",Table1[[#This Row],[Exit Date]]-Table1[[#This Row],[Join Date]],TODAY()-Table1[[#This Row],[Join Date]])</f>
        <v>2106</v>
      </c>
      <c r="W185" s="3" t="str">
        <f t="shared" ca="1" si="4"/>
        <v>no</v>
      </c>
      <c r="X185" s="4">
        <f>Table1[[#This Row],[Hire Date]]-Table1[[#This Row],[Job Posting Date]]</f>
        <v>25</v>
      </c>
      <c r="Y185" s="10">
        <f t="shared" si="5"/>
        <v>44</v>
      </c>
      <c r="Z185" s="4">
        <f>Table1[[#This Row],[Join Date]]-Table1[[#This Row],[Job Posting Date]]</f>
        <v>36</v>
      </c>
      <c r="AA185" s="4">
        <v>105</v>
      </c>
    </row>
    <row r="186" spans="1:27" x14ac:dyDescent="0.2">
      <c r="A186" t="s">
        <v>218</v>
      </c>
      <c r="B186" t="s">
        <v>26</v>
      </c>
      <c r="C186" t="s">
        <v>22</v>
      </c>
      <c r="D186" t="s">
        <v>23</v>
      </c>
      <c r="E186" s="1">
        <v>43368</v>
      </c>
      <c r="F186" s="1">
        <v>43405</v>
      </c>
      <c r="G186" s="1">
        <v>43406</v>
      </c>
      <c r="H186" s="1" t="s">
        <v>32</v>
      </c>
      <c r="I186" t="s">
        <v>33</v>
      </c>
      <c r="J186" s="12">
        <v>1614</v>
      </c>
      <c r="K186">
        <v>2</v>
      </c>
      <c r="L186">
        <v>0</v>
      </c>
      <c r="M186" t="s">
        <v>286</v>
      </c>
      <c r="N186" s="3">
        <v>5</v>
      </c>
      <c r="O186" s="6" t="s">
        <v>293</v>
      </c>
      <c r="T186" s="3">
        <f>Table1[[#This Row],[Hire Date]]-Table1[[#This Row],[Job Posting Date]]</f>
        <v>37</v>
      </c>
      <c r="U186" s="9">
        <f>Table1[[#This Row],[Join Date]]-Table1[[#This Row],[Hire Date]]</f>
        <v>1</v>
      </c>
      <c r="V186" s="9">
        <f ca="1">IF(Table1[[#This Row],[Status]]="Exited",Table1[[#This Row],[Exit Date]]-Table1[[#This Row],[Join Date]],TODAY()-Table1[[#This Row],[Join Date]])</f>
        <v>2268</v>
      </c>
      <c r="W186" s="3" t="str">
        <f t="shared" ca="1" si="4"/>
        <v>no</v>
      </c>
      <c r="X186" s="3">
        <f>Table1[[#This Row],[Hire Date]]-Table1[[#This Row],[Job Posting Date]]</f>
        <v>37</v>
      </c>
      <c r="Y186" s="10">
        <f t="shared" si="5"/>
        <v>2.7027027027027026</v>
      </c>
      <c r="Z186" s="3">
        <f>Table1[[#This Row],[Join Date]]-Table1[[#This Row],[Job Posting Date]]</f>
        <v>38</v>
      </c>
      <c r="AA186" s="3">
        <v>188</v>
      </c>
    </row>
    <row r="187" spans="1:27" x14ac:dyDescent="0.2">
      <c r="A187" t="s">
        <v>219</v>
      </c>
      <c r="B187" t="s">
        <v>28</v>
      </c>
      <c r="C187" t="s">
        <v>20</v>
      </c>
      <c r="D187" t="s">
        <v>21</v>
      </c>
      <c r="E187" s="1">
        <v>44781</v>
      </c>
      <c r="F187" s="1">
        <v>44844</v>
      </c>
      <c r="G187" s="1">
        <v>44848</v>
      </c>
      <c r="H187" s="1" t="s">
        <v>32</v>
      </c>
      <c r="I187" t="s">
        <v>33</v>
      </c>
      <c r="J187" s="12">
        <v>1956</v>
      </c>
      <c r="K187">
        <v>6</v>
      </c>
      <c r="L187">
        <v>6</v>
      </c>
      <c r="M187" t="s">
        <v>287</v>
      </c>
      <c r="N187" s="4">
        <v>1</v>
      </c>
      <c r="O187" s="7" t="s">
        <v>292</v>
      </c>
      <c r="T187" s="4">
        <f>Table1[[#This Row],[Hire Date]]-Table1[[#This Row],[Job Posting Date]]</f>
        <v>63</v>
      </c>
      <c r="U187" s="11">
        <f>Table1[[#This Row],[Join Date]]-Table1[[#This Row],[Hire Date]]</f>
        <v>4</v>
      </c>
      <c r="V187" s="11">
        <f ca="1">IF(Table1[[#This Row],[Status]]="Exited",Table1[[#This Row],[Exit Date]]-Table1[[#This Row],[Join Date]],TODAY()-Table1[[#This Row],[Join Date]])</f>
        <v>826</v>
      </c>
      <c r="W187" s="3" t="str">
        <f t="shared" ca="1" si="4"/>
        <v>no</v>
      </c>
      <c r="X187" s="4">
        <f>Table1[[#This Row],[Hire Date]]-Table1[[#This Row],[Job Posting Date]]</f>
        <v>63</v>
      </c>
      <c r="Y187" s="10">
        <f t="shared" si="5"/>
        <v>6.3492063492063489</v>
      </c>
      <c r="Z187" s="4">
        <f>Table1[[#This Row],[Join Date]]-Table1[[#This Row],[Job Posting Date]]</f>
        <v>67</v>
      </c>
      <c r="AA187" s="4">
        <v>146</v>
      </c>
    </row>
    <row r="188" spans="1:27" x14ac:dyDescent="0.2">
      <c r="A188" t="s">
        <v>220</v>
      </c>
      <c r="B188" t="s">
        <v>26</v>
      </c>
      <c r="C188" t="s">
        <v>16</v>
      </c>
      <c r="D188" t="s">
        <v>17</v>
      </c>
      <c r="E188" s="1">
        <v>44698</v>
      </c>
      <c r="F188" s="1">
        <v>44758</v>
      </c>
      <c r="G188" s="1">
        <v>44764</v>
      </c>
      <c r="H188" s="1">
        <v>45395</v>
      </c>
      <c r="I188" t="s">
        <v>37</v>
      </c>
      <c r="J188" s="12">
        <v>2021</v>
      </c>
      <c r="K188">
        <v>2</v>
      </c>
      <c r="L188">
        <v>1</v>
      </c>
      <c r="M188" t="s">
        <v>288</v>
      </c>
      <c r="N188" s="3">
        <v>4</v>
      </c>
      <c r="O188" s="6" t="s">
        <v>293</v>
      </c>
      <c r="T188" s="3">
        <f>Table1[[#This Row],[Hire Date]]-Table1[[#This Row],[Job Posting Date]]</f>
        <v>60</v>
      </c>
      <c r="U188" s="9">
        <f>Table1[[#This Row],[Join Date]]-Table1[[#This Row],[Hire Date]]</f>
        <v>6</v>
      </c>
      <c r="V188" s="9">
        <f ca="1">IF(Table1[[#This Row],[Status]]="Exited",Table1[[#This Row],[Exit Date]]-Table1[[#This Row],[Join Date]],TODAY()-Table1[[#This Row],[Join Date]])</f>
        <v>631</v>
      </c>
      <c r="W188" s="3" t="str">
        <f t="shared" ca="1" si="4"/>
        <v>yes</v>
      </c>
      <c r="X188" s="3">
        <f>Table1[[#This Row],[Hire Date]]-Table1[[#This Row],[Job Posting Date]]</f>
        <v>60</v>
      </c>
      <c r="Y188" s="10">
        <f t="shared" si="5"/>
        <v>10</v>
      </c>
      <c r="Z188" s="3">
        <f>Table1[[#This Row],[Join Date]]-Table1[[#This Row],[Job Posting Date]]</f>
        <v>66</v>
      </c>
      <c r="AA188" s="3">
        <v>150</v>
      </c>
    </row>
    <row r="189" spans="1:27" x14ac:dyDescent="0.2">
      <c r="A189" t="s">
        <v>221</v>
      </c>
      <c r="B189" t="s">
        <v>28</v>
      </c>
      <c r="C189" t="s">
        <v>16</v>
      </c>
      <c r="D189" t="s">
        <v>17</v>
      </c>
      <c r="E189" s="1">
        <v>43741</v>
      </c>
      <c r="F189" s="1">
        <v>43763</v>
      </c>
      <c r="G189" s="1">
        <v>43773</v>
      </c>
      <c r="H189" s="1" t="s">
        <v>32</v>
      </c>
      <c r="I189" t="s">
        <v>33</v>
      </c>
      <c r="J189" s="12">
        <v>3667</v>
      </c>
      <c r="K189">
        <v>10</v>
      </c>
      <c r="L189">
        <v>6</v>
      </c>
      <c r="M189" t="s">
        <v>287</v>
      </c>
      <c r="N189" s="4">
        <v>1</v>
      </c>
      <c r="O189" s="7" t="s">
        <v>292</v>
      </c>
      <c r="T189" s="4">
        <f>Table1[[#This Row],[Hire Date]]-Table1[[#This Row],[Job Posting Date]]</f>
        <v>22</v>
      </c>
      <c r="U189" s="11">
        <f>Table1[[#This Row],[Join Date]]-Table1[[#This Row],[Hire Date]]</f>
        <v>10</v>
      </c>
      <c r="V189" s="11">
        <f ca="1">IF(Table1[[#This Row],[Status]]="Exited",Table1[[#This Row],[Exit Date]]-Table1[[#This Row],[Join Date]],TODAY()-Table1[[#This Row],[Join Date]])</f>
        <v>1901</v>
      </c>
      <c r="W189" s="3" t="str">
        <f t="shared" ca="1" si="4"/>
        <v>no</v>
      </c>
      <c r="X189" s="4">
        <f>Table1[[#This Row],[Hire Date]]-Table1[[#This Row],[Job Posting Date]]</f>
        <v>22</v>
      </c>
      <c r="Y189" s="10">
        <f t="shared" si="5"/>
        <v>45.454545454545453</v>
      </c>
      <c r="Z189" s="4">
        <f>Table1[[#This Row],[Join Date]]-Table1[[#This Row],[Job Posting Date]]</f>
        <v>32</v>
      </c>
      <c r="AA189" s="4">
        <v>197</v>
      </c>
    </row>
    <row r="190" spans="1:27" x14ac:dyDescent="0.2">
      <c r="A190" t="s">
        <v>222</v>
      </c>
      <c r="B190" t="s">
        <v>28</v>
      </c>
      <c r="C190" t="s">
        <v>16</v>
      </c>
      <c r="D190" t="s">
        <v>17</v>
      </c>
      <c r="E190" s="1">
        <v>44923</v>
      </c>
      <c r="F190" s="1">
        <v>44961</v>
      </c>
      <c r="G190" s="1">
        <v>44974</v>
      </c>
      <c r="H190" s="1" t="s">
        <v>32</v>
      </c>
      <c r="I190" t="s">
        <v>33</v>
      </c>
      <c r="J190" s="12">
        <v>4554</v>
      </c>
      <c r="K190">
        <v>2</v>
      </c>
      <c r="L190">
        <v>1</v>
      </c>
      <c r="M190" t="s">
        <v>288</v>
      </c>
      <c r="N190" s="3">
        <v>4</v>
      </c>
      <c r="O190" s="6" t="s">
        <v>293</v>
      </c>
      <c r="T190" s="3">
        <f>Table1[[#This Row],[Hire Date]]-Table1[[#This Row],[Job Posting Date]]</f>
        <v>38</v>
      </c>
      <c r="U190" s="9">
        <f>Table1[[#This Row],[Join Date]]-Table1[[#This Row],[Hire Date]]</f>
        <v>13</v>
      </c>
      <c r="V190" s="9">
        <f ca="1">IF(Table1[[#This Row],[Status]]="Exited",Table1[[#This Row],[Exit Date]]-Table1[[#This Row],[Join Date]],TODAY()-Table1[[#This Row],[Join Date]])</f>
        <v>700</v>
      </c>
      <c r="W190" s="3" t="str">
        <f t="shared" ca="1" si="4"/>
        <v>yes</v>
      </c>
      <c r="X190" s="3">
        <f>Table1[[#This Row],[Hire Date]]-Table1[[#This Row],[Job Posting Date]]</f>
        <v>38</v>
      </c>
      <c r="Y190" s="10">
        <f t="shared" si="5"/>
        <v>34.210526315789473</v>
      </c>
      <c r="Z190" s="3">
        <f>Table1[[#This Row],[Join Date]]-Table1[[#This Row],[Job Posting Date]]</f>
        <v>51</v>
      </c>
      <c r="AA190" s="3">
        <v>142</v>
      </c>
    </row>
    <row r="191" spans="1:27" x14ac:dyDescent="0.2">
      <c r="A191" t="s">
        <v>223</v>
      </c>
      <c r="B191" t="s">
        <v>27</v>
      </c>
      <c r="C191" t="s">
        <v>16</v>
      </c>
      <c r="D191" t="s">
        <v>17</v>
      </c>
      <c r="E191" s="1">
        <v>44608</v>
      </c>
      <c r="F191" s="1">
        <v>44654</v>
      </c>
      <c r="G191" s="1">
        <v>44661</v>
      </c>
      <c r="H191" s="1">
        <v>44791</v>
      </c>
      <c r="I191" t="s">
        <v>37</v>
      </c>
      <c r="J191" s="12">
        <v>3866</v>
      </c>
      <c r="K191">
        <v>10</v>
      </c>
      <c r="L191">
        <v>8</v>
      </c>
      <c r="M191" t="s">
        <v>287</v>
      </c>
      <c r="N191" s="4">
        <v>3</v>
      </c>
      <c r="O191" s="7" t="s">
        <v>293</v>
      </c>
      <c r="T191" s="4">
        <f>Table1[[#This Row],[Hire Date]]-Table1[[#This Row],[Job Posting Date]]</f>
        <v>46</v>
      </c>
      <c r="U191" s="11">
        <f>Table1[[#This Row],[Join Date]]-Table1[[#This Row],[Hire Date]]</f>
        <v>7</v>
      </c>
      <c r="V191" s="11">
        <f ca="1">IF(Table1[[#This Row],[Status]]="Exited",Table1[[#This Row],[Exit Date]]-Table1[[#This Row],[Join Date]],TODAY()-Table1[[#This Row],[Join Date]])</f>
        <v>130</v>
      </c>
      <c r="W191" s="3" t="str">
        <f t="shared" ca="1" si="4"/>
        <v>yes</v>
      </c>
      <c r="X191" s="4">
        <f>Table1[[#This Row],[Hire Date]]-Table1[[#This Row],[Job Posting Date]]</f>
        <v>46</v>
      </c>
      <c r="Y191" s="10">
        <f t="shared" si="5"/>
        <v>15.217391304347828</v>
      </c>
      <c r="Z191" s="4">
        <f>Table1[[#This Row],[Join Date]]-Table1[[#This Row],[Job Posting Date]]</f>
        <v>53</v>
      </c>
      <c r="AA191" s="4">
        <v>154</v>
      </c>
    </row>
    <row r="192" spans="1:27" x14ac:dyDescent="0.2">
      <c r="A192" t="s">
        <v>224</v>
      </c>
      <c r="B192" t="s">
        <v>27</v>
      </c>
      <c r="C192" t="s">
        <v>18</v>
      </c>
      <c r="D192" t="s">
        <v>19</v>
      </c>
      <c r="E192" s="1">
        <v>43482</v>
      </c>
      <c r="F192" s="1">
        <v>43503</v>
      </c>
      <c r="G192" s="1">
        <v>43507</v>
      </c>
      <c r="H192" s="1">
        <v>43984</v>
      </c>
      <c r="I192" t="s">
        <v>37</v>
      </c>
      <c r="J192" s="12">
        <v>4175</v>
      </c>
      <c r="K192">
        <v>10</v>
      </c>
      <c r="L192">
        <v>6</v>
      </c>
      <c r="M192" t="s">
        <v>286</v>
      </c>
      <c r="N192" s="3">
        <v>2</v>
      </c>
      <c r="O192" s="6" t="s">
        <v>292</v>
      </c>
      <c r="T192" s="3">
        <f>Table1[[#This Row],[Hire Date]]-Table1[[#This Row],[Job Posting Date]]</f>
        <v>21</v>
      </c>
      <c r="U192" s="9">
        <f>Table1[[#This Row],[Join Date]]-Table1[[#This Row],[Hire Date]]</f>
        <v>4</v>
      </c>
      <c r="V192" s="9">
        <f ca="1">IF(Table1[[#This Row],[Status]]="Exited",Table1[[#This Row],[Exit Date]]-Table1[[#This Row],[Join Date]],TODAY()-Table1[[#This Row],[Join Date]])</f>
        <v>477</v>
      </c>
      <c r="W192" s="3" t="str">
        <f t="shared" ca="1" si="4"/>
        <v>yes</v>
      </c>
      <c r="X192" s="3">
        <f>Table1[[#This Row],[Hire Date]]-Table1[[#This Row],[Job Posting Date]]</f>
        <v>21</v>
      </c>
      <c r="Y192" s="10">
        <f t="shared" si="5"/>
        <v>19.047619047619047</v>
      </c>
      <c r="Z192" s="3">
        <f>Table1[[#This Row],[Join Date]]-Table1[[#This Row],[Job Posting Date]]</f>
        <v>25</v>
      </c>
      <c r="AA192" s="3">
        <v>164</v>
      </c>
    </row>
    <row r="193" spans="1:27" x14ac:dyDescent="0.2">
      <c r="A193" t="s">
        <v>225</v>
      </c>
      <c r="B193" t="s">
        <v>28</v>
      </c>
      <c r="C193" t="s">
        <v>20</v>
      </c>
      <c r="D193" t="s">
        <v>21</v>
      </c>
      <c r="E193" s="1">
        <v>44713</v>
      </c>
      <c r="F193" s="1">
        <v>44775</v>
      </c>
      <c r="G193" s="1">
        <v>44788</v>
      </c>
      <c r="H193" s="1">
        <v>44906</v>
      </c>
      <c r="I193" t="s">
        <v>37</v>
      </c>
      <c r="J193" s="12">
        <v>1586</v>
      </c>
      <c r="K193">
        <v>7</v>
      </c>
      <c r="L193">
        <v>5</v>
      </c>
      <c r="M193" t="s">
        <v>287</v>
      </c>
      <c r="N193" s="4">
        <v>5</v>
      </c>
      <c r="O193" s="7" t="s">
        <v>292</v>
      </c>
      <c r="T193" s="4">
        <f>Table1[[#This Row],[Hire Date]]-Table1[[#This Row],[Job Posting Date]]</f>
        <v>62</v>
      </c>
      <c r="U193" s="11">
        <f>Table1[[#This Row],[Join Date]]-Table1[[#This Row],[Hire Date]]</f>
        <v>13</v>
      </c>
      <c r="V193" s="11">
        <f ca="1">IF(Table1[[#This Row],[Status]]="Exited",Table1[[#This Row],[Exit Date]]-Table1[[#This Row],[Join Date]],TODAY()-Table1[[#This Row],[Join Date]])</f>
        <v>118</v>
      </c>
      <c r="W193" s="3" t="str">
        <f t="shared" ca="1" si="4"/>
        <v>yes</v>
      </c>
      <c r="X193" s="4">
        <f>Table1[[#This Row],[Hire Date]]-Table1[[#This Row],[Job Posting Date]]</f>
        <v>62</v>
      </c>
      <c r="Y193" s="10">
        <f t="shared" si="5"/>
        <v>20.967741935483872</v>
      </c>
      <c r="Z193" s="4">
        <f>Table1[[#This Row],[Join Date]]-Table1[[#This Row],[Job Posting Date]]</f>
        <v>75</v>
      </c>
      <c r="AA193" s="4">
        <v>190</v>
      </c>
    </row>
    <row r="194" spans="1:27" x14ac:dyDescent="0.2">
      <c r="A194" t="s">
        <v>226</v>
      </c>
      <c r="B194" t="s">
        <v>28</v>
      </c>
      <c r="C194" t="s">
        <v>24</v>
      </c>
      <c r="D194" t="s">
        <v>25</v>
      </c>
      <c r="E194" s="1">
        <v>44419</v>
      </c>
      <c r="F194" s="1">
        <v>44472</v>
      </c>
      <c r="G194" s="1">
        <v>44483</v>
      </c>
      <c r="H194" s="1" t="s">
        <v>32</v>
      </c>
      <c r="I194" t="s">
        <v>33</v>
      </c>
      <c r="J194" s="12">
        <v>3554</v>
      </c>
      <c r="K194">
        <v>2</v>
      </c>
      <c r="L194">
        <v>2</v>
      </c>
      <c r="M194" t="s">
        <v>286</v>
      </c>
      <c r="N194" s="3">
        <v>2</v>
      </c>
      <c r="O194" s="6" t="s">
        <v>292</v>
      </c>
      <c r="T194" s="3">
        <f>Table1[[#This Row],[Hire Date]]-Table1[[#This Row],[Job Posting Date]]</f>
        <v>53</v>
      </c>
      <c r="U194" s="9">
        <f>Table1[[#This Row],[Join Date]]-Table1[[#This Row],[Hire Date]]</f>
        <v>11</v>
      </c>
      <c r="V194" s="9">
        <f ca="1">IF(Table1[[#This Row],[Status]]="Exited",Table1[[#This Row],[Exit Date]]-Table1[[#This Row],[Join Date]],TODAY()-Table1[[#This Row],[Join Date]])</f>
        <v>1191</v>
      </c>
      <c r="W194" s="3" t="str">
        <f t="shared" ca="1" si="4"/>
        <v>no</v>
      </c>
      <c r="X194" s="3">
        <f>Table1[[#This Row],[Hire Date]]-Table1[[#This Row],[Job Posting Date]]</f>
        <v>53</v>
      </c>
      <c r="Y194" s="10">
        <f t="shared" si="5"/>
        <v>20.754716981132077</v>
      </c>
      <c r="Z194" s="3">
        <f>Table1[[#This Row],[Join Date]]-Table1[[#This Row],[Job Posting Date]]</f>
        <v>64</v>
      </c>
      <c r="AA194" s="3">
        <v>150</v>
      </c>
    </row>
    <row r="195" spans="1:27" x14ac:dyDescent="0.2">
      <c r="A195" t="s">
        <v>227</v>
      </c>
      <c r="B195" t="s">
        <v>26</v>
      </c>
      <c r="C195" t="s">
        <v>16</v>
      </c>
      <c r="D195" t="s">
        <v>17</v>
      </c>
      <c r="E195" s="1">
        <v>44882</v>
      </c>
      <c r="F195" s="1">
        <v>44900</v>
      </c>
      <c r="G195" s="1">
        <v>44906</v>
      </c>
      <c r="H195" s="1">
        <v>45549</v>
      </c>
      <c r="I195" t="s">
        <v>37</v>
      </c>
      <c r="J195" s="12">
        <v>4841</v>
      </c>
      <c r="K195">
        <v>3</v>
      </c>
      <c r="L195">
        <v>1</v>
      </c>
      <c r="M195" t="s">
        <v>288</v>
      </c>
      <c r="N195" s="4">
        <v>5</v>
      </c>
      <c r="O195" s="7" t="s">
        <v>292</v>
      </c>
      <c r="T195" s="4">
        <f>Table1[[#This Row],[Hire Date]]-Table1[[#This Row],[Job Posting Date]]</f>
        <v>18</v>
      </c>
      <c r="U195" s="11">
        <f>Table1[[#This Row],[Join Date]]-Table1[[#This Row],[Hire Date]]</f>
        <v>6</v>
      </c>
      <c r="V195" s="11">
        <f ca="1">IF(Table1[[#This Row],[Status]]="Exited",Table1[[#This Row],[Exit Date]]-Table1[[#This Row],[Join Date]],TODAY()-Table1[[#This Row],[Join Date]])</f>
        <v>643</v>
      </c>
      <c r="W195" s="3" t="str">
        <f t="shared" ref="W195:W251" ca="1" si="6">IF(V195&lt;=730, "yes","no")</f>
        <v>yes</v>
      </c>
      <c r="X195" s="4">
        <f>Table1[[#This Row],[Hire Date]]-Table1[[#This Row],[Job Posting Date]]</f>
        <v>18</v>
      </c>
      <c r="Y195" s="10">
        <f t="shared" ref="Y195:Y251" si="7">U195/T195*100</f>
        <v>33.333333333333329</v>
      </c>
      <c r="Z195" s="4">
        <f>Table1[[#This Row],[Join Date]]-Table1[[#This Row],[Job Posting Date]]</f>
        <v>24</v>
      </c>
      <c r="AA195" s="4">
        <v>174</v>
      </c>
    </row>
    <row r="196" spans="1:27" x14ac:dyDescent="0.2">
      <c r="A196" t="s">
        <v>228</v>
      </c>
      <c r="B196" t="s">
        <v>26</v>
      </c>
      <c r="C196" t="s">
        <v>16</v>
      </c>
      <c r="D196" t="s">
        <v>17</v>
      </c>
      <c r="E196" s="1">
        <v>44579</v>
      </c>
      <c r="F196" s="1">
        <v>44626</v>
      </c>
      <c r="G196" s="1">
        <v>44639</v>
      </c>
      <c r="H196" s="1" t="s">
        <v>32</v>
      </c>
      <c r="I196" t="s">
        <v>33</v>
      </c>
      <c r="J196" s="12">
        <v>4408</v>
      </c>
      <c r="K196">
        <v>7</v>
      </c>
      <c r="L196">
        <v>1</v>
      </c>
      <c r="M196" t="s">
        <v>287</v>
      </c>
      <c r="N196" s="3">
        <v>1</v>
      </c>
      <c r="O196" s="6" t="s">
        <v>292</v>
      </c>
      <c r="T196" s="3">
        <f>Table1[[#This Row],[Hire Date]]-Table1[[#This Row],[Job Posting Date]]</f>
        <v>47</v>
      </c>
      <c r="U196" s="9">
        <f>Table1[[#This Row],[Join Date]]-Table1[[#This Row],[Hire Date]]</f>
        <v>13</v>
      </c>
      <c r="V196" s="9">
        <f ca="1">IF(Table1[[#This Row],[Status]]="Exited",Table1[[#This Row],[Exit Date]]-Table1[[#This Row],[Join Date]],TODAY()-Table1[[#This Row],[Join Date]])</f>
        <v>1035</v>
      </c>
      <c r="W196" s="3" t="str">
        <f t="shared" ca="1" si="6"/>
        <v>no</v>
      </c>
      <c r="X196" s="3">
        <f>Table1[[#This Row],[Hire Date]]-Table1[[#This Row],[Job Posting Date]]</f>
        <v>47</v>
      </c>
      <c r="Y196" s="10">
        <f t="shared" si="7"/>
        <v>27.659574468085108</v>
      </c>
      <c r="Z196" s="3">
        <f>Table1[[#This Row],[Join Date]]-Table1[[#This Row],[Job Posting Date]]</f>
        <v>60</v>
      </c>
      <c r="AA196" s="3">
        <v>163</v>
      </c>
    </row>
    <row r="197" spans="1:27" x14ac:dyDescent="0.2">
      <c r="A197" t="s">
        <v>229</v>
      </c>
      <c r="B197" t="s">
        <v>26</v>
      </c>
      <c r="C197" t="s">
        <v>22</v>
      </c>
      <c r="D197" t="s">
        <v>23</v>
      </c>
      <c r="E197" s="1">
        <v>44877</v>
      </c>
      <c r="F197" s="1">
        <v>44926</v>
      </c>
      <c r="G197" s="1">
        <v>44939</v>
      </c>
      <c r="H197" s="1">
        <v>45269</v>
      </c>
      <c r="I197" t="s">
        <v>37</v>
      </c>
      <c r="J197" s="12">
        <v>4313</v>
      </c>
      <c r="K197">
        <v>6</v>
      </c>
      <c r="L197">
        <v>6</v>
      </c>
      <c r="M197" t="s">
        <v>287</v>
      </c>
      <c r="N197" s="4">
        <v>4</v>
      </c>
      <c r="O197" s="7" t="s">
        <v>293</v>
      </c>
      <c r="T197" s="4">
        <f>Table1[[#This Row],[Hire Date]]-Table1[[#This Row],[Job Posting Date]]</f>
        <v>49</v>
      </c>
      <c r="U197" s="11">
        <f>Table1[[#This Row],[Join Date]]-Table1[[#This Row],[Hire Date]]</f>
        <v>13</v>
      </c>
      <c r="V197" s="11">
        <f ca="1">IF(Table1[[#This Row],[Status]]="Exited",Table1[[#This Row],[Exit Date]]-Table1[[#This Row],[Join Date]],TODAY()-Table1[[#This Row],[Join Date]])</f>
        <v>330</v>
      </c>
      <c r="W197" s="3" t="str">
        <f t="shared" ca="1" si="6"/>
        <v>yes</v>
      </c>
      <c r="X197" s="4">
        <f>Table1[[#This Row],[Hire Date]]-Table1[[#This Row],[Job Posting Date]]</f>
        <v>49</v>
      </c>
      <c r="Y197" s="10">
        <f t="shared" si="7"/>
        <v>26.530612244897959</v>
      </c>
      <c r="Z197" s="4">
        <f>Table1[[#This Row],[Join Date]]-Table1[[#This Row],[Job Posting Date]]</f>
        <v>62</v>
      </c>
      <c r="AA197" s="4">
        <v>165</v>
      </c>
    </row>
    <row r="198" spans="1:27" x14ac:dyDescent="0.2">
      <c r="A198" t="s">
        <v>230</v>
      </c>
      <c r="B198" t="s">
        <v>28</v>
      </c>
      <c r="C198" t="s">
        <v>22</v>
      </c>
      <c r="D198" t="s">
        <v>23</v>
      </c>
      <c r="E198" s="1">
        <v>44112</v>
      </c>
      <c r="F198" s="1">
        <v>44134</v>
      </c>
      <c r="G198" s="1">
        <v>44137</v>
      </c>
      <c r="H198" s="1" t="s">
        <v>32</v>
      </c>
      <c r="I198" t="s">
        <v>33</v>
      </c>
      <c r="J198" s="12">
        <v>1980</v>
      </c>
      <c r="K198">
        <v>5</v>
      </c>
      <c r="L198">
        <v>1</v>
      </c>
      <c r="M198" t="s">
        <v>288</v>
      </c>
      <c r="N198" s="3">
        <v>4</v>
      </c>
      <c r="O198" s="6" t="s">
        <v>292</v>
      </c>
      <c r="T198" s="3">
        <f>Table1[[#This Row],[Hire Date]]-Table1[[#This Row],[Job Posting Date]]</f>
        <v>22</v>
      </c>
      <c r="U198" s="9">
        <f>Table1[[#This Row],[Join Date]]-Table1[[#This Row],[Hire Date]]</f>
        <v>3</v>
      </c>
      <c r="V198" s="9">
        <f ca="1">IF(Table1[[#This Row],[Status]]="Exited",Table1[[#This Row],[Exit Date]]-Table1[[#This Row],[Join Date]],TODAY()-Table1[[#This Row],[Join Date]])</f>
        <v>1537</v>
      </c>
      <c r="W198" s="3" t="str">
        <f t="shared" ca="1" si="6"/>
        <v>no</v>
      </c>
      <c r="X198" s="3">
        <f>Table1[[#This Row],[Hire Date]]-Table1[[#This Row],[Job Posting Date]]</f>
        <v>22</v>
      </c>
      <c r="Y198" s="10">
        <f t="shared" si="7"/>
        <v>13.636363636363635</v>
      </c>
      <c r="Z198" s="3">
        <f>Table1[[#This Row],[Join Date]]-Table1[[#This Row],[Job Posting Date]]</f>
        <v>25</v>
      </c>
      <c r="AA198" s="3">
        <v>116</v>
      </c>
    </row>
    <row r="199" spans="1:27" x14ac:dyDescent="0.2">
      <c r="A199" t="s">
        <v>231</v>
      </c>
      <c r="B199" t="s">
        <v>27</v>
      </c>
      <c r="C199" t="s">
        <v>22</v>
      </c>
      <c r="D199" t="s">
        <v>23</v>
      </c>
      <c r="E199" s="1">
        <v>44644</v>
      </c>
      <c r="F199" s="1">
        <v>44673</v>
      </c>
      <c r="G199" s="1">
        <v>44675</v>
      </c>
      <c r="H199" s="1">
        <v>45554</v>
      </c>
      <c r="I199" t="s">
        <v>37</v>
      </c>
      <c r="J199" s="12">
        <v>4252</v>
      </c>
      <c r="K199">
        <v>2</v>
      </c>
      <c r="L199">
        <v>0</v>
      </c>
      <c r="M199" t="s">
        <v>286</v>
      </c>
      <c r="N199" s="4">
        <v>4</v>
      </c>
      <c r="O199" s="7" t="s">
        <v>293</v>
      </c>
      <c r="T199" s="4">
        <f>Table1[[#This Row],[Hire Date]]-Table1[[#This Row],[Job Posting Date]]</f>
        <v>29</v>
      </c>
      <c r="U199" s="11">
        <f>Table1[[#This Row],[Join Date]]-Table1[[#This Row],[Hire Date]]</f>
        <v>2</v>
      </c>
      <c r="V199" s="11">
        <f ca="1">IF(Table1[[#This Row],[Status]]="Exited",Table1[[#This Row],[Exit Date]]-Table1[[#This Row],[Join Date]],TODAY()-Table1[[#This Row],[Join Date]])</f>
        <v>879</v>
      </c>
      <c r="W199" s="3" t="str">
        <f t="shared" ca="1" si="6"/>
        <v>no</v>
      </c>
      <c r="X199" s="4">
        <f>Table1[[#This Row],[Hire Date]]-Table1[[#This Row],[Job Posting Date]]</f>
        <v>29</v>
      </c>
      <c r="Y199" s="10">
        <f t="shared" si="7"/>
        <v>6.8965517241379306</v>
      </c>
      <c r="Z199" s="4">
        <f>Table1[[#This Row],[Join Date]]-Table1[[#This Row],[Job Posting Date]]</f>
        <v>31</v>
      </c>
      <c r="AA199" s="4">
        <v>177</v>
      </c>
    </row>
    <row r="200" spans="1:27" x14ac:dyDescent="0.2">
      <c r="A200" t="s">
        <v>232</v>
      </c>
      <c r="B200" t="s">
        <v>28</v>
      </c>
      <c r="C200" t="s">
        <v>18</v>
      </c>
      <c r="D200" t="s">
        <v>19</v>
      </c>
      <c r="E200" s="1">
        <v>43370</v>
      </c>
      <c r="F200" s="1">
        <v>43459</v>
      </c>
      <c r="G200" s="1">
        <v>43466</v>
      </c>
      <c r="H200" s="1">
        <v>45224</v>
      </c>
      <c r="I200" t="s">
        <v>37</v>
      </c>
      <c r="J200" s="12">
        <v>2928</v>
      </c>
      <c r="K200">
        <v>8</v>
      </c>
      <c r="L200">
        <v>2</v>
      </c>
      <c r="M200" t="s">
        <v>288</v>
      </c>
      <c r="N200" s="3">
        <v>3</v>
      </c>
      <c r="O200" s="6" t="s">
        <v>292</v>
      </c>
      <c r="T200" s="3">
        <f>Table1[[#This Row],[Hire Date]]-Table1[[#This Row],[Job Posting Date]]</f>
        <v>89</v>
      </c>
      <c r="U200" s="9">
        <f>Table1[[#This Row],[Join Date]]-Table1[[#This Row],[Hire Date]]</f>
        <v>7</v>
      </c>
      <c r="V200" s="9">
        <f ca="1">IF(Table1[[#This Row],[Status]]="Exited",Table1[[#This Row],[Exit Date]]-Table1[[#This Row],[Join Date]],TODAY()-Table1[[#This Row],[Join Date]])</f>
        <v>1758</v>
      </c>
      <c r="W200" s="3" t="str">
        <f t="shared" ca="1" si="6"/>
        <v>no</v>
      </c>
      <c r="X200" s="3">
        <f>Table1[[#This Row],[Hire Date]]-Table1[[#This Row],[Job Posting Date]]</f>
        <v>89</v>
      </c>
      <c r="Y200" s="10">
        <f t="shared" si="7"/>
        <v>7.8651685393258424</v>
      </c>
      <c r="Z200" s="3">
        <f>Table1[[#This Row],[Join Date]]-Table1[[#This Row],[Job Posting Date]]</f>
        <v>96</v>
      </c>
      <c r="AA200" s="3">
        <v>144</v>
      </c>
    </row>
    <row r="201" spans="1:27" x14ac:dyDescent="0.2">
      <c r="A201" t="s">
        <v>233</v>
      </c>
      <c r="B201" t="s">
        <v>26</v>
      </c>
      <c r="C201" t="s">
        <v>16</v>
      </c>
      <c r="D201" t="s">
        <v>17</v>
      </c>
      <c r="E201" s="1">
        <v>43664</v>
      </c>
      <c r="F201" s="1">
        <v>43694</v>
      </c>
      <c r="G201" s="1">
        <v>43699</v>
      </c>
      <c r="H201" s="1" t="s">
        <v>32</v>
      </c>
      <c r="I201" t="s">
        <v>33</v>
      </c>
      <c r="J201" s="12">
        <v>4040</v>
      </c>
      <c r="K201">
        <v>6</v>
      </c>
      <c r="L201">
        <v>1</v>
      </c>
      <c r="M201" t="s">
        <v>288</v>
      </c>
      <c r="N201" s="4">
        <v>5</v>
      </c>
      <c r="O201" s="7" t="s">
        <v>292</v>
      </c>
      <c r="T201" s="4">
        <f>Table1[[#This Row],[Hire Date]]-Table1[[#This Row],[Job Posting Date]]</f>
        <v>30</v>
      </c>
      <c r="U201" s="11">
        <f>Table1[[#This Row],[Join Date]]-Table1[[#This Row],[Hire Date]]</f>
        <v>5</v>
      </c>
      <c r="V201" s="11">
        <f ca="1">IF(Table1[[#This Row],[Status]]="Exited",Table1[[#This Row],[Exit Date]]-Table1[[#This Row],[Join Date]],TODAY()-Table1[[#This Row],[Join Date]])</f>
        <v>1975</v>
      </c>
      <c r="W201" s="3" t="str">
        <f t="shared" ca="1" si="6"/>
        <v>no</v>
      </c>
      <c r="X201" s="4">
        <f>Table1[[#This Row],[Hire Date]]-Table1[[#This Row],[Job Posting Date]]</f>
        <v>30</v>
      </c>
      <c r="Y201" s="10">
        <f t="shared" si="7"/>
        <v>16.666666666666664</v>
      </c>
      <c r="Z201" s="4">
        <f>Table1[[#This Row],[Join Date]]-Table1[[#This Row],[Job Posting Date]]</f>
        <v>35</v>
      </c>
      <c r="AA201" s="4">
        <v>100</v>
      </c>
    </row>
    <row r="202" spans="1:27" x14ac:dyDescent="0.2">
      <c r="A202" t="s">
        <v>234</v>
      </c>
      <c r="B202" t="s">
        <v>28</v>
      </c>
      <c r="C202" t="s">
        <v>24</v>
      </c>
      <c r="D202" t="s">
        <v>25</v>
      </c>
      <c r="E202" s="1">
        <v>44539</v>
      </c>
      <c r="F202" s="1">
        <v>44620</v>
      </c>
      <c r="G202" s="1">
        <v>44623</v>
      </c>
      <c r="H202" s="1">
        <v>45586</v>
      </c>
      <c r="I202" t="s">
        <v>37</v>
      </c>
      <c r="J202" s="12">
        <v>4706</v>
      </c>
      <c r="K202">
        <v>6</v>
      </c>
      <c r="L202">
        <v>1</v>
      </c>
      <c r="M202" t="s">
        <v>287</v>
      </c>
      <c r="N202" s="3">
        <v>3</v>
      </c>
      <c r="O202" s="6" t="s">
        <v>293</v>
      </c>
      <c r="T202" s="3">
        <f>Table1[[#This Row],[Hire Date]]-Table1[[#This Row],[Job Posting Date]]</f>
        <v>81</v>
      </c>
      <c r="U202" s="9">
        <f>Table1[[#This Row],[Join Date]]-Table1[[#This Row],[Hire Date]]</f>
        <v>3</v>
      </c>
      <c r="V202" s="9">
        <f ca="1">IF(Table1[[#This Row],[Status]]="Exited",Table1[[#This Row],[Exit Date]]-Table1[[#This Row],[Join Date]],TODAY()-Table1[[#This Row],[Join Date]])</f>
        <v>963</v>
      </c>
      <c r="W202" s="3" t="str">
        <f t="shared" ca="1" si="6"/>
        <v>no</v>
      </c>
      <c r="X202" s="3">
        <f>Table1[[#This Row],[Hire Date]]-Table1[[#This Row],[Job Posting Date]]</f>
        <v>81</v>
      </c>
      <c r="Y202" s="10">
        <f t="shared" si="7"/>
        <v>3.7037037037037033</v>
      </c>
      <c r="Z202" s="3">
        <f>Table1[[#This Row],[Join Date]]-Table1[[#This Row],[Job Posting Date]]</f>
        <v>84</v>
      </c>
      <c r="AA202" s="3">
        <v>117</v>
      </c>
    </row>
    <row r="203" spans="1:27" x14ac:dyDescent="0.2">
      <c r="A203" t="s">
        <v>235</v>
      </c>
      <c r="B203" t="s">
        <v>27</v>
      </c>
      <c r="C203" t="s">
        <v>24</v>
      </c>
      <c r="D203" t="s">
        <v>25</v>
      </c>
      <c r="E203" s="1">
        <v>43726</v>
      </c>
      <c r="F203" s="1">
        <v>43777</v>
      </c>
      <c r="G203" s="1">
        <v>43780</v>
      </c>
      <c r="H203" s="1">
        <v>44611</v>
      </c>
      <c r="I203" t="s">
        <v>37</v>
      </c>
      <c r="J203" s="12">
        <v>2646</v>
      </c>
      <c r="K203">
        <v>1</v>
      </c>
      <c r="L203">
        <v>0</v>
      </c>
      <c r="M203" t="s">
        <v>288</v>
      </c>
      <c r="N203" s="4">
        <v>1</v>
      </c>
      <c r="O203" s="7" t="s">
        <v>292</v>
      </c>
      <c r="T203" s="4">
        <f>Table1[[#This Row],[Hire Date]]-Table1[[#This Row],[Job Posting Date]]</f>
        <v>51</v>
      </c>
      <c r="U203" s="11">
        <f>Table1[[#This Row],[Join Date]]-Table1[[#This Row],[Hire Date]]</f>
        <v>3</v>
      </c>
      <c r="V203" s="11">
        <f ca="1">IF(Table1[[#This Row],[Status]]="Exited",Table1[[#This Row],[Exit Date]]-Table1[[#This Row],[Join Date]],TODAY()-Table1[[#This Row],[Join Date]])</f>
        <v>831</v>
      </c>
      <c r="W203" s="3" t="str">
        <f t="shared" ca="1" si="6"/>
        <v>no</v>
      </c>
      <c r="X203" s="4">
        <f>Table1[[#This Row],[Hire Date]]-Table1[[#This Row],[Job Posting Date]]</f>
        <v>51</v>
      </c>
      <c r="Y203" s="10">
        <f t="shared" si="7"/>
        <v>5.8823529411764701</v>
      </c>
      <c r="Z203" s="4">
        <f>Table1[[#This Row],[Join Date]]-Table1[[#This Row],[Job Posting Date]]</f>
        <v>54</v>
      </c>
      <c r="AA203" s="4">
        <v>155</v>
      </c>
    </row>
    <row r="204" spans="1:27" x14ac:dyDescent="0.2">
      <c r="A204" t="s">
        <v>236</v>
      </c>
      <c r="B204" t="s">
        <v>28</v>
      </c>
      <c r="C204" t="s">
        <v>18</v>
      </c>
      <c r="D204" t="s">
        <v>19</v>
      </c>
      <c r="E204" s="1">
        <v>43111</v>
      </c>
      <c r="F204" s="1">
        <v>43187</v>
      </c>
      <c r="G204" s="1">
        <v>43197</v>
      </c>
      <c r="H204" s="1" t="s">
        <v>32</v>
      </c>
      <c r="I204" t="s">
        <v>33</v>
      </c>
      <c r="J204" s="12">
        <v>4927</v>
      </c>
      <c r="K204">
        <v>4</v>
      </c>
      <c r="L204">
        <v>1</v>
      </c>
      <c r="M204" t="s">
        <v>288</v>
      </c>
      <c r="N204" s="3">
        <v>4</v>
      </c>
      <c r="O204" s="6" t="s">
        <v>292</v>
      </c>
      <c r="T204" s="3">
        <f>Table1[[#This Row],[Hire Date]]-Table1[[#This Row],[Job Posting Date]]</f>
        <v>76</v>
      </c>
      <c r="U204" s="9">
        <f>Table1[[#This Row],[Join Date]]-Table1[[#This Row],[Hire Date]]</f>
        <v>10</v>
      </c>
      <c r="V204" s="9">
        <f ca="1">IF(Table1[[#This Row],[Status]]="Exited",Table1[[#This Row],[Exit Date]]-Table1[[#This Row],[Join Date]],TODAY()-Table1[[#This Row],[Join Date]])</f>
        <v>2477</v>
      </c>
      <c r="W204" s="3" t="str">
        <f t="shared" ca="1" si="6"/>
        <v>no</v>
      </c>
      <c r="X204" s="3">
        <f>Table1[[#This Row],[Hire Date]]-Table1[[#This Row],[Job Posting Date]]</f>
        <v>76</v>
      </c>
      <c r="Y204" s="10">
        <f t="shared" si="7"/>
        <v>13.157894736842104</v>
      </c>
      <c r="Z204" s="3">
        <f>Table1[[#This Row],[Join Date]]-Table1[[#This Row],[Job Posting Date]]</f>
        <v>86</v>
      </c>
      <c r="AA204" s="3">
        <v>185</v>
      </c>
    </row>
    <row r="205" spans="1:27" x14ac:dyDescent="0.2">
      <c r="A205" t="s">
        <v>237</v>
      </c>
      <c r="B205" t="s">
        <v>27</v>
      </c>
      <c r="C205" t="s">
        <v>18</v>
      </c>
      <c r="D205" t="s">
        <v>19</v>
      </c>
      <c r="E205" s="1">
        <v>43662</v>
      </c>
      <c r="F205" s="1">
        <v>43736</v>
      </c>
      <c r="G205" s="1">
        <v>43738</v>
      </c>
      <c r="H205" s="1" t="s">
        <v>32</v>
      </c>
      <c r="I205" t="s">
        <v>33</v>
      </c>
      <c r="J205" s="12">
        <v>3301</v>
      </c>
      <c r="K205">
        <v>6</v>
      </c>
      <c r="L205">
        <v>3</v>
      </c>
      <c r="M205" t="s">
        <v>286</v>
      </c>
      <c r="N205" s="4">
        <v>4</v>
      </c>
      <c r="O205" s="7" t="s">
        <v>293</v>
      </c>
      <c r="T205" s="4">
        <f>Table1[[#This Row],[Hire Date]]-Table1[[#This Row],[Job Posting Date]]</f>
        <v>74</v>
      </c>
      <c r="U205" s="11">
        <f>Table1[[#This Row],[Join Date]]-Table1[[#This Row],[Hire Date]]</f>
        <v>2</v>
      </c>
      <c r="V205" s="11">
        <f ca="1">IF(Table1[[#This Row],[Status]]="Exited",Table1[[#This Row],[Exit Date]]-Table1[[#This Row],[Join Date]],TODAY()-Table1[[#This Row],[Join Date]])</f>
        <v>1936</v>
      </c>
      <c r="W205" s="3" t="str">
        <f t="shared" ca="1" si="6"/>
        <v>no</v>
      </c>
      <c r="X205" s="4">
        <f>Table1[[#This Row],[Hire Date]]-Table1[[#This Row],[Job Posting Date]]</f>
        <v>74</v>
      </c>
      <c r="Y205" s="10">
        <f t="shared" si="7"/>
        <v>2.7027027027027026</v>
      </c>
      <c r="Z205" s="4">
        <f>Table1[[#This Row],[Join Date]]-Table1[[#This Row],[Job Posting Date]]</f>
        <v>76</v>
      </c>
      <c r="AA205" s="4">
        <v>122</v>
      </c>
    </row>
    <row r="206" spans="1:27" x14ac:dyDescent="0.2">
      <c r="A206" t="s">
        <v>238</v>
      </c>
      <c r="B206" t="s">
        <v>26</v>
      </c>
      <c r="C206" t="s">
        <v>22</v>
      </c>
      <c r="D206" t="s">
        <v>23</v>
      </c>
      <c r="E206" s="1">
        <v>44666</v>
      </c>
      <c r="F206" s="1">
        <v>44732</v>
      </c>
      <c r="G206" s="1">
        <v>44743</v>
      </c>
      <c r="H206" s="1" t="s">
        <v>32</v>
      </c>
      <c r="I206" t="s">
        <v>33</v>
      </c>
      <c r="J206" s="12">
        <v>2985</v>
      </c>
      <c r="K206">
        <v>6</v>
      </c>
      <c r="L206">
        <v>4</v>
      </c>
      <c r="M206" t="s">
        <v>287</v>
      </c>
      <c r="N206" s="3">
        <v>4</v>
      </c>
      <c r="O206" s="6" t="s">
        <v>293</v>
      </c>
      <c r="T206" s="3">
        <f>Table1[[#This Row],[Hire Date]]-Table1[[#This Row],[Job Posting Date]]</f>
        <v>66</v>
      </c>
      <c r="U206" s="9">
        <f>Table1[[#This Row],[Join Date]]-Table1[[#This Row],[Hire Date]]</f>
        <v>11</v>
      </c>
      <c r="V206" s="9">
        <f ca="1">IF(Table1[[#This Row],[Status]]="Exited",Table1[[#This Row],[Exit Date]]-Table1[[#This Row],[Join Date]],TODAY()-Table1[[#This Row],[Join Date]])</f>
        <v>931</v>
      </c>
      <c r="W206" s="3" t="str">
        <f t="shared" ca="1" si="6"/>
        <v>no</v>
      </c>
      <c r="X206" s="3">
        <f>Table1[[#This Row],[Hire Date]]-Table1[[#This Row],[Job Posting Date]]</f>
        <v>66</v>
      </c>
      <c r="Y206" s="10">
        <f t="shared" si="7"/>
        <v>16.666666666666664</v>
      </c>
      <c r="Z206" s="3">
        <f>Table1[[#This Row],[Join Date]]-Table1[[#This Row],[Job Posting Date]]</f>
        <v>77</v>
      </c>
      <c r="AA206" s="3">
        <v>138</v>
      </c>
    </row>
    <row r="207" spans="1:27" x14ac:dyDescent="0.2">
      <c r="A207" t="s">
        <v>239</v>
      </c>
      <c r="B207" t="s">
        <v>27</v>
      </c>
      <c r="C207" t="s">
        <v>22</v>
      </c>
      <c r="D207" t="s">
        <v>23</v>
      </c>
      <c r="E207" s="1">
        <v>43146</v>
      </c>
      <c r="F207" s="1">
        <v>43168</v>
      </c>
      <c r="G207" s="1">
        <v>43178</v>
      </c>
      <c r="H207" s="1">
        <v>43914</v>
      </c>
      <c r="I207" t="s">
        <v>37</v>
      </c>
      <c r="J207" s="12">
        <v>1516</v>
      </c>
      <c r="K207">
        <v>2</v>
      </c>
      <c r="L207">
        <v>2</v>
      </c>
      <c r="M207" t="s">
        <v>286</v>
      </c>
      <c r="N207" s="4">
        <v>1</v>
      </c>
      <c r="O207" s="7" t="s">
        <v>292</v>
      </c>
      <c r="T207" s="4">
        <f>Table1[[#This Row],[Hire Date]]-Table1[[#This Row],[Job Posting Date]]</f>
        <v>22</v>
      </c>
      <c r="U207" s="11">
        <f>Table1[[#This Row],[Join Date]]-Table1[[#This Row],[Hire Date]]</f>
        <v>10</v>
      </c>
      <c r="V207" s="11">
        <f ca="1">IF(Table1[[#This Row],[Status]]="Exited",Table1[[#This Row],[Exit Date]]-Table1[[#This Row],[Join Date]],TODAY()-Table1[[#This Row],[Join Date]])</f>
        <v>736</v>
      </c>
      <c r="W207" s="3" t="str">
        <f t="shared" ca="1" si="6"/>
        <v>no</v>
      </c>
      <c r="X207" s="4">
        <f>Table1[[#This Row],[Hire Date]]-Table1[[#This Row],[Job Posting Date]]</f>
        <v>22</v>
      </c>
      <c r="Y207" s="10">
        <f t="shared" si="7"/>
        <v>45.454545454545453</v>
      </c>
      <c r="Z207" s="4">
        <f>Table1[[#This Row],[Join Date]]-Table1[[#This Row],[Job Posting Date]]</f>
        <v>32</v>
      </c>
      <c r="AA207" s="4">
        <v>102</v>
      </c>
    </row>
    <row r="208" spans="1:27" x14ac:dyDescent="0.2">
      <c r="A208" t="s">
        <v>240</v>
      </c>
      <c r="B208" t="s">
        <v>28</v>
      </c>
      <c r="C208" t="s">
        <v>18</v>
      </c>
      <c r="D208" t="s">
        <v>19</v>
      </c>
      <c r="E208" s="1">
        <v>44841</v>
      </c>
      <c r="F208" s="1">
        <v>44886</v>
      </c>
      <c r="G208" s="1">
        <v>44891</v>
      </c>
      <c r="H208" s="1">
        <v>45115</v>
      </c>
      <c r="I208" t="s">
        <v>37</v>
      </c>
      <c r="J208" s="12">
        <v>4798</v>
      </c>
      <c r="K208">
        <v>3</v>
      </c>
      <c r="L208">
        <v>2</v>
      </c>
      <c r="M208" t="s">
        <v>286</v>
      </c>
      <c r="N208" s="3">
        <v>4</v>
      </c>
      <c r="O208" s="6" t="s">
        <v>292</v>
      </c>
      <c r="T208" s="3">
        <f>Table1[[#This Row],[Hire Date]]-Table1[[#This Row],[Job Posting Date]]</f>
        <v>45</v>
      </c>
      <c r="U208" s="9">
        <f>Table1[[#This Row],[Join Date]]-Table1[[#This Row],[Hire Date]]</f>
        <v>5</v>
      </c>
      <c r="V208" s="9">
        <f ca="1">IF(Table1[[#This Row],[Status]]="Exited",Table1[[#This Row],[Exit Date]]-Table1[[#This Row],[Join Date]],TODAY()-Table1[[#This Row],[Join Date]])</f>
        <v>224</v>
      </c>
      <c r="W208" s="3" t="str">
        <f t="shared" ca="1" si="6"/>
        <v>yes</v>
      </c>
      <c r="X208" s="3">
        <f>Table1[[#This Row],[Hire Date]]-Table1[[#This Row],[Job Posting Date]]</f>
        <v>45</v>
      </c>
      <c r="Y208" s="10">
        <f t="shared" si="7"/>
        <v>11.111111111111111</v>
      </c>
      <c r="Z208" s="3">
        <f>Table1[[#This Row],[Join Date]]-Table1[[#This Row],[Job Posting Date]]</f>
        <v>50</v>
      </c>
      <c r="AA208" s="3">
        <v>133</v>
      </c>
    </row>
    <row r="209" spans="1:27" x14ac:dyDescent="0.2">
      <c r="A209" t="s">
        <v>241</v>
      </c>
      <c r="B209" t="s">
        <v>26</v>
      </c>
      <c r="C209" t="s">
        <v>24</v>
      </c>
      <c r="D209" t="s">
        <v>25</v>
      </c>
      <c r="E209" s="1">
        <v>44002</v>
      </c>
      <c r="F209" s="1">
        <v>44092</v>
      </c>
      <c r="G209" s="1">
        <v>44102</v>
      </c>
      <c r="H209" s="1" t="s">
        <v>32</v>
      </c>
      <c r="I209" t="s">
        <v>33</v>
      </c>
      <c r="J209" s="12">
        <v>3694</v>
      </c>
      <c r="K209">
        <v>6</v>
      </c>
      <c r="L209">
        <v>3</v>
      </c>
      <c r="M209" t="s">
        <v>286</v>
      </c>
      <c r="N209" s="4">
        <v>4</v>
      </c>
      <c r="O209" s="7" t="s">
        <v>292</v>
      </c>
      <c r="T209" s="4">
        <f>Table1[[#This Row],[Hire Date]]-Table1[[#This Row],[Job Posting Date]]</f>
        <v>90</v>
      </c>
      <c r="U209" s="11">
        <f>Table1[[#This Row],[Join Date]]-Table1[[#This Row],[Hire Date]]</f>
        <v>10</v>
      </c>
      <c r="V209" s="11">
        <f ca="1">IF(Table1[[#This Row],[Status]]="Exited",Table1[[#This Row],[Exit Date]]-Table1[[#This Row],[Join Date]],TODAY()-Table1[[#This Row],[Join Date]])</f>
        <v>1572</v>
      </c>
      <c r="W209" s="3" t="str">
        <f t="shared" ca="1" si="6"/>
        <v>no</v>
      </c>
      <c r="X209" s="4">
        <f>Table1[[#This Row],[Hire Date]]-Table1[[#This Row],[Job Posting Date]]</f>
        <v>90</v>
      </c>
      <c r="Y209" s="10">
        <f t="shared" si="7"/>
        <v>11.111111111111111</v>
      </c>
      <c r="Z209" s="4">
        <f>Table1[[#This Row],[Join Date]]-Table1[[#This Row],[Job Posting Date]]</f>
        <v>100</v>
      </c>
      <c r="AA209" s="4">
        <v>104</v>
      </c>
    </row>
    <row r="210" spans="1:27" x14ac:dyDescent="0.2">
      <c r="A210" t="s">
        <v>242</v>
      </c>
      <c r="B210" t="s">
        <v>26</v>
      </c>
      <c r="C210" t="s">
        <v>22</v>
      </c>
      <c r="D210" t="s">
        <v>23</v>
      </c>
      <c r="E210" s="1">
        <v>44610</v>
      </c>
      <c r="F210" s="1">
        <v>44649</v>
      </c>
      <c r="G210" s="1">
        <v>44664</v>
      </c>
      <c r="H210" s="1">
        <v>44705</v>
      </c>
      <c r="I210" t="s">
        <v>37</v>
      </c>
      <c r="J210" s="12">
        <v>2766</v>
      </c>
      <c r="K210">
        <v>1</v>
      </c>
      <c r="L210">
        <v>1</v>
      </c>
      <c r="M210" t="s">
        <v>286</v>
      </c>
      <c r="N210" s="3">
        <v>2</v>
      </c>
      <c r="O210" s="6" t="s">
        <v>292</v>
      </c>
      <c r="T210" s="3">
        <f>Table1[[#This Row],[Hire Date]]-Table1[[#This Row],[Job Posting Date]]</f>
        <v>39</v>
      </c>
      <c r="U210" s="9">
        <f>Table1[[#This Row],[Join Date]]-Table1[[#This Row],[Hire Date]]</f>
        <v>15</v>
      </c>
      <c r="V210" s="9">
        <f ca="1">IF(Table1[[#This Row],[Status]]="Exited",Table1[[#This Row],[Exit Date]]-Table1[[#This Row],[Join Date]],TODAY()-Table1[[#This Row],[Join Date]])</f>
        <v>41</v>
      </c>
      <c r="W210" s="3" t="str">
        <f t="shared" ca="1" si="6"/>
        <v>yes</v>
      </c>
      <c r="X210" s="3">
        <f>Table1[[#This Row],[Hire Date]]-Table1[[#This Row],[Job Posting Date]]</f>
        <v>39</v>
      </c>
      <c r="Y210" s="10">
        <f t="shared" si="7"/>
        <v>38.461538461538467</v>
      </c>
      <c r="Z210" s="3">
        <f>Table1[[#This Row],[Join Date]]-Table1[[#This Row],[Job Posting Date]]</f>
        <v>54</v>
      </c>
      <c r="AA210" s="3">
        <v>194</v>
      </c>
    </row>
    <row r="211" spans="1:27" x14ac:dyDescent="0.2">
      <c r="A211" t="s">
        <v>243</v>
      </c>
      <c r="B211" t="s">
        <v>26</v>
      </c>
      <c r="C211" t="s">
        <v>16</v>
      </c>
      <c r="D211" t="s">
        <v>17</v>
      </c>
      <c r="E211" s="1">
        <v>44483</v>
      </c>
      <c r="F211" s="1">
        <v>44521</v>
      </c>
      <c r="G211" s="1">
        <v>44532</v>
      </c>
      <c r="H211" s="1" t="s">
        <v>32</v>
      </c>
      <c r="I211" t="s">
        <v>33</v>
      </c>
      <c r="J211" s="12">
        <v>4823</v>
      </c>
      <c r="K211">
        <v>6</v>
      </c>
      <c r="L211">
        <v>4</v>
      </c>
      <c r="M211" t="s">
        <v>286</v>
      </c>
      <c r="N211" s="4">
        <v>3</v>
      </c>
      <c r="O211" s="7" t="s">
        <v>293</v>
      </c>
      <c r="T211" s="4">
        <f>Table1[[#This Row],[Hire Date]]-Table1[[#This Row],[Job Posting Date]]</f>
        <v>38</v>
      </c>
      <c r="U211" s="11">
        <f>Table1[[#This Row],[Join Date]]-Table1[[#This Row],[Hire Date]]</f>
        <v>11</v>
      </c>
      <c r="V211" s="11">
        <f ca="1">IF(Table1[[#This Row],[Status]]="Exited",Table1[[#This Row],[Exit Date]]-Table1[[#This Row],[Join Date]],TODAY()-Table1[[#This Row],[Join Date]])</f>
        <v>1142</v>
      </c>
      <c r="W211" s="3" t="str">
        <f t="shared" ca="1" si="6"/>
        <v>no</v>
      </c>
      <c r="X211" s="4">
        <f>Table1[[#This Row],[Hire Date]]-Table1[[#This Row],[Job Posting Date]]</f>
        <v>38</v>
      </c>
      <c r="Y211" s="10">
        <f t="shared" si="7"/>
        <v>28.947368421052634</v>
      </c>
      <c r="Z211" s="4">
        <f>Table1[[#This Row],[Join Date]]-Table1[[#This Row],[Job Posting Date]]</f>
        <v>49</v>
      </c>
      <c r="AA211" s="4">
        <v>136</v>
      </c>
    </row>
    <row r="212" spans="1:27" x14ac:dyDescent="0.2">
      <c r="A212" t="s">
        <v>244</v>
      </c>
      <c r="B212" t="s">
        <v>26</v>
      </c>
      <c r="C212" t="s">
        <v>16</v>
      </c>
      <c r="D212" t="s">
        <v>17</v>
      </c>
      <c r="E212" s="1">
        <v>43395</v>
      </c>
      <c r="F212" s="1">
        <v>43432</v>
      </c>
      <c r="G212" s="1">
        <v>43439</v>
      </c>
      <c r="H212" s="1">
        <v>44710</v>
      </c>
      <c r="I212" t="s">
        <v>37</v>
      </c>
      <c r="J212" s="12">
        <v>1989</v>
      </c>
      <c r="K212">
        <v>1</v>
      </c>
      <c r="L212">
        <v>1</v>
      </c>
      <c r="M212" t="s">
        <v>288</v>
      </c>
      <c r="N212" s="3">
        <v>4</v>
      </c>
      <c r="O212" s="6" t="s">
        <v>293</v>
      </c>
      <c r="T212" s="3">
        <f>Table1[[#This Row],[Hire Date]]-Table1[[#This Row],[Job Posting Date]]</f>
        <v>37</v>
      </c>
      <c r="U212" s="9">
        <f>Table1[[#This Row],[Join Date]]-Table1[[#This Row],[Hire Date]]</f>
        <v>7</v>
      </c>
      <c r="V212" s="9">
        <f ca="1">IF(Table1[[#This Row],[Status]]="Exited",Table1[[#This Row],[Exit Date]]-Table1[[#This Row],[Join Date]],TODAY()-Table1[[#This Row],[Join Date]])</f>
        <v>1271</v>
      </c>
      <c r="W212" s="3" t="str">
        <f t="shared" ca="1" si="6"/>
        <v>no</v>
      </c>
      <c r="X212" s="3">
        <f>Table1[[#This Row],[Hire Date]]-Table1[[#This Row],[Job Posting Date]]</f>
        <v>37</v>
      </c>
      <c r="Y212" s="10">
        <f t="shared" si="7"/>
        <v>18.918918918918919</v>
      </c>
      <c r="Z212" s="3">
        <f>Table1[[#This Row],[Join Date]]-Table1[[#This Row],[Job Posting Date]]</f>
        <v>44</v>
      </c>
      <c r="AA212" s="3">
        <v>146</v>
      </c>
    </row>
    <row r="213" spans="1:27" x14ac:dyDescent="0.2">
      <c r="A213" t="s">
        <v>245</v>
      </c>
      <c r="B213" t="s">
        <v>26</v>
      </c>
      <c r="C213" t="s">
        <v>16</v>
      </c>
      <c r="D213" t="s">
        <v>17</v>
      </c>
      <c r="E213" s="1">
        <v>44638</v>
      </c>
      <c r="F213" s="1">
        <v>44667</v>
      </c>
      <c r="G213" s="1">
        <v>44680</v>
      </c>
      <c r="H213" s="1" t="s">
        <v>32</v>
      </c>
      <c r="I213" t="s">
        <v>33</v>
      </c>
      <c r="J213" s="12">
        <v>2447</v>
      </c>
      <c r="K213">
        <v>9</v>
      </c>
      <c r="L213">
        <v>5</v>
      </c>
      <c r="M213" t="s">
        <v>286</v>
      </c>
      <c r="N213" s="4">
        <v>5</v>
      </c>
      <c r="O213" s="7" t="s">
        <v>292</v>
      </c>
      <c r="T213" s="4">
        <f>Table1[[#This Row],[Hire Date]]-Table1[[#This Row],[Job Posting Date]]</f>
        <v>29</v>
      </c>
      <c r="U213" s="11">
        <f>Table1[[#This Row],[Join Date]]-Table1[[#This Row],[Hire Date]]</f>
        <v>13</v>
      </c>
      <c r="V213" s="11">
        <f ca="1">IF(Table1[[#This Row],[Status]]="Exited",Table1[[#This Row],[Exit Date]]-Table1[[#This Row],[Join Date]],TODAY()-Table1[[#This Row],[Join Date]])</f>
        <v>994</v>
      </c>
      <c r="W213" s="3" t="str">
        <f t="shared" ca="1" si="6"/>
        <v>no</v>
      </c>
      <c r="X213" s="4">
        <f>Table1[[#This Row],[Hire Date]]-Table1[[#This Row],[Job Posting Date]]</f>
        <v>29</v>
      </c>
      <c r="Y213" s="10">
        <f t="shared" si="7"/>
        <v>44.827586206896555</v>
      </c>
      <c r="Z213" s="4">
        <f>Table1[[#This Row],[Join Date]]-Table1[[#This Row],[Job Posting Date]]</f>
        <v>42</v>
      </c>
      <c r="AA213" s="4">
        <v>151</v>
      </c>
    </row>
    <row r="214" spans="1:27" x14ac:dyDescent="0.2">
      <c r="A214" t="s">
        <v>246</v>
      </c>
      <c r="B214" t="s">
        <v>27</v>
      </c>
      <c r="C214" t="s">
        <v>20</v>
      </c>
      <c r="D214" t="s">
        <v>21</v>
      </c>
      <c r="E214" s="1">
        <v>43603</v>
      </c>
      <c r="F214" s="1">
        <v>43621</v>
      </c>
      <c r="G214" s="1">
        <v>43626</v>
      </c>
      <c r="H214" s="1">
        <v>44036</v>
      </c>
      <c r="I214" t="s">
        <v>37</v>
      </c>
      <c r="J214" s="12">
        <v>3786</v>
      </c>
      <c r="K214">
        <v>10</v>
      </c>
      <c r="L214">
        <v>1</v>
      </c>
      <c r="M214" t="s">
        <v>287</v>
      </c>
      <c r="N214" s="3">
        <v>2</v>
      </c>
      <c r="O214" s="6" t="s">
        <v>292</v>
      </c>
      <c r="T214" s="3">
        <f>Table1[[#This Row],[Hire Date]]-Table1[[#This Row],[Job Posting Date]]</f>
        <v>18</v>
      </c>
      <c r="U214" s="9">
        <f>Table1[[#This Row],[Join Date]]-Table1[[#This Row],[Hire Date]]</f>
        <v>5</v>
      </c>
      <c r="V214" s="9">
        <f ca="1">IF(Table1[[#This Row],[Status]]="Exited",Table1[[#This Row],[Exit Date]]-Table1[[#This Row],[Join Date]],TODAY()-Table1[[#This Row],[Join Date]])</f>
        <v>410</v>
      </c>
      <c r="W214" s="3" t="str">
        <f t="shared" ca="1" si="6"/>
        <v>yes</v>
      </c>
      <c r="X214" s="3">
        <f>Table1[[#This Row],[Hire Date]]-Table1[[#This Row],[Job Posting Date]]</f>
        <v>18</v>
      </c>
      <c r="Y214" s="10">
        <f t="shared" si="7"/>
        <v>27.777777777777779</v>
      </c>
      <c r="Z214" s="3">
        <f>Table1[[#This Row],[Join Date]]-Table1[[#This Row],[Job Posting Date]]</f>
        <v>23</v>
      </c>
      <c r="AA214" s="3">
        <v>136</v>
      </c>
    </row>
    <row r="215" spans="1:27" x14ac:dyDescent="0.2">
      <c r="A215" t="s">
        <v>247</v>
      </c>
      <c r="B215" t="s">
        <v>26</v>
      </c>
      <c r="C215" t="s">
        <v>20</v>
      </c>
      <c r="D215" t="s">
        <v>21</v>
      </c>
      <c r="E215" s="1">
        <v>44759</v>
      </c>
      <c r="F215" s="1">
        <v>44849</v>
      </c>
      <c r="G215" s="1">
        <v>44856</v>
      </c>
      <c r="H215" s="1" t="s">
        <v>32</v>
      </c>
      <c r="I215" t="s">
        <v>33</v>
      </c>
      <c r="J215" s="12">
        <v>3000</v>
      </c>
      <c r="K215">
        <v>5</v>
      </c>
      <c r="L215">
        <v>1</v>
      </c>
      <c r="M215" t="s">
        <v>287</v>
      </c>
      <c r="N215" s="4">
        <v>1</v>
      </c>
      <c r="O215" s="7" t="s">
        <v>292</v>
      </c>
      <c r="T215" s="4">
        <f>Table1[[#This Row],[Hire Date]]-Table1[[#This Row],[Job Posting Date]]</f>
        <v>90</v>
      </c>
      <c r="U215" s="11">
        <f>Table1[[#This Row],[Join Date]]-Table1[[#This Row],[Hire Date]]</f>
        <v>7</v>
      </c>
      <c r="V215" s="11">
        <f ca="1">IF(Table1[[#This Row],[Status]]="Exited",Table1[[#This Row],[Exit Date]]-Table1[[#This Row],[Join Date]],TODAY()-Table1[[#This Row],[Join Date]])</f>
        <v>818</v>
      </c>
      <c r="W215" s="3" t="str">
        <f t="shared" ca="1" si="6"/>
        <v>no</v>
      </c>
      <c r="X215" s="4">
        <f>Table1[[#This Row],[Hire Date]]-Table1[[#This Row],[Job Posting Date]]</f>
        <v>90</v>
      </c>
      <c r="Y215" s="10">
        <f t="shared" si="7"/>
        <v>7.7777777777777777</v>
      </c>
      <c r="Z215" s="4">
        <f>Table1[[#This Row],[Join Date]]-Table1[[#This Row],[Job Posting Date]]</f>
        <v>97</v>
      </c>
      <c r="AA215" s="4">
        <v>164</v>
      </c>
    </row>
    <row r="216" spans="1:27" x14ac:dyDescent="0.2">
      <c r="A216" t="s">
        <v>248</v>
      </c>
      <c r="B216" t="s">
        <v>26</v>
      </c>
      <c r="C216" t="s">
        <v>18</v>
      </c>
      <c r="D216" t="s">
        <v>19</v>
      </c>
      <c r="E216" s="1">
        <v>43843</v>
      </c>
      <c r="F216" s="1">
        <v>43865</v>
      </c>
      <c r="G216" s="1">
        <v>43879</v>
      </c>
      <c r="H216" s="1" t="s">
        <v>32</v>
      </c>
      <c r="I216" t="s">
        <v>33</v>
      </c>
      <c r="J216" s="12">
        <v>2385</v>
      </c>
      <c r="K216">
        <v>1</v>
      </c>
      <c r="L216">
        <v>1</v>
      </c>
      <c r="M216" t="s">
        <v>287</v>
      </c>
      <c r="N216" s="3">
        <v>2</v>
      </c>
      <c r="O216" s="6" t="s">
        <v>292</v>
      </c>
      <c r="T216" s="3">
        <f>Table1[[#This Row],[Hire Date]]-Table1[[#This Row],[Job Posting Date]]</f>
        <v>22</v>
      </c>
      <c r="U216" s="9">
        <f>Table1[[#This Row],[Join Date]]-Table1[[#This Row],[Hire Date]]</f>
        <v>14</v>
      </c>
      <c r="V216" s="9">
        <f ca="1">IF(Table1[[#This Row],[Status]]="Exited",Table1[[#This Row],[Exit Date]]-Table1[[#This Row],[Join Date]],TODAY()-Table1[[#This Row],[Join Date]])</f>
        <v>1795</v>
      </c>
      <c r="W216" s="3" t="str">
        <f t="shared" ca="1" si="6"/>
        <v>no</v>
      </c>
      <c r="X216" s="3">
        <f>Table1[[#This Row],[Hire Date]]-Table1[[#This Row],[Job Posting Date]]</f>
        <v>22</v>
      </c>
      <c r="Y216" s="10">
        <f t="shared" si="7"/>
        <v>63.636363636363633</v>
      </c>
      <c r="Z216" s="3">
        <f>Table1[[#This Row],[Join Date]]-Table1[[#This Row],[Job Posting Date]]</f>
        <v>36</v>
      </c>
      <c r="AA216" s="3">
        <v>121</v>
      </c>
    </row>
    <row r="217" spans="1:27" x14ac:dyDescent="0.2">
      <c r="A217" t="s">
        <v>249</v>
      </c>
      <c r="B217" t="s">
        <v>27</v>
      </c>
      <c r="C217" t="s">
        <v>18</v>
      </c>
      <c r="D217" t="s">
        <v>19</v>
      </c>
      <c r="E217" s="1">
        <v>43917</v>
      </c>
      <c r="F217" s="1">
        <v>43976</v>
      </c>
      <c r="G217" s="1">
        <v>43984</v>
      </c>
      <c r="H217" s="1">
        <v>44207</v>
      </c>
      <c r="I217" t="s">
        <v>37</v>
      </c>
      <c r="J217" s="12">
        <v>3818</v>
      </c>
      <c r="K217">
        <v>6</v>
      </c>
      <c r="L217">
        <v>3</v>
      </c>
      <c r="M217" t="s">
        <v>288</v>
      </c>
      <c r="N217" s="4">
        <v>5</v>
      </c>
      <c r="O217" s="7" t="s">
        <v>293</v>
      </c>
      <c r="T217" s="4">
        <f>Table1[[#This Row],[Hire Date]]-Table1[[#This Row],[Job Posting Date]]</f>
        <v>59</v>
      </c>
      <c r="U217" s="11">
        <f>Table1[[#This Row],[Join Date]]-Table1[[#This Row],[Hire Date]]</f>
        <v>8</v>
      </c>
      <c r="V217" s="11">
        <f ca="1">IF(Table1[[#This Row],[Status]]="Exited",Table1[[#This Row],[Exit Date]]-Table1[[#This Row],[Join Date]],TODAY()-Table1[[#This Row],[Join Date]])</f>
        <v>223</v>
      </c>
      <c r="W217" s="3" t="str">
        <f t="shared" ca="1" si="6"/>
        <v>yes</v>
      </c>
      <c r="X217" s="4">
        <f>Table1[[#This Row],[Hire Date]]-Table1[[#This Row],[Job Posting Date]]</f>
        <v>59</v>
      </c>
      <c r="Y217" s="10">
        <f t="shared" si="7"/>
        <v>13.559322033898304</v>
      </c>
      <c r="Z217" s="4">
        <f>Table1[[#This Row],[Join Date]]-Table1[[#This Row],[Job Posting Date]]</f>
        <v>67</v>
      </c>
      <c r="AA217" s="4">
        <v>186</v>
      </c>
    </row>
    <row r="218" spans="1:27" x14ac:dyDescent="0.2">
      <c r="A218" t="s">
        <v>250</v>
      </c>
      <c r="B218" t="s">
        <v>26</v>
      </c>
      <c r="C218" t="s">
        <v>20</v>
      </c>
      <c r="D218" t="s">
        <v>21</v>
      </c>
      <c r="E218" s="1">
        <v>44612</v>
      </c>
      <c r="F218" s="1">
        <v>44658</v>
      </c>
      <c r="G218" s="1">
        <v>44671</v>
      </c>
      <c r="H218" s="1" t="s">
        <v>32</v>
      </c>
      <c r="I218" t="s">
        <v>33</v>
      </c>
      <c r="J218" s="12">
        <v>3053</v>
      </c>
      <c r="K218">
        <v>8</v>
      </c>
      <c r="L218">
        <v>5</v>
      </c>
      <c r="M218" t="s">
        <v>286</v>
      </c>
      <c r="N218" s="3">
        <v>3</v>
      </c>
      <c r="O218" s="6" t="s">
        <v>292</v>
      </c>
      <c r="T218" s="3">
        <f>Table1[[#This Row],[Hire Date]]-Table1[[#This Row],[Job Posting Date]]</f>
        <v>46</v>
      </c>
      <c r="U218" s="9">
        <f>Table1[[#This Row],[Join Date]]-Table1[[#This Row],[Hire Date]]</f>
        <v>13</v>
      </c>
      <c r="V218" s="9">
        <f ca="1">IF(Table1[[#This Row],[Status]]="Exited",Table1[[#This Row],[Exit Date]]-Table1[[#This Row],[Join Date]],TODAY()-Table1[[#This Row],[Join Date]])</f>
        <v>1003</v>
      </c>
      <c r="W218" s="3" t="str">
        <f t="shared" ca="1" si="6"/>
        <v>no</v>
      </c>
      <c r="X218" s="3">
        <f>Table1[[#This Row],[Hire Date]]-Table1[[#This Row],[Job Posting Date]]</f>
        <v>46</v>
      </c>
      <c r="Y218" s="10">
        <f t="shared" si="7"/>
        <v>28.260869565217391</v>
      </c>
      <c r="Z218" s="3">
        <f>Table1[[#This Row],[Join Date]]-Table1[[#This Row],[Job Posting Date]]</f>
        <v>59</v>
      </c>
      <c r="AA218" s="3">
        <v>163</v>
      </c>
    </row>
    <row r="219" spans="1:27" x14ac:dyDescent="0.2">
      <c r="A219" t="s">
        <v>251</v>
      </c>
      <c r="B219" t="s">
        <v>26</v>
      </c>
      <c r="C219" t="s">
        <v>22</v>
      </c>
      <c r="D219" t="s">
        <v>23</v>
      </c>
      <c r="E219" s="1">
        <v>43608</v>
      </c>
      <c r="F219" s="1">
        <v>43641</v>
      </c>
      <c r="G219" s="1">
        <v>43647</v>
      </c>
      <c r="H219" s="1" t="s">
        <v>32</v>
      </c>
      <c r="I219" t="s">
        <v>33</v>
      </c>
      <c r="J219" s="12">
        <v>4305</v>
      </c>
      <c r="K219">
        <v>7</v>
      </c>
      <c r="L219">
        <v>6</v>
      </c>
      <c r="M219" t="s">
        <v>287</v>
      </c>
      <c r="N219" s="4">
        <v>2</v>
      </c>
      <c r="O219" s="7" t="s">
        <v>293</v>
      </c>
      <c r="T219" s="4">
        <f>Table1[[#This Row],[Hire Date]]-Table1[[#This Row],[Job Posting Date]]</f>
        <v>33</v>
      </c>
      <c r="U219" s="11">
        <f>Table1[[#This Row],[Join Date]]-Table1[[#This Row],[Hire Date]]</f>
        <v>6</v>
      </c>
      <c r="V219" s="11">
        <f ca="1">IF(Table1[[#This Row],[Status]]="Exited",Table1[[#This Row],[Exit Date]]-Table1[[#This Row],[Join Date]],TODAY()-Table1[[#This Row],[Join Date]])</f>
        <v>2027</v>
      </c>
      <c r="W219" s="3" t="str">
        <f t="shared" ca="1" si="6"/>
        <v>no</v>
      </c>
      <c r="X219" s="4">
        <f>Table1[[#This Row],[Hire Date]]-Table1[[#This Row],[Job Posting Date]]</f>
        <v>33</v>
      </c>
      <c r="Y219" s="10">
        <f t="shared" si="7"/>
        <v>18.181818181818183</v>
      </c>
      <c r="Z219" s="4">
        <f>Table1[[#This Row],[Join Date]]-Table1[[#This Row],[Job Posting Date]]</f>
        <v>39</v>
      </c>
      <c r="AA219" s="4">
        <v>129</v>
      </c>
    </row>
    <row r="220" spans="1:27" x14ac:dyDescent="0.2">
      <c r="A220" t="s">
        <v>252</v>
      </c>
      <c r="B220" t="s">
        <v>28</v>
      </c>
      <c r="C220" t="s">
        <v>18</v>
      </c>
      <c r="D220" t="s">
        <v>19</v>
      </c>
      <c r="E220" s="1">
        <v>44362</v>
      </c>
      <c r="F220" s="1">
        <v>44388</v>
      </c>
      <c r="G220" s="1">
        <v>44392</v>
      </c>
      <c r="H220" s="1">
        <v>44971</v>
      </c>
      <c r="I220" t="s">
        <v>37</v>
      </c>
      <c r="J220" s="12">
        <v>2871</v>
      </c>
      <c r="K220">
        <v>3</v>
      </c>
      <c r="L220">
        <v>3</v>
      </c>
      <c r="M220" t="s">
        <v>288</v>
      </c>
      <c r="N220" s="3">
        <v>3</v>
      </c>
      <c r="O220" s="6" t="s">
        <v>292</v>
      </c>
      <c r="T220" s="3">
        <f>Table1[[#This Row],[Hire Date]]-Table1[[#This Row],[Job Posting Date]]</f>
        <v>26</v>
      </c>
      <c r="U220" s="9">
        <f>Table1[[#This Row],[Join Date]]-Table1[[#This Row],[Hire Date]]</f>
        <v>4</v>
      </c>
      <c r="V220" s="9">
        <f ca="1">IF(Table1[[#This Row],[Status]]="Exited",Table1[[#This Row],[Exit Date]]-Table1[[#This Row],[Join Date]],TODAY()-Table1[[#This Row],[Join Date]])</f>
        <v>579</v>
      </c>
      <c r="W220" s="3" t="str">
        <f t="shared" ca="1" si="6"/>
        <v>yes</v>
      </c>
      <c r="X220" s="3">
        <f>Table1[[#This Row],[Hire Date]]-Table1[[#This Row],[Job Posting Date]]</f>
        <v>26</v>
      </c>
      <c r="Y220" s="10">
        <f t="shared" si="7"/>
        <v>15.384615384615385</v>
      </c>
      <c r="Z220" s="3">
        <f>Table1[[#This Row],[Join Date]]-Table1[[#This Row],[Job Posting Date]]</f>
        <v>30</v>
      </c>
      <c r="AA220" s="3">
        <v>121</v>
      </c>
    </row>
    <row r="221" spans="1:27" x14ac:dyDescent="0.2">
      <c r="A221" t="s">
        <v>253</v>
      </c>
      <c r="B221" t="s">
        <v>27</v>
      </c>
      <c r="C221" t="s">
        <v>22</v>
      </c>
      <c r="D221" t="s">
        <v>23</v>
      </c>
      <c r="E221" s="1">
        <v>44911</v>
      </c>
      <c r="F221" s="1">
        <v>44970</v>
      </c>
      <c r="G221" s="1">
        <v>44975</v>
      </c>
      <c r="H221" s="1">
        <v>45432</v>
      </c>
      <c r="I221" t="s">
        <v>37</v>
      </c>
      <c r="J221" s="12">
        <v>2506</v>
      </c>
      <c r="K221">
        <v>3</v>
      </c>
      <c r="L221">
        <v>2</v>
      </c>
      <c r="M221" t="s">
        <v>287</v>
      </c>
      <c r="N221" s="4">
        <v>2</v>
      </c>
      <c r="O221" s="7" t="s">
        <v>293</v>
      </c>
      <c r="T221" s="4">
        <f>Table1[[#This Row],[Hire Date]]-Table1[[#This Row],[Job Posting Date]]</f>
        <v>59</v>
      </c>
      <c r="U221" s="11">
        <f>Table1[[#This Row],[Join Date]]-Table1[[#This Row],[Hire Date]]</f>
        <v>5</v>
      </c>
      <c r="V221" s="11">
        <f ca="1">IF(Table1[[#This Row],[Status]]="Exited",Table1[[#This Row],[Exit Date]]-Table1[[#This Row],[Join Date]],TODAY()-Table1[[#This Row],[Join Date]])</f>
        <v>457</v>
      </c>
      <c r="W221" s="3" t="str">
        <f t="shared" ca="1" si="6"/>
        <v>yes</v>
      </c>
      <c r="X221" s="4">
        <f>Table1[[#This Row],[Hire Date]]-Table1[[#This Row],[Job Posting Date]]</f>
        <v>59</v>
      </c>
      <c r="Y221" s="10">
        <f t="shared" si="7"/>
        <v>8.4745762711864394</v>
      </c>
      <c r="Z221" s="4">
        <f>Table1[[#This Row],[Join Date]]-Table1[[#This Row],[Job Posting Date]]</f>
        <v>64</v>
      </c>
      <c r="AA221" s="4">
        <v>101</v>
      </c>
    </row>
    <row r="222" spans="1:27" x14ac:dyDescent="0.2">
      <c r="A222" t="s">
        <v>254</v>
      </c>
      <c r="B222" t="s">
        <v>26</v>
      </c>
      <c r="C222" t="s">
        <v>18</v>
      </c>
      <c r="D222" t="s">
        <v>19</v>
      </c>
      <c r="E222" s="1">
        <v>43975</v>
      </c>
      <c r="F222" s="1">
        <v>44013</v>
      </c>
      <c r="G222" s="1">
        <v>44018</v>
      </c>
      <c r="H222" s="1" t="s">
        <v>32</v>
      </c>
      <c r="I222" t="s">
        <v>33</v>
      </c>
      <c r="J222" s="12">
        <v>2049</v>
      </c>
      <c r="K222">
        <v>9</v>
      </c>
      <c r="L222">
        <v>7</v>
      </c>
      <c r="M222" t="s">
        <v>287</v>
      </c>
      <c r="N222" s="3">
        <v>3</v>
      </c>
      <c r="O222" s="6" t="s">
        <v>293</v>
      </c>
      <c r="T222" s="3">
        <f>Table1[[#This Row],[Hire Date]]-Table1[[#This Row],[Job Posting Date]]</f>
        <v>38</v>
      </c>
      <c r="U222" s="9">
        <f>Table1[[#This Row],[Join Date]]-Table1[[#This Row],[Hire Date]]</f>
        <v>5</v>
      </c>
      <c r="V222" s="9">
        <f ca="1">IF(Table1[[#This Row],[Status]]="Exited",Table1[[#This Row],[Exit Date]]-Table1[[#This Row],[Join Date]],TODAY()-Table1[[#This Row],[Join Date]])</f>
        <v>1656</v>
      </c>
      <c r="W222" s="3" t="str">
        <f t="shared" ca="1" si="6"/>
        <v>no</v>
      </c>
      <c r="X222" s="3">
        <f>Table1[[#This Row],[Hire Date]]-Table1[[#This Row],[Job Posting Date]]</f>
        <v>38</v>
      </c>
      <c r="Y222" s="10">
        <f t="shared" si="7"/>
        <v>13.157894736842104</v>
      </c>
      <c r="Z222" s="3">
        <f>Table1[[#This Row],[Join Date]]-Table1[[#This Row],[Job Posting Date]]</f>
        <v>43</v>
      </c>
      <c r="AA222" s="3">
        <v>148</v>
      </c>
    </row>
    <row r="223" spans="1:27" x14ac:dyDescent="0.2">
      <c r="A223" t="s">
        <v>255</v>
      </c>
      <c r="B223" t="s">
        <v>26</v>
      </c>
      <c r="C223" t="s">
        <v>22</v>
      </c>
      <c r="D223" t="s">
        <v>23</v>
      </c>
      <c r="E223" s="1">
        <v>44040</v>
      </c>
      <c r="F223" s="1">
        <v>44062</v>
      </c>
      <c r="G223" s="1">
        <v>44074</v>
      </c>
      <c r="H223" s="1">
        <v>45577</v>
      </c>
      <c r="I223" t="s">
        <v>37</v>
      </c>
      <c r="J223" s="12">
        <v>2662</v>
      </c>
      <c r="K223">
        <v>9</v>
      </c>
      <c r="L223">
        <v>6</v>
      </c>
      <c r="M223" t="s">
        <v>288</v>
      </c>
      <c r="N223" s="4">
        <v>5</v>
      </c>
      <c r="O223" s="7" t="s">
        <v>293</v>
      </c>
      <c r="T223" s="4">
        <f>Table1[[#This Row],[Hire Date]]-Table1[[#This Row],[Job Posting Date]]</f>
        <v>22</v>
      </c>
      <c r="U223" s="11">
        <f>Table1[[#This Row],[Join Date]]-Table1[[#This Row],[Hire Date]]</f>
        <v>12</v>
      </c>
      <c r="V223" s="11">
        <f ca="1">IF(Table1[[#This Row],[Status]]="Exited",Table1[[#This Row],[Exit Date]]-Table1[[#This Row],[Join Date]],TODAY()-Table1[[#This Row],[Join Date]])</f>
        <v>1503</v>
      </c>
      <c r="W223" s="3" t="str">
        <f t="shared" ca="1" si="6"/>
        <v>no</v>
      </c>
      <c r="X223" s="4">
        <f>Table1[[#This Row],[Hire Date]]-Table1[[#This Row],[Job Posting Date]]</f>
        <v>22</v>
      </c>
      <c r="Y223" s="10">
        <f t="shared" si="7"/>
        <v>54.54545454545454</v>
      </c>
      <c r="Z223" s="4">
        <f>Table1[[#This Row],[Join Date]]-Table1[[#This Row],[Job Posting Date]]</f>
        <v>34</v>
      </c>
      <c r="AA223" s="4">
        <v>193</v>
      </c>
    </row>
    <row r="224" spans="1:27" x14ac:dyDescent="0.2">
      <c r="A224" t="s">
        <v>256</v>
      </c>
      <c r="B224" t="s">
        <v>27</v>
      </c>
      <c r="C224" t="s">
        <v>20</v>
      </c>
      <c r="D224" t="s">
        <v>21</v>
      </c>
      <c r="E224" s="1">
        <v>44188</v>
      </c>
      <c r="F224" s="1">
        <v>44255</v>
      </c>
      <c r="G224" s="1">
        <v>44256</v>
      </c>
      <c r="H224" s="1" t="s">
        <v>32</v>
      </c>
      <c r="I224" t="s">
        <v>33</v>
      </c>
      <c r="J224" s="12">
        <v>4081</v>
      </c>
      <c r="K224">
        <v>4</v>
      </c>
      <c r="L224">
        <v>3</v>
      </c>
      <c r="M224" t="s">
        <v>288</v>
      </c>
      <c r="N224" s="3">
        <v>4</v>
      </c>
      <c r="O224" s="6" t="s">
        <v>292</v>
      </c>
      <c r="T224" s="3">
        <f>Table1[[#This Row],[Hire Date]]-Table1[[#This Row],[Job Posting Date]]</f>
        <v>67</v>
      </c>
      <c r="U224" s="9">
        <f>Table1[[#This Row],[Join Date]]-Table1[[#This Row],[Hire Date]]</f>
        <v>1</v>
      </c>
      <c r="V224" s="9">
        <f ca="1">IF(Table1[[#This Row],[Status]]="Exited",Table1[[#This Row],[Exit Date]]-Table1[[#This Row],[Join Date]],TODAY()-Table1[[#This Row],[Join Date]])</f>
        <v>1418</v>
      </c>
      <c r="W224" s="3" t="str">
        <f t="shared" ca="1" si="6"/>
        <v>no</v>
      </c>
      <c r="X224" s="3">
        <f>Table1[[#This Row],[Hire Date]]-Table1[[#This Row],[Job Posting Date]]</f>
        <v>67</v>
      </c>
      <c r="Y224" s="10">
        <f t="shared" si="7"/>
        <v>1.4925373134328357</v>
      </c>
      <c r="Z224" s="3">
        <f>Table1[[#This Row],[Join Date]]-Table1[[#This Row],[Job Posting Date]]</f>
        <v>68</v>
      </c>
      <c r="AA224" s="3">
        <v>174</v>
      </c>
    </row>
    <row r="225" spans="1:27" x14ac:dyDescent="0.2">
      <c r="A225" t="s">
        <v>257</v>
      </c>
      <c r="B225" t="s">
        <v>27</v>
      </c>
      <c r="C225" t="s">
        <v>16</v>
      </c>
      <c r="D225" t="s">
        <v>17</v>
      </c>
      <c r="E225" s="1">
        <v>44395</v>
      </c>
      <c r="F225" s="1">
        <v>44411</v>
      </c>
      <c r="G225" s="1">
        <v>44421</v>
      </c>
      <c r="H225" s="1" t="s">
        <v>32</v>
      </c>
      <c r="I225" t="s">
        <v>33</v>
      </c>
      <c r="J225" s="12">
        <v>4723</v>
      </c>
      <c r="K225">
        <v>7</v>
      </c>
      <c r="L225">
        <v>1</v>
      </c>
      <c r="M225" t="s">
        <v>286</v>
      </c>
      <c r="N225" s="4">
        <v>5</v>
      </c>
      <c r="O225" s="7" t="s">
        <v>293</v>
      </c>
      <c r="T225" s="4">
        <f>Table1[[#This Row],[Hire Date]]-Table1[[#This Row],[Job Posting Date]]</f>
        <v>16</v>
      </c>
      <c r="U225" s="11">
        <f>Table1[[#This Row],[Join Date]]-Table1[[#This Row],[Hire Date]]</f>
        <v>10</v>
      </c>
      <c r="V225" s="11">
        <f ca="1">IF(Table1[[#This Row],[Status]]="Exited",Table1[[#This Row],[Exit Date]]-Table1[[#This Row],[Join Date]],TODAY()-Table1[[#This Row],[Join Date]])</f>
        <v>1253</v>
      </c>
      <c r="W225" s="3" t="str">
        <f t="shared" ca="1" si="6"/>
        <v>no</v>
      </c>
      <c r="X225" s="4">
        <f>Table1[[#This Row],[Hire Date]]-Table1[[#This Row],[Job Posting Date]]</f>
        <v>16</v>
      </c>
      <c r="Y225" s="10">
        <f t="shared" si="7"/>
        <v>62.5</v>
      </c>
      <c r="Z225" s="4">
        <f>Table1[[#This Row],[Join Date]]-Table1[[#This Row],[Job Posting Date]]</f>
        <v>26</v>
      </c>
      <c r="AA225" s="4">
        <v>182</v>
      </c>
    </row>
    <row r="226" spans="1:27" x14ac:dyDescent="0.2">
      <c r="A226" t="s">
        <v>258</v>
      </c>
      <c r="B226" t="s">
        <v>27</v>
      </c>
      <c r="C226" t="s">
        <v>18</v>
      </c>
      <c r="D226" t="s">
        <v>19</v>
      </c>
      <c r="E226" s="1">
        <v>43872</v>
      </c>
      <c r="F226" s="1">
        <v>43921</v>
      </c>
      <c r="G226" s="1">
        <v>43932</v>
      </c>
      <c r="H226" s="1">
        <v>44102</v>
      </c>
      <c r="I226" t="s">
        <v>37</v>
      </c>
      <c r="J226" s="12">
        <v>4448</v>
      </c>
      <c r="K226">
        <v>9</v>
      </c>
      <c r="L226">
        <v>4</v>
      </c>
      <c r="M226" t="s">
        <v>288</v>
      </c>
      <c r="N226" s="3">
        <v>4</v>
      </c>
      <c r="O226" s="6" t="s">
        <v>292</v>
      </c>
      <c r="T226" s="3">
        <f>Table1[[#This Row],[Hire Date]]-Table1[[#This Row],[Job Posting Date]]</f>
        <v>49</v>
      </c>
      <c r="U226" s="9">
        <f>Table1[[#This Row],[Join Date]]-Table1[[#This Row],[Hire Date]]</f>
        <v>11</v>
      </c>
      <c r="V226" s="9">
        <f ca="1">IF(Table1[[#This Row],[Status]]="Exited",Table1[[#This Row],[Exit Date]]-Table1[[#This Row],[Join Date]],TODAY()-Table1[[#This Row],[Join Date]])</f>
        <v>170</v>
      </c>
      <c r="W226" s="3" t="str">
        <f t="shared" ca="1" si="6"/>
        <v>yes</v>
      </c>
      <c r="X226" s="3">
        <f>Table1[[#This Row],[Hire Date]]-Table1[[#This Row],[Job Posting Date]]</f>
        <v>49</v>
      </c>
      <c r="Y226" s="10">
        <f t="shared" si="7"/>
        <v>22.448979591836736</v>
      </c>
      <c r="Z226" s="3">
        <f>Table1[[#This Row],[Join Date]]-Table1[[#This Row],[Job Posting Date]]</f>
        <v>60</v>
      </c>
      <c r="AA226" s="3">
        <v>181</v>
      </c>
    </row>
    <row r="227" spans="1:27" x14ac:dyDescent="0.2">
      <c r="A227" t="s">
        <v>259</v>
      </c>
      <c r="B227" t="s">
        <v>28</v>
      </c>
      <c r="C227" t="s">
        <v>18</v>
      </c>
      <c r="D227" t="s">
        <v>19</v>
      </c>
      <c r="E227" s="1">
        <v>43899</v>
      </c>
      <c r="F227" s="1">
        <v>43988</v>
      </c>
      <c r="G227" s="1">
        <v>43999</v>
      </c>
      <c r="H227" s="1" t="s">
        <v>32</v>
      </c>
      <c r="I227" t="s">
        <v>33</v>
      </c>
      <c r="J227" s="12">
        <v>4236</v>
      </c>
      <c r="K227">
        <v>4</v>
      </c>
      <c r="L227">
        <v>3</v>
      </c>
      <c r="M227" t="s">
        <v>288</v>
      </c>
      <c r="N227" s="4">
        <v>5</v>
      </c>
      <c r="O227" s="7" t="s">
        <v>292</v>
      </c>
      <c r="T227" s="4">
        <f>Table1[[#This Row],[Hire Date]]-Table1[[#This Row],[Job Posting Date]]</f>
        <v>89</v>
      </c>
      <c r="U227" s="11">
        <f>Table1[[#This Row],[Join Date]]-Table1[[#This Row],[Hire Date]]</f>
        <v>11</v>
      </c>
      <c r="V227" s="11">
        <f ca="1">IF(Table1[[#This Row],[Status]]="Exited",Table1[[#This Row],[Exit Date]]-Table1[[#This Row],[Join Date]],TODAY()-Table1[[#This Row],[Join Date]])</f>
        <v>1675</v>
      </c>
      <c r="W227" s="3" t="str">
        <f t="shared" ca="1" si="6"/>
        <v>no</v>
      </c>
      <c r="X227" s="4">
        <f>Table1[[#This Row],[Hire Date]]-Table1[[#This Row],[Job Posting Date]]</f>
        <v>89</v>
      </c>
      <c r="Y227" s="10">
        <f t="shared" si="7"/>
        <v>12.359550561797752</v>
      </c>
      <c r="Z227" s="4">
        <f>Table1[[#This Row],[Join Date]]-Table1[[#This Row],[Job Posting Date]]</f>
        <v>100</v>
      </c>
      <c r="AA227" s="4">
        <v>105</v>
      </c>
    </row>
    <row r="228" spans="1:27" x14ac:dyDescent="0.2">
      <c r="A228" t="s">
        <v>260</v>
      </c>
      <c r="B228" t="s">
        <v>27</v>
      </c>
      <c r="C228" t="s">
        <v>24</v>
      </c>
      <c r="D228" t="s">
        <v>25</v>
      </c>
      <c r="E228" s="1">
        <v>44318</v>
      </c>
      <c r="F228" s="1">
        <v>44358</v>
      </c>
      <c r="G228" s="1">
        <v>44363</v>
      </c>
      <c r="H228" s="1" t="s">
        <v>32</v>
      </c>
      <c r="I228" t="s">
        <v>33</v>
      </c>
      <c r="J228" s="12">
        <v>4263</v>
      </c>
      <c r="K228">
        <v>5</v>
      </c>
      <c r="L228">
        <v>0</v>
      </c>
      <c r="M228" t="s">
        <v>288</v>
      </c>
      <c r="N228" s="3">
        <v>2</v>
      </c>
      <c r="O228" s="6" t="s">
        <v>293</v>
      </c>
      <c r="T228" s="3">
        <f>Table1[[#This Row],[Hire Date]]-Table1[[#This Row],[Job Posting Date]]</f>
        <v>40</v>
      </c>
      <c r="U228" s="9">
        <f>Table1[[#This Row],[Join Date]]-Table1[[#This Row],[Hire Date]]</f>
        <v>5</v>
      </c>
      <c r="V228" s="9">
        <f ca="1">IF(Table1[[#This Row],[Status]]="Exited",Table1[[#This Row],[Exit Date]]-Table1[[#This Row],[Join Date]],TODAY()-Table1[[#This Row],[Join Date]])</f>
        <v>1311</v>
      </c>
      <c r="W228" s="3" t="str">
        <f t="shared" ca="1" si="6"/>
        <v>no</v>
      </c>
      <c r="X228" s="3">
        <f>Table1[[#This Row],[Hire Date]]-Table1[[#This Row],[Job Posting Date]]</f>
        <v>40</v>
      </c>
      <c r="Y228" s="10">
        <f t="shared" si="7"/>
        <v>12.5</v>
      </c>
      <c r="Z228" s="3">
        <f>Table1[[#This Row],[Join Date]]-Table1[[#This Row],[Job Posting Date]]</f>
        <v>45</v>
      </c>
      <c r="AA228" s="3">
        <v>160</v>
      </c>
    </row>
    <row r="229" spans="1:27" x14ac:dyDescent="0.2">
      <c r="A229" t="s">
        <v>261</v>
      </c>
      <c r="B229" t="s">
        <v>26</v>
      </c>
      <c r="C229" t="s">
        <v>18</v>
      </c>
      <c r="D229" t="s">
        <v>19</v>
      </c>
      <c r="E229" s="1">
        <v>43314</v>
      </c>
      <c r="F229" s="1">
        <v>43361</v>
      </c>
      <c r="G229" s="1">
        <v>43371</v>
      </c>
      <c r="H229" s="1" t="s">
        <v>32</v>
      </c>
      <c r="I229" t="s">
        <v>33</v>
      </c>
      <c r="J229" s="12">
        <v>2229</v>
      </c>
      <c r="K229">
        <v>9</v>
      </c>
      <c r="L229">
        <v>9</v>
      </c>
      <c r="M229" t="s">
        <v>287</v>
      </c>
      <c r="N229" s="4">
        <v>2</v>
      </c>
      <c r="O229" s="7" t="s">
        <v>293</v>
      </c>
      <c r="T229" s="4">
        <f>Table1[[#This Row],[Hire Date]]-Table1[[#This Row],[Job Posting Date]]</f>
        <v>47</v>
      </c>
      <c r="U229" s="11">
        <f>Table1[[#This Row],[Join Date]]-Table1[[#This Row],[Hire Date]]</f>
        <v>10</v>
      </c>
      <c r="V229" s="11">
        <f ca="1">IF(Table1[[#This Row],[Status]]="Exited",Table1[[#This Row],[Exit Date]]-Table1[[#This Row],[Join Date]],TODAY()-Table1[[#This Row],[Join Date]])</f>
        <v>2303</v>
      </c>
      <c r="W229" s="3" t="str">
        <f t="shared" ca="1" si="6"/>
        <v>no</v>
      </c>
      <c r="X229" s="4">
        <f>Table1[[#This Row],[Hire Date]]-Table1[[#This Row],[Job Posting Date]]</f>
        <v>47</v>
      </c>
      <c r="Y229" s="10">
        <f t="shared" si="7"/>
        <v>21.276595744680851</v>
      </c>
      <c r="Z229" s="4">
        <f>Table1[[#This Row],[Join Date]]-Table1[[#This Row],[Job Posting Date]]</f>
        <v>57</v>
      </c>
      <c r="AA229" s="4">
        <v>163</v>
      </c>
    </row>
    <row r="230" spans="1:27" x14ac:dyDescent="0.2">
      <c r="A230" t="s">
        <v>262</v>
      </c>
      <c r="B230" t="s">
        <v>26</v>
      </c>
      <c r="C230" t="s">
        <v>24</v>
      </c>
      <c r="D230" t="s">
        <v>25</v>
      </c>
      <c r="E230" s="1">
        <v>44482</v>
      </c>
      <c r="F230" s="1">
        <v>44551</v>
      </c>
      <c r="G230" s="1">
        <v>44564</v>
      </c>
      <c r="H230" s="1">
        <v>45116</v>
      </c>
      <c r="I230" t="s">
        <v>37</v>
      </c>
      <c r="J230" s="12">
        <v>3361</v>
      </c>
      <c r="K230">
        <v>7</v>
      </c>
      <c r="L230">
        <v>1</v>
      </c>
      <c r="M230" t="s">
        <v>286</v>
      </c>
      <c r="N230" s="3">
        <v>3</v>
      </c>
      <c r="O230" s="6" t="s">
        <v>293</v>
      </c>
      <c r="T230" s="3">
        <f>Table1[[#This Row],[Hire Date]]-Table1[[#This Row],[Job Posting Date]]</f>
        <v>69</v>
      </c>
      <c r="U230" s="9">
        <f>Table1[[#This Row],[Join Date]]-Table1[[#This Row],[Hire Date]]</f>
        <v>13</v>
      </c>
      <c r="V230" s="9">
        <f ca="1">IF(Table1[[#This Row],[Status]]="Exited",Table1[[#This Row],[Exit Date]]-Table1[[#This Row],[Join Date]],TODAY()-Table1[[#This Row],[Join Date]])</f>
        <v>552</v>
      </c>
      <c r="W230" s="3" t="str">
        <f t="shared" ca="1" si="6"/>
        <v>yes</v>
      </c>
      <c r="X230" s="3">
        <f>Table1[[#This Row],[Hire Date]]-Table1[[#This Row],[Job Posting Date]]</f>
        <v>69</v>
      </c>
      <c r="Y230" s="10">
        <f t="shared" si="7"/>
        <v>18.840579710144929</v>
      </c>
      <c r="Z230" s="3">
        <f>Table1[[#This Row],[Join Date]]-Table1[[#This Row],[Job Posting Date]]</f>
        <v>82</v>
      </c>
      <c r="AA230" s="3">
        <v>197</v>
      </c>
    </row>
    <row r="231" spans="1:27" x14ac:dyDescent="0.2">
      <c r="A231" t="s">
        <v>263</v>
      </c>
      <c r="B231" t="s">
        <v>26</v>
      </c>
      <c r="C231" t="s">
        <v>18</v>
      </c>
      <c r="D231" t="s">
        <v>19</v>
      </c>
      <c r="E231" s="1">
        <v>43586</v>
      </c>
      <c r="F231" s="1">
        <v>43642</v>
      </c>
      <c r="G231" s="1">
        <v>43654</v>
      </c>
      <c r="H231" s="1" t="s">
        <v>32</v>
      </c>
      <c r="I231" t="s">
        <v>33</v>
      </c>
      <c r="J231" s="12">
        <v>3612</v>
      </c>
      <c r="K231">
        <v>9</v>
      </c>
      <c r="L231">
        <v>0</v>
      </c>
      <c r="M231" t="s">
        <v>288</v>
      </c>
      <c r="N231" s="4">
        <v>2</v>
      </c>
      <c r="O231" s="7" t="s">
        <v>293</v>
      </c>
      <c r="T231" s="4">
        <f>Table1[[#This Row],[Hire Date]]-Table1[[#This Row],[Job Posting Date]]</f>
        <v>56</v>
      </c>
      <c r="U231" s="11">
        <f>Table1[[#This Row],[Join Date]]-Table1[[#This Row],[Hire Date]]</f>
        <v>12</v>
      </c>
      <c r="V231" s="11">
        <f ca="1">IF(Table1[[#This Row],[Status]]="Exited",Table1[[#This Row],[Exit Date]]-Table1[[#This Row],[Join Date]],TODAY()-Table1[[#This Row],[Join Date]])</f>
        <v>2020</v>
      </c>
      <c r="W231" s="3" t="str">
        <f t="shared" ca="1" si="6"/>
        <v>no</v>
      </c>
      <c r="X231" s="4">
        <f>Table1[[#This Row],[Hire Date]]-Table1[[#This Row],[Job Posting Date]]</f>
        <v>56</v>
      </c>
      <c r="Y231" s="10">
        <f t="shared" si="7"/>
        <v>21.428571428571427</v>
      </c>
      <c r="Z231" s="4">
        <f>Table1[[#This Row],[Join Date]]-Table1[[#This Row],[Job Posting Date]]</f>
        <v>68</v>
      </c>
      <c r="AA231" s="4">
        <v>186</v>
      </c>
    </row>
    <row r="232" spans="1:27" x14ac:dyDescent="0.2">
      <c r="A232" t="s">
        <v>264</v>
      </c>
      <c r="B232" t="s">
        <v>27</v>
      </c>
      <c r="C232" t="s">
        <v>16</v>
      </c>
      <c r="D232" t="s">
        <v>17</v>
      </c>
      <c r="E232" s="1">
        <v>43856</v>
      </c>
      <c r="F232" s="1">
        <v>43915</v>
      </c>
      <c r="G232" s="1">
        <v>43930</v>
      </c>
      <c r="H232" s="1">
        <v>44624</v>
      </c>
      <c r="I232" t="s">
        <v>37</v>
      </c>
      <c r="J232" s="12">
        <v>1705</v>
      </c>
      <c r="K232">
        <v>5</v>
      </c>
      <c r="L232">
        <v>3</v>
      </c>
      <c r="M232" t="s">
        <v>287</v>
      </c>
      <c r="N232" s="3">
        <v>3</v>
      </c>
      <c r="O232" s="6" t="s">
        <v>292</v>
      </c>
      <c r="T232" s="3">
        <f>Table1[[#This Row],[Hire Date]]-Table1[[#This Row],[Job Posting Date]]</f>
        <v>59</v>
      </c>
      <c r="U232" s="9">
        <f>Table1[[#This Row],[Join Date]]-Table1[[#This Row],[Hire Date]]</f>
        <v>15</v>
      </c>
      <c r="V232" s="9">
        <f ca="1">IF(Table1[[#This Row],[Status]]="Exited",Table1[[#This Row],[Exit Date]]-Table1[[#This Row],[Join Date]],TODAY()-Table1[[#This Row],[Join Date]])</f>
        <v>694</v>
      </c>
      <c r="W232" s="3" t="str">
        <f t="shared" ca="1" si="6"/>
        <v>yes</v>
      </c>
      <c r="X232" s="3">
        <f>Table1[[#This Row],[Hire Date]]-Table1[[#This Row],[Job Posting Date]]</f>
        <v>59</v>
      </c>
      <c r="Y232" s="10">
        <f t="shared" si="7"/>
        <v>25.423728813559322</v>
      </c>
      <c r="Z232" s="3">
        <f>Table1[[#This Row],[Join Date]]-Table1[[#This Row],[Job Posting Date]]</f>
        <v>74</v>
      </c>
      <c r="AA232" s="3">
        <v>157</v>
      </c>
    </row>
    <row r="233" spans="1:27" x14ac:dyDescent="0.2">
      <c r="A233" t="s">
        <v>265</v>
      </c>
      <c r="B233" t="s">
        <v>28</v>
      </c>
      <c r="C233" t="s">
        <v>18</v>
      </c>
      <c r="D233" t="s">
        <v>19</v>
      </c>
      <c r="E233" s="1">
        <v>44229</v>
      </c>
      <c r="F233" s="1">
        <v>44269</v>
      </c>
      <c r="G233" s="1">
        <v>44274</v>
      </c>
      <c r="H233" s="1">
        <v>44675</v>
      </c>
      <c r="I233" t="s">
        <v>37</v>
      </c>
      <c r="J233" s="12">
        <v>4647</v>
      </c>
      <c r="K233">
        <v>9</v>
      </c>
      <c r="L233">
        <v>5</v>
      </c>
      <c r="M233" t="s">
        <v>288</v>
      </c>
      <c r="N233" s="4">
        <v>3</v>
      </c>
      <c r="O233" s="7" t="s">
        <v>293</v>
      </c>
      <c r="T233" s="4">
        <f>Table1[[#This Row],[Hire Date]]-Table1[[#This Row],[Job Posting Date]]</f>
        <v>40</v>
      </c>
      <c r="U233" s="11">
        <f>Table1[[#This Row],[Join Date]]-Table1[[#This Row],[Hire Date]]</f>
        <v>5</v>
      </c>
      <c r="V233" s="11">
        <f ca="1">IF(Table1[[#This Row],[Status]]="Exited",Table1[[#This Row],[Exit Date]]-Table1[[#This Row],[Join Date]],TODAY()-Table1[[#This Row],[Join Date]])</f>
        <v>401</v>
      </c>
      <c r="W233" s="3" t="str">
        <f t="shared" ca="1" si="6"/>
        <v>yes</v>
      </c>
      <c r="X233" s="4">
        <f>Table1[[#This Row],[Hire Date]]-Table1[[#This Row],[Job Posting Date]]</f>
        <v>40</v>
      </c>
      <c r="Y233" s="10">
        <f t="shared" si="7"/>
        <v>12.5</v>
      </c>
      <c r="Z233" s="4">
        <f>Table1[[#This Row],[Join Date]]-Table1[[#This Row],[Job Posting Date]]</f>
        <v>45</v>
      </c>
      <c r="AA233" s="4">
        <v>116</v>
      </c>
    </row>
    <row r="234" spans="1:27" x14ac:dyDescent="0.2">
      <c r="A234" t="s">
        <v>266</v>
      </c>
      <c r="B234" t="s">
        <v>26</v>
      </c>
      <c r="C234" t="s">
        <v>20</v>
      </c>
      <c r="D234" t="s">
        <v>21</v>
      </c>
      <c r="E234" s="1">
        <v>44203</v>
      </c>
      <c r="F234" s="1">
        <v>44229</v>
      </c>
      <c r="G234" s="1">
        <v>44238</v>
      </c>
      <c r="H234" s="1" t="s">
        <v>32</v>
      </c>
      <c r="I234" t="s">
        <v>33</v>
      </c>
      <c r="J234" s="12">
        <v>4268</v>
      </c>
      <c r="K234">
        <v>9</v>
      </c>
      <c r="L234">
        <v>1</v>
      </c>
      <c r="M234" t="s">
        <v>287</v>
      </c>
      <c r="N234" s="3">
        <v>5</v>
      </c>
      <c r="O234" s="6" t="s">
        <v>293</v>
      </c>
      <c r="T234" s="3">
        <f>Table1[[#This Row],[Hire Date]]-Table1[[#This Row],[Job Posting Date]]</f>
        <v>26</v>
      </c>
      <c r="U234" s="9">
        <f>Table1[[#This Row],[Join Date]]-Table1[[#This Row],[Hire Date]]</f>
        <v>9</v>
      </c>
      <c r="V234" s="9">
        <f ca="1">IF(Table1[[#This Row],[Status]]="Exited",Table1[[#This Row],[Exit Date]]-Table1[[#This Row],[Join Date]],TODAY()-Table1[[#This Row],[Join Date]])</f>
        <v>1436</v>
      </c>
      <c r="W234" s="3" t="str">
        <f t="shared" ca="1" si="6"/>
        <v>no</v>
      </c>
      <c r="X234" s="3">
        <f>Table1[[#This Row],[Hire Date]]-Table1[[#This Row],[Job Posting Date]]</f>
        <v>26</v>
      </c>
      <c r="Y234" s="10">
        <f t="shared" si="7"/>
        <v>34.615384615384613</v>
      </c>
      <c r="Z234" s="3">
        <f>Table1[[#This Row],[Join Date]]-Table1[[#This Row],[Job Posting Date]]</f>
        <v>35</v>
      </c>
      <c r="AA234" s="3">
        <v>166</v>
      </c>
    </row>
    <row r="235" spans="1:27" x14ac:dyDescent="0.2">
      <c r="A235" t="s">
        <v>267</v>
      </c>
      <c r="B235" t="s">
        <v>27</v>
      </c>
      <c r="C235" t="s">
        <v>20</v>
      </c>
      <c r="D235" t="s">
        <v>21</v>
      </c>
      <c r="E235" s="1">
        <v>44259</v>
      </c>
      <c r="F235" s="1">
        <v>44340</v>
      </c>
      <c r="G235" s="1">
        <v>44353</v>
      </c>
      <c r="H235" s="1">
        <v>44562</v>
      </c>
      <c r="I235" t="s">
        <v>37</v>
      </c>
      <c r="J235" s="12">
        <v>3682</v>
      </c>
      <c r="K235">
        <v>9</v>
      </c>
      <c r="L235">
        <v>9</v>
      </c>
      <c r="M235" t="s">
        <v>286</v>
      </c>
      <c r="N235" s="4">
        <v>4</v>
      </c>
      <c r="O235" s="7" t="s">
        <v>293</v>
      </c>
      <c r="T235" s="4">
        <f>Table1[[#This Row],[Hire Date]]-Table1[[#This Row],[Job Posting Date]]</f>
        <v>81</v>
      </c>
      <c r="U235" s="11">
        <f>Table1[[#This Row],[Join Date]]-Table1[[#This Row],[Hire Date]]</f>
        <v>13</v>
      </c>
      <c r="V235" s="11">
        <f ca="1">IF(Table1[[#This Row],[Status]]="Exited",Table1[[#This Row],[Exit Date]]-Table1[[#This Row],[Join Date]],TODAY()-Table1[[#This Row],[Join Date]])</f>
        <v>209</v>
      </c>
      <c r="W235" s="3" t="str">
        <f t="shared" ca="1" si="6"/>
        <v>yes</v>
      </c>
      <c r="X235" s="4">
        <f>Table1[[#This Row],[Hire Date]]-Table1[[#This Row],[Job Posting Date]]</f>
        <v>81</v>
      </c>
      <c r="Y235" s="10">
        <f t="shared" si="7"/>
        <v>16.049382716049383</v>
      </c>
      <c r="Z235" s="4">
        <f>Table1[[#This Row],[Join Date]]-Table1[[#This Row],[Job Posting Date]]</f>
        <v>94</v>
      </c>
      <c r="AA235" s="4">
        <v>183</v>
      </c>
    </row>
    <row r="236" spans="1:27" x14ac:dyDescent="0.2">
      <c r="A236" t="s">
        <v>268</v>
      </c>
      <c r="B236" t="s">
        <v>26</v>
      </c>
      <c r="C236" t="s">
        <v>22</v>
      </c>
      <c r="D236" t="s">
        <v>23</v>
      </c>
      <c r="E236" s="1">
        <v>43936</v>
      </c>
      <c r="F236" s="1">
        <v>44018</v>
      </c>
      <c r="G236" s="1">
        <v>44025</v>
      </c>
      <c r="H236" s="1" t="s">
        <v>32</v>
      </c>
      <c r="I236" t="s">
        <v>33</v>
      </c>
      <c r="J236" s="12">
        <v>3248</v>
      </c>
      <c r="K236">
        <v>10</v>
      </c>
      <c r="L236">
        <v>6</v>
      </c>
      <c r="M236" t="s">
        <v>286</v>
      </c>
      <c r="N236" s="3">
        <v>4</v>
      </c>
      <c r="O236" s="6" t="s">
        <v>292</v>
      </c>
      <c r="T236" s="3">
        <f>Table1[[#This Row],[Hire Date]]-Table1[[#This Row],[Job Posting Date]]</f>
        <v>82</v>
      </c>
      <c r="U236" s="9">
        <f>Table1[[#This Row],[Join Date]]-Table1[[#This Row],[Hire Date]]</f>
        <v>7</v>
      </c>
      <c r="V236" s="9">
        <f ca="1">IF(Table1[[#This Row],[Status]]="Exited",Table1[[#This Row],[Exit Date]]-Table1[[#This Row],[Join Date]],TODAY()-Table1[[#This Row],[Join Date]])</f>
        <v>1649</v>
      </c>
      <c r="W236" s="3" t="str">
        <f t="shared" ca="1" si="6"/>
        <v>no</v>
      </c>
      <c r="X236" s="3">
        <f>Table1[[#This Row],[Hire Date]]-Table1[[#This Row],[Job Posting Date]]</f>
        <v>82</v>
      </c>
      <c r="Y236" s="10">
        <f t="shared" si="7"/>
        <v>8.536585365853659</v>
      </c>
      <c r="Z236" s="3">
        <f>Table1[[#This Row],[Join Date]]-Table1[[#This Row],[Job Posting Date]]</f>
        <v>89</v>
      </c>
      <c r="AA236" s="3">
        <v>187</v>
      </c>
    </row>
    <row r="237" spans="1:27" x14ac:dyDescent="0.2">
      <c r="A237" t="s">
        <v>269</v>
      </c>
      <c r="B237" t="s">
        <v>27</v>
      </c>
      <c r="C237" t="s">
        <v>22</v>
      </c>
      <c r="D237" t="s">
        <v>23</v>
      </c>
      <c r="E237" s="1">
        <v>44814</v>
      </c>
      <c r="F237" s="1">
        <v>44876</v>
      </c>
      <c r="G237" s="1">
        <v>44883</v>
      </c>
      <c r="H237" s="1" t="s">
        <v>32</v>
      </c>
      <c r="I237" t="s">
        <v>33</v>
      </c>
      <c r="J237" s="12">
        <v>1922</v>
      </c>
      <c r="K237">
        <v>2</v>
      </c>
      <c r="L237">
        <v>0</v>
      </c>
      <c r="M237" t="s">
        <v>286</v>
      </c>
      <c r="N237" s="4">
        <v>2</v>
      </c>
      <c r="O237" s="7" t="s">
        <v>293</v>
      </c>
      <c r="T237" s="4">
        <f>Table1[[#This Row],[Hire Date]]-Table1[[#This Row],[Job Posting Date]]</f>
        <v>62</v>
      </c>
      <c r="U237" s="11">
        <f>Table1[[#This Row],[Join Date]]-Table1[[#This Row],[Hire Date]]</f>
        <v>7</v>
      </c>
      <c r="V237" s="11">
        <f ca="1">IF(Table1[[#This Row],[Status]]="Exited",Table1[[#This Row],[Exit Date]]-Table1[[#This Row],[Join Date]],TODAY()-Table1[[#This Row],[Join Date]])</f>
        <v>791</v>
      </c>
      <c r="W237" s="3" t="str">
        <f t="shared" ca="1" si="6"/>
        <v>no</v>
      </c>
      <c r="X237" s="4">
        <f>Table1[[#This Row],[Hire Date]]-Table1[[#This Row],[Job Posting Date]]</f>
        <v>62</v>
      </c>
      <c r="Y237" s="10">
        <f t="shared" si="7"/>
        <v>11.29032258064516</v>
      </c>
      <c r="Z237" s="4">
        <f>Table1[[#This Row],[Join Date]]-Table1[[#This Row],[Job Posting Date]]</f>
        <v>69</v>
      </c>
      <c r="AA237" s="4">
        <v>154</v>
      </c>
    </row>
    <row r="238" spans="1:27" x14ac:dyDescent="0.2">
      <c r="A238" t="s">
        <v>270</v>
      </c>
      <c r="B238" t="s">
        <v>27</v>
      </c>
      <c r="C238" t="s">
        <v>22</v>
      </c>
      <c r="D238" t="s">
        <v>23</v>
      </c>
      <c r="E238" s="1">
        <v>43116</v>
      </c>
      <c r="F238" s="1">
        <v>43151</v>
      </c>
      <c r="G238" s="1">
        <v>43160</v>
      </c>
      <c r="H238" s="1">
        <v>43430</v>
      </c>
      <c r="I238" t="s">
        <v>37</v>
      </c>
      <c r="J238" s="12">
        <v>2033</v>
      </c>
      <c r="K238">
        <v>4</v>
      </c>
      <c r="L238">
        <v>3</v>
      </c>
      <c r="M238" t="s">
        <v>286</v>
      </c>
      <c r="N238" s="3">
        <v>3</v>
      </c>
      <c r="O238" s="6" t="s">
        <v>292</v>
      </c>
      <c r="T238" s="3">
        <f>Table1[[#This Row],[Hire Date]]-Table1[[#This Row],[Job Posting Date]]</f>
        <v>35</v>
      </c>
      <c r="U238" s="9">
        <f>Table1[[#This Row],[Join Date]]-Table1[[#This Row],[Hire Date]]</f>
        <v>9</v>
      </c>
      <c r="V238" s="9">
        <f ca="1">IF(Table1[[#This Row],[Status]]="Exited",Table1[[#This Row],[Exit Date]]-Table1[[#This Row],[Join Date]],TODAY()-Table1[[#This Row],[Join Date]])</f>
        <v>270</v>
      </c>
      <c r="W238" s="3" t="str">
        <f t="shared" ca="1" si="6"/>
        <v>yes</v>
      </c>
      <c r="X238" s="3">
        <f>Table1[[#This Row],[Hire Date]]-Table1[[#This Row],[Job Posting Date]]</f>
        <v>35</v>
      </c>
      <c r="Y238" s="10">
        <f t="shared" si="7"/>
        <v>25.714285714285712</v>
      </c>
      <c r="Z238" s="3">
        <f>Table1[[#This Row],[Join Date]]-Table1[[#This Row],[Job Posting Date]]</f>
        <v>44</v>
      </c>
      <c r="AA238" s="3">
        <v>121</v>
      </c>
    </row>
    <row r="239" spans="1:27" x14ac:dyDescent="0.2">
      <c r="A239" t="s">
        <v>271</v>
      </c>
      <c r="B239" t="s">
        <v>27</v>
      </c>
      <c r="C239" t="s">
        <v>18</v>
      </c>
      <c r="D239" t="s">
        <v>19</v>
      </c>
      <c r="E239" s="1">
        <v>43253</v>
      </c>
      <c r="F239" s="1">
        <v>43319</v>
      </c>
      <c r="G239" s="1">
        <v>43329</v>
      </c>
      <c r="H239" s="1" t="s">
        <v>32</v>
      </c>
      <c r="I239" t="s">
        <v>33</v>
      </c>
      <c r="J239" s="12">
        <v>4529</v>
      </c>
      <c r="K239">
        <v>10</v>
      </c>
      <c r="L239">
        <v>6</v>
      </c>
      <c r="M239" t="s">
        <v>288</v>
      </c>
      <c r="N239" s="4">
        <v>1</v>
      </c>
      <c r="O239" s="7" t="s">
        <v>292</v>
      </c>
      <c r="T239" s="4">
        <f>Table1[[#This Row],[Hire Date]]-Table1[[#This Row],[Job Posting Date]]</f>
        <v>66</v>
      </c>
      <c r="U239" s="11">
        <f>Table1[[#This Row],[Join Date]]-Table1[[#This Row],[Hire Date]]</f>
        <v>10</v>
      </c>
      <c r="V239" s="11">
        <f ca="1">IF(Table1[[#This Row],[Status]]="Exited",Table1[[#This Row],[Exit Date]]-Table1[[#This Row],[Join Date]],TODAY()-Table1[[#This Row],[Join Date]])</f>
        <v>2345</v>
      </c>
      <c r="W239" s="3" t="str">
        <f t="shared" ca="1" si="6"/>
        <v>no</v>
      </c>
      <c r="X239" s="4">
        <f>Table1[[#This Row],[Hire Date]]-Table1[[#This Row],[Job Posting Date]]</f>
        <v>66</v>
      </c>
      <c r="Y239" s="10">
        <f t="shared" si="7"/>
        <v>15.151515151515152</v>
      </c>
      <c r="Z239" s="4">
        <f>Table1[[#This Row],[Join Date]]-Table1[[#This Row],[Job Posting Date]]</f>
        <v>76</v>
      </c>
      <c r="AA239" s="4">
        <v>121</v>
      </c>
    </row>
    <row r="240" spans="1:27" x14ac:dyDescent="0.2">
      <c r="A240" t="s">
        <v>272</v>
      </c>
      <c r="B240" t="s">
        <v>27</v>
      </c>
      <c r="C240" t="s">
        <v>18</v>
      </c>
      <c r="D240" t="s">
        <v>19</v>
      </c>
      <c r="E240" s="1">
        <v>43260</v>
      </c>
      <c r="F240" s="1">
        <v>43286</v>
      </c>
      <c r="G240" s="1">
        <v>43293</v>
      </c>
      <c r="H240" s="1" t="s">
        <v>32</v>
      </c>
      <c r="I240" t="s">
        <v>33</v>
      </c>
      <c r="J240" s="12">
        <v>3396</v>
      </c>
      <c r="K240">
        <v>4</v>
      </c>
      <c r="L240">
        <v>0</v>
      </c>
      <c r="M240" t="s">
        <v>288</v>
      </c>
      <c r="N240" s="3">
        <v>3</v>
      </c>
      <c r="O240" s="6" t="s">
        <v>293</v>
      </c>
      <c r="T240" s="3">
        <f>Table1[[#This Row],[Hire Date]]-Table1[[#This Row],[Job Posting Date]]</f>
        <v>26</v>
      </c>
      <c r="U240" s="9">
        <f>Table1[[#This Row],[Join Date]]-Table1[[#This Row],[Hire Date]]</f>
        <v>7</v>
      </c>
      <c r="V240" s="9">
        <f ca="1">IF(Table1[[#This Row],[Status]]="Exited",Table1[[#This Row],[Exit Date]]-Table1[[#This Row],[Join Date]],TODAY()-Table1[[#This Row],[Join Date]])</f>
        <v>2381</v>
      </c>
      <c r="W240" s="3" t="str">
        <f t="shared" ca="1" si="6"/>
        <v>no</v>
      </c>
      <c r="X240" s="3">
        <f>Table1[[#This Row],[Hire Date]]-Table1[[#This Row],[Job Posting Date]]</f>
        <v>26</v>
      </c>
      <c r="Y240" s="10">
        <f t="shared" si="7"/>
        <v>26.923076923076923</v>
      </c>
      <c r="Z240" s="3">
        <f>Table1[[#This Row],[Join Date]]-Table1[[#This Row],[Job Posting Date]]</f>
        <v>33</v>
      </c>
      <c r="AA240" s="3">
        <v>149</v>
      </c>
    </row>
    <row r="241" spans="1:27" x14ac:dyDescent="0.2">
      <c r="A241" t="s">
        <v>273</v>
      </c>
      <c r="B241" t="s">
        <v>26</v>
      </c>
      <c r="C241" t="s">
        <v>16</v>
      </c>
      <c r="D241" t="s">
        <v>17</v>
      </c>
      <c r="E241" s="1">
        <v>44816</v>
      </c>
      <c r="F241" s="1">
        <v>44834</v>
      </c>
      <c r="G241" s="1">
        <v>44849</v>
      </c>
      <c r="H241" s="1" t="s">
        <v>32</v>
      </c>
      <c r="I241" t="s">
        <v>33</v>
      </c>
      <c r="J241" s="12">
        <v>4673</v>
      </c>
      <c r="K241">
        <v>6</v>
      </c>
      <c r="L241">
        <v>3</v>
      </c>
      <c r="M241" t="s">
        <v>287</v>
      </c>
      <c r="N241" s="4">
        <v>1</v>
      </c>
      <c r="O241" s="7" t="s">
        <v>293</v>
      </c>
      <c r="T241" s="4">
        <f>Table1[[#This Row],[Hire Date]]-Table1[[#This Row],[Job Posting Date]]</f>
        <v>18</v>
      </c>
      <c r="U241" s="11">
        <f>Table1[[#This Row],[Join Date]]-Table1[[#This Row],[Hire Date]]</f>
        <v>15</v>
      </c>
      <c r="V241" s="11">
        <f ca="1">IF(Table1[[#This Row],[Status]]="Exited",Table1[[#This Row],[Exit Date]]-Table1[[#This Row],[Join Date]],TODAY()-Table1[[#This Row],[Join Date]])</f>
        <v>825</v>
      </c>
      <c r="W241" s="3" t="str">
        <f t="shared" ca="1" si="6"/>
        <v>no</v>
      </c>
      <c r="X241" s="4">
        <f>Table1[[#This Row],[Hire Date]]-Table1[[#This Row],[Job Posting Date]]</f>
        <v>18</v>
      </c>
      <c r="Y241" s="10">
        <f t="shared" si="7"/>
        <v>83.333333333333343</v>
      </c>
      <c r="Z241" s="4">
        <f>Table1[[#This Row],[Join Date]]-Table1[[#This Row],[Job Posting Date]]</f>
        <v>33</v>
      </c>
      <c r="AA241" s="4">
        <v>158</v>
      </c>
    </row>
    <row r="242" spans="1:27" x14ac:dyDescent="0.2">
      <c r="A242" t="s">
        <v>274</v>
      </c>
      <c r="B242" t="s">
        <v>28</v>
      </c>
      <c r="C242" t="s">
        <v>16</v>
      </c>
      <c r="D242" t="s">
        <v>17</v>
      </c>
      <c r="E242" s="1">
        <v>43283</v>
      </c>
      <c r="F242" s="1">
        <v>43339</v>
      </c>
      <c r="G242" s="1">
        <v>43345</v>
      </c>
      <c r="H242" s="1" t="s">
        <v>32</v>
      </c>
      <c r="I242" t="s">
        <v>33</v>
      </c>
      <c r="J242" s="12">
        <v>1775</v>
      </c>
      <c r="K242">
        <v>7</v>
      </c>
      <c r="L242">
        <v>5</v>
      </c>
      <c r="M242" t="s">
        <v>287</v>
      </c>
      <c r="N242" s="3">
        <v>4</v>
      </c>
      <c r="O242" s="6" t="s">
        <v>292</v>
      </c>
      <c r="T242" s="3">
        <f>Table1[[#This Row],[Hire Date]]-Table1[[#This Row],[Job Posting Date]]</f>
        <v>56</v>
      </c>
      <c r="U242" s="9">
        <f>Table1[[#This Row],[Join Date]]-Table1[[#This Row],[Hire Date]]</f>
        <v>6</v>
      </c>
      <c r="V242" s="9">
        <f ca="1">IF(Table1[[#This Row],[Status]]="Exited",Table1[[#This Row],[Exit Date]]-Table1[[#This Row],[Join Date]],TODAY()-Table1[[#This Row],[Join Date]])</f>
        <v>2329</v>
      </c>
      <c r="W242" s="3" t="str">
        <f t="shared" ca="1" si="6"/>
        <v>no</v>
      </c>
      <c r="X242" s="3">
        <f>Table1[[#This Row],[Hire Date]]-Table1[[#This Row],[Job Posting Date]]</f>
        <v>56</v>
      </c>
      <c r="Y242" s="10">
        <f t="shared" si="7"/>
        <v>10.714285714285714</v>
      </c>
      <c r="Z242" s="3">
        <f>Table1[[#This Row],[Join Date]]-Table1[[#This Row],[Job Posting Date]]</f>
        <v>62</v>
      </c>
      <c r="AA242" s="3">
        <v>101</v>
      </c>
    </row>
    <row r="243" spans="1:27" x14ac:dyDescent="0.2">
      <c r="A243" t="s">
        <v>275</v>
      </c>
      <c r="B243" t="s">
        <v>27</v>
      </c>
      <c r="C243" t="s">
        <v>16</v>
      </c>
      <c r="D243" t="s">
        <v>17</v>
      </c>
      <c r="E243" s="1">
        <v>43428</v>
      </c>
      <c r="F243" s="1">
        <v>43472</v>
      </c>
      <c r="G243" s="1">
        <v>43475</v>
      </c>
      <c r="H243" s="1" t="s">
        <v>32</v>
      </c>
      <c r="I243" t="s">
        <v>33</v>
      </c>
      <c r="J243" s="12">
        <v>4109</v>
      </c>
      <c r="K243">
        <v>9</v>
      </c>
      <c r="L243">
        <v>6</v>
      </c>
      <c r="M243" t="s">
        <v>287</v>
      </c>
      <c r="N243" s="4">
        <v>1</v>
      </c>
      <c r="O243" s="7" t="s">
        <v>293</v>
      </c>
      <c r="T243" s="4">
        <f>Table1[[#This Row],[Hire Date]]-Table1[[#This Row],[Job Posting Date]]</f>
        <v>44</v>
      </c>
      <c r="U243" s="11">
        <f>Table1[[#This Row],[Join Date]]-Table1[[#This Row],[Hire Date]]</f>
        <v>3</v>
      </c>
      <c r="V243" s="11">
        <f ca="1">IF(Table1[[#This Row],[Status]]="Exited",Table1[[#This Row],[Exit Date]]-Table1[[#This Row],[Join Date]],TODAY()-Table1[[#This Row],[Join Date]])</f>
        <v>2199</v>
      </c>
      <c r="W243" s="3" t="str">
        <f t="shared" ca="1" si="6"/>
        <v>no</v>
      </c>
      <c r="X243" s="4">
        <f>Table1[[#This Row],[Hire Date]]-Table1[[#This Row],[Job Posting Date]]</f>
        <v>44</v>
      </c>
      <c r="Y243" s="10">
        <f t="shared" si="7"/>
        <v>6.8181818181818175</v>
      </c>
      <c r="Z243" s="4">
        <f>Table1[[#This Row],[Join Date]]-Table1[[#This Row],[Job Posting Date]]</f>
        <v>47</v>
      </c>
      <c r="AA243" s="4">
        <v>116</v>
      </c>
    </row>
    <row r="244" spans="1:27" x14ac:dyDescent="0.2">
      <c r="A244" t="s">
        <v>276</v>
      </c>
      <c r="B244" t="s">
        <v>27</v>
      </c>
      <c r="C244" t="s">
        <v>22</v>
      </c>
      <c r="D244" t="s">
        <v>23</v>
      </c>
      <c r="E244" s="1">
        <v>44181</v>
      </c>
      <c r="F244" s="1">
        <v>44208</v>
      </c>
      <c r="G244" s="1">
        <v>44218</v>
      </c>
      <c r="H244" s="1" t="s">
        <v>32</v>
      </c>
      <c r="I244" t="s">
        <v>33</v>
      </c>
      <c r="J244" s="12">
        <v>1892</v>
      </c>
      <c r="K244">
        <v>3</v>
      </c>
      <c r="L244">
        <v>0</v>
      </c>
      <c r="M244" t="s">
        <v>287</v>
      </c>
      <c r="N244" s="3">
        <v>2</v>
      </c>
      <c r="O244" s="6" t="s">
        <v>292</v>
      </c>
      <c r="T244" s="3">
        <f>Table1[[#This Row],[Hire Date]]-Table1[[#This Row],[Job Posting Date]]</f>
        <v>27</v>
      </c>
      <c r="U244" s="9">
        <f>Table1[[#This Row],[Join Date]]-Table1[[#This Row],[Hire Date]]</f>
        <v>10</v>
      </c>
      <c r="V244" s="9">
        <f ca="1">IF(Table1[[#This Row],[Status]]="Exited",Table1[[#This Row],[Exit Date]]-Table1[[#This Row],[Join Date]],TODAY()-Table1[[#This Row],[Join Date]])</f>
        <v>1456</v>
      </c>
      <c r="W244" s="3" t="str">
        <f t="shared" ca="1" si="6"/>
        <v>no</v>
      </c>
      <c r="X244" s="3">
        <f>Table1[[#This Row],[Hire Date]]-Table1[[#This Row],[Job Posting Date]]</f>
        <v>27</v>
      </c>
      <c r="Y244" s="10">
        <f t="shared" si="7"/>
        <v>37.037037037037038</v>
      </c>
      <c r="Z244" s="3">
        <f>Table1[[#This Row],[Join Date]]-Table1[[#This Row],[Job Posting Date]]</f>
        <v>37</v>
      </c>
      <c r="AA244" s="3">
        <v>191</v>
      </c>
    </row>
    <row r="245" spans="1:27" x14ac:dyDescent="0.2">
      <c r="A245" t="s">
        <v>277</v>
      </c>
      <c r="B245" t="s">
        <v>26</v>
      </c>
      <c r="C245" t="s">
        <v>18</v>
      </c>
      <c r="D245" t="s">
        <v>19</v>
      </c>
      <c r="E245" s="1">
        <v>43652</v>
      </c>
      <c r="F245" s="1">
        <v>43677</v>
      </c>
      <c r="G245" s="1">
        <v>43682</v>
      </c>
      <c r="H245" s="1">
        <v>44215</v>
      </c>
      <c r="I245" t="s">
        <v>37</v>
      </c>
      <c r="J245" s="12">
        <v>3096</v>
      </c>
      <c r="K245">
        <v>1</v>
      </c>
      <c r="L245">
        <v>1</v>
      </c>
      <c r="M245" t="s">
        <v>287</v>
      </c>
      <c r="N245" s="4">
        <v>4</v>
      </c>
      <c r="O245" s="7" t="s">
        <v>292</v>
      </c>
      <c r="T245" s="4">
        <f>Table1[[#This Row],[Hire Date]]-Table1[[#This Row],[Job Posting Date]]</f>
        <v>25</v>
      </c>
      <c r="U245" s="11">
        <f>Table1[[#This Row],[Join Date]]-Table1[[#This Row],[Hire Date]]</f>
        <v>5</v>
      </c>
      <c r="V245" s="11">
        <f ca="1">IF(Table1[[#This Row],[Status]]="Exited",Table1[[#This Row],[Exit Date]]-Table1[[#This Row],[Join Date]],TODAY()-Table1[[#This Row],[Join Date]])</f>
        <v>533</v>
      </c>
      <c r="W245" s="3" t="str">
        <f t="shared" ca="1" si="6"/>
        <v>yes</v>
      </c>
      <c r="X245" s="4">
        <f>Table1[[#This Row],[Hire Date]]-Table1[[#This Row],[Job Posting Date]]</f>
        <v>25</v>
      </c>
      <c r="Y245" s="10">
        <f t="shared" si="7"/>
        <v>20</v>
      </c>
      <c r="Z245" s="4">
        <f>Table1[[#This Row],[Join Date]]-Table1[[#This Row],[Job Posting Date]]</f>
        <v>30</v>
      </c>
      <c r="AA245" s="4">
        <v>138</v>
      </c>
    </row>
    <row r="246" spans="1:27" x14ac:dyDescent="0.2">
      <c r="A246" t="s">
        <v>278</v>
      </c>
      <c r="B246" t="s">
        <v>27</v>
      </c>
      <c r="C246" t="s">
        <v>22</v>
      </c>
      <c r="D246" t="s">
        <v>23</v>
      </c>
      <c r="E246" s="1">
        <v>43231</v>
      </c>
      <c r="F246" s="1">
        <v>43309</v>
      </c>
      <c r="G246" s="1">
        <v>43316</v>
      </c>
      <c r="H246" s="1">
        <v>43650</v>
      </c>
      <c r="I246" t="s">
        <v>37</v>
      </c>
      <c r="J246" s="12">
        <v>3497</v>
      </c>
      <c r="K246">
        <v>3</v>
      </c>
      <c r="L246">
        <v>3</v>
      </c>
      <c r="M246" t="s">
        <v>287</v>
      </c>
      <c r="N246" s="3">
        <v>3</v>
      </c>
      <c r="O246" s="6" t="s">
        <v>292</v>
      </c>
      <c r="T246" s="3">
        <f>Table1[[#This Row],[Hire Date]]-Table1[[#This Row],[Job Posting Date]]</f>
        <v>78</v>
      </c>
      <c r="U246" s="9">
        <f>Table1[[#This Row],[Join Date]]-Table1[[#This Row],[Hire Date]]</f>
        <v>7</v>
      </c>
      <c r="V246" s="9">
        <f ca="1">IF(Table1[[#This Row],[Status]]="Exited",Table1[[#This Row],[Exit Date]]-Table1[[#This Row],[Join Date]],TODAY()-Table1[[#This Row],[Join Date]])</f>
        <v>334</v>
      </c>
      <c r="W246" s="3" t="str">
        <f t="shared" ca="1" si="6"/>
        <v>yes</v>
      </c>
      <c r="X246" s="3">
        <f>Table1[[#This Row],[Hire Date]]-Table1[[#This Row],[Job Posting Date]]</f>
        <v>78</v>
      </c>
      <c r="Y246" s="10">
        <f t="shared" si="7"/>
        <v>8.9743589743589745</v>
      </c>
      <c r="Z246" s="3">
        <f>Table1[[#This Row],[Join Date]]-Table1[[#This Row],[Job Posting Date]]</f>
        <v>85</v>
      </c>
      <c r="AA246" s="3">
        <v>133</v>
      </c>
    </row>
    <row r="247" spans="1:27" x14ac:dyDescent="0.2">
      <c r="A247" t="s">
        <v>279</v>
      </c>
      <c r="B247" t="s">
        <v>26</v>
      </c>
      <c r="C247" t="s">
        <v>22</v>
      </c>
      <c r="D247" t="s">
        <v>23</v>
      </c>
      <c r="E247" s="1">
        <v>44418</v>
      </c>
      <c r="F247" s="1">
        <v>44463</v>
      </c>
      <c r="G247" s="1">
        <v>44473</v>
      </c>
      <c r="H247" s="1" t="s">
        <v>32</v>
      </c>
      <c r="I247" t="s">
        <v>33</v>
      </c>
      <c r="J247" s="12">
        <v>4721</v>
      </c>
      <c r="K247">
        <v>6</v>
      </c>
      <c r="L247">
        <v>4</v>
      </c>
      <c r="M247" t="s">
        <v>287</v>
      </c>
      <c r="N247" s="4">
        <v>4</v>
      </c>
      <c r="O247" s="7" t="s">
        <v>293</v>
      </c>
      <c r="T247" s="4">
        <f>Table1[[#This Row],[Hire Date]]-Table1[[#This Row],[Job Posting Date]]</f>
        <v>45</v>
      </c>
      <c r="U247" s="11">
        <f>Table1[[#This Row],[Join Date]]-Table1[[#This Row],[Hire Date]]</f>
        <v>10</v>
      </c>
      <c r="V247" s="11">
        <f ca="1">IF(Table1[[#This Row],[Status]]="Exited",Table1[[#This Row],[Exit Date]]-Table1[[#This Row],[Join Date]],TODAY()-Table1[[#This Row],[Join Date]])</f>
        <v>1201</v>
      </c>
      <c r="W247" s="3" t="str">
        <f t="shared" ca="1" si="6"/>
        <v>no</v>
      </c>
      <c r="X247" s="4">
        <f>Table1[[#This Row],[Hire Date]]-Table1[[#This Row],[Job Posting Date]]</f>
        <v>45</v>
      </c>
      <c r="Y247" s="10">
        <f t="shared" si="7"/>
        <v>22.222222222222221</v>
      </c>
      <c r="Z247" s="4">
        <f>Table1[[#This Row],[Join Date]]-Table1[[#This Row],[Job Posting Date]]</f>
        <v>55</v>
      </c>
      <c r="AA247" s="4">
        <v>153</v>
      </c>
    </row>
    <row r="248" spans="1:27" x14ac:dyDescent="0.2">
      <c r="A248" t="s">
        <v>280</v>
      </c>
      <c r="B248" t="s">
        <v>28</v>
      </c>
      <c r="C248" t="s">
        <v>24</v>
      </c>
      <c r="D248" t="s">
        <v>25</v>
      </c>
      <c r="E248" s="1">
        <v>43473</v>
      </c>
      <c r="F248" s="1">
        <v>43561</v>
      </c>
      <c r="G248" s="1">
        <v>43573</v>
      </c>
      <c r="H248" s="1" t="s">
        <v>32</v>
      </c>
      <c r="I248" t="s">
        <v>33</v>
      </c>
      <c r="J248" s="12">
        <v>4803</v>
      </c>
      <c r="K248">
        <v>9</v>
      </c>
      <c r="L248">
        <v>4</v>
      </c>
      <c r="M248" t="s">
        <v>288</v>
      </c>
      <c r="N248" s="3">
        <v>4</v>
      </c>
      <c r="O248" s="6" t="s">
        <v>293</v>
      </c>
      <c r="T248" s="3">
        <f>Table1[[#This Row],[Hire Date]]-Table1[[#This Row],[Job Posting Date]]</f>
        <v>88</v>
      </c>
      <c r="U248" s="9">
        <f>Table1[[#This Row],[Join Date]]-Table1[[#This Row],[Hire Date]]</f>
        <v>12</v>
      </c>
      <c r="V248" s="9">
        <f ca="1">IF(Table1[[#This Row],[Status]]="Exited",Table1[[#This Row],[Exit Date]]-Table1[[#This Row],[Join Date]],TODAY()-Table1[[#This Row],[Join Date]])</f>
        <v>2101</v>
      </c>
      <c r="W248" s="3" t="str">
        <f t="shared" ca="1" si="6"/>
        <v>no</v>
      </c>
      <c r="X248" s="3">
        <f>Table1[[#This Row],[Hire Date]]-Table1[[#This Row],[Job Posting Date]]</f>
        <v>88</v>
      </c>
      <c r="Y248" s="10">
        <f t="shared" si="7"/>
        <v>13.636363636363635</v>
      </c>
      <c r="Z248" s="3">
        <f>Table1[[#This Row],[Join Date]]-Table1[[#This Row],[Job Posting Date]]</f>
        <v>100</v>
      </c>
      <c r="AA248" s="3">
        <v>103</v>
      </c>
    </row>
    <row r="249" spans="1:27" x14ac:dyDescent="0.2">
      <c r="A249" t="s">
        <v>281</v>
      </c>
      <c r="B249" t="s">
        <v>28</v>
      </c>
      <c r="C249" t="s">
        <v>20</v>
      </c>
      <c r="D249" t="s">
        <v>21</v>
      </c>
      <c r="E249" s="1">
        <v>44615</v>
      </c>
      <c r="F249" s="1">
        <v>44677</v>
      </c>
      <c r="G249" s="1">
        <v>44685</v>
      </c>
      <c r="H249" s="1">
        <v>45601</v>
      </c>
      <c r="I249" t="s">
        <v>37</v>
      </c>
      <c r="J249" s="12">
        <v>3628</v>
      </c>
      <c r="K249">
        <v>7</v>
      </c>
      <c r="L249">
        <v>7</v>
      </c>
      <c r="M249" t="s">
        <v>287</v>
      </c>
      <c r="N249" s="4">
        <v>4</v>
      </c>
      <c r="O249" s="7" t="s">
        <v>292</v>
      </c>
      <c r="T249" s="4">
        <f>Table1[[#This Row],[Hire Date]]-Table1[[#This Row],[Job Posting Date]]</f>
        <v>62</v>
      </c>
      <c r="U249" s="11">
        <f>Table1[[#This Row],[Join Date]]-Table1[[#This Row],[Hire Date]]</f>
        <v>8</v>
      </c>
      <c r="V249" s="11">
        <f ca="1">IF(Table1[[#This Row],[Status]]="Exited",Table1[[#This Row],[Exit Date]]-Table1[[#This Row],[Join Date]],TODAY()-Table1[[#This Row],[Join Date]])</f>
        <v>916</v>
      </c>
      <c r="W249" s="3" t="str">
        <f t="shared" ca="1" si="6"/>
        <v>no</v>
      </c>
      <c r="X249" s="4">
        <f>Table1[[#This Row],[Hire Date]]-Table1[[#This Row],[Job Posting Date]]</f>
        <v>62</v>
      </c>
      <c r="Y249" s="10">
        <f t="shared" si="7"/>
        <v>12.903225806451612</v>
      </c>
      <c r="Z249" s="4">
        <f>Table1[[#This Row],[Join Date]]-Table1[[#This Row],[Job Posting Date]]</f>
        <v>70</v>
      </c>
      <c r="AA249" s="4">
        <v>135</v>
      </c>
    </row>
    <row r="250" spans="1:27" x14ac:dyDescent="0.2">
      <c r="A250" t="s">
        <v>282</v>
      </c>
      <c r="B250" t="s">
        <v>27</v>
      </c>
      <c r="C250" t="s">
        <v>18</v>
      </c>
      <c r="D250" t="s">
        <v>19</v>
      </c>
      <c r="E250" s="1">
        <v>44831</v>
      </c>
      <c r="F250" s="1">
        <v>44864</v>
      </c>
      <c r="G250" s="1">
        <v>44868</v>
      </c>
      <c r="H250" s="1" t="s">
        <v>32</v>
      </c>
      <c r="I250" t="s">
        <v>33</v>
      </c>
      <c r="J250" s="12">
        <v>3870</v>
      </c>
      <c r="K250">
        <v>9</v>
      </c>
      <c r="L250">
        <v>1</v>
      </c>
      <c r="M250" t="s">
        <v>287</v>
      </c>
      <c r="N250" s="3">
        <v>2</v>
      </c>
      <c r="O250" s="6" t="s">
        <v>292</v>
      </c>
      <c r="T250" s="3">
        <f>Table1[[#This Row],[Hire Date]]-Table1[[#This Row],[Job Posting Date]]</f>
        <v>33</v>
      </c>
      <c r="U250" s="9">
        <f>Table1[[#This Row],[Join Date]]-Table1[[#This Row],[Hire Date]]</f>
        <v>4</v>
      </c>
      <c r="V250" s="9">
        <f ca="1">IF(Table1[[#This Row],[Status]]="Exited",Table1[[#This Row],[Exit Date]]-Table1[[#This Row],[Join Date]],TODAY()-Table1[[#This Row],[Join Date]])</f>
        <v>806</v>
      </c>
      <c r="W250" s="3" t="str">
        <f t="shared" ca="1" si="6"/>
        <v>no</v>
      </c>
      <c r="X250" s="3">
        <f>Table1[[#This Row],[Hire Date]]-Table1[[#This Row],[Job Posting Date]]</f>
        <v>33</v>
      </c>
      <c r="Y250" s="10">
        <f t="shared" si="7"/>
        <v>12.121212121212121</v>
      </c>
      <c r="Z250" s="3">
        <f>Table1[[#This Row],[Join Date]]-Table1[[#This Row],[Job Posting Date]]</f>
        <v>37</v>
      </c>
      <c r="AA250" s="3">
        <v>189</v>
      </c>
    </row>
    <row r="251" spans="1:27" x14ac:dyDescent="0.2">
      <c r="A251" t="s">
        <v>283</v>
      </c>
      <c r="B251" t="s">
        <v>28</v>
      </c>
      <c r="C251" t="s">
        <v>20</v>
      </c>
      <c r="D251" t="s">
        <v>21</v>
      </c>
      <c r="E251" s="1">
        <v>44659</v>
      </c>
      <c r="F251" s="1">
        <v>44744</v>
      </c>
      <c r="G251" s="1">
        <v>44753</v>
      </c>
      <c r="H251" s="1" t="s">
        <v>32</v>
      </c>
      <c r="I251" t="s">
        <v>33</v>
      </c>
      <c r="J251" s="12">
        <v>1854</v>
      </c>
      <c r="K251">
        <v>9</v>
      </c>
      <c r="L251">
        <v>1</v>
      </c>
      <c r="M251" t="s">
        <v>286</v>
      </c>
      <c r="N251" s="4">
        <v>4</v>
      </c>
      <c r="O251" s="7" t="s">
        <v>293</v>
      </c>
      <c r="T251" s="4">
        <f>Table1[[#This Row],[Hire Date]]-Table1[[#This Row],[Job Posting Date]]</f>
        <v>85</v>
      </c>
      <c r="U251" s="11">
        <f>Table1[[#This Row],[Join Date]]-Table1[[#This Row],[Hire Date]]</f>
        <v>9</v>
      </c>
      <c r="V251" s="11">
        <f ca="1">IF(Table1[[#This Row],[Status]]="Exited",Table1[[#This Row],[Exit Date]]-Table1[[#This Row],[Join Date]],TODAY()-Table1[[#This Row],[Join Date]])</f>
        <v>921</v>
      </c>
      <c r="W251" s="3" t="str">
        <f t="shared" ca="1" si="6"/>
        <v>no</v>
      </c>
      <c r="X251" s="4">
        <f>Table1[[#This Row],[Hire Date]]-Table1[[#This Row],[Job Posting Date]]</f>
        <v>85</v>
      </c>
      <c r="Y251" s="10">
        <f t="shared" si="7"/>
        <v>10.588235294117647</v>
      </c>
      <c r="Z251" s="4">
        <f>Table1[[#This Row],[Join Date]]-Table1[[#This Row],[Job Posting Date]]</f>
        <v>94</v>
      </c>
      <c r="AA251" s="4">
        <v>194</v>
      </c>
    </row>
  </sheetData>
  <autoFilter ref="N1:O1" xr:uid="{E1EA0412-984B-E341-995B-2422EA401C01}"/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Recruitmentdata</vt:lpstr>
      <vt:lpstr>AbsenteeDays</vt:lpstr>
      <vt:lpstr>EmployeeID</vt:lpstr>
      <vt:lpstr>ExitDate</vt:lpstr>
      <vt:lpstr>Gender</vt:lpstr>
      <vt:lpstr>HireDate</vt:lpstr>
      <vt:lpstr>ID</vt:lpstr>
      <vt:lpstr>JobPostingDate</vt:lpstr>
      <vt:lpstr>JobTitle</vt:lpstr>
      <vt:lpstr>JoinDate</vt:lpstr>
      <vt:lpstr>Status</vt:lpstr>
      <vt:lpstr>Table</vt:lpstr>
      <vt:lpstr>TrainingCost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2025-01-17T16:22:06Z</dcterms:modified>
  <cp:category/>
  <cp:contentStatus/>
</cp:coreProperties>
</file>