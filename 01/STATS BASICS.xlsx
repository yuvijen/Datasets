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5 Classes/Business Analytics Class/"/>
    </mc:Choice>
  </mc:AlternateContent>
  <xr:revisionPtr revIDLastSave="303" documentId="8_{C742FDE0-0C82-2743-8C97-4CC980885710}" xr6:coauthVersionLast="47" xr6:coauthVersionMax="47" xr10:uidLastSave="{6A5EA8F4-6CFD-442A-88E9-3E87D02944D2}"/>
  <bookViews>
    <workbookView xWindow="0" yWindow="500" windowWidth="38400" windowHeight="21100" firstSheet="2" activeTab="3" xr2:uid="{B7E9A178-E4FB-B249-BA52-7D505293202B}"/>
  </bookViews>
  <sheets>
    <sheet name="mean, sd" sheetId="1" r:id="rId1"/>
    <sheet name="Z test" sheetId="3" r:id="rId2"/>
    <sheet name="T test" sheetId="2" r:id="rId3"/>
    <sheet name="2 samples T te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G3" i="2"/>
  <c r="G2" i="2"/>
  <c r="C3" i="2"/>
  <c r="C2" i="2"/>
  <c r="E2" i="1"/>
  <c r="E1" i="1"/>
  <c r="D4" i="4"/>
  <c r="E3" i="4"/>
  <c r="C3" i="4"/>
  <c r="E2" i="4"/>
  <c r="C2" i="4"/>
  <c r="C1" i="4"/>
  <c r="C1" i="2"/>
  <c r="G2" i="3"/>
  <c r="G3" i="3" s="1"/>
  <c r="C2" i="3"/>
  <c r="C1" i="3"/>
  <c r="C24" i="1"/>
  <c r="C25" i="1" s="1"/>
  <c r="C1" i="1"/>
  <c r="D23" i="1" l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E24" i="1" s="1"/>
  <c r="E25" i="1" s="1"/>
  <c r="E26" i="1" s="1"/>
</calcChain>
</file>

<file path=xl/sharedStrings.xml><?xml version="1.0" encoding="utf-8"?>
<sst xmlns="http://schemas.openxmlformats.org/spreadsheetml/2006/main" count="45" uniqueCount="30">
  <si>
    <t xml:space="preserve">mean= </t>
  </si>
  <si>
    <t xml:space="preserve">STD Population = </t>
  </si>
  <si>
    <t xml:space="preserve">STD sample = </t>
  </si>
  <si>
    <t>slno.</t>
  </si>
  <si>
    <t>scores</t>
  </si>
  <si>
    <t>x - mean</t>
  </si>
  <si>
    <t>(x - mean)^2</t>
  </si>
  <si>
    <t xml:space="preserve">sum = </t>
  </si>
  <si>
    <t xml:space="preserve">sum((x - mean)^2) = </t>
  </si>
  <si>
    <t xml:space="preserve">mean = </t>
  </si>
  <si>
    <t xml:space="preserve">(sum((x - mean)^2) )/n = </t>
  </si>
  <si>
    <t xml:space="preserve">STD Popul = squareroot((sum((x - mean)^2) )/n) = </t>
  </si>
  <si>
    <t xml:space="preserve">Sample size = </t>
  </si>
  <si>
    <t xml:space="preserve">Population Mean = </t>
  </si>
  <si>
    <t xml:space="preserve">sample mean = </t>
  </si>
  <si>
    <t xml:space="preserve">Population SD = </t>
  </si>
  <si>
    <t xml:space="preserve">Z test = </t>
  </si>
  <si>
    <t xml:space="preserve">sample SD = </t>
  </si>
  <si>
    <t>No need to calc</t>
  </si>
  <si>
    <t>p-value =</t>
  </si>
  <si>
    <t>weight</t>
  </si>
  <si>
    <t>Not Known</t>
  </si>
  <si>
    <t xml:space="preserve">T test = </t>
  </si>
  <si>
    <t xml:space="preserve">class A mean = </t>
  </si>
  <si>
    <t xml:space="preserve">class B mean = </t>
  </si>
  <si>
    <t>class A var</t>
  </si>
  <si>
    <t>class B SD</t>
  </si>
  <si>
    <t xml:space="preserve">pooled variance = </t>
  </si>
  <si>
    <t>Class A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</si>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</sst>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D0D0D"/>
      <name val="Söhne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6E11-464F-094E-93D0-74CE26B0515F}">
  <dimension ref="A1:E26"/>
  <sheetViews>
    <sheetView topLeftCell="B1" workbookViewId="0">
      <selection activeCell="E3" sqref="E3"/>
    </sheetView>
  </sheetViews>
  <sheetFormatPr defaultColWidth="11" defaultRowHeight="15.95"/>
  <cols>
    <col min="2" max="2" width="7.25" bestFit="1" customWidth="1"/>
    <col min="3" max="3" width="6.5" bestFit="1" customWidth="1"/>
    <col min="4" max="4" width="51" customWidth="1"/>
    <col min="5" max="5" width="12" bestFit="1" customWidth="1"/>
  </cols>
  <sheetData>
    <row r="1" spans="1:5">
      <c r="B1" s="4" t="s">
        <v>0</v>
      </c>
      <c r="C1" s="2">
        <f>AVERAGE(C4:C23)</f>
        <v>76.849999999999994</v>
      </c>
      <c r="D1" s="4" t="s">
        <v>1</v>
      </c>
      <c r="E1" s="2">
        <f>_xlfn.STDEV.P(C4:C23)</f>
        <v>9.1338655562691518</v>
      </c>
    </row>
    <row r="2" spans="1:5">
      <c r="D2" s="4" t="s">
        <v>2</v>
      </c>
      <c r="E2" s="2">
        <f>_xlfn.STDEV.S(C4:C23)</f>
        <v>9.3711483315883832</v>
      </c>
    </row>
    <row r="3" spans="1:5" s="4" customFormat="1">
      <c r="B3" s="8" t="s">
        <v>3</v>
      </c>
      <c r="C3" s="8" t="s">
        <v>4</v>
      </c>
      <c r="D3" s="8" t="s">
        <v>5</v>
      </c>
      <c r="E3" s="8" t="s">
        <v>6</v>
      </c>
    </row>
    <row r="4" spans="1:5" s="1" customFormat="1">
      <c r="A4"/>
      <c r="B4">
        <v>1</v>
      </c>
      <c r="C4">
        <v>66</v>
      </c>
      <c r="D4">
        <f>C4-$C$1</f>
        <v>-10.849999999999994</v>
      </c>
      <c r="E4">
        <f>D4^2</f>
        <v>117.72249999999988</v>
      </c>
    </row>
    <row r="5" spans="1:5">
      <c r="B5">
        <v>2</v>
      </c>
      <c r="C5">
        <v>84</v>
      </c>
      <c r="D5">
        <f t="shared" ref="D5:D23" si="0">C5-$C$1</f>
        <v>7.1500000000000057</v>
      </c>
      <c r="E5">
        <f t="shared" ref="E5:E23" si="1">D5^2</f>
        <v>51.12250000000008</v>
      </c>
    </row>
    <row r="6" spans="1:5">
      <c r="B6">
        <v>3</v>
      </c>
      <c r="C6">
        <v>70</v>
      </c>
      <c r="D6">
        <f t="shared" si="0"/>
        <v>-6.8499999999999943</v>
      </c>
      <c r="E6">
        <f t="shared" si="1"/>
        <v>46.922499999999921</v>
      </c>
    </row>
    <row r="7" spans="1:5">
      <c r="B7">
        <v>4</v>
      </c>
      <c r="C7">
        <v>72</v>
      </c>
      <c r="D7">
        <f t="shared" si="0"/>
        <v>-4.8499999999999943</v>
      </c>
      <c r="E7">
        <f t="shared" si="1"/>
        <v>23.522499999999944</v>
      </c>
    </row>
    <row r="8" spans="1:5">
      <c r="B8">
        <v>5</v>
      </c>
      <c r="C8">
        <v>73</v>
      </c>
      <c r="D8">
        <f t="shared" si="0"/>
        <v>-3.8499999999999943</v>
      </c>
      <c r="E8">
        <f t="shared" si="1"/>
        <v>14.822499999999955</v>
      </c>
    </row>
    <row r="9" spans="1:5">
      <c r="B9">
        <v>6</v>
      </c>
      <c r="C9">
        <v>86</v>
      </c>
      <c r="D9">
        <f t="shared" si="0"/>
        <v>9.1500000000000057</v>
      </c>
      <c r="E9">
        <f t="shared" si="1"/>
        <v>83.72250000000011</v>
      </c>
    </row>
    <row r="10" spans="1:5">
      <c r="B10">
        <v>7</v>
      </c>
      <c r="C10">
        <v>75</v>
      </c>
      <c r="D10">
        <f t="shared" si="0"/>
        <v>-1.8499999999999943</v>
      </c>
      <c r="E10">
        <f t="shared" si="1"/>
        <v>3.422499999999979</v>
      </c>
    </row>
    <row r="11" spans="1:5">
      <c r="B11">
        <v>8</v>
      </c>
      <c r="C11">
        <v>88</v>
      </c>
      <c r="D11">
        <f t="shared" si="0"/>
        <v>11.150000000000006</v>
      </c>
      <c r="E11">
        <f t="shared" si="1"/>
        <v>124.32250000000013</v>
      </c>
    </row>
    <row r="12" spans="1:5">
      <c r="B12">
        <v>9</v>
      </c>
      <c r="C12">
        <v>62</v>
      </c>
      <c r="D12">
        <f t="shared" si="0"/>
        <v>-14.849999999999994</v>
      </c>
      <c r="E12">
        <f t="shared" si="1"/>
        <v>220.52249999999984</v>
      </c>
    </row>
    <row r="13" spans="1:5">
      <c r="B13">
        <v>10</v>
      </c>
      <c r="C13">
        <v>81</v>
      </c>
      <c r="D13">
        <f t="shared" si="0"/>
        <v>4.1500000000000057</v>
      </c>
      <c r="E13">
        <f t="shared" si="1"/>
        <v>17.222500000000046</v>
      </c>
    </row>
    <row r="14" spans="1:5">
      <c r="B14">
        <v>11</v>
      </c>
      <c r="C14">
        <v>85</v>
      </c>
      <c r="D14">
        <f t="shared" si="0"/>
        <v>8.1500000000000057</v>
      </c>
      <c r="E14">
        <f t="shared" si="1"/>
        <v>66.422500000000099</v>
      </c>
    </row>
    <row r="15" spans="1:5">
      <c r="B15">
        <v>12</v>
      </c>
      <c r="C15">
        <v>63</v>
      </c>
      <c r="D15">
        <f t="shared" si="0"/>
        <v>-13.849999999999994</v>
      </c>
      <c r="E15">
        <f t="shared" si="1"/>
        <v>191.82249999999985</v>
      </c>
    </row>
    <row r="16" spans="1:5">
      <c r="B16">
        <v>13</v>
      </c>
      <c r="C16">
        <v>79</v>
      </c>
      <c r="D16">
        <f t="shared" si="0"/>
        <v>2.1500000000000057</v>
      </c>
      <c r="E16">
        <f t="shared" si="1"/>
        <v>4.6225000000000245</v>
      </c>
    </row>
    <row r="17" spans="2:5">
      <c r="B17">
        <v>14</v>
      </c>
      <c r="C17">
        <v>79</v>
      </c>
      <c r="D17">
        <f t="shared" si="0"/>
        <v>2.1500000000000057</v>
      </c>
      <c r="E17">
        <f t="shared" si="1"/>
        <v>4.6225000000000245</v>
      </c>
    </row>
    <row r="18" spans="2:5">
      <c r="B18">
        <v>15</v>
      </c>
      <c r="C18">
        <v>83</v>
      </c>
      <c r="D18">
        <f t="shared" si="0"/>
        <v>6.1500000000000057</v>
      </c>
      <c r="E18">
        <f t="shared" si="1"/>
        <v>37.822500000000069</v>
      </c>
    </row>
    <row r="19" spans="2:5">
      <c r="B19">
        <v>16</v>
      </c>
      <c r="C19">
        <v>90</v>
      </c>
      <c r="D19">
        <f t="shared" si="0"/>
        <v>13.150000000000006</v>
      </c>
      <c r="E19">
        <f t="shared" si="1"/>
        <v>172.92250000000016</v>
      </c>
    </row>
    <row r="20" spans="2:5">
      <c r="B20">
        <v>17</v>
      </c>
      <c r="C20">
        <v>61</v>
      </c>
      <c r="D20">
        <f t="shared" si="0"/>
        <v>-15.849999999999994</v>
      </c>
      <c r="E20">
        <f t="shared" si="1"/>
        <v>251.22249999999983</v>
      </c>
    </row>
    <row r="21" spans="2:5">
      <c r="B21">
        <v>18</v>
      </c>
      <c r="C21">
        <v>82</v>
      </c>
      <c r="D21">
        <f t="shared" si="0"/>
        <v>5.1500000000000057</v>
      </c>
      <c r="E21">
        <f t="shared" si="1"/>
        <v>26.522500000000058</v>
      </c>
    </row>
    <row r="22" spans="2:5">
      <c r="B22">
        <v>19</v>
      </c>
      <c r="C22">
        <v>69</v>
      </c>
      <c r="D22">
        <f t="shared" si="0"/>
        <v>-7.8499999999999943</v>
      </c>
      <c r="E22">
        <f t="shared" si="1"/>
        <v>61.62249999999991</v>
      </c>
    </row>
    <row r="23" spans="2:5">
      <c r="B23">
        <v>20</v>
      </c>
      <c r="C23">
        <v>89</v>
      </c>
      <c r="D23">
        <f t="shared" si="0"/>
        <v>12.150000000000006</v>
      </c>
      <c r="E23">
        <f t="shared" si="1"/>
        <v>147.62250000000014</v>
      </c>
    </row>
    <row r="24" spans="2:5">
      <c r="B24" t="s">
        <v>7</v>
      </c>
      <c r="C24">
        <f>SUM(C4:C23)</f>
        <v>1537</v>
      </c>
      <c r="D24" s="4" t="s">
        <v>8</v>
      </c>
      <c r="E24">
        <f>SUM(E4:E23)</f>
        <v>1668.5500000000004</v>
      </c>
    </row>
    <row r="25" spans="2:5">
      <c r="B25" t="s">
        <v>9</v>
      </c>
      <c r="C25">
        <f>C24/B23</f>
        <v>76.849999999999994</v>
      </c>
      <c r="D25" s="4" t="s">
        <v>10</v>
      </c>
      <c r="E25">
        <f>E24/B23</f>
        <v>83.427500000000023</v>
      </c>
    </row>
    <row r="26" spans="2:5" ht="30.75">
      <c r="D26" s="9" t="s">
        <v>11</v>
      </c>
      <c r="E26" s="3">
        <f>SQRT(E25)</f>
        <v>9.1338655562691535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6A0D-8DDA-4707-A68E-05C8F8D09564}">
  <dimension ref="A1:G36"/>
  <sheetViews>
    <sheetView workbookViewId="0">
      <selection activeCell="G27" sqref="G27"/>
    </sheetView>
  </sheetViews>
  <sheetFormatPr defaultColWidth="8.875" defaultRowHeight="15.95"/>
  <cols>
    <col min="1" max="1" width="4.875" bestFit="1" customWidth="1"/>
    <col min="2" max="2" width="13.625" bestFit="1" customWidth="1"/>
    <col min="3" max="3" width="13.5" bestFit="1" customWidth="1"/>
    <col min="4" max="4" width="16.375" bestFit="1" customWidth="1"/>
    <col min="5" max="5" width="3.75" bestFit="1" customWidth="1"/>
    <col min="6" max="6" width="8.25" bestFit="1" customWidth="1"/>
    <col min="7" max="7" width="12.375" bestFit="1" customWidth="1"/>
  </cols>
  <sheetData>
    <row r="1" spans="1:7" ht="15.75">
      <c r="A1" s="5"/>
      <c r="B1" s="5" t="s">
        <v>12</v>
      </c>
      <c r="C1" s="6">
        <f>A35</f>
        <v>31</v>
      </c>
      <c r="D1" s="5" t="s">
        <v>13</v>
      </c>
      <c r="E1" s="5">
        <v>75</v>
      </c>
    </row>
    <row r="2" spans="1:7" ht="15.75">
      <c r="A2" s="5"/>
      <c r="B2" s="5" t="s">
        <v>14</v>
      </c>
      <c r="C2" s="6">
        <f>AVERAGE(B5:B35)</f>
        <v>74.516129032258064</v>
      </c>
      <c r="D2" s="5" t="s">
        <v>15</v>
      </c>
      <c r="E2" s="5">
        <v>10</v>
      </c>
      <c r="F2" s="5" t="s">
        <v>16</v>
      </c>
      <c r="G2" s="6">
        <f>(C2-E1)/(E2/SQRT(C1))</f>
        <v>-0.26940795304016257</v>
      </c>
    </row>
    <row r="3" spans="1:7" ht="15.75">
      <c r="A3" s="5"/>
      <c r="B3" s="5" t="s">
        <v>17</v>
      </c>
      <c r="C3" s="5" t="s">
        <v>18</v>
      </c>
      <c r="D3" s="5"/>
      <c r="E3" s="5"/>
      <c r="F3" s="5" t="s">
        <v>19</v>
      </c>
      <c r="G3" s="2">
        <f>2*(1-_xlfn.NORM.S.DIST(ABS(G2), TRUE))</f>
        <v>0.78761576670220546</v>
      </c>
    </row>
    <row r="4" spans="1:7" ht="15.75">
      <c r="A4" s="5" t="s">
        <v>3</v>
      </c>
      <c r="B4" s="5" t="s">
        <v>20</v>
      </c>
      <c r="C4" s="5"/>
      <c r="D4" s="5"/>
      <c r="E4" s="5"/>
    </row>
    <row r="5" spans="1:7" ht="15.75">
      <c r="A5">
        <v>1</v>
      </c>
      <c r="B5" s="7">
        <v>72</v>
      </c>
      <c r="C5" s="5"/>
      <c r="D5" s="5"/>
      <c r="E5" s="5"/>
    </row>
    <row r="6" spans="1:7" ht="15.75">
      <c r="A6">
        <v>2</v>
      </c>
      <c r="B6">
        <v>75</v>
      </c>
    </row>
    <row r="7" spans="1:7" ht="15.75">
      <c r="A7">
        <v>3</v>
      </c>
      <c r="B7">
        <v>71</v>
      </c>
    </row>
    <row r="8" spans="1:7" ht="15.75">
      <c r="A8">
        <v>4</v>
      </c>
      <c r="B8">
        <v>74</v>
      </c>
    </row>
    <row r="9" spans="1:7" ht="15.75">
      <c r="A9">
        <v>5</v>
      </c>
      <c r="B9">
        <v>78</v>
      </c>
    </row>
    <row r="10" spans="1:7" ht="15.75">
      <c r="A10">
        <v>6</v>
      </c>
      <c r="B10">
        <v>79</v>
      </c>
    </row>
    <row r="11" spans="1:7" ht="15.75">
      <c r="A11">
        <v>7</v>
      </c>
      <c r="B11">
        <v>72</v>
      </c>
    </row>
    <row r="12" spans="1:7" ht="15.75">
      <c r="A12">
        <v>8</v>
      </c>
      <c r="B12">
        <v>73</v>
      </c>
    </row>
    <row r="13" spans="1:7" ht="15.75">
      <c r="A13">
        <v>9</v>
      </c>
      <c r="B13">
        <v>76</v>
      </c>
    </row>
    <row r="14" spans="1:7" ht="15.75">
      <c r="A14">
        <v>10</v>
      </c>
      <c r="B14">
        <v>77</v>
      </c>
    </row>
    <row r="15" spans="1:7" ht="15.75">
      <c r="A15">
        <v>11</v>
      </c>
      <c r="B15">
        <v>70</v>
      </c>
    </row>
    <row r="16" spans="1:7" ht="15.75">
      <c r="A16">
        <v>12</v>
      </c>
      <c r="B16">
        <v>79</v>
      </c>
    </row>
    <row r="17" spans="1:2" ht="15.75">
      <c r="A17">
        <v>13</v>
      </c>
      <c r="B17">
        <v>71</v>
      </c>
    </row>
    <row r="18" spans="1:2" ht="15.75">
      <c r="A18">
        <v>14</v>
      </c>
      <c r="B18">
        <v>74</v>
      </c>
    </row>
    <row r="19" spans="1:2" ht="15.75">
      <c r="A19">
        <v>15</v>
      </c>
      <c r="B19">
        <v>78</v>
      </c>
    </row>
    <row r="20" spans="1:2" ht="15.75">
      <c r="A20">
        <v>16</v>
      </c>
      <c r="B20">
        <v>72</v>
      </c>
    </row>
    <row r="21" spans="1:2" ht="15.75">
      <c r="A21">
        <v>17</v>
      </c>
      <c r="B21">
        <v>75</v>
      </c>
    </row>
    <row r="22" spans="1:2" ht="15.75">
      <c r="A22">
        <v>18</v>
      </c>
      <c r="B22">
        <v>71</v>
      </c>
    </row>
    <row r="23" spans="1:2" ht="15.75">
      <c r="A23">
        <v>19</v>
      </c>
      <c r="B23">
        <v>74</v>
      </c>
    </row>
    <row r="24" spans="1:2" ht="15.75">
      <c r="A24">
        <v>20</v>
      </c>
      <c r="B24">
        <v>78</v>
      </c>
    </row>
    <row r="25" spans="1:2" ht="15.75">
      <c r="A25">
        <v>21</v>
      </c>
      <c r="B25">
        <v>79</v>
      </c>
    </row>
    <row r="26" spans="1:2" ht="15.75">
      <c r="A26">
        <v>22</v>
      </c>
      <c r="B26">
        <v>72</v>
      </c>
    </row>
    <row r="27" spans="1:2" ht="15.75">
      <c r="A27">
        <v>23</v>
      </c>
      <c r="B27">
        <v>73</v>
      </c>
    </row>
    <row r="28" spans="1:2" ht="15.75">
      <c r="A28">
        <v>24</v>
      </c>
      <c r="B28">
        <v>76</v>
      </c>
    </row>
    <row r="29" spans="1:2" ht="15.75">
      <c r="A29">
        <v>25</v>
      </c>
      <c r="B29">
        <v>77</v>
      </c>
    </row>
    <row r="30" spans="1:2" ht="15.75">
      <c r="A30">
        <v>26</v>
      </c>
      <c r="B30">
        <v>70</v>
      </c>
    </row>
    <row r="31" spans="1:2" ht="15.75">
      <c r="A31">
        <v>27</v>
      </c>
      <c r="B31">
        <v>79</v>
      </c>
    </row>
    <row r="32" spans="1:2" ht="15.75">
      <c r="A32">
        <v>28</v>
      </c>
      <c r="B32">
        <v>71</v>
      </c>
    </row>
    <row r="33" spans="1:2" ht="15.75">
      <c r="A33">
        <v>29</v>
      </c>
      <c r="B33">
        <v>74</v>
      </c>
    </row>
    <row r="34" spans="1:2" ht="15.75">
      <c r="A34">
        <v>30</v>
      </c>
      <c r="B34">
        <v>78</v>
      </c>
    </row>
    <row r="35" spans="1:2" ht="15.75">
      <c r="A35">
        <v>31</v>
      </c>
      <c r="B35">
        <v>72</v>
      </c>
    </row>
    <row r="36" spans="1:2" ht="15.7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D503-6F9C-A148-B359-F174594B4176}">
  <dimension ref="A1:G19"/>
  <sheetViews>
    <sheetView workbookViewId="0">
      <selection activeCell="G5" sqref="G5"/>
    </sheetView>
  </sheetViews>
  <sheetFormatPr defaultColWidth="11" defaultRowHeight="15.95"/>
  <cols>
    <col min="1" max="1" width="6.75" bestFit="1" customWidth="1"/>
    <col min="2" max="2" width="14" bestFit="1" customWidth="1"/>
    <col min="3" max="3" width="11.75" bestFit="1" customWidth="1"/>
    <col min="4" max="4" width="16.375" bestFit="1" customWidth="1"/>
    <col min="6" max="6" width="8.5" bestFit="1" customWidth="1"/>
    <col min="7" max="7" width="24.5" bestFit="1" customWidth="1"/>
  </cols>
  <sheetData>
    <row r="1" spans="1:7" ht="15.75">
      <c r="A1" s="5"/>
      <c r="B1" s="5" t="s">
        <v>12</v>
      </c>
      <c r="C1" s="5">
        <f>COUNTA(A5:A50)</f>
        <v>15</v>
      </c>
      <c r="D1" s="5" t="s">
        <v>13</v>
      </c>
      <c r="E1" s="5">
        <v>60</v>
      </c>
    </row>
    <row r="2" spans="1:7" ht="15.75">
      <c r="A2" s="5"/>
      <c r="B2" s="5" t="s">
        <v>14</v>
      </c>
      <c r="C2" s="5">
        <f>AVERAGE(B5:B24)</f>
        <v>57.93333333333333</v>
      </c>
      <c r="D2" s="5" t="s">
        <v>15</v>
      </c>
      <c r="E2" s="5" t="s">
        <v>21</v>
      </c>
      <c r="F2" s="5" t="s">
        <v>22</v>
      </c>
      <c r="G2">
        <f>(C2-E1)/(C3/SQRT(C1))</f>
        <v>-2.3179739418052563</v>
      </c>
    </row>
    <row r="3" spans="1:7" ht="15.75">
      <c r="A3" s="5"/>
      <c r="B3" s="5" t="s">
        <v>17</v>
      </c>
      <c r="C3" s="5">
        <f>_xlfn.STDEV.S(B5:B24)</f>
        <v>3.453086955726647</v>
      </c>
      <c r="D3" s="5"/>
      <c r="E3" s="5"/>
      <c r="F3" s="5" t="s">
        <v>19</v>
      </c>
      <c r="G3">
        <f>_xlfn.T.DIST.2T(ABS(G2),C1-1)</f>
        <v>3.6097614025573745E-2</v>
      </c>
    </row>
    <row r="4" spans="1:7" ht="15.75">
      <c r="A4" s="5" t="s">
        <v>3</v>
      </c>
      <c r="B4" s="5" t="s">
        <v>20</v>
      </c>
      <c r="C4" s="5"/>
      <c r="D4" s="5"/>
      <c r="E4" s="5"/>
    </row>
    <row r="5" spans="1:7" ht="15.75">
      <c r="A5">
        <v>1</v>
      </c>
      <c r="B5">
        <v>52</v>
      </c>
      <c r="C5" s="5"/>
      <c r="D5" s="5"/>
      <c r="E5" s="5"/>
    </row>
    <row r="6" spans="1:7">
      <c r="A6">
        <v>2</v>
      </c>
      <c r="B6">
        <v>55</v>
      </c>
    </row>
    <row r="7" spans="1:7">
      <c r="A7">
        <v>3</v>
      </c>
      <c r="B7">
        <v>61</v>
      </c>
    </row>
    <row r="8" spans="1:7">
      <c r="A8">
        <v>4</v>
      </c>
      <c r="B8">
        <v>54</v>
      </c>
    </row>
    <row r="9" spans="1:7">
      <c r="A9">
        <v>5</v>
      </c>
      <c r="B9">
        <v>58</v>
      </c>
    </row>
    <row r="10" spans="1:7">
      <c r="A10">
        <v>6</v>
      </c>
      <c r="B10">
        <v>59</v>
      </c>
    </row>
    <row r="11" spans="1:7">
      <c r="A11">
        <v>7</v>
      </c>
      <c r="B11">
        <v>62</v>
      </c>
    </row>
    <row r="12" spans="1:7">
      <c r="A12">
        <v>8</v>
      </c>
      <c r="B12">
        <v>53</v>
      </c>
    </row>
    <row r="13" spans="1:7">
      <c r="A13">
        <v>9</v>
      </c>
      <c r="B13">
        <v>56</v>
      </c>
    </row>
    <row r="14" spans="1:7">
      <c r="A14">
        <v>10</v>
      </c>
      <c r="B14">
        <v>57</v>
      </c>
    </row>
    <row r="15" spans="1:7">
      <c r="A15">
        <v>11</v>
      </c>
      <c r="B15">
        <v>60</v>
      </c>
    </row>
    <row r="16" spans="1:7">
      <c r="A16">
        <v>12</v>
      </c>
      <c r="B16">
        <v>59</v>
      </c>
    </row>
    <row r="17" spans="1:2">
      <c r="A17">
        <v>13</v>
      </c>
      <c r="B17">
        <v>61</v>
      </c>
    </row>
    <row r="18" spans="1:2">
      <c r="A18">
        <v>14</v>
      </c>
      <c r="B18">
        <v>64</v>
      </c>
    </row>
    <row r="19" spans="1:2">
      <c r="A19">
        <v>15</v>
      </c>
      <c r="B19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2778-508B-4A49-A194-7A054DA7C08B}">
  <dimension ref="A1:H10"/>
  <sheetViews>
    <sheetView tabSelected="1" workbookViewId="0">
      <selection activeCell="F7" sqref="F7"/>
    </sheetView>
  </sheetViews>
  <sheetFormatPr defaultRowHeight="15.75"/>
  <cols>
    <col min="1" max="1" width="6.75" bestFit="1" customWidth="1"/>
    <col min="2" max="2" width="13.375" bestFit="1" customWidth="1"/>
    <col min="3" max="3" width="15.25" bestFit="1" customWidth="1"/>
    <col min="4" max="4" width="16.375" bestFit="1" customWidth="1"/>
    <col min="5" max="5" width="9.75" bestFit="1" customWidth="1"/>
    <col min="6" max="6" width="20.125" bestFit="1" customWidth="1"/>
    <col min="7" max="7" width="11.75" bestFit="1" customWidth="1"/>
  </cols>
  <sheetData>
    <row r="1" spans="1:8">
      <c r="A1" s="5"/>
      <c r="B1" s="5" t="s">
        <v>12</v>
      </c>
      <c r="C1" s="5">
        <f>COUNTA(A6:A51)</f>
        <v>5</v>
      </c>
      <c r="F1" s="5" t="s">
        <v>13</v>
      </c>
      <c r="G1" s="5">
        <v>60</v>
      </c>
    </row>
    <row r="2" spans="1:8">
      <c r="A2" s="5"/>
      <c r="B2" s="5" t="s">
        <v>23</v>
      </c>
      <c r="C2" s="5">
        <f>AVERAGE(A6:A10)</f>
        <v>87.2</v>
      </c>
      <c r="D2" s="5" t="s">
        <v>24</v>
      </c>
      <c r="E2" s="5">
        <f>AVERAGE(B6:B10)</f>
        <v>84.2</v>
      </c>
      <c r="F2" s="5" t="s">
        <v>15</v>
      </c>
      <c r="G2" s="5" t="s">
        <v>21</v>
      </c>
      <c r="H2" s="5" t="s">
        <v>22</v>
      </c>
    </row>
    <row r="3" spans="1:8">
      <c r="A3" s="5"/>
      <c r="B3" s="5" t="s">
        <v>25</v>
      </c>
      <c r="C3" s="5">
        <f>_xlfn.VAR.S(A6:A10)</f>
        <v>39.700000000000003</v>
      </c>
      <c r="D3" s="5" t="s">
        <v>26</v>
      </c>
      <c r="E3" s="5">
        <f>_xlfn.VAR.S(B6:B10)</f>
        <v>28.7</v>
      </c>
      <c r="H3" s="5"/>
    </row>
    <row r="4" spans="1:8">
      <c r="A4" s="5"/>
      <c r="B4" s="5"/>
      <c r="C4" t="s">
        <v>27</v>
      </c>
      <c r="D4" s="5">
        <f>((C1-1)*C3+(C1-1)*E3)/(C1+C1-2)</f>
        <v>34.200000000000003</v>
      </c>
      <c r="E4" s="5"/>
      <c r="H4" s="5" t="s">
        <v>19</v>
      </c>
    </row>
    <row r="5" spans="1:8">
      <c r="A5" t="s">
        <v>28</v>
      </c>
      <c r="B5" t="s">
        <v>29</v>
      </c>
      <c r="C5" s="5"/>
      <c r="D5" s="5"/>
      <c r="E5" s="5"/>
    </row>
    <row r="6" spans="1:8">
      <c r="A6">
        <v>85</v>
      </c>
      <c r="B6">
        <v>80</v>
      </c>
      <c r="C6" s="5"/>
      <c r="D6" s="5"/>
      <c r="E6" s="5"/>
    </row>
    <row r="7" spans="1:8">
      <c r="A7">
        <v>88</v>
      </c>
      <c r="B7">
        <v>83</v>
      </c>
      <c r="F7">
        <f>_xlfn.T.TEST(A6:A10,B6:B10,2,2)</f>
        <v>0.44076576512240051</v>
      </c>
    </row>
    <row r="8" spans="1:8">
      <c r="A8">
        <v>90</v>
      </c>
      <c r="B8">
        <v>79</v>
      </c>
    </row>
    <row r="9" spans="1:8">
      <c r="A9">
        <v>95</v>
      </c>
      <c r="B9">
        <v>92</v>
      </c>
    </row>
    <row r="10" spans="1:8">
      <c r="A10">
        <v>78</v>
      </c>
      <c r="B10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2024-03-19T05:06:00Z</dcterms:created>
  <dcterms:modified xsi:type="dcterms:W3CDTF">2026-01-31T07:15:37Z</dcterms:modified>
  <cp:category/>
  <cp:contentStatus/>
</cp:coreProperties>
</file>